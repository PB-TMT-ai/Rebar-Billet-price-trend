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comments21.xml" ContentType="application/vnd.openxmlformats-officedocument.spreadsheetml.comments+xml"/>
  <Override PartName="/xl/threadedComments/threadedComment2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updateLinks="always"/>
  <xr:revisionPtr revIDLastSave="0" documentId="8_{D4E4624E-5722-4C24-B0A3-2A7ED33D4709}" xr6:coauthVersionLast="47" xr6:coauthVersionMax="47" xr10:uidLastSave="{00000000-0000-0000-0000-000000000000}"/>
  <bookViews>
    <workbookView xWindow="240" yWindow="105" windowWidth="14805" windowHeight="8010" firstSheet="25" activeTab="25" xr2:uid="{00000000-000D-0000-FFFF-FFFF00000000}"/>
  </bookViews>
  <sheets>
    <sheet name="Apr'25  H2" sheetId="1" state="hidden" r:id="rId1"/>
    <sheet name="May'25 H1" sheetId="3" state="hidden" r:id="rId2"/>
    <sheet name="May'25 H2" sheetId="4" state="hidden" r:id="rId3"/>
    <sheet name="Jun'25 H1" sheetId="6" state="hidden" r:id="rId4"/>
    <sheet name="Jun'25 H2" sheetId="7" state="hidden" r:id="rId5"/>
    <sheet name="Jul'25 H1 temp" sheetId="9" state="hidden" r:id="rId6"/>
    <sheet name="Jul'25 H1" sheetId="8" state="hidden" r:id="rId7"/>
    <sheet name="Jul'25 H2" sheetId="11" state="hidden" r:id="rId8"/>
    <sheet name="Aug25 H1" sheetId="14" state="hidden" r:id="rId9"/>
    <sheet name="Aug25 H1 (2)" sheetId="16" state="hidden" r:id="rId10"/>
    <sheet name="Aug25 H2" sheetId="17" state="hidden" r:id="rId11"/>
    <sheet name="Sept H1" sheetId="19" state="hidden" r:id="rId12"/>
    <sheet name="Sept H2" sheetId="21" state="hidden" r:id="rId13"/>
    <sheet name="Oct H1 " sheetId="23" state="hidden" r:id="rId14"/>
    <sheet name="Oct H2 " sheetId="27" state="hidden" r:id="rId15"/>
    <sheet name="Nov H1" sheetId="24" state="hidden" r:id="rId16"/>
    <sheet name="Nov H2" sheetId="28" state="hidden" r:id="rId17"/>
    <sheet name="Dec H1" sheetId="29" state="hidden" r:id="rId18"/>
    <sheet name="Dec H2" sheetId="30" state="hidden" r:id="rId19"/>
    <sheet name="Jan H1" sheetId="31" state="hidden" r:id="rId20"/>
    <sheet name="Jan H2" sheetId="38" state="hidden" r:id="rId21"/>
    <sheet name="Feb H1" sheetId="42" r:id="rId22"/>
    <sheet name="Feb H2" sheetId="43" r:id="rId23"/>
    <sheet name="Mar H1" sheetId="47" r:id="rId24"/>
    <sheet name="Mar H2" sheetId="48" r:id="rId25"/>
    <sheet name="Apr H1" sheetId="51" r:id="rId26"/>
    <sheet name="Sheet8" sheetId="52" r:id="rId27"/>
    <sheet name="Mar H2 (2)" sheetId="50" state="hidden" r:id="rId28"/>
    <sheet name="Since Oct" sheetId="36" r:id="rId29"/>
    <sheet name="Sheet5" sheetId="33" state="hidden" r:id="rId30"/>
    <sheet name="Customer direct pricing" sheetId="32" r:id="rId31"/>
    <sheet name="Sec Brand Dealer Landed (2)" sheetId="35" state="hidden" r:id="rId32"/>
    <sheet name="steel Mint data" sheetId="2" r:id="rId33"/>
    <sheet name="Sec Brand Dealer Landed" sheetId="34" r:id="rId34"/>
    <sheet name="Sheet6" sheetId="25" state="hidden" r:id="rId35"/>
    <sheet name="Sheet4" sheetId="20" state="hidden" r:id="rId36"/>
    <sheet name="Sheet3" sheetId="18" state="hidden" r:id="rId37"/>
    <sheet name="Sheet2" sheetId="15" state="hidden" r:id="rId38"/>
    <sheet name="Sheet1" sheetId="13" state="hidden" r:id="rId39"/>
    <sheet name="rough BE" sheetId="10" state="hidden" r:id="rId40"/>
    <sheet name="Rough- work" sheetId="37" r:id="rId41"/>
    <sheet name="Mar H1 (4)" sheetId="49" r:id="rId42"/>
    <sheet name="State wise 4 Mar Vs 2 Mar" sheetId="46" r:id="rId43"/>
    <sheet name="Sheet7" sheetId="39" r:id="rId44"/>
  </sheets>
  <externalReferences>
    <externalReference r:id="rId45"/>
  </externalReferences>
  <definedNames>
    <definedName name="_xlnm._FilterDatabase" localSheetId="30" hidden="1">'Customer direct pricing'!$A$158:$AJ$182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51" l="1"/>
  <c r="G159" i="32"/>
  <c r="J159" i="32"/>
  <c r="B160" i="32"/>
  <c r="G160" i="32"/>
  <c r="J160" i="32"/>
  <c r="B161" i="32"/>
  <c r="J161" i="32"/>
  <c r="B162" i="32"/>
  <c r="G162" i="32"/>
  <c r="J162" i="32"/>
  <c r="B163" i="32"/>
  <c r="G163" i="32"/>
  <c r="J163" i="32"/>
  <c r="B164" i="32"/>
  <c r="G164" i="32"/>
  <c r="J164" i="32"/>
  <c r="B165" i="32"/>
  <c r="B166" i="32"/>
  <c r="G166" i="32"/>
  <c r="J166" i="32"/>
  <c r="B167" i="32"/>
  <c r="G167" i="32"/>
  <c r="J167" i="32"/>
  <c r="B168" i="32"/>
  <c r="J168" i="32"/>
  <c r="B169" i="32"/>
  <c r="G169" i="32"/>
  <c r="J169" i="32"/>
  <c r="B170" i="32"/>
  <c r="J170" i="32"/>
  <c r="B171" i="32"/>
  <c r="G171" i="32"/>
  <c r="J171" i="32"/>
  <c r="B172" i="32"/>
  <c r="G172" i="32"/>
  <c r="J172" i="32"/>
  <c r="B173" i="32"/>
  <c r="G173" i="32"/>
  <c r="J173" i="32"/>
  <c r="B174" i="32"/>
  <c r="J174" i="32"/>
  <c r="B175" i="32"/>
  <c r="J175" i="32"/>
  <c r="B176" i="32"/>
  <c r="G176" i="32"/>
  <c r="J176" i="32"/>
  <c r="B177" i="32"/>
  <c r="G177" i="32"/>
  <c r="J177" i="32"/>
  <c r="B178" i="32"/>
  <c r="J178" i="32"/>
  <c r="B179" i="32"/>
  <c r="G179" i="32"/>
  <c r="J179" i="32"/>
  <c r="B180" i="32"/>
  <c r="G180" i="32"/>
  <c r="J180" i="32"/>
  <c r="B181" i="32"/>
  <c r="G181" i="32"/>
  <c r="J181" i="32"/>
  <c r="B182" i="32"/>
  <c r="G182" i="32"/>
  <c r="J182" i="32"/>
  <c r="O27" i="51"/>
  <c r="N37" i="51"/>
  <c r="J21" i="36"/>
  <c r="J152" i="32"/>
  <c r="J149" i="32"/>
  <c r="J148" i="32"/>
  <c r="J144" i="32"/>
  <c r="G136" i="32"/>
  <c r="J136" i="32" s="1"/>
  <c r="B134" i="32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G133" i="32"/>
  <c r="F21" i="36"/>
  <c r="G21" i="36"/>
  <c r="H21" i="36"/>
  <c r="I21" i="36"/>
  <c r="K21" i="36"/>
  <c r="E21" i="36"/>
  <c r="K20" i="36"/>
  <c r="J20" i="36"/>
  <c r="H20" i="36"/>
  <c r="G20" i="36"/>
  <c r="F20" i="36"/>
  <c r="E20" i="36"/>
  <c r="E19" i="36"/>
  <c r="E16" i="36"/>
  <c r="O34" i="50"/>
  <c r="W27" i="51"/>
  <c r="Z20" i="51"/>
  <c r="H54" i="51"/>
  <c r="F36" i="51"/>
  <c r="C26" i="51"/>
  <c r="D26" i="51"/>
  <c r="E26" i="51"/>
  <c r="G26" i="51"/>
  <c r="H26" i="51"/>
  <c r="I26" i="51"/>
  <c r="J26" i="51"/>
  <c r="K26" i="51"/>
  <c r="J29" i="51"/>
  <c r="G31" i="51"/>
  <c r="B33" i="51"/>
  <c r="C33" i="51"/>
  <c r="D33" i="51"/>
  <c r="E33" i="51"/>
  <c r="F33" i="51"/>
  <c r="G33" i="51"/>
  <c r="H33" i="51"/>
  <c r="I33" i="51"/>
  <c r="S40" i="50"/>
  <c r="S41" i="50" s="1"/>
  <c r="R40" i="50"/>
  <c r="R41" i="50" s="1"/>
  <c r="G38" i="50"/>
  <c r="J35" i="50"/>
  <c r="B35" i="50"/>
  <c r="G35" i="50" s="1"/>
  <c r="I32" i="50"/>
  <c r="H32" i="50"/>
  <c r="G32" i="50"/>
  <c r="F32" i="50"/>
  <c r="E32" i="50"/>
  <c r="D32" i="50"/>
  <c r="C32" i="50"/>
  <c r="B32" i="50"/>
  <c r="G30" i="50"/>
  <c r="J28" i="50"/>
  <c r="K25" i="50"/>
  <c r="J25" i="50"/>
  <c r="I25" i="50"/>
  <c r="H25" i="50"/>
  <c r="G25" i="50"/>
  <c r="E25" i="50"/>
  <c r="D25" i="50"/>
  <c r="C25" i="50"/>
  <c r="S24" i="50"/>
  <c r="V12" i="50"/>
  <c r="K25" i="49"/>
  <c r="M26" i="49"/>
  <c r="L26" i="49"/>
  <c r="L22" i="49"/>
  <c r="K22" i="49"/>
  <c r="S40" i="49"/>
  <c r="S41" i="49" s="1"/>
  <c r="R40" i="49"/>
  <c r="R41" i="49" s="1"/>
  <c r="G38" i="49"/>
  <c r="J35" i="49"/>
  <c r="B35" i="49"/>
  <c r="G35" i="49" s="1"/>
  <c r="I32" i="49"/>
  <c r="H32" i="49"/>
  <c r="G32" i="49"/>
  <c r="F32" i="49"/>
  <c r="E32" i="49"/>
  <c r="D32" i="49"/>
  <c r="C32" i="49"/>
  <c r="B32" i="49"/>
  <c r="G30" i="49"/>
  <c r="J28" i="49"/>
  <c r="J25" i="49"/>
  <c r="I25" i="49"/>
  <c r="H25" i="49"/>
  <c r="G25" i="49"/>
  <c r="E25" i="49"/>
  <c r="D25" i="49"/>
  <c r="C25" i="49"/>
  <c r="S24" i="49"/>
  <c r="R20" i="49"/>
  <c r="V12" i="49"/>
  <c r="B108" i="32"/>
  <c r="B109" i="32"/>
  <c r="G109" i="32"/>
  <c r="J109" i="32"/>
  <c r="B110" i="32"/>
  <c r="B111" i="32"/>
  <c r="G111" i="32"/>
  <c r="J111" i="32"/>
  <c r="B112" i="32"/>
  <c r="G112" i="32"/>
  <c r="J112" i="32"/>
  <c r="B113" i="32"/>
  <c r="B114" i="32"/>
  <c r="G114" i="32"/>
  <c r="J114" i="32"/>
  <c r="B115" i="32"/>
  <c r="G115" i="32"/>
  <c r="J115" i="32"/>
  <c r="B116" i="32"/>
  <c r="G116" i="32"/>
  <c r="J116" i="32"/>
  <c r="B117" i="32"/>
  <c r="G117" i="32"/>
  <c r="J117" i="32"/>
  <c r="B118" i="32"/>
  <c r="J118" i="32"/>
  <c r="B119" i="32"/>
  <c r="B120" i="32"/>
  <c r="B121" i="32"/>
  <c r="G121" i="32"/>
  <c r="J121" i="32"/>
  <c r="B122" i="32"/>
  <c r="J122" i="32"/>
  <c r="B123" i="32"/>
  <c r="J123" i="32"/>
  <c r="B124" i="32"/>
  <c r="G124" i="32"/>
  <c r="J124" i="32"/>
  <c r="B125" i="32"/>
  <c r="G125" i="32"/>
  <c r="J125" i="32"/>
  <c r="B126" i="32"/>
  <c r="J126" i="32"/>
  <c r="B127" i="32"/>
  <c r="G127" i="32"/>
  <c r="J127" i="32"/>
  <c r="B128" i="32"/>
  <c r="G128" i="32"/>
  <c r="J128" i="32"/>
  <c r="B129" i="32"/>
  <c r="G129" i="32"/>
  <c r="J129" i="32"/>
  <c r="B130" i="32"/>
  <c r="G130" i="32"/>
  <c r="J130" i="32"/>
  <c r="E18" i="36"/>
  <c r="K18" i="36"/>
  <c r="J18" i="36"/>
  <c r="S41" i="48"/>
  <c r="S42" i="48" s="1"/>
  <c r="R41" i="48"/>
  <c r="R42" i="48" s="1"/>
  <c r="G39" i="48"/>
  <c r="J36" i="48"/>
  <c r="B36" i="48"/>
  <c r="G36" i="48" s="1"/>
  <c r="I33" i="48"/>
  <c r="H33" i="48"/>
  <c r="G33" i="48"/>
  <c r="F33" i="48"/>
  <c r="E33" i="48"/>
  <c r="D33" i="48"/>
  <c r="C33" i="48"/>
  <c r="B33" i="48"/>
  <c r="G31" i="48"/>
  <c r="J29" i="48"/>
  <c r="K26" i="48"/>
  <c r="J26" i="48"/>
  <c r="I26" i="48"/>
  <c r="H26" i="48"/>
  <c r="G26" i="48"/>
  <c r="E26" i="48"/>
  <c r="D26" i="48"/>
  <c r="C26" i="48"/>
  <c r="S25" i="48"/>
  <c r="V12" i="48"/>
  <c r="V12" i="47"/>
  <c r="S24" i="47"/>
  <c r="C25" i="47"/>
  <c r="D25" i="47"/>
  <c r="E25" i="47"/>
  <c r="G25" i="47"/>
  <c r="H25" i="47"/>
  <c r="I25" i="47"/>
  <c r="J25" i="47"/>
  <c r="K25" i="47"/>
  <c r="J28" i="47"/>
  <c r="G30" i="47"/>
  <c r="B32" i="47"/>
  <c r="C32" i="47"/>
  <c r="D32" i="47"/>
  <c r="E32" i="47"/>
  <c r="F32" i="47"/>
  <c r="G32" i="47"/>
  <c r="H32" i="47"/>
  <c r="I32" i="47"/>
  <c r="B35" i="47"/>
  <c r="G35" i="47"/>
  <c r="J35" i="47"/>
  <c r="G38" i="47"/>
  <c r="R40" i="47"/>
  <c r="S40" i="47"/>
  <c r="R41" i="47"/>
  <c r="S41" i="47"/>
  <c r="S42" i="47"/>
  <c r="AD1799" i="2"/>
  <c r="AB1799" i="2"/>
  <c r="I19" i="36"/>
  <c r="G19" i="36"/>
  <c r="K19" i="36"/>
  <c r="J19" i="36"/>
  <c r="H19" i="36"/>
  <c r="F19" i="36"/>
  <c r="G5" i="34"/>
  <c r="G6" i="34"/>
  <c r="G27" i="34"/>
  <c r="G28" i="34"/>
  <c r="G29" i="34"/>
  <c r="G30" i="34"/>
  <c r="G31" i="34"/>
  <c r="G32" i="34"/>
  <c r="G33" i="34"/>
  <c r="G90" i="32"/>
  <c r="G83" i="32"/>
  <c r="B82" i="32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G84" i="32"/>
  <c r="J84" i="32" s="1"/>
  <c r="G81" i="32"/>
  <c r="O8" i="46"/>
  <c r="N8" i="46"/>
  <c r="Q7" i="46"/>
  <c r="N7" i="46"/>
  <c r="O7" i="46"/>
  <c r="I7" i="46"/>
  <c r="H7" i="46"/>
  <c r="G14" i="36"/>
  <c r="G10" i="36"/>
  <c r="G13" i="36"/>
  <c r="G16" i="36"/>
  <c r="G8" i="36"/>
  <c r="F16" i="36"/>
  <c r="H16" i="36"/>
  <c r="I16" i="36"/>
  <c r="K16" i="36"/>
  <c r="S41" i="43"/>
  <c r="S40" i="43"/>
  <c r="R40" i="43"/>
  <c r="K39" i="43"/>
  <c r="I39" i="43"/>
  <c r="C38" i="43"/>
  <c r="D38" i="43"/>
  <c r="F38" i="43"/>
  <c r="G38" i="43"/>
  <c r="J38" i="43"/>
  <c r="B38" i="43"/>
  <c r="BD11" i="37"/>
  <c r="BE11" i="37"/>
  <c r="BF11" i="37"/>
  <c r="BG11" i="37"/>
  <c r="AY11" i="37"/>
  <c r="AZ11" i="37"/>
  <c r="BA11" i="37"/>
  <c r="AX11" i="37"/>
  <c r="B35" i="43"/>
  <c r="V12" i="43"/>
  <c r="J35" i="43"/>
  <c r="G35" i="43"/>
  <c r="I32" i="43"/>
  <c r="H32" i="43"/>
  <c r="G32" i="43"/>
  <c r="F32" i="43"/>
  <c r="E32" i="43"/>
  <c r="D32" i="43"/>
  <c r="C32" i="43"/>
  <c r="B32" i="43"/>
  <c r="G30" i="43"/>
  <c r="J28" i="43"/>
  <c r="K25" i="43"/>
  <c r="J25" i="43"/>
  <c r="I25" i="43"/>
  <c r="H25" i="43"/>
  <c r="G25" i="43"/>
  <c r="E25" i="43"/>
  <c r="D25" i="43"/>
  <c r="C25" i="43"/>
  <c r="S24" i="43"/>
  <c r="S24" i="42"/>
  <c r="G35" i="42"/>
  <c r="B35" i="42"/>
  <c r="AE18" i="37"/>
  <c r="AE21" i="37" s="1"/>
  <c r="AC18" i="37"/>
  <c r="AC21" i="37" s="1"/>
  <c r="J35" i="42"/>
  <c r="K25" i="42"/>
  <c r="J25" i="42"/>
  <c r="I25" i="42"/>
  <c r="H25" i="42"/>
  <c r="G25" i="42"/>
  <c r="E25" i="42"/>
  <c r="D25" i="42"/>
  <c r="C25" i="42"/>
  <c r="O27" i="38"/>
  <c r="P26" i="38"/>
  <c r="I32" i="42"/>
  <c r="H32" i="42"/>
  <c r="G32" i="42"/>
  <c r="F32" i="42"/>
  <c r="E32" i="42"/>
  <c r="D32" i="42"/>
  <c r="C32" i="42"/>
  <c r="B32" i="42"/>
  <c r="G30" i="42"/>
  <c r="J28" i="42"/>
  <c r="S23" i="38"/>
  <c r="T21" i="38"/>
  <c r="G39" i="38"/>
  <c r="Q31" i="37"/>
  <c r="Q30" i="37"/>
  <c r="U36" i="38"/>
  <c r="R59" i="37"/>
  <c r="M59" i="37"/>
  <c r="V29" i="37"/>
  <c r="Q61" i="37"/>
  <c r="R61" i="37" s="1"/>
  <c r="Q59" i="37"/>
  <c r="Q54" i="37"/>
  <c r="W29" i="37"/>
  <c r="W28" i="37"/>
  <c r="S17" i="38"/>
  <c r="J12" i="36"/>
  <c r="J16" i="36" s="1"/>
  <c r="E12" i="36"/>
  <c r="E34" i="38"/>
  <c r="B49" i="38"/>
  <c r="C49" i="38" s="1"/>
  <c r="C46" i="38"/>
  <c r="C45" i="38"/>
  <c r="C44" i="38"/>
  <c r="C43" i="38"/>
  <c r="J36" i="38"/>
  <c r="F36" i="38"/>
  <c r="E36" i="38"/>
  <c r="D36" i="38"/>
  <c r="C36" i="38"/>
  <c r="I29" i="38"/>
  <c r="H29" i="38"/>
  <c r="G29" i="38"/>
  <c r="F29" i="38"/>
  <c r="E29" i="38"/>
  <c r="D29" i="38"/>
  <c r="C29" i="38"/>
  <c r="B29" i="38"/>
  <c r="G27" i="38"/>
  <c r="B27" i="38"/>
  <c r="J25" i="38"/>
  <c r="S13" i="38"/>
  <c r="R12" i="31"/>
  <c r="O23" i="31"/>
  <c r="N24" i="31"/>
  <c r="P23" i="31"/>
  <c r="O24" i="31"/>
  <c r="O34" i="31"/>
  <c r="G57" i="32"/>
  <c r="B57" i="32"/>
  <c r="B58" i="32"/>
  <c r="B59" i="32"/>
  <c r="B60" i="32"/>
  <c r="B61" i="32"/>
  <c r="B62" i="32"/>
  <c r="B63" i="32"/>
  <c r="B64" i="32"/>
  <c r="B65" i="32"/>
  <c r="B66" i="32"/>
  <c r="B67" i="32"/>
  <c r="B68" i="32"/>
  <c r="B69" i="32"/>
  <c r="B70" i="32"/>
  <c r="B71" i="32"/>
  <c r="B72" i="32"/>
  <c r="B73" i="32"/>
  <c r="B74" i="32"/>
  <c r="B75" i="32"/>
  <c r="B76" i="32"/>
  <c r="B77" i="32"/>
  <c r="B78" i="32"/>
  <c r="B56" i="32"/>
  <c r="G64" i="32"/>
  <c r="J57" i="32"/>
  <c r="G59" i="32"/>
  <c r="J59" i="32"/>
  <c r="G60" i="32"/>
  <c r="J60" i="32"/>
  <c r="J61" i="32"/>
  <c r="G62" i="32"/>
  <c r="J62" i="32"/>
  <c r="G63" i="32"/>
  <c r="J63" i="32"/>
  <c r="J64" i="32"/>
  <c r="G65" i="32"/>
  <c r="J65" i="32"/>
  <c r="J66" i="32"/>
  <c r="G69" i="32"/>
  <c r="J69" i="32"/>
  <c r="J70" i="32"/>
  <c r="J71" i="32"/>
  <c r="G72" i="32"/>
  <c r="J72" i="32"/>
  <c r="G73" i="32"/>
  <c r="J73" i="32"/>
  <c r="J74" i="32"/>
  <c r="G75" i="32"/>
  <c r="J75" i="32"/>
  <c r="G76" i="32"/>
  <c r="J76" i="32"/>
  <c r="G77" i="32"/>
  <c r="J77" i="32"/>
  <c r="G78" i="32"/>
  <c r="J78" i="32"/>
  <c r="H40" i="31"/>
  <c r="N23" i="31"/>
  <c r="N22" i="31"/>
  <c r="O26" i="31"/>
  <c r="N54" i="37"/>
  <c r="N59" i="37"/>
  <c r="O62" i="37"/>
  <c r="P62" i="37" s="1"/>
  <c r="Q62" i="37" s="1"/>
  <c r="R62" i="37" s="1"/>
  <c r="O59" i="37"/>
  <c r="P59" i="37"/>
  <c r="R57" i="37"/>
  <c r="L56" i="37"/>
  <c r="R55" i="37"/>
  <c r="P55" i="37"/>
  <c r="S55" i="37" s="1"/>
  <c r="R45" i="37"/>
  <c r="Q51" i="37"/>
  <c r="Q50" i="37"/>
  <c r="Q46" i="37"/>
  <c r="Q45" i="37"/>
  <c r="Q44" i="37"/>
  <c r="Q49" i="37"/>
  <c r="O39" i="37"/>
  <c r="K39" i="37"/>
  <c r="L39" i="37"/>
  <c r="O38" i="37"/>
  <c r="V28" i="37"/>
  <c r="J13" i="36"/>
  <c r="P38" i="37"/>
  <c r="K38" i="37"/>
  <c r="S13" i="31"/>
  <c r="C36" i="31"/>
  <c r="D36" i="31"/>
  <c r="E36" i="31"/>
  <c r="F36" i="31"/>
  <c r="G36" i="31"/>
  <c r="J36" i="31"/>
  <c r="B36" i="31"/>
  <c r="S10" i="37"/>
  <c r="N21" i="37"/>
  <c r="N4" i="37"/>
  <c r="R6" i="37"/>
  <c r="R7" i="37"/>
  <c r="R8" i="37"/>
  <c r="R9" i="37"/>
  <c r="Q5" i="37"/>
  <c r="Q6" i="37"/>
  <c r="Q7" i="37"/>
  <c r="Q8" i="37"/>
  <c r="Q9" i="37"/>
  <c r="Q10" i="37"/>
  <c r="Q4" i="37"/>
  <c r="P15" i="37"/>
  <c r="P16" i="37"/>
  <c r="M17" i="37"/>
  <c r="N17" i="37"/>
  <c r="N18" i="37"/>
  <c r="N19" i="37"/>
  <c r="N20" i="37"/>
  <c r="P21" i="37"/>
  <c r="M22" i="37"/>
  <c r="P4" i="37"/>
  <c r="P5" i="37"/>
  <c r="R5" i="37" s="1"/>
  <c r="P10" i="37"/>
  <c r="R10" i="37" s="1"/>
  <c r="M4" i="37"/>
  <c r="M5" i="37"/>
  <c r="M11" i="37"/>
  <c r="G5" i="37"/>
  <c r="G4" i="37"/>
  <c r="G11" i="37" s="1"/>
  <c r="J4" i="37"/>
  <c r="J5" i="37"/>
  <c r="J10" i="37"/>
  <c r="Y10" i="37"/>
  <c r="Y8" i="37"/>
  <c r="AA4" i="37"/>
  <c r="AA3" i="37"/>
  <c r="V6" i="37"/>
  <c r="I13" i="36"/>
  <c r="H13" i="36"/>
  <c r="F13" i="36"/>
  <c r="E13" i="36"/>
  <c r="E8" i="36"/>
  <c r="K13" i="36"/>
  <c r="F10" i="36"/>
  <c r="H10" i="36"/>
  <c r="I10" i="36"/>
  <c r="J10" i="36"/>
  <c r="K10" i="36"/>
  <c r="E10" i="36"/>
  <c r="F8" i="36"/>
  <c r="H8" i="36"/>
  <c r="I8" i="36"/>
  <c r="J8" i="36"/>
  <c r="K8" i="36"/>
  <c r="E6" i="34"/>
  <c r="E5" i="34"/>
  <c r="E6" i="35"/>
  <c r="E5" i="35"/>
  <c r="E25" i="35"/>
  <c r="E26" i="35" s="1"/>
  <c r="G24" i="35"/>
  <c r="E24" i="35"/>
  <c r="E23" i="35"/>
  <c r="E22" i="35"/>
  <c r="G20" i="35"/>
  <c r="G18" i="35"/>
  <c r="G17" i="35"/>
  <c r="G16" i="35"/>
  <c r="G15" i="35"/>
  <c r="G7" i="35"/>
  <c r="D6" i="35"/>
  <c r="G4" i="35"/>
  <c r="G3" i="35"/>
  <c r="D6" i="34"/>
  <c r="I3" i="34"/>
  <c r="I24" i="34"/>
  <c r="I20" i="34"/>
  <c r="I18" i="34"/>
  <c r="I17" i="34"/>
  <c r="I16" i="34"/>
  <c r="I15" i="34"/>
  <c r="I7" i="34"/>
  <c r="I4" i="34"/>
  <c r="P4" i="32"/>
  <c r="P5" i="32"/>
  <c r="P6" i="32"/>
  <c r="P7" i="32"/>
  <c r="P8" i="32"/>
  <c r="P9" i="32"/>
  <c r="P10" i="32"/>
  <c r="P11" i="32"/>
  <c r="P12" i="32"/>
  <c r="P13" i="32"/>
  <c r="P14" i="32"/>
  <c r="P15" i="32"/>
  <c r="P16" i="32"/>
  <c r="P17" i="32"/>
  <c r="P18" i="32"/>
  <c r="P19" i="32"/>
  <c r="P20" i="32"/>
  <c r="P21" i="32"/>
  <c r="P22" i="32"/>
  <c r="P23" i="32"/>
  <c r="P24" i="32"/>
  <c r="P25" i="32"/>
  <c r="P26" i="32"/>
  <c r="P27" i="32"/>
  <c r="P28" i="32"/>
  <c r="P29" i="32"/>
  <c r="P30" i="32"/>
  <c r="P31" i="32"/>
  <c r="P32" i="32"/>
  <c r="P33" i="32"/>
  <c r="P34" i="32"/>
  <c r="P3" i="32"/>
  <c r="J35" i="32"/>
  <c r="G38" i="32"/>
  <c r="G31" i="32"/>
  <c r="G5" i="32"/>
  <c r="J48" i="32"/>
  <c r="J45" i="32"/>
  <c r="J44" i="32"/>
  <c r="J40" i="32"/>
  <c r="G32" i="32"/>
  <c r="J32" i="32" s="1"/>
  <c r="G29" i="32"/>
  <c r="L28" i="31"/>
  <c r="E34" i="31"/>
  <c r="R10" i="33"/>
  <c r="T7" i="33"/>
  <c r="R7" i="33"/>
  <c r="M14" i="33"/>
  <c r="K12" i="33"/>
  <c r="I15" i="33"/>
  <c r="AH15" i="32"/>
  <c r="AH16" i="32"/>
  <c r="AH17" i="32"/>
  <c r="AH18" i="32"/>
  <c r="AH19" i="32"/>
  <c r="AH20" i="32"/>
  <c r="AH21" i="32"/>
  <c r="AH22" i="32"/>
  <c r="AH23" i="32"/>
  <c r="AH24" i="32"/>
  <c r="AH25" i="32"/>
  <c r="AH26" i="32"/>
  <c r="AH27" i="32"/>
  <c r="AH14" i="32"/>
  <c r="AH13" i="32"/>
  <c r="AH12" i="32"/>
  <c r="AH11" i="32"/>
  <c r="AH10" i="32"/>
  <c r="AH9" i="32"/>
  <c r="AH5" i="32"/>
  <c r="AH4" i="32"/>
  <c r="AG17" i="32"/>
  <c r="AG18" i="32"/>
  <c r="AG19" i="32"/>
  <c r="AG20" i="32"/>
  <c r="AG21" i="32"/>
  <c r="AG22" i="32"/>
  <c r="AG23" i="32"/>
  <c r="AG24" i="32"/>
  <c r="AG25" i="32"/>
  <c r="AG26" i="32"/>
  <c r="AG27" i="32"/>
  <c r="AG16" i="32"/>
  <c r="AG15" i="32"/>
  <c r="AG14" i="32"/>
  <c r="AG13" i="32"/>
  <c r="AG12" i="32"/>
  <c r="AG11" i="32"/>
  <c r="AG10" i="32"/>
  <c r="AG9" i="32"/>
  <c r="AG8" i="32"/>
  <c r="AG7" i="32"/>
  <c r="AG5" i="32"/>
  <c r="AG4" i="32"/>
  <c r="J14" i="32"/>
  <c r="J19" i="32"/>
  <c r="J18" i="32"/>
  <c r="J22" i="32"/>
  <c r="G12" i="32"/>
  <c r="AD8" i="32"/>
  <c r="AD9" i="32"/>
  <c r="AD10" i="32"/>
  <c r="AD11" i="32"/>
  <c r="AD12" i="32"/>
  <c r="AD27" i="32"/>
  <c r="AD28" i="32"/>
  <c r="AD29" i="32"/>
  <c r="AD30" i="32"/>
  <c r="AD31" i="32"/>
  <c r="AD32" i="32"/>
  <c r="AD33" i="32"/>
  <c r="AD34" i="32"/>
  <c r="G17" i="32"/>
  <c r="G20" i="32" s="1"/>
  <c r="J20" i="32" s="1"/>
  <c r="AD16" i="32" s="1"/>
  <c r="G13" i="32"/>
  <c r="G11" i="32"/>
  <c r="G10" i="32"/>
  <c r="G8" i="32"/>
  <c r="G3" i="32"/>
  <c r="B4" i="32"/>
  <c r="J12" i="32"/>
  <c r="AD4" i="32" s="1"/>
  <c r="R30" i="31"/>
  <c r="R33" i="31" s="1"/>
  <c r="S30" i="31"/>
  <c r="S33" i="31" s="1"/>
  <c r="Q30" i="31"/>
  <c r="Q33" i="31" s="1"/>
  <c r="B48" i="31"/>
  <c r="C48" i="31" s="1"/>
  <c r="C45" i="31"/>
  <c r="C44" i="31"/>
  <c r="C43" i="31"/>
  <c r="C42" i="31"/>
  <c r="I29" i="31"/>
  <c r="H29" i="31"/>
  <c r="G29" i="31"/>
  <c r="F29" i="31"/>
  <c r="E29" i="31"/>
  <c r="D29" i="31"/>
  <c r="C29" i="31"/>
  <c r="B29" i="31"/>
  <c r="G27" i="31"/>
  <c r="B27" i="31"/>
  <c r="J25" i="31"/>
  <c r="L31" i="30"/>
  <c r="Q23" i="29"/>
  <c r="B48" i="30"/>
  <c r="C48" i="30" s="1"/>
  <c r="C45" i="30"/>
  <c r="C44" i="30"/>
  <c r="C43" i="30"/>
  <c r="C42" i="30"/>
  <c r="I29" i="30"/>
  <c r="H29" i="30"/>
  <c r="G29" i="30"/>
  <c r="F29" i="30"/>
  <c r="E29" i="30"/>
  <c r="D29" i="30"/>
  <c r="C29" i="30"/>
  <c r="B29" i="30"/>
  <c r="G27" i="30"/>
  <c r="B27" i="30"/>
  <c r="J25" i="30"/>
  <c r="B36" i="29"/>
  <c r="B35" i="29"/>
  <c r="B48" i="29"/>
  <c r="C48" i="29" s="1"/>
  <c r="C45" i="29"/>
  <c r="C44" i="29"/>
  <c r="C43" i="29"/>
  <c r="U42" i="29"/>
  <c r="T42" i="29"/>
  <c r="S42" i="29"/>
  <c r="C42" i="29"/>
  <c r="U38" i="29"/>
  <c r="I29" i="29"/>
  <c r="H29" i="29"/>
  <c r="G29" i="29"/>
  <c r="F29" i="29"/>
  <c r="E29" i="29"/>
  <c r="D29" i="29"/>
  <c r="C29" i="29"/>
  <c r="B29" i="29"/>
  <c r="G27" i="29"/>
  <c r="B27" i="29"/>
  <c r="J25" i="29"/>
  <c r="J25" i="28"/>
  <c r="A1" i="2" a="1"/>
  <c r="A1" i="2"/>
  <c r="L26" i="24"/>
  <c r="L32" i="24"/>
  <c r="B48" i="28"/>
  <c r="C48" i="28" s="1"/>
  <c r="C45" i="28"/>
  <c r="C44" i="28"/>
  <c r="C43" i="28"/>
  <c r="U42" i="28"/>
  <c r="T42" i="28"/>
  <c r="S42" i="28"/>
  <c r="C42" i="28"/>
  <c r="U38" i="28"/>
  <c r="J33" i="28"/>
  <c r="I29" i="28"/>
  <c r="H29" i="28"/>
  <c r="G29" i="28"/>
  <c r="F29" i="28"/>
  <c r="E29" i="28"/>
  <c r="D29" i="28"/>
  <c r="C29" i="28"/>
  <c r="B29" i="28"/>
  <c r="G27" i="28"/>
  <c r="B27" i="28"/>
  <c r="N33" i="24"/>
  <c r="L28" i="24"/>
  <c r="S15" i="27"/>
  <c r="S14" i="27"/>
  <c r="L23" i="23"/>
  <c r="L22" i="23"/>
  <c r="R27" i="27"/>
  <c r="J33" i="24"/>
  <c r="C33" i="24"/>
  <c r="N23" i="24"/>
  <c r="S29" i="27"/>
  <c r="S28" i="27"/>
  <c r="C37" i="27"/>
  <c r="C38" i="27"/>
  <c r="U38" i="27"/>
  <c r="C39" i="27"/>
  <c r="C40" i="27"/>
  <c r="S42" i="27"/>
  <c r="T42" i="27"/>
  <c r="U42" i="27"/>
  <c r="B43" i="27"/>
  <c r="C43" i="27"/>
  <c r="M20" i="27"/>
  <c r="K24" i="27"/>
  <c r="B27" i="27"/>
  <c r="G27" i="27"/>
  <c r="B29" i="27"/>
  <c r="C29" i="27"/>
  <c r="D29" i="27"/>
  <c r="E29" i="27"/>
  <c r="F29" i="27"/>
  <c r="G29" i="27"/>
  <c r="H29" i="27"/>
  <c r="I29" i="27"/>
  <c r="M20" i="24"/>
  <c r="N26" i="23"/>
  <c r="L14" i="25"/>
  <c r="L13" i="25"/>
  <c r="L12" i="25"/>
  <c r="F10" i="25"/>
  <c r="F13" i="25" s="1"/>
  <c r="F14" i="25" s="1"/>
  <c r="H13" i="25"/>
  <c r="H14" i="25" s="1"/>
  <c r="G13" i="25"/>
  <c r="G14" i="25" s="1"/>
  <c r="I10" i="25"/>
  <c r="I13" i="25" s="1"/>
  <c r="I14" i="25" s="1"/>
  <c r="B48" i="24"/>
  <c r="C48" i="24" s="1"/>
  <c r="U42" i="24"/>
  <c r="T42" i="24"/>
  <c r="S42" i="24"/>
  <c r="C45" i="24"/>
  <c r="C44" i="24"/>
  <c r="U38" i="24"/>
  <c r="C43" i="24"/>
  <c r="C42" i="24"/>
  <c r="I29" i="24"/>
  <c r="H29" i="24"/>
  <c r="G29" i="24"/>
  <c r="F29" i="24"/>
  <c r="E29" i="24"/>
  <c r="D29" i="24"/>
  <c r="C29" i="24"/>
  <c r="B29" i="24"/>
  <c r="G27" i="24"/>
  <c r="B27" i="24"/>
  <c r="S14" i="23"/>
  <c r="S16" i="23" s="1"/>
  <c r="S17" i="23" s="1"/>
  <c r="K25" i="21"/>
  <c r="M31" i="21"/>
  <c r="B43" i="23"/>
  <c r="C43" i="23" s="1"/>
  <c r="U42" i="23"/>
  <c r="T42" i="23"/>
  <c r="S42" i="23"/>
  <c r="C40" i="23"/>
  <c r="C39" i="23"/>
  <c r="U38" i="23"/>
  <c r="C38" i="23"/>
  <c r="C37" i="23"/>
  <c r="I29" i="23"/>
  <c r="H29" i="23"/>
  <c r="G29" i="23"/>
  <c r="F29" i="23"/>
  <c r="E29" i="23"/>
  <c r="D29" i="23"/>
  <c r="C29" i="23"/>
  <c r="B29" i="23"/>
  <c r="G27" i="23"/>
  <c r="B27" i="23"/>
  <c r="V8" i="23"/>
  <c r="V7" i="23"/>
  <c r="V6" i="23"/>
  <c r="P24" i="21"/>
  <c r="P24" i="19"/>
  <c r="N24" i="21"/>
  <c r="V8" i="21"/>
  <c r="V7" i="21"/>
  <c r="V6" i="21"/>
  <c r="AZ42" i="20"/>
  <c r="AY42" i="20"/>
  <c r="CM43" i="20"/>
  <c r="CN35" i="20"/>
  <c r="CM35" i="20"/>
  <c r="CL35" i="20"/>
  <c r="CK35" i="20"/>
  <c r="CN38" i="20"/>
  <c r="CM38" i="20"/>
  <c r="CL38" i="20"/>
  <c r="CK38" i="20"/>
  <c r="CN37" i="20"/>
  <c r="CM37" i="20"/>
  <c r="CL37" i="20"/>
  <c r="CK37" i="20"/>
  <c r="CN36" i="20"/>
  <c r="CM36" i="20"/>
  <c r="CL36" i="20"/>
  <c r="CK36" i="20"/>
  <c r="CN39" i="20"/>
  <c r="CM39" i="20"/>
  <c r="CL39" i="20"/>
  <c r="CK39" i="20"/>
  <c r="CN34" i="20"/>
  <c r="CM34" i="20"/>
  <c r="CL34" i="20"/>
  <c r="CK34" i="20"/>
  <c r="CN33" i="20"/>
  <c r="CM33" i="20"/>
  <c r="CL33" i="20"/>
  <c r="CK33" i="20"/>
  <c r="CJ35" i="20"/>
  <c r="CJ39" i="20"/>
  <c r="CJ34" i="20"/>
  <c r="CJ33" i="20" s="1"/>
  <c r="CJ38" i="20"/>
  <c r="CJ37" i="20"/>
  <c r="CJ36" i="20"/>
  <c r="CI33" i="20" a="1"/>
  <c r="CI33" i="20"/>
  <c r="CI40" i="20" s="1"/>
  <c r="CH33" i="20" a="1"/>
  <c r="CH33" i="20"/>
  <c r="CH40" i="20" s="1"/>
  <c r="CG33" i="20" a="1"/>
  <c r="CG33" i="20"/>
  <c r="CG40" i="20" s="1"/>
  <c r="CF33" i="20" a="1"/>
  <c r="CF33" i="20"/>
  <c r="CF40" i="20" s="1"/>
  <c r="CE33" i="20" a="1"/>
  <c r="CE33" i="20"/>
  <c r="CE40" i="20" s="1"/>
  <c r="BE48" i="20"/>
  <c r="BI48" i="20" s="1"/>
  <c r="BI34" i="20"/>
  <c r="BI35" i="20"/>
  <c r="BH39" i="20"/>
  <c r="BJ38" i="20" s="1"/>
  <c r="BH38" i="20"/>
  <c r="BJ37" i="20" s="1"/>
  <c r="BH37" i="20"/>
  <c r="BJ36" i="20" s="1"/>
  <c r="BH36" i="20"/>
  <c r="BJ35" i="20" s="1"/>
  <c r="BH35" i="20"/>
  <c r="BJ34" i="20" s="1"/>
  <c r="BH34" i="20"/>
  <c r="BJ33" i="20" s="1"/>
  <c r="BH14" i="20"/>
  <c r="BH13" i="20"/>
  <c r="BG18" i="20"/>
  <c r="BI18" i="20" s="1"/>
  <c r="BG17" i="20"/>
  <c r="BI17" i="20" s="1"/>
  <c r="BG16" i="20"/>
  <c r="BI16" i="20" s="1"/>
  <c r="BG15" i="20"/>
  <c r="BI15" i="20" s="1"/>
  <c r="BG14" i="20"/>
  <c r="BG13" i="20"/>
  <c r="AZ19" i="20"/>
  <c r="BA19" i="20"/>
  <c r="BB19" i="20"/>
  <c r="BC19" i="20"/>
  <c r="BD19" i="20"/>
  <c r="AY19" i="20"/>
  <c r="BD30" i="20"/>
  <c r="BA30" i="20"/>
  <c r="AZ30" i="20"/>
  <c r="AY30" i="20"/>
  <c r="BB25" i="20"/>
  <c r="BB26" i="20"/>
  <c r="BB27" i="20"/>
  <c r="BB28" i="20"/>
  <c r="BB29" i="20"/>
  <c r="BB24" i="20"/>
  <c r="BB30" i="20" s="1"/>
  <c r="BE40" i="20"/>
  <c r="BB40" i="20"/>
  <c r="BA40" i="20"/>
  <c r="AZ40" i="20"/>
  <c r="AY40" i="20"/>
  <c r="BC35" i="20"/>
  <c r="BC36" i="20"/>
  <c r="BC37" i="20"/>
  <c r="BC38" i="20"/>
  <c r="BC39" i="20"/>
  <c r="BC34" i="20"/>
  <c r="BC40" i="20" s="1"/>
  <c r="BD35" i="20"/>
  <c r="BD36" i="20"/>
  <c r="BD37" i="20"/>
  <c r="BD38" i="20"/>
  <c r="BD39" i="20"/>
  <c r="BD34" i="20"/>
  <c r="BD40" i="20" s="1"/>
  <c r="BC25" i="20"/>
  <c r="BC26" i="20"/>
  <c r="BC27" i="20"/>
  <c r="BC28" i="20"/>
  <c r="BC29" i="20"/>
  <c r="BC24" i="20"/>
  <c r="BM15" i="20"/>
  <c r="BM16" i="20"/>
  <c r="BM17" i="20"/>
  <c r="BM18" i="20"/>
  <c r="BM19" i="20"/>
  <c r="BM14" i="20"/>
  <c r="L39" i="21"/>
  <c r="AA85" i="20"/>
  <c r="X80" i="20"/>
  <c r="Z80" i="20" s="1"/>
  <c r="AB80" i="20" s="1"/>
  <c r="X81" i="20"/>
  <c r="Z81" i="20" s="1"/>
  <c r="AB81" i="20" s="1"/>
  <c r="X82" i="20"/>
  <c r="Z82" i="20" s="1"/>
  <c r="AB82" i="20" s="1"/>
  <c r="X83" i="20"/>
  <c r="Z83" i="20" s="1"/>
  <c r="AB83" i="20" s="1"/>
  <c r="X84" i="20"/>
  <c r="Z84" i="20" s="1"/>
  <c r="AB84" i="20" s="1"/>
  <c r="X79" i="20"/>
  <c r="Z79" i="20" s="1"/>
  <c r="AB79" i="20" s="1"/>
  <c r="W85" i="20"/>
  <c r="X85" i="20"/>
  <c r="Y85" i="20"/>
  <c r="Z85" i="20"/>
  <c r="AB85" i="20"/>
  <c r="V85" i="20"/>
  <c r="B43" i="21"/>
  <c r="C43" i="21" s="1"/>
  <c r="U42" i="21"/>
  <c r="T42" i="21"/>
  <c r="S42" i="21"/>
  <c r="C40" i="21"/>
  <c r="C39" i="21"/>
  <c r="U38" i="21"/>
  <c r="C38" i="21"/>
  <c r="G37" i="21"/>
  <c r="C37" i="21"/>
  <c r="G33" i="21"/>
  <c r="F33" i="21"/>
  <c r="E33" i="21"/>
  <c r="I29" i="21"/>
  <c r="H29" i="21"/>
  <c r="G29" i="21"/>
  <c r="F29" i="21"/>
  <c r="E29" i="21"/>
  <c r="D29" i="21"/>
  <c r="C29" i="21"/>
  <c r="B29" i="21"/>
  <c r="G27" i="21"/>
  <c r="B27" i="21"/>
  <c r="P36" i="19"/>
  <c r="M34" i="19"/>
  <c r="G37" i="19"/>
  <c r="AF27" i="20"/>
  <c r="AE27" i="20"/>
  <c r="E33" i="19"/>
  <c r="F33" i="19"/>
  <c r="G33" i="19"/>
  <c r="B20" i="20"/>
  <c r="B21" i="20" s="1"/>
  <c r="B22" i="20" s="1"/>
  <c r="Y28" i="14"/>
  <c r="Z25" i="14"/>
  <c r="Z26" i="14"/>
  <c r="AA25" i="14"/>
  <c r="AA27" i="14"/>
  <c r="AA26" i="14"/>
  <c r="V30" i="14"/>
  <c r="V29" i="14"/>
  <c r="V28" i="14"/>
  <c r="V27" i="14"/>
  <c r="V26" i="14"/>
  <c r="V25" i="14"/>
  <c r="N6" i="20"/>
  <c r="K15" i="20"/>
  <c r="K14" i="20"/>
  <c r="K13" i="20"/>
  <c r="K12" i="20"/>
  <c r="K11" i="20"/>
  <c r="K10" i="20"/>
  <c r="K9" i="20"/>
  <c r="K8" i="20"/>
  <c r="K7" i="20"/>
  <c r="K6" i="20"/>
  <c r="BB8" i="10"/>
  <c r="BB9" i="10"/>
  <c r="BB10" i="10"/>
  <c r="BB12" i="10"/>
  <c r="BB13" i="10"/>
  <c r="BB7" i="10"/>
  <c r="BD8" i="10"/>
  <c r="BE8" i="10"/>
  <c r="BD9" i="10"/>
  <c r="BE9" i="10"/>
  <c r="BD10" i="10"/>
  <c r="BE10" i="10"/>
  <c r="BD11" i="10"/>
  <c r="BE11" i="10"/>
  <c r="BD12" i="10"/>
  <c r="BE12" i="10"/>
  <c r="BD13" i="10"/>
  <c r="BE13" i="10"/>
  <c r="BD14" i="10"/>
  <c r="BE14" i="10"/>
  <c r="BE7" i="10"/>
  <c r="BD7" i="10"/>
  <c r="BB15" i="10"/>
  <c r="BC15" i="10"/>
  <c r="BD15" i="10"/>
  <c r="BE15" i="10"/>
  <c r="BA14" i="10"/>
  <c r="BA9" i="10"/>
  <c r="BA8" i="10"/>
  <c r="BA11" i="10"/>
  <c r="BA10" i="10"/>
  <c r="AZ8" i="10"/>
  <c r="AZ9" i="10"/>
  <c r="AZ10" i="10"/>
  <c r="AZ11" i="10"/>
  <c r="AZ12" i="10"/>
  <c r="AZ13" i="10"/>
  <c r="AZ7" i="10"/>
  <c r="AZ15" i="10" s="1"/>
  <c r="AT22" i="10"/>
  <c r="AT15" i="10"/>
  <c r="AU9" i="10"/>
  <c r="AU10" i="10"/>
  <c r="AU11" i="10"/>
  <c r="AU12" i="10"/>
  <c r="AU13" i="10"/>
  <c r="AU14" i="10"/>
  <c r="AU15" i="10"/>
  <c r="AU16" i="10"/>
  <c r="AU17" i="10"/>
  <c r="AU18" i="10"/>
  <c r="AU19" i="10"/>
  <c r="AU20" i="10"/>
  <c r="AU21" i="10"/>
  <c r="AU22" i="10"/>
  <c r="AU8" i="10"/>
  <c r="B43" i="19"/>
  <c r="C43" i="19" s="1"/>
  <c r="U42" i="19"/>
  <c r="T42" i="19"/>
  <c r="S42" i="19"/>
  <c r="C40" i="19"/>
  <c r="C39" i="19"/>
  <c r="U38" i="19"/>
  <c r="C38" i="19"/>
  <c r="C37" i="19"/>
  <c r="I29" i="19"/>
  <c r="H29" i="19"/>
  <c r="G29" i="19"/>
  <c r="F29" i="19"/>
  <c r="E29" i="19"/>
  <c r="D29" i="19"/>
  <c r="C29" i="19"/>
  <c r="B29" i="19"/>
  <c r="G27" i="19"/>
  <c r="B27" i="19"/>
  <c r="S25" i="19"/>
  <c r="O25" i="17"/>
  <c r="M25" i="17"/>
  <c r="M20" i="17"/>
  <c r="I42" i="17"/>
  <c r="H40" i="17"/>
  <c r="G40" i="17"/>
  <c r="S25" i="17"/>
  <c r="M9" i="18"/>
  <c r="M7" i="18"/>
  <c r="M6" i="18"/>
  <c r="D12" i="18"/>
  <c r="K34" i="14"/>
  <c r="B43" i="17"/>
  <c r="C43" i="17" s="1"/>
  <c r="U42" i="17"/>
  <c r="T42" i="17"/>
  <c r="S42" i="17"/>
  <c r="C40" i="17"/>
  <c r="C39" i="17"/>
  <c r="U38" i="17"/>
  <c r="C38" i="17"/>
  <c r="C37" i="17"/>
  <c r="I29" i="17"/>
  <c r="H29" i="17"/>
  <c r="G29" i="17"/>
  <c r="F29" i="17"/>
  <c r="E29" i="17"/>
  <c r="D29" i="17"/>
  <c r="C29" i="17"/>
  <c r="B29" i="17"/>
  <c r="G27" i="17"/>
  <c r="B27" i="17"/>
  <c r="Q29" i="14"/>
  <c r="L30" i="14"/>
  <c r="M24" i="14"/>
  <c r="L24" i="14"/>
  <c r="M36" i="14"/>
  <c r="B43" i="16"/>
  <c r="C43" i="16" s="1"/>
  <c r="U42" i="16"/>
  <c r="T42" i="16"/>
  <c r="S42" i="16"/>
  <c r="C40" i="16"/>
  <c r="M39" i="16"/>
  <c r="C39" i="16"/>
  <c r="U38" i="16"/>
  <c r="C38" i="16"/>
  <c r="C37" i="16"/>
  <c r="I29" i="16"/>
  <c r="H29" i="16"/>
  <c r="G29" i="16"/>
  <c r="F29" i="16"/>
  <c r="E29" i="16"/>
  <c r="D29" i="16"/>
  <c r="C29" i="16"/>
  <c r="B29" i="16"/>
  <c r="G27" i="16"/>
  <c r="B27" i="16"/>
  <c r="M15" i="13"/>
  <c r="G27" i="14"/>
  <c r="B27" i="14"/>
  <c r="B18" i="15"/>
  <c r="B17" i="15" s="1"/>
  <c r="B16" i="15" s="1"/>
  <c r="B12" i="15"/>
  <c r="B13" i="15"/>
  <c r="U42" i="14"/>
  <c r="T42" i="14"/>
  <c r="S42" i="14"/>
  <c r="U38" i="14"/>
  <c r="B43" i="14"/>
  <c r="C43" i="14" s="1"/>
  <c r="C40" i="14"/>
  <c r="C39" i="14"/>
  <c r="C38" i="14"/>
  <c r="C37" i="14"/>
  <c r="I29" i="14"/>
  <c r="H29" i="14"/>
  <c r="G29" i="14"/>
  <c r="F29" i="14"/>
  <c r="E29" i="14"/>
  <c r="D29" i="14"/>
  <c r="C29" i="14"/>
  <c r="B29" i="14"/>
  <c r="C47" i="11"/>
  <c r="D47" i="11"/>
  <c r="E47" i="11"/>
  <c r="F47" i="11"/>
  <c r="G47" i="11"/>
  <c r="H47" i="11"/>
  <c r="I47" i="11"/>
  <c r="B47" i="11"/>
  <c r="I46" i="11"/>
  <c r="H46" i="11"/>
  <c r="G46" i="11"/>
  <c r="E46" i="11"/>
  <c r="D46" i="11"/>
  <c r="R34" i="11"/>
  <c r="B29" i="11"/>
  <c r="C29" i="11"/>
  <c r="D29" i="11"/>
  <c r="E29" i="11"/>
  <c r="F29" i="11"/>
  <c r="G29" i="11"/>
  <c r="H29" i="11"/>
  <c r="I29" i="11"/>
  <c r="C37" i="11"/>
  <c r="C38" i="11"/>
  <c r="E38" i="11"/>
  <c r="C39" i="11"/>
  <c r="C40" i="11"/>
  <c r="I40" i="11"/>
  <c r="B43" i="11"/>
  <c r="C43" i="11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S27" i="8"/>
  <c r="E38" i="8"/>
  <c r="K35" i="8"/>
  <c r="O28" i="9"/>
  <c r="N28" i="9"/>
  <c r="K29" i="9"/>
  <c r="K28" i="9"/>
  <c r="M32" i="7"/>
  <c r="P40" i="9"/>
  <c r="B43" i="9"/>
  <c r="C43" i="9" s="1"/>
  <c r="I40" i="9"/>
  <c r="C40" i="9"/>
  <c r="C39" i="9"/>
  <c r="K38" i="9"/>
  <c r="J38" i="9"/>
  <c r="C38" i="9"/>
  <c r="C37" i="9"/>
  <c r="L34" i="9"/>
  <c r="B33" i="9"/>
  <c r="I29" i="9"/>
  <c r="H29" i="9"/>
  <c r="G29" i="9"/>
  <c r="F29" i="9"/>
  <c r="E29" i="9"/>
  <c r="D29" i="9"/>
  <c r="C29" i="9"/>
  <c r="B29" i="9"/>
  <c r="T26" i="9"/>
  <c r="H25" i="9"/>
  <c r="G25" i="9"/>
  <c r="F25" i="9"/>
  <c r="S27" i="9" s="1"/>
  <c r="E25" i="9"/>
  <c r="D25" i="9"/>
  <c r="C25" i="9"/>
  <c r="B25" i="9"/>
  <c r="T19" i="9"/>
  <c r="S19" i="9"/>
  <c r="T22" i="9" s="1"/>
  <c r="T26" i="8"/>
  <c r="B33" i="8"/>
  <c r="R32" i="6"/>
  <c r="P29" i="6"/>
  <c r="Q22" i="6"/>
  <c r="A13" i="6"/>
  <c r="A14" i="6"/>
  <c r="A15" i="6" s="1"/>
  <c r="A16" i="6" s="1"/>
  <c r="A17" i="6" s="1"/>
  <c r="A18" i="6" s="1"/>
  <c r="I40" i="8"/>
  <c r="S36" i="7"/>
  <c r="C40" i="8"/>
  <c r="C39" i="8"/>
  <c r="C38" i="8"/>
  <c r="C37" i="8"/>
  <c r="B43" i="8"/>
  <c r="C43" i="8" s="1"/>
  <c r="E25" i="8"/>
  <c r="I29" i="8"/>
  <c r="H25" i="8"/>
  <c r="G25" i="8"/>
  <c r="F25" i="8"/>
  <c r="D25" i="8"/>
  <c r="C25" i="8"/>
  <c r="B25" i="8"/>
  <c r="H29" i="8"/>
  <c r="G29" i="8"/>
  <c r="F29" i="8"/>
  <c r="E29" i="8"/>
  <c r="D29" i="8"/>
  <c r="C29" i="8"/>
  <c r="B29" i="8"/>
  <c r="R37" i="7"/>
  <c r="U31" i="7"/>
  <c r="T31" i="7"/>
  <c r="S31" i="7"/>
  <c r="T20" i="7"/>
  <c r="S20" i="7"/>
  <c r="Q32" i="7"/>
  <c r="Q28" i="7"/>
  <c r="O39" i="7"/>
  <c r="G38" i="7"/>
  <c r="R32" i="7"/>
  <c r="R27" i="7"/>
  <c r="H34" i="7"/>
  <c r="P34" i="7"/>
  <c r="O34" i="7"/>
  <c r="R22" i="7"/>
  <c r="R24" i="7"/>
  <c r="O30" i="7"/>
  <c r="M30" i="7"/>
  <c r="S27" i="6"/>
  <c r="K33" i="6"/>
  <c r="M31" i="6"/>
  <c r="P35" i="6"/>
  <c r="B40" i="7"/>
  <c r="D40" i="7" s="1"/>
  <c r="K29" i="7"/>
  <c r="H29" i="7"/>
  <c r="G29" i="7"/>
  <c r="F29" i="7"/>
  <c r="E29" i="7"/>
  <c r="D29" i="7"/>
  <c r="C29" i="7"/>
  <c r="B29" i="7"/>
  <c r="O28" i="7"/>
  <c r="L28" i="7"/>
  <c r="N26" i="7"/>
  <c r="J25" i="7"/>
  <c r="O24" i="7"/>
  <c r="A4" i="7"/>
  <c r="O28" i="6"/>
  <c r="N26" i="6"/>
  <c r="L28" i="6"/>
  <c r="K29" i="6"/>
  <c r="O24" i="6"/>
  <c r="J25" i="6"/>
  <c r="C29" i="6"/>
  <c r="D29" i="6"/>
  <c r="E29" i="6"/>
  <c r="F29" i="6"/>
  <c r="G29" i="6"/>
  <c r="H29" i="6"/>
  <c r="B29" i="6"/>
  <c r="B40" i="6"/>
  <c r="D40" i="6" s="1"/>
  <c r="A4" i="6"/>
  <c r="O28" i="4"/>
  <c r="M28" i="4"/>
  <c r="M27" i="4"/>
  <c r="A18" i="4"/>
  <c r="K27" i="4"/>
  <c r="M25" i="4"/>
  <c r="H28" i="4"/>
  <c r="I25" i="4"/>
  <c r="I36" i="4"/>
  <c r="G25" i="4"/>
  <c r="F29" i="4"/>
  <c r="E29" i="4"/>
  <c r="D29" i="4"/>
  <c r="C29" i="4"/>
  <c r="B29" i="4"/>
  <c r="G28" i="4"/>
  <c r="G29" i="4" s="1"/>
  <c r="A4" i="4"/>
  <c r="G38" i="3"/>
  <c r="F36" i="3"/>
  <c r="M34" i="3"/>
  <c r="J40" i="3"/>
  <c r="H36" i="3"/>
  <c r="H34" i="3"/>
  <c r="D36" i="3"/>
  <c r="N29" i="3"/>
  <c r="M25" i="3"/>
  <c r="K24" i="3"/>
  <c r="L31" i="3"/>
  <c r="L27" i="3"/>
  <c r="J34" i="3"/>
  <c r="J29" i="3"/>
  <c r="K25" i="3"/>
  <c r="J25" i="3"/>
  <c r="P25" i="3"/>
  <c r="F29" i="3"/>
  <c r="E29" i="3"/>
  <c r="D29" i="3"/>
  <c r="C29" i="3"/>
  <c r="B29" i="3"/>
  <c r="G28" i="3"/>
  <c r="G29" i="3" s="1"/>
  <c r="A4" i="3"/>
  <c r="A5" i="3" s="1"/>
  <c r="A6" i="3" s="1"/>
  <c r="A7" i="3" s="1"/>
  <c r="A8" i="3" s="1"/>
  <c r="A9" i="3" s="1"/>
  <c r="A10" i="3" s="1"/>
  <c r="A11" i="3" s="1"/>
  <c r="C29" i="1"/>
  <c r="D29" i="1"/>
  <c r="E29" i="1"/>
  <c r="F29" i="1"/>
  <c r="G29" i="1"/>
  <c r="B29" i="1"/>
  <c r="G28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Q7" i="51" l="1"/>
  <c r="P7" i="51"/>
  <c r="K7" i="51"/>
  <c r="I7" i="51"/>
  <c r="F7" i="51"/>
  <c r="E7" i="51"/>
  <c r="B7" i="51"/>
  <c r="Q6" i="51"/>
  <c r="P6" i="51"/>
  <c r="K6" i="51"/>
  <c r="I6" i="51"/>
  <c r="F6" i="51"/>
  <c r="E6" i="51"/>
  <c r="B6" i="51"/>
  <c r="Q5" i="51"/>
  <c r="P5" i="51"/>
  <c r="K5" i="51"/>
  <c r="I5" i="51"/>
  <c r="F5" i="51"/>
  <c r="E5" i="51"/>
  <c r="B5" i="51"/>
  <c r="Q4" i="51"/>
  <c r="P4" i="51"/>
  <c r="K4" i="51"/>
  <c r="I4" i="51"/>
  <c r="F4" i="51"/>
  <c r="E4" i="51"/>
  <c r="B4" i="51"/>
  <c r="Q3" i="51"/>
  <c r="P3" i="51"/>
  <c r="K3" i="51"/>
  <c r="I3" i="51"/>
  <c r="F3" i="51"/>
  <c r="E3" i="51"/>
  <c r="B3" i="51"/>
  <c r="D22" i="51"/>
  <c r="Q8" i="51"/>
  <c r="P8" i="51"/>
  <c r="K8" i="51"/>
  <c r="I8" i="51"/>
  <c r="F8" i="51"/>
  <c r="E8" i="51"/>
  <c r="B8" i="51"/>
  <c r="G146" i="32"/>
  <c r="J146" i="32" s="1"/>
  <c r="G145" i="32"/>
  <c r="J145" i="32" s="1"/>
  <c r="G134" i="32"/>
  <c r="J134" i="32" s="1"/>
  <c r="J133" i="32"/>
  <c r="G156" i="32"/>
  <c r="J156" i="32" s="1"/>
  <c r="G155" i="32"/>
  <c r="J155" i="32" s="1"/>
  <c r="G154" i="32"/>
  <c r="J154" i="32" s="1"/>
  <c r="G153" i="32"/>
  <c r="J153" i="32" s="1"/>
  <c r="G147" i="32"/>
  <c r="G143" i="32"/>
  <c r="J143" i="32" s="1"/>
  <c r="G141" i="32"/>
  <c r="J141" i="32" s="1"/>
  <c r="G140" i="32"/>
  <c r="J140" i="32" s="1"/>
  <c r="G138" i="32"/>
  <c r="J138" i="32" s="1"/>
  <c r="G137" i="32"/>
  <c r="J137" i="32" s="1"/>
  <c r="J135" i="32"/>
  <c r="G151" i="32"/>
  <c r="J151" i="32" s="1"/>
  <c r="J142" i="32"/>
  <c r="F21" i="50"/>
  <c r="F27" i="50" s="1"/>
  <c r="J21" i="50"/>
  <c r="J27" i="50" s="1"/>
  <c r="E21" i="50"/>
  <c r="C21" i="50"/>
  <c r="L22" i="51"/>
  <c r="B3" i="48"/>
  <c r="E3" i="48"/>
  <c r="F3" i="48"/>
  <c r="I3" i="48"/>
  <c r="K3" i="48"/>
  <c r="P3" i="48"/>
  <c r="Q3" i="48"/>
  <c r="B4" i="48"/>
  <c r="E4" i="48"/>
  <c r="F4" i="48"/>
  <c r="I4" i="48"/>
  <c r="K4" i="48"/>
  <c r="P4" i="48"/>
  <c r="Q4" i="48"/>
  <c r="B5" i="48"/>
  <c r="E5" i="48"/>
  <c r="F5" i="48"/>
  <c r="I5" i="48"/>
  <c r="K5" i="48"/>
  <c r="P5" i="48"/>
  <c r="Q5" i="48"/>
  <c r="B6" i="48"/>
  <c r="E6" i="48"/>
  <c r="F6" i="48"/>
  <c r="I6" i="48"/>
  <c r="K6" i="48"/>
  <c r="P6" i="48"/>
  <c r="Q6" i="48"/>
  <c r="B7" i="48"/>
  <c r="E7" i="48"/>
  <c r="F7" i="48"/>
  <c r="I7" i="48"/>
  <c r="K7" i="48"/>
  <c r="P7" i="48"/>
  <c r="Q7" i="48"/>
  <c r="B8" i="48"/>
  <c r="E8" i="48"/>
  <c r="F8" i="48"/>
  <c r="I8" i="48"/>
  <c r="K8" i="48"/>
  <c r="P8" i="48"/>
  <c r="Q8" i="48"/>
  <c r="B9" i="48"/>
  <c r="E9" i="48"/>
  <c r="F9" i="48"/>
  <c r="I9" i="48"/>
  <c r="K9" i="48"/>
  <c r="P9" i="48"/>
  <c r="Q9" i="48"/>
  <c r="B10" i="48"/>
  <c r="E10" i="48"/>
  <c r="F10" i="48"/>
  <c r="I10" i="48"/>
  <c r="K10" i="48"/>
  <c r="P10" i="48"/>
  <c r="Q10" i="48"/>
  <c r="B11" i="48"/>
  <c r="E11" i="48"/>
  <c r="F11" i="48"/>
  <c r="I11" i="48"/>
  <c r="K11" i="48"/>
  <c r="P11" i="48"/>
  <c r="Q11" i="48"/>
  <c r="B12" i="48"/>
  <c r="E12" i="48"/>
  <c r="F12" i="48"/>
  <c r="I12" i="48"/>
  <c r="K12" i="48"/>
  <c r="P12" i="48"/>
  <c r="Q12" i="48"/>
  <c r="B13" i="48"/>
  <c r="E13" i="48"/>
  <c r="F13" i="48"/>
  <c r="I13" i="48"/>
  <c r="K13" i="48"/>
  <c r="P13" i="48"/>
  <c r="Q13" i="48"/>
  <c r="B14" i="48"/>
  <c r="E14" i="48"/>
  <c r="F14" i="48"/>
  <c r="I14" i="48"/>
  <c r="K14" i="48"/>
  <c r="P14" i="48"/>
  <c r="Q14" i="48"/>
  <c r="B15" i="48"/>
  <c r="E15" i="48"/>
  <c r="F15" i="48"/>
  <c r="I15" i="48"/>
  <c r="K15" i="48"/>
  <c r="P15" i="48"/>
  <c r="Q15" i="48"/>
  <c r="B16" i="48"/>
  <c r="E16" i="48"/>
  <c r="F16" i="48"/>
  <c r="I16" i="48"/>
  <c r="K16" i="48"/>
  <c r="P16" i="48"/>
  <c r="Q16" i="48"/>
  <c r="B17" i="48"/>
  <c r="E17" i="48"/>
  <c r="F17" i="48"/>
  <c r="I17" i="48"/>
  <c r="K17" i="48"/>
  <c r="P17" i="48"/>
  <c r="N24" i="48" s="1"/>
  <c r="N25" i="48" s="1"/>
  <c r="Q17" i="48"/>
  <c r="B9" i="51"/>
  <c r="E9" i="51"/>
  <c r="F9" i="51"/>
  <c r="I9" i="51"/>
  <c r="K9" i="51"/>
  <c r="P9" i="51"/>
  <c r="Q9" i="51"/>
  <c r="B10" i="51"/>
  <c r="E10" i="51"/>
  <c r="F10" i="51"/>
  <c r="I10" i="51"/>
  <c r="K10" i="51"/>
  <c r="P10" i="51"/>
  <c r="Q10" i="51"/>
  <c r="B11" i="51"/>
  <c r="E11" i="51"/>
  <c r="F11" i="51"/>
  <c r="I11" i="51"/>
  <c r="K11" i="51"/>
  <c r="P11" i="51"/>
  <c r="Q11" i="51"/>
  <c r="B12" i="51"/>
  <c r="E12" i="51"/>
  <c r="F12" i="51"/>
  <c r="I12" i="51"/>
  <c r="K12" i="51"/>
  <c r="P12" i="51"/>
  <c r="Q12" i="51"/>
  <c r="B13" i="51"/>
  <c r="E13" i="51"/>
  <c r="F13" i="51"/>
  <c r="I13" i="51"/>
  <c r="K13" i="51"/>
  <c r="P13" i="51"/>
  <c r="Q13" i="51"/>
  <c r="B14" i="51"/>
  <c r="E14" i="51"/>
  <c r="F14" i="51"/>
  <c r="I14" i="51"/>
  <c r="K14" i="51"/>
  <c r="P14" i="51"/>
  <c r="Q14" i="51"/>
  <c r="B15" i="51"/>
  <c r="E15" i="51"/>
  <c r="F15" i="51"/>
  <c r="I15" i="51"/>
  <c r="K15" i="51"/>
  <c r="P15" i="51"/>
  <c r="Q15" i="51"/>
  <c r="B16" i="51"/>
  <c r="E16" i="51"/>
  <c r="F16" i="51"/>
  <c r="I16" i="51"/>
  <c r="K16" i="51"/>
  <c r="P16" i="51"/>
  <c r="Q16" i="51"/>
  <c r="B17" i="51"/>
  <c r="E17" i="51"/>
  <c r="F17" i="51"/>
  <c r="I17" i="51"/>
  <c r="K17" i="51"/>
  <c r="P17" i="51"/>
  <c r="Q17" i="51"/>
  <c r="B22" i="51"/>
  <c r="G22" i="51" s="1"/>
  <c r="C22" i="51"/>
  <c r="D28" i="51"/>
  <c r="E22" i="51"/>
  <c r="E28" i="51" s="1"/>
  <c r="F22" i="51"/>
  <c r="F28" i="51" s="1"/>
  <c r="H22" i="51"/>
  <c r="H28" i="51" s="1"/>
  <c r="I22" i="51"/>
  <c r="I28" i="51" s="1"/>
  <c r="J22" i="51"/>
  <c r="J28" i="51" s="1"/>
  <c r="B18" i="51"/>
  <c r="E18" i="51"/>
  <c r="F18" i="51"/>
  <c r="I18" i="51"/>
  <c r="K18" i="51"/>
  <c r="P18" i="51"/>
  <c r="Q18" i="51"/>
  <c r="G28" i="51"/>
  <c r="K22" i="51"/>
  <c r="K28" i="51" s="1"/>
  <c r="I20" i="51"/>
  <c r="B28" i="51"/>
  <c r="L21" i="50"/>
  <c r="I22" i="48"/>
  <c r="I28" i="48" s="1"/>
  <c r="D21" i="50"/>
  <c r="M30" i="50"/>
  <c r="H21" i="50"/>
  <c r="H27" i="50" s="1"/>
  <c r="I21" i="50"/>
  <c r="L27" i="50"/>
  <c r="K30" i="50" s="1"/>
  <c r="I27" i="50"/>
  <c r="E27" i="50"/>
  <c r="D27" i="50"/>
  <c r="L31" i="50" s="1"/>
  <c r="C27" i="50"/>
  <c r="Q18" i="50"/>
  <c r="P18" i="50"/>
  <c r="K18" i="50"/>
  <c r="I18" i="50"/>
  <c r="F18" i="50"/>
  <c r="E18" i="50"/>
  <c r="B18" i="50"/>
  <c r="Q17" i="50"/>
  <c r="P17" i="50"/>
  <c r="K17" i="50"/>
  <c r="I17" i="50"/>
  <c r="F17" i="50"/>
  <c r="E17" i="50"/>
  <c r="B17" i="50"/>
  <c r="Q16" i="50"/>
  <c r="P16" i="50"/>
  <c r="K16" i="50"/>
  <c r="I16" i="50"/>
  <c r="F16" i="50"/>
  <c r="E16" i="50"/>
  <c r="B16" i="50"/>
  <c r="Q15" i="50"/>
  <c r="P15" i="50"/>
  <c r="K15" i="50"/>
  <c r="I15" i="50"/>
  <c r="F15" i="50"/>
  <c r="E15" i="50"/>
  <c r="B15" i="50"/>
  <c r="Q14" i="50"/>
  <c r="P14" i="50"/>
  <c r="K14" i="50"/>
  <c r="I14" i="50"/>
  <c r="F14" i="50"/>
  <c r="E14" i="50"/>
  <c r="R20" i="50" s="1"/>
  <c r="B14" i="50"/>
  <c r="Q13" i="50"/>
  <c r="P13" i="50"/>
  <c r="K13" i="50"/>
  <c r="I13" i="50"/>
  <c r="F13" i="50"/>
  <c r="E13" i="50"/>
  <c r="B13" i="50"/>
  <c r="Q12" i="50"/>
  <c r="P12" i="50"/>
  <c r="K12" i="50"/>
  <c r="I12" i="50"/>
  <c r="F12" i="50"/>
  <c r="E12" i="50"/>
  <c r="B12" i="50"/>
  <c r="Q11" i="50"/>
  <c r="P11" i="50"/>
  <c r="K11" i="50"/>
  <c r="I11" i="50"/>
  <c r="F11" i="50"/>
  <c r="E11" i="50"/>
  <c r="B11" i="50"/>
  <c r="Q10" i="50"/>
  <c r="P10" i="50"/>
  <c r="K10" i="50"/>
  <c r="I10" i="50"/>
  <c r="F10" i="50"/>
  <c r="E10" i="50"/>
  <c r="B10" i="50"/>
  <c r="Q9" i="50"/>
  <c r="P9" i="50"/>
  <c r="K9" i="50"/>
  <c r="I9" i="50"/>
  <c r="F9" i="50"/>
  <c r="E9" i="50"/>
  <c r="B9" i="50"/>
  <c r="Q8" i="50"/>
  <c r="P8" i="50"/>
  <c r="K8" i="50"/>
  <c r="I8" i="50"/>
  <c r="F8" i="50"/>
  <c r="E8" i="50"/>
  <c r="B8" i="50"/>
  <c r="Q7" i="50"/>
  <c r="P7" i="50"/>
  <c r="K7" i="50"/>
  <c r="I7" i="50"/>
  <c r="F7" i="50"/>
  <c r="E7" i="50"/>
  <c r="B7" i="50"/>
  <c r="Q6" i="50"/>
  <c r="P6" i="50"/>
  <c r="K6" i="50"/>
  <c r="I6" i="50"/>
  <c r="F6" i="50"/>
  <c r="E6" i="50"/>
  <c r="B6" i="50"/>
  <c r="Q5" i="50"/>
  <c r="P5" i="50"/>
  <c r="K5" i="50"/>
  <c r="I5" i="50"/>
  <c r="F5" i="50"/>
  <c r="E5" i="50"/>
  <c r="B5" i="50"/>
  <c r="Q4" i="50"/>
  <c r="P4" i="50"/>
  <c r="K4" i="50"/>
  <c r="I4" i="50"/>
  <c r="F4" i="50"/>
  <c r="E4" i="50"/>
  <c r="B4" i="50"/>
  <c r="Q3" i="50"/>
  <c r="P3" i="50"/>
  <c r="K3" i="50"/>
  <c r="I3" i="50"/>
  <c r="F3" i="50"/>
  <c r="E3" i="50"/>
  <c r="B3" i="50"/>
  <c r="B21" i="50"/>
  <c r="B27" i="50" s="1"/>
  <c r="R21" i="48"/>
  <c r="B18" i="48"/>
  <c r="E18" i="48"/>
  <c r="K32" i="48" s="1"/>
  <c r="L32" i="48" s="1"/>
  <c r="F18" i="48"/>
  <c r="I18" i="48"/>
  <c r="K18" i="48"/>
  <c r="P18" i="48"/>
  <c r="Q18" i="48"/>
  <c r="L21" i="49"/>
  <c r="L27" i="49" s="1"/>
  <c r="J21" i="49"/>
  <c r="J27" i="49" s="1"/>
  <c r="I21" i="49"/>
  <c r="I27" i="49" s="1"/>
  <c r="H21" i="49"/>
  <c r="H27" i="49" s="1"/>
  <c r="F21" i="49"/>
  <c r="F27" i="49" s="1"/>
  <c r="E21" i="49"/>
  <c r="E27" i="49" s="1"/>
  <c r="D21" i="49"/>
  <c r="D27" i="49" s="1"/>
  <c r="C21" i="49"/>
  <c r="C27" i="49" s="1"/>
  <c r="M29" i="49" s="1"/>
  <c r="B21" i="49"/>
  <c r="G21" i="49" s="1"/>
  <c r="G27" i="49" s="1"/>
  <c r="Q18" i="49"/>
  <c r="P18" i="49"/>
  <c r="K18" i="49"/>
  <c r="I18" i="49"/>
  <c r="F18" i="49"/>
  <c r="E18" i="49"/>
  <c r="B18" i="49"/>
  <c r="Q17" i="49"/>
  <c r="P17" i="49"/>
  <c r="K17" i="49"/>
  <c r="I17" i="49"/>
  <c r="F17" i="49"/>
  <c r="E17" i="49"/>
  <c r="B17" i="49"/>
  <c r="Q16" i="49"/>
  <c r="P16" i="49"/>
  <c r="K16" i="49"/>
  <c r="I16" i="49"/>
  <c r="F16" i="49"/>
  <c r="E16" i="49"/>
  <c r="B16" i="49"/>
  <c r="J26" i="49"/>
  <c r="J29" i="49" s="1"/>
  <c r="H26" i="49"/>
  <c r="H29" i="49" s="1"/>
  <c r="D26" i="49"/>
  <c r="D29" i="49" s="1"/>
  <c r="O26" i="49"/>
  <c r="D33" i="49"/>
  <c r="H33" i="49"/>
  <c r="I33" i="49"/>
  <c r="G107" i="32"/>
  <c r="G110" i="32"/>
  <c r="J110" i="32" s="1"/>
  <c r="L22" i="48"/>
  <c r="J22" i="48"/>
  <c r="J28" i="48" s="1"/>
  <c r="H22" i="48"/>
  <c r="H28" i="48" s="1"/>
  <c r="F22" i="48"/>
  <c r="F28" i="48" s="1"/>
  <c r="L34" i="48" s="1"/>
  <c r="E22" i="48"/>
  <c r="E28" i="48" s="1"/>
  <c r="D22" i="48"/>
  <c r="D28" i="48" s="1"/>
  <c r="C22" i="48"/>
  <c r="B22" i="48"/>
  <c r="B4" i="47"/>
  <c r="E4" i="47"/>
  <c r="F4" i="47"/>
  <c r="I4" i="47"/>
  <c r="K4" i="47"/>
  <c r="P4" i="47"/>
  <c r="Q4" i="47"/>
  <c r="B5" i="47"/>
  <c r="E5" i="47"/>
  <c r="F5" i="47"/>
  <c r="I5" i="47"/>
  <c r="K5" i="47"/>
  <c r="P5" i="47"/>
  <c r="Q5" i="47"/>
  <c r="B6" i="47"/>
  <c r="E6" i="47"/>
  <c r="F6" i="47"/>
  <c r="I6" i="47"/>
  <c r="K6" i="47"/>
  <c r="P6" i="47"/>
  <c r="Q6" i="47"/>
  <c r="B7" i="47"/>
  <c r="E7" i="47"/>
  <c r="F7" i="47"/>
  <c r="I7" i="47"/>
  <c r="K7" i="47"/>
  <c r="P7" i="47"/>
  <c r="Q7" i="47"/>
  <c r="B8" i="47"/>
  <c r="E8" i="47"/>
  <c r="F8" i="47"/>
  <c r="I8" i="47"/>
  <c r="K8" i="47"/>
  <c r="P8" i="47"/>
  <c r="Q8" i="47"/>
  <c r="B9" i="47"/>
  <c r="E9" i="47"/>
  <c r="F9" i="47"/>
  <c r="I9" i="47"/>
  <c r="K9" i="47"/>
  <c r="P9" i="47"/>
  <c r="Q9" i="47"/>
  <c r="B10" i="47"/>
  <c r="E10" i="47"/>
  <c r="F10" i="47"/>
  <c r="I10" i="47"/>
  <c r="K10" i="47"/>
  <c r="P10" i="47"/>
  <c r="Q10" i="47"/>
  <c r="B11" i="47"/>
  <c r="E11" i="47"/>
  <c r="F11" i="47"/>
  <c r="I11" i="47"/>
  <c r="K11" i="47"/>
  <c r="P11" i="47"/>
  <c r="Q11" i="47"/>
  <c r="B12" i="47"/>
  <c r="E12" i="47"/>
  <c r="F12" i="47"/>
  <c r="I12" i="47"/>
  <c r="K12" i="47"/>
  <c r="P12" i="47"/>
  <c r="Q12" i="47"/>
  <c r="B13" i="47"/>
  <c r="E13" i="47"/>
  <c r="F13" i="47"/>
  <c r="I13" i="47"/>
  <c r="K13" i="47"/>
  <c r="P13" i="47"/>
  <c r="Q13" i="47"/>
  <c r="B14" i="47"/>
  <c r="E14" i="47"/>
  <c r="R20" i="47" s="1"/>
  <c r="F14" i="47"/>
  <c r="I14" i="47"/>
  <c r="K14" i="47"/>
  <c r="P14" i="47"/>
  <c r="Q14" i="47"/>
  <c r="B15" i="47"/>
  <c r="E15" i="47"/>
  <c r="F15" i="47"/>
  <c r="I15" i="47"/>
  <c r="K15" i="47"/>
  <c r="P15" i="47"/>
  <c r="Q15" i="47"/>
  <c r="P3" i="47"/>
  <c r="Q3" i="47"/>
  <c r="K3" i="47"/>
  <c r="I3" i="47"/>
  <c r="E3" i="47"/>
  <c r="F3" i="47"/>
  <c r="B3" i="47"/>
  <c r="B16" i="47"/>
  <c r="E16" i="47"/>
  <c r="F16" i="47"/>
  <c r="I16" i="47"/>
  <c r="K16" i="47"/>
  <c r="P16" i="47"/>
  <c r="Q16" i="47"/>
  <c r="B17" i="47"/>
  <c r="E17" i="47"/>
  <c r="F17" i="47"/>
  <c r="I17" i="47"/>
  <c r="K17" i="47"/>
  <c r="P17" i="47"/>
  <c r="Q17" i="47"/>
  <c r="B18" i="47"/>
  <c r="E18" i="47"/>
  <c r="F18" i="47"/>
  <c r="I18" i="47"/>
  <c r="K18" i="47"/>
  <c r="P18" i="47"/>
  <c r="Q18" i="47"/>
  <c r="B21" i="47"/>
  <c r="C21" i="47"/>
  <c r="C27" i="47" s="1"/>
  <c r="D21" i="47"/>
  <c r="D27" i="47" s="1"/>
  <c r="E21" i="47"/>
  <c r="E27" i="47" s="1"/>
  <c r="O26" i="47" s="1"/>
  <c r="F21" i="47"/>
  <c r="F27" i="47" s="1"/>
  <c r="N27" i="47" s="1"/>
  <c r="H21" i="47"/>
  <c r="H27" i="47" s="1"/>
  <c r="I21" i="47"/>
  <c r="I27" i="47" s="1"/>
  <c r="J21" i="47"/>
  <c r="J27" i="47" s="1"/>
  <c r="L21" i="47"/>
  <c r="L27" i="47" s="1"/>
  <c r="G94" i="32"/>
  <c r="J94" i="32" s="1"/>
  <c r="G93" i="32"/>
  <c r="J93" i="32" s="1"/>
  <c r="G82" i="32"/>
  <c r="J82" i="32" s="1"/>
  <c r="J81" i="32"/>
  <c r="G104" i="32"/>
  <c r="J104" i="32" s="1"/>
  <c r="G103" i="32"/>
  <c r="J103" i="32" s="1"/>
  <c r="G102" i="32"/>
  <c r="J102" i="32" s="1"/>
  <c r="G101" i="32"/>
  <c r="J101" i="32" s="1"/>
  <c r="G95" i="32"/>
  <c r="G91" i="32"/>
  <c r="J91" i="32" s="1"/>
  <c r="G89" i="32"/>
  <c r="J89" i="32" s="1"/>
  <c r="G88" i="32"/>
  <c r="J88" i="32" s="1"/>
  <c r="G86" i="32"/>
  <c r="J86" i="32" s="1"/>
  <c r="G85" i="32"/>
  <c r="J85" i="32" s="1"/>
  <c r="J83" i="32"/>
  <c r="J100" i="32"/>
  <c r="J97" i="32"/>
  <c r="J96" i="32"/>
  <c r="J92" i="32"/>
  <c r="G99" i="32"/>
  <c r="J99" i="32" s="1"/>
  <c r="J90" i="32"/>
  <c r="B5" i="32"/>
  <c r="B21" i="43"/>
  <c r="G21" i="43" s="1"/>
  <c r="G27" i="43" s="1"/>
  <c r="R41" i="43"/>
  <c r="R45" i="43" s="1"/>
  <c r="S42" i="43"/>
  <c r="B21" i="42"/>
  <c r="B27" i="42" s="1"/>
  <c r="L21" i="43"/>
  <c r="L27" i="43" s="1"/>
  <c r="O38" i="43" s="1"/>
  <c r="J21" i="43"/>
  <c r="J27" i="43" s="1"/>
  <c r="I21" i="43"/>
  <c r="I27" i="43" s="1"/>
  <c r="H21" i="43"/>
  <c r="H27" i="43" s="1"/>
  <c r="F21" i="43"/>
  <c r="F27" i="43" s="1"/>
  <c r="E21" i="43"/>
  <c r="E27" i="43" s="1"/>
  <c r="D21" i="43"/>
  <c r="D27" i="43" s="1"/>
  <c r="C21" i="43"/>
  <c r="C27" i="43" s="1"/>
  <c r="Q15" i="43"/>
  <c r="P15" i="43"/>
  <c r="K15" i="43"/>
  <c r="I15" i="43"/>
  <c r="F15" i="43"/>
  <c r="E15" i="43"/>
  <c r="B15" i="43"/>
  <c r="E21" i="42"/>
  <c r="E27" i="42" s="1"/>
  <c r="E39" i="42" s="1"/>
  <c r="F21" i="42"/>
  <c r="F27" i="42" s="1"/>
  <c r="R60" i="37"/>
  <c r="Q60" i="37"/>
  <c r="N60" i="37"/>
  <c r="O60" i="37"/>
  <c r="P60" i="37"/>
  <c r="M60" i="37"/>
  <c r="B16" i="38"/>
  <c r="E16" i="38"/>
  <c r="F16" i="38"/>
  <c r="I16" i="38"/>
  <c r="K16" i="38"/>
  <c r="P16" i="38"/>
  <c r="Q16" i="38"/>
  <c r="B17" i="38"/>
  <c r="E17" i="38"/>
  <c r="F17" i="38"/>
  <c r="I17" i="38"/>
  <c r="K17" i="38"/>
  <c r="P17" i="38"/>
  <c r="Q17" i="38"/>
  <c r="B18" i="38"/>
  <c r="E18" i="38"/>
  <c r="F18" i="38"/>
  <c r="I18" i="38"/>
  <c r="K18" i="38"/>
  <c r="P18" i="38"/>
  <c r="Q18" i="38"/>
  <c r="Q15" i="38"/>
  <c r="P15" i="38"/>
  <c r="K15" i="38"/>
  <c r="I15" i="38"/>
  <c r="F15" i="38"/>
  <c r="E15" i="38"/>
  <c r="B15" i="38"/>
  <c r="Q14" i="38"/>
  <c r="P14" i="38"/>
  <c r="K14" i="38"/>
  <c r="I14" i="38"/>
  <c r="F14" i="38"/>
  <c r="E14" i="38"/>
  <c r="B14" i="38"/>
  <c r="B11" i="38"/>
  <c r="E11" i="38"/>
  <c r="F11" i="38"/>
  <c r="I11" i="38"/>
  <c r="K11" i="38"/>
  <c r="P11" i="38"/>
  <c r="Q11" i="38"/>
  <c r="B12" i="38"/>
  <c r="E12" i="38"/>
  <c r="F12" i="38"/>
  <c r="I12" i="38"/>
  <c r="K12" i="38"/>
  <c r="P12" i="38"/>
  <c r="Q12" i="38"/>
  <c r="B13" i="38"/>
  <c r="E13" i="38"/>
  <c r="F13" i="38"/>
  <c r="I13" i="38"/>
  <c r="K13" i="38"/>
  <c r="P13" i="38"/>
  <c r="Q13" i="38"/>
  <c r="L21" i="42"/>
  <c r="L27" i="42" s="1"/>
  <c r="Q10" i="38"/>
  <c r="P10" i="38"/>
  <c r="K10" i="38"/>
  <c r="I10" i="38"/>
  <c r="F10" i="38"/>
  <c r="E10" i="38"/>
  <c r="B10" i="38"/>
  <c r="Q9" i="38"/>
  <c r="P9" i="38"/>
  <c r="K9" i="38"/>
  <c r="I9" i="38"/>
  <c r="F9" i="38"/>
  <c r="E9" i="38"/>
  <c r="B9" i="38"/>
  <c r="Q8" i="38"/>
  <c r="P8" i="38"/>
  <c r="K8" i="38"/>
  <c r="I8" i="38"/>
  <c r="F8" i="38"/>
  <c r="E8" i="38"/>
  <c r="B8" i="38"/>
  <c r="T23" i="38"/>
  <c r="B7" i="38"/>
  <c r="E7" i="38"/>
  <c r="F7" i="38"/>
  <c r="I7" i="38"/>
  <c r="K7" i="38"/>
  <c r="P7" i="38"/>
  <c r="Q7" i="38"/>
  <c r="B4" i="42"/>
  <c r="E4" i="42"/>
  <c r="F4" i="42"/>
  <c r="I4" i="42"/>
  <c r="K4" i="42"/>
  <c r="P4" i="42"/>
  <c r="Q4" i="42"/>
  <c r="B5" i="42"/>
  <c r="E5" i="42"/>
  <c r="F5" i="42"/>
  <c r="I5" i="42"/>
  <c r="K5" i="42"/>
  <c r="P5" i="42"/>
  <c r="Q5" i="42"/>
  <c r="B6" i="42"/>
  <c r="E6" i="42"/>
  <c r="F6" i="42"/>
  <c r="I6" i="42"/>
  <c r="K6" i="42"/>
  <c r="P6" i="42"/>
  <c r="Q6" i="42"/>
  <c r="B7" i="42"/>
  <c r="E7" i="42"/>
  <c r="F7" i="42"/>
  <c r="I7" i="42"/>
  <c r="K7" i="42"/>
  <c r="P7" i="42"/>
  <c r="Q7" i="42"/>
  <c r="B8" i="42"/>
  <c r="E8" i="42"/>
  <c r="F8" i="42"/>
  <c r="I8" i="42"/>
  <c r="K8" i="42"/>
  <c r="P8" i="42"/>
  <c r="Q8" i="42"/>
  <c r="B9" i="42"/>
  <c r="E9" i="42"/>
  <c r="F9" i="42"/>
  <c r="I9" i="42"/>
  <c r="K9" i="42"/>
  <c r="P9" i="42"/>
  <c r="Q9" i="42"/>
  <c r="B10" i="42"/>
  <c r="E10" i="42"/>
  <c r="F10" i="42"/>
  <c r="I10" i="42"/>
  <c r="K10" i="42"/>
  <c r="P10" i="42"/>
  <c r="Q10" i="42"/>
  <c r="B11" i="42"/>
  <c r="E11" i="42"/>
  <c r="F11" i="42"/>
  <c r="I11" i="42"/>
  <c r="K11" i="42"/>
  <c r="P11" i="42"/>
  <c r="Q11" i="42"/>
  <c r="B12" i="42"/>
  <c r="E12" i="42"/>
  <c r="F12" i="42"/>
  <c r="I12" i="42"/>
  <c r="K12" i="42"/>
  <c r="P12" i="42"/>
  <c r="Q12" i="42"/>
  <c r="B13" i="42"/>
  <c r="E13" i="42"/>
  <c r="F13" i="42"/>
  <c r="I13" i="42"/>
  <c r="K13" i="42"/>
  <c r="P13" i="42"/>
  <c r="Q13" i="42"/>
  <c r="B14" i="42"/>
  <c r="E14" i="42"/>
  <c r="F14" i="42"/>
  <c r="I14" i="42"/>
  <c r="K14" i="42"/>
  <c r="P14" i="42"/>
  <c r="Q14" i="42"/>
  <c r="B15" i="42"/>
  <c r="E15" i="42"/>
  <c r="F15" i="42"/>
  <c r="I15" i="42"/>
  <c r="K15" i="42"/>
  <c r="P15" i="42"/>
  <c r="Q15" i="42"/>
  <c r="B16" i="42"/>
  <c r="E16" i="42"/>
  <c r="F16" i="42"/>
  <c r="I16" i="42"/>
  <c r="K16" i="42"/>
  <c r="P16" i="42"/>
  <c r="Q16" i="42"/>
  <c r="B17" i="42"/>
  <c r="E17" i="42"/>
  <c r="F17" i="42"/>
  <c r="I17" i="42"/>
  <c r="K17" i="42"/>
  <c r="P17" i="42"/>
  <c r="Q17" i="42"/>
  <c r="B18" i="42"/>
  <c r="E18" i="42"/>
  <c r="F18" i="42"/>
  <c r="I18" i="42"/>
  <c r="K18" i="42"/>
  <c r="P18" i="42"/>
  <c r="Q18" i="42"/>
  <c r="I3" i="42"/>
  <c r="F3" i="42"/>
  <c r="E3" i="42"/>
  <c r="Q3" i="42"/>
  <c r="P3" i="42"/>
  <c r="K3" i="42"/>
  <c r="B3" i="42"/>
  <c r="B3" i="38"/>
  <c r="J21" i="42"/>
  <c r="J27" i="42" s="1"/>
  <c r="J39" i="42" s="1"/>
  <c r="I21" i="42"/>
  <c r="I27" i="42" s="1"/>
  <c r="I39" i="42" s="1"/>
  <c r="H21" i="42"/>
  <c r="H27" i="42" s="1"/>
  <c r="H39" i="42" s="1"/>
  <c r="C21" i="42"/>
  <c r="D21" i="42"/>
  <c r="B4" i="38"/>
  <c r="E4" i="38"/>
  <c r="F4" i="38"/>
  <c r="I4" i="38"/>
  <c r="K4" i="38"/>
  <c r="P4" i="38"/>
  <c r="Q4" i="38"/>
  <c r="B5" i="38"/>
  <c r="E5" i="38"/>
  <c r="F5" i="38"/>
  <c r="I5" i="38"/>
  <c r="K5" i="38"/>
  <c r="P5" i="38"/>
  <c r="Q5" i="38"/>
  <c r="B6" i="38"/>
  <c r="E6" i="38"/>
  <c r="F6" i="38"/>
  <c r="I6" i="38"/>
  <c r="K6" i="38"/>
  <c r="P6" i="38"/>
  <c r="Q6" i="38"/>
  <c r="Q3" i="38"/>
  <c r="P3" i="38"/>
  <c r="K3" i="38"/>
  <c r="I3" i="38"/>
  <c r="F3" i="38"/>
  <c r="E3" i="38"/>
  <c r="G55" i="32"/>
  <c r="G58" i="32"/>
  <c r="J58" i="32" s="1"/>
  <c r="B13" i="31"/>
  <c r="E13" i="31"/>
  <c r="F13" i="31"/>
  <c r="I13" i="31"/>
  <c r="K13" i="31"/>
  <c r="P13" i="31"/>
  <c r="Q13" i="31"/>
  <c r="B14" i="31"/>
  <c r="E14" i="31"/>
  <c r="F14" i="31"/>
  <c r="I14" i="31"/>
  <c r="K14" i="31"/>
  <c r="P14" i="31"/>
  <c r="Q14" i="31"/>
  <c r="B15" i="31"/>
  <c r="E15" i="31"/>
  <c r="F15" i="31"/>
  <c r="I15" i="31"/>
  <c r="K15" i="31"/>
  <c r="P15" i="31"/>
  <c r="Q15" i="31"/>
  <c r="P57" i="37"/>
  <c r="S57" i="37"/>
  <c r="Q39" i="37"/>
  <c r="L38" i="37"/>
  <c r="O11" i="37"/>
  <c r="P11" i="37"/>
  <c r="R4" i="37"/>
  <c r="R20" i="37"/>
  <c r="Q20" i="37"/>
  <c r="R19" i="37"/>
  <c r="Q19" i="37"/>
  <c r="R18" i="37"/>
  <c r="Q18" i="37"/>
  <c r="N16" i="37"/>
  <c r="N15" i="37"/>
  <c r="R17" i="37"/>
  <c r="Q17" i="37"/>
  <c r="O22" i="37"/>
  <c r="P22" i="37"/>
  <c r="Q21" i="37"/>
  <c r="R21" i="37"/>
  <c r="Q21" i="31"/>
  <c r="N20" i="31"/>
  <c r="Q12" i="31"/>
  <c r="P12" i="31"/>
  <c r="K12" i="31"/>
  <c r="I12" i="31"/>
  <c r="F12" i="31"/>
  <c r="E12" i="31"/>
  <c r="B12" i="31"/>
  <c r="Q11" i="31"/>
  <c r="P11" i="31"/>
  <c r="K11" i="31"/>
  <c r="I11" i="31"/>
  <c r="F11" i="31"/>
  <c r="E11" i="31"/>
  <c r="B11" i="31"/>
  <c r="Q10" i="31"/>
  <c r="P10" i="31"/>
  <c r="K10" i="31"/>
  <c r="I10" i="31"/>
  <c r="F10" i="31"/>
  <c r="E10" i="31"/>
  <c r="B10" i="31"/>
  <c r="Q9" i="31"/>
  <c r="P9" i="31"/>
  <c r="K9" i="31"/>
  <c r="I9" i="31"/>
  <c r="F9" i="31"/>
  <c r="E9" i="31"/>
  <c r="B9" i="31"/>
  <c r="B5" i="31"/>
  <c r="E5" i="31"/>
  <c r="F5" i="31"/>
  <c r="I5" i="31"/>
  <c r="K5" i="31"/>
  <c r="P5" i="31"/>
  <c r="Q5" i="31"/>
  <c r="B6" i="31"/>
  <c r="E6" i="31"/>
  <c r="F6" i="31"/>
  <c r="I6" i="31"/>
  <c r="K6" i="31"/>
  <c r="P6" i="31"/>
  <c r="Q6" i="31"/>
  <c r="B7" i="31"/>
  <c r="E7" i="31"/>
  <c r="F7" i="31"/>
  <c r="I7" i="31"/>
  <c r="K7" i="31"/>
  <c r="P7" i="31"/>
  <c r="Q7" i="31"/>
  <c r="B8" i="31"/>
  <c r="E8" i="31"/>
  <c r="F8" i="31"/>
  <c r="I8" i="31"/>
  <c r="K8" i="31"/>
  <c r="P8" i="31"/>
  <c r="Q8" i="31"/>
  <c r="L12" i="35"/>
  <c r="L11" i="35"/>
  <c r="L10" i="35"/>
  <c r="E20" i="35" s="1"/>
  <c r="E21" i="35" s="1"/>
  <c r="L9" i="35"/>
  <c r="L8" i="35"/>
  <c r="L7" i="35"/>
  <c r="L6" i="35"/>
  <c r="L5" i="35"/>
  <c r="E15" i="35" s="1"/>
  <c r="L4" i="35"/>
  <c r="E7" i="35" s="1"/>
  <c r="L3" i="35"/>
  <c r="E3" i="35" s="1"/>
  <c r="E12" i="35" s="1"/>
  <c r="O7" i="34"/>
  <c r="E24" i="34" s="1"/>
  <c r="G24" i="34" s="1"/>
  <c r="O12" i="34"/>
  <c r="O11" i="34"/>
  <c r="E23" i="34" s="1"/>
  <c r="G23" i="34" s="1"/>
  <c r="O10" i="34"/>
  <c r="O9" i="34"/>
  <c r="O8" i="34"/>
  <c r="E25" i="34" s="1"/>
  <c r="O6" i="34"/>
  <c r="E16" i="34" s="1"/>
  <c r="G16" i="34" s="1"/>
  <c r="O4" i="34"/>
  <c r="E7" i="34" s="1"/>
  <c r="G7" i="34" s="1"/>
  <c r="O5" i="34"/>
  <c r="E15" i="34" s="1"/>
  <c r="G15" i="34" s="1"/>
  <c r="O3" i="34"/>
  <c r="E3" i="34" s="1"/>
  <c r="G42" i="32"/>
  <c r="J42" i="32" s="1"/>
  <c r="G41" i="32"/>
  <c r="J41" i="32" s="1"/>
  <c r="G30" i="32"/>
  <c r="J30" i="32" s="1"/>
  <c r="J29" i="32"/>
  <c r="G52" i="32"/>
  <c r="J52" i="32" s="1"/>
  <c r="G51" i="32"/>
  <c r="J51" i="32" s="1"/>
  <c r="G50" i="32"/>
  <c r="J50" i="32" s="1"/>
  <c r="G49" i="32"/>
  <c r="J49" i="32" s="1"/>
  <c r="G43" i="32"/>
  <c r="G39" i="32"/>
  <c r="J39" i="32" s="1"/>
  <c r="G37" i="32"/>
  <c r="J37" i="32" s="1"/>
  <c r="G36" i="32"/>
  <c r="J36" i="32" s="1"/>
  <c r="G34" i="32"/>
  <c r="J34" i="32" s="1"/>
  <c r="G33" i="32"/>
  <c r="J33" i="32" s="1"/>
  <c r="J31" i="32"/>
  <c r="G47" i="32"/>
  <c r="J47" i="32" s="1"/>
  <c r="J38" i="32"/>
  <c r="B18" i="31"/>
  <c r="E18" i="31"/>
  <c r="F18" i="31"/>
  <c r="I18" i="31"/>
  <c r="K18" i="31"/>
  <c r="P18" i="31"/>
  <c r="Q18" i="31"/>
  <c r="G26" i="32"/>
  <c r="J26" i="32" s="1"/>
  <c r="AD24" i="32" s="1"/>
  <c r="G7" i="32"/>
  <c r="AF4" i="32"/>
  <c r="AE4" i="32"/>
  <c r="AF16" i="32"/>
  <c r="AE16" i="32"/>
  <c r="AF24" i="32"/>
  <c r="AE24" i="32"/>
  <c r="AF12" i="32"/>
  <c r="AE12" i="32"/>
  <c r="AF11" i="32"/>
  <c r="AE11" i="32"/>
  <c r="AF10" i="32"/>
  <c r="AE10" i="32"/>
  <c r="AF9" i="32"/>
  <c r="AE9" i="32"/>
  <c r="AF8" i="32"/>
  <c r="AE8" i="32"/>
  <c r="G25" i="32"/>
  <c r="J25" i="32" s="1"/>
  <c r="AD22" i="32" s="1"/>
  <c r="G24" i="32"/>
  <c r="J24" i="32" s="1"/>
  <c r="AD21" i="32" s="1"/>
  <c r="G23" i="32"/>
  <c r="G21" i="32"/>
  <c r="G6" i="32"/>
  <c r="J21" i="32"/>
  <c r="AD19" i="32" s="1"/>
  <c r="J6" i="32"/>
  <c r="G16" i="32"/>
  <c r="G15" i="32"/>
  <c r="G4" i="32"/>
  <c r="J16" i="32"/>
  <c r="J15" i="32"/>
  <c r="J4" i="32"/>
  <c r="J3" i="32"/>
  <c r="J17" i="32"/>
  <c r="J13" i="32"/>
  <c r="J11" i="32"/>
  <c r="J10" i="32"/>
  <c r="J8" i="32"/>
  <c r="J7" i="32"/>
  <c r="J5" i="32"/>
  <c r="B9" i="30"/>
  <c r="E9" i="30"/>
  <c r="F9" i="30"/>
  <c r="I9" i="30"/>
  <c r="K9" i="30"/>
  <c r="P9" i="30"/>
  <c r="Q9" i="30"/>
  <c r="B10" i="30"/>
  <c r="E10" i="30"/>
  <c r="F10" i="30"/>
  <c r="I10" i="30"/>
  <c r="K10" i="30"/>
  <c r="P10" i="30"/>
  <c r="Q10" i="30"/>
  <c r="B11" i="30"/>
  <c r="E11" i="30"/>
  <c r="F11" i="30"/>
  <c r="I11" i="30"/>
  <c r="K11" i="30"/>
  <c r="P11" i="30"/>
  <c r="Q11" i="30"/>
  <c r="B8" i="30"/>
  <c r="E8" i="30"/>
  <c r="F8" i="30"/>
  <c r="I8" i="30"/>
  <c r="K8" i="30"/>
  <c r="P8" i="30"/>
  <c r="Q8" i="30"/>
  <c r="Q4" i="31"/>
  <c r="P4" i="31"/>
  <c r="K4" i="31"/>
  <c r="I4" i="31"/>
  <c r="F4" i="31"/>
  <c r="E4" i="31"/>
  <c r="B4" i="31"/>
  <c r="Q3" i="31"/>
  <c r="P3" i="31"/>
  <c r="K3" i="31"/>
  <c r="I3" i="31"/>
  <c r="F3" i="31"/>
  <c r="E3" i="31"/>
  <c r="B3" i="31"/>
  <c r="B4" i="30"/>
  <c r="E4" i="30"/>
  <c r="F4" i="30"/>
  <c r="I4" i="30"/>
  <c r="K4" i="30"/>
  <c r="P4" i="30"/>
  <c r="Q4" i="30"/>
  <c r="B5" i="30"/>
  <c r="E5" i="30"/>
  <c r="F5" i="30"/>
  <c r="I5" i="30"/>
  <c r="K5" i="30"/>
  <c r="P5" i="30"/>
  <c r="Q5" i="30"/>
  <c r="B6" i="30"/>
  <c r="E6" i="30"/>
  <c r="F6" i="30"/>
  <c r="I6" i="30"/>
  <c r="K6" i="30"/>
  <c r="P6" i="30"/>
  <c r="Q6" i="30"/>
  <c r="B7" i="30"/>
  <c r="E7" i="30"/>
  <c r="F7" i="30"/>
  <c r="I7" i="30"/>
  <c r="K7" i="30"/>
  <c r="P7" i="30"/>
  <c r="Q7" i="30"/>
  <c r="Q3" i="30"/>
  <c r="P3" i="30"/>
  <c r="K3" i="30"/>
  <c r="I3" i="30"/>
  <c r="F3" i="30"/>
  <c r="E3" i="30"/>
  <c r="B3" i="30"/>
  <c r="B15" i="29"/>
  <c r="E15" i="29"/>
  <c r="F15" i="29"/>
  <c r="I15" i="29"/>
  <c r="K15" i="29"/>
  <c r="P15" i="29"/>
  <c r="Q15" i="29"/>
  <c r="B16" i="29"/>
  <c r="E16" i="29"/>
  <c r="F16" i="29"/>
  <c r="I16" i="29"/>
  <c r="K16" i="29"/>
  <c r="P16" i="29"/>
  <c r="Q16" i="29"/>
  <c r="B17" i="29"/>
  <c r="E17" i="29"/>
  <c r="F17" i="29"/>
  <c r="I17" i="29"/>
  <c r="K17" i="29"/>
  <c r="P17" i="29"/>
  <c r="Q17" i="29"/>
  <c r="Q14" i="29"/>
  <c r="P14" i="29"/>
  <c r="K14" i="29"/>
  <c r="I14" i="29"/>
  <c r="F14" i="29"/>
  <c r="E14" i="29"/>
  <c r="B14" i="29"/>
  <c r="B13" i="29"/>
  <c r="E13" i="29"/>
  <c r="F13" i="29"/>
  <c r="I13" i="29"/>
  <c r="K13" i="29"/>
  <c r="P13" i="29"/>
  <c r="Q13" i="29"/>
  <c r="B7" i="29"/>
  <c r="E7" i="29"/>
  <c r="F7" i="29"/>
  <c r="I7" i="29"/>
  <c r="K7" i="29"/>
  <c r="P7" i="29"/>
  <c r="Q7" i="29"/>
  <c r="B8" i="29"/>
  <c r="E8" i="29"/>
  <c r="F8" i="29"/>
  <c r="I8" i="29"/>
  <c r="K8" i="29"/>
  <c r="P8" i="29"/>
  <c r="Q8" i="29"/>
  <c r="B9" i="29"/>
  <c r="E9" i="29"/>
  <c r="F9" i="29"/>
  <c r="I9" i="29"/>
  <c r="K9" i="29"/>
  <c r="P9" i="29"/>
  <c r="Q9" i="29"/>
  <c r="B10" i="29"/>
  <c r="E10" i="29"/>
  <c r="F10" i="29"/>
  <c r="I10" i="29"/>
  <c r="K10" i="29"/>
  <c r="P10" i="29"/>
  <c r="Q10" i="29"/>
  <c r="B11" i="29"/>
  <c r="E11" i="29"/>
  <c r="F11" i="29"/>
  <c r="I11" i="29"/>
  <c r="K11" i="29"/>
  <c r="P11" i="29"/>
  <c r="Q11" i="29"/>
  <c r="B12" i="29"/>
  <c r="E12" i="29"/>
  <c r="F12" i="29"/>
  <c r="I12" i="29"/>
  <c r="K12" i="29"/>
  <c r="P12" i="29"/>
  <c r="Q12" i="29"/>
  <c r="B6" i="29"/>
  <c r="E6" i="29"/>
  <c r="F6" i="29"/>
  <c r="I6" i="29"/>
  <c r="K6" i="29"/>
  <c r="P6" i="29"/>
  <c r="Q6" i="29"/>
  <c r="B4" i="29"/>
  <c r="E4" i="29"/>
  <c r="F4" i="29"/>
  <c r="I4" i="29"/>
  <c r="K4" i="29"/>
  <c r="P4" i="29"/>
  <c r="Q4" i="29"/>
  <c r="B5" i="29"/>
  <c r="E5" i="29"/>
  <c r="F5" i="29"/>
  <c r="I5" i="29"/>
  <c r="K5" i="29"/>
  <c r="P5" i="29"/>
  <c r="Q5" i="29"/>
  <c r="Q17" i="28"/>
  <c r="P17" i="28"/>
  <c r="K17" i="28"/>
  <c r="I17" i="28"/>
  <c r="F17" i="28"/>
  <c r="E17" i="28"/>
  <c r="B17" i="28"/>
  <c r="Q16" i="28"/>
  <c r="P16" i="28"/>
  <c r="K16" i="28"/>
  <c r="I16" i="28"/>
  <c r="F16" i="28"/>
  <c r="E16" i="28"/>
  <c r="B16" i="28"/>
  <c r="Q15" i="28"/>
  <c r="P15" i="28"/>
  <c r="K15" i="28"/>
  <c r="I15" i="28"/>
  <c r="F15" i="28"/>
  <c r="E15" i="28"/>
  <c r="B15" i="28"/>
  <c r="Q14" i="28"/>
  <c r="P14" i="28"/>
  <c r="K14" i="28"/>
  <c r="I14" i="28"/>
  <c r="F14" i="28"/>
  <c r="E14" i="28"/>
  <c r="B14" i="28"/>
  <c r="Q13" i="28"/>
  <c r="P13" i="28"/>
  <c r="K13" i="28"/>
  <c r="I13" i="28"/>
  <c r="F13" i="28"/>
  <c r="E13" i="28"/>
  <c r="B13" i="28"/>
  <c r="Q12" i="28"/>
  <c r="P12" i="28"/>
  <c r="K12" i="28"/>
  <c r="I12" i="28"/>
  <c r="F12" i="28"/>
  <c r="E12" i="28"/>
  <c r="B12" i="28"/>
  <c r="Q11" i="28"/>
  <c r="P11" i="28"/>
  <c r="K11" i="28"/>
  <c r="I11" i="28"/>
  <c r="F11" i="28"/>
  <c r="E11" i="28"/>
  <c r="B11" i="28"/>
  <c r="Q10" i="28"/>
  <c r="P10" i="28"/>
  <c r="K10" i="28"/>
  <c r="I10" i="28"/>
  <c r="F10" i="28"/>
  <c r="E10" i="28"/>
  <c r="B10" i="28"/>
  <c r="Q3" i="29"/>
  <c r="P3" i="29"/>
  <c r="K3" i="29"/>
  <c r="I3" i="29"/>
  <c r="F3" i="29"/>
  <c r="E3" i="29"/>
  <c r="B3" i="29"/>
  <c r="B14" i="24"/>
  <c r="E14" i="24"/>
  <c r="F14" i="24"/>
  <c r="I14" i="24"/>
  <c r="K14" i="24"/>
  <c r="P14" i="24"/>
  <c r="Q14" i="24"/>
  <c r="B15" i="24"/>
  <c r="E15" i="24"/>
  <c r="F15" i="24"/>
  <c r="I15" i="24"/>
  <c r="K15" i="24"/>
  <c r="P15" i="24"/>
  <c r="Q15" i="24"/>
  <c r="B16" i="24"/>
  <c r="E16" i="24"/>
  <c r="F16" i="24"/>
  <c r="I16" i="24"/>
  <c r="K16" i="24"/>
  <c r="P16" i="24"/>
  <c r="Q16" i="24"/>
  <c r="B13" i="24"/>
  <c r="E13" i="24"/>
  <c r="F13" i="24"/>
  <c r="I13" i="24"/>
  <c r="K13" i="24"/>
  <c r="P13" i="24"/>
  <c r="Q13" i="24"/>
  <c r="B6" i="24"/>
  <c r="E6" i="24"/>
  <c r="F6" i="24"/>
  <c r="I6" i="24"/>
  <c r="K6" i="24"/>
  <c r="P6" i="24"/>
  <c r="Q6" i="24"/>
  <c r="B7" i="24"/>
  <c r="E7" i="24"/>
  <c r="F7" i="24"/>
  <c r="I7" i="24"/>
  <c r="K7" i="24"/>
  <c r="P7" i="24"/>
  <c r="Q7" i="24"/>
  <c r="B8" i="24"/>
  <c r="E8" i="24"/>
  <c r="F8" i="24"/>
  <c r="I8" i="24"/>
  <c r="K8" i="24"/>
  <c r="P8" i="24"/>
  <c r="Q8" i="24"/>
  <c r="B9" i="24"/>
  <c r="E9" i="24"/>
  <c r="F9" i="24"/>
  <c r="I9" i="24"/>
  <c r="K9" i="24"/>
  <c r="P9" i="24"/>
  <c r="Q9" i="24"/>
  <c r="B10" i="24"/>
  <c r="E10" i="24"/>
  <c r="F10" i="24"/>
  <c r="I10" i="24"/>
  <c r="K10" i="24"/>
  <c r="P10" i="24"/>
  <c r="Q10" i="24"/>
  <c r="B11" i="24"/>
  <c r="E11" i="24"/>
  <c r="F11" i="24"/>
  <c r="I11" i="24"/>
  <c r="K11" i="24"/>
  <c r="P11" i="24"/>
  <c r="Q11" i="24"/>
  <c r="B12" i="24"/>
  <c r="E12" i="24"/>
  <c r="F12" i="24"/>
  <c r="I12" i="24"/>
  <c r="K12" i="24"/>
  <c r="P12" i="24"/>
  <c r="Q12" i="24"/>
  <c r="B5" i="28"/>
  <c r="E5" i="28"/>
  <c r="F5" i="28"/>
  <c r="I5" i="28"/>
  <c r="K5" i="28"/>
  <c r="P5" i="28"/>
  <c r="Q5" i="28"/>
  <c r="B6" i="28"/>
  <c r="E6" i="28"/>
  <c r="F6" i="28"/>
  <c r="I6" i="28"/>
  <c r="K6" i="28"/>
  <c r="P6" i="28"/>
  <c r="Q6" i="28"/>
  <c r="B7" i="28"/>
  <c r="E7" i="28"/>
  <c r="F7" i="28"/>
  <c r="I7" i="28"/>
  <c r="K7" i="28"/>
  <c r="P7" i="28"/>
  <c r="Q7" i="28"/>
  <c r="B8" i="28"/>
  <c r="E8" i="28"/>
  <c r="F8" i="28"/>
  <c r="I8" i="28"/>
  <c r="K8" i="28"/>
  <c r="P8" i="28"/>
  <c r="Q8" i="28"/>
  <c r="Q9" i="28"/>
  <c r="P9" i="28"/>
  <c r="K9" i="28"/>
  <c r="I9" i="28"/>
  <c r="F9" i="28"/>
  <c r="E9" i="28"/>
  <c r="B9" i="28"/>
  <c r="Q4" i="28"/>
  <c r="P4" i="28"/>
  <c r="K4" i="28"/>
  <c r="I4" i="28"/>
  <c r="F4" i="28"/>
  <c r="E4" i="28"/>
  <c r="B4" i="28"/>
  <c r="Q3" i="28"/>
  <c r="P3" i="28"/>
  <c r="K3" i="28"/>
  <c r="I3" i="28"/>
  <c r="F3" i="28"/>
  <c r="E3" i="28"/>
  <c r="B3" i="28"/>
  <c r="Q18" i="27"/>
  <c r="P18" i="27"/>
  <c r="K18" i="27"/>
  <c r="I18" i="27"/>
  <c r="F18" i="27"/>
  <c r="E18" i="27"/>
  <c r="B18" i="27"/>
  <c r="Q17" i="27"/>
  <c r="P17" i="27"/>
  <c r="K17" i="27"/>
  <c r="I17" i="27"/>
  <c r="F17" i="27"/>
  <c r="E17" i="27"/>
  <c r="B17" i="27"/>
  <c r="Q16" i="27"/>
  <c r="P16" i="27"/>
  <c r="K16" i="27"/>
  <c r="I16" i="27"/>
  <c r="F16" i="27"/>
  <c r="E16" i="27"/>
  <c r="B16" i="27"/>
  <c r="Q15" i="27"/>
  <c r="P15" i="27"/>
  <c r="K15" i="27"/>
  <c r="I15" i="27"/>
  <c r="F15" i="27"/>
  <c r="E15" i="27"/>
  <c r="B15" i="27"/>
  <c r="Q14" i="27"/>
  <c r="P14" i="27"/>
  <c r="K14" i="27"/>
  <c r="I14" i="27"/>
  <c r="F14" i="27"/>
  <c r="E14" i="27"/>
  <c r="B14" i="27"/>
  <c r="Q13" i="27"/>
  <c r="P13" i="27"/>
  <c r="K13" i="27"/>
  <c r="I13" i="27"/>
  <c r="F13" i="27"/>
  <c r="E13" i="27"/>
  <c r="B13" i="27"/>
  <c r="Q12" i="27"/>
  <c r="P12" i="27"/>
  <c r="K12" i="27"/>
  <c r="I12" i="27"/>
  <c r="F12" i="27"/>
  <c r="E12" i="27"/>
  <c r="B12" i="27"/>
  <c r="Q11" i="27"/>
  <c r="P11" i="27"/>
  <c r="K11" i="27"/>
  <c r="I11" i="27"/>
  <c r="F11" i="27"/>
  <c r="E11" i="27"/>
  <c r="B11" i="27"/>
  <c r="Q10" i="27"/>
  <c r="P10" i="27"/>
  <c r="K10" i="27"/>
  <c r="I10" i="27"/>
  <c r="F10" i="27"/>
  <c r="E10" i="27"/>
  <c r="B10" i="27"/>
  <c r="Q9" i="27"/>
  <c r="P9" i="27"/>
  <c r="K9" i="27"/>
  <c r="I9" i="27"/>
  <c r="F9" i="27"/>
  <c r="E9" i="27"/>
  <c r="B9" i="27"/>
  <c r="Q8" i="27"/>
  <c r="P8" i="27"/>
  <c r="K8" i="27"/>
  <c r="I8" i="27"/>
  <c r="F8" i="27"/>
  <c r="E8" i="27"/>
  <c r="B8" i="27"/>
  <c r="B4" i="24"/>
  <c r="E4" i="24"/>
  <c r="F4" i="24"/>
  <c r="I4" i="24"/>
  <c r="K4" i="24"/>
  <c r="P4" i="24"/>
  <c r="Q4" i="24"/>
  <c r="B5" i="24"/>
  <c r="E5" i="24"/>
  <c r="F5" i="24"/>
  <c r="I5" i="24"/>
  <c r="K5" i="24"/>
  <c r="P5" i="24"/>
  <c r="Q5" i="24"/>
  <c r="B6" i="27"/>
  <c r="E6" i="27"/>
  <c r="F6" i="27"/>
  <c r="I6" i="27"/>
  <c r="K6" i="27"/>
  <c r="P6" i="27"/>
  <c r="Q6" i="27"/>
  <c r="B7" i="27"/>
  <c r="E7" i="27"/>
  <c r="F7" i="27"/>
  <c r="I7" i="27"/>
  <c r="K7" i="27"/>
  <c r="P7" i="27"/>
  <c r="Q7" i="27"/>
  <c r="B3" i="27"/>
  <c r="E3" i="27"/>
  <c r="F3" i="27"/>
  <c r="I3" i="27"/>
  <c r="K3" i="27"/>
  <c r="P3" i="27"/>
  <c r="Q3" i="27"/>
  <c r="B4" i="27"/>
  <c r="E4" i="27"/>
  <c r="F4" i="27"/>
  <c r="I4" i="27"/>
  <c r="K4" i="27"/>
  <c r="P4" i="27"/>
  <c r="Q4" i="27"/>
  <c r="B5" i="27"/>
  <c r="E5" i="27"/>
  <c r="F5" i="27"/>
  <c r="I5" i="27"/>
  <c r="K5" i="27"/>
  <c r="P5" i="27"/>
  <c r="Q5" i="27"/>
  <c r="B14" i="23"/>
  <c r="E14" i="23"/>
  <c r="F14" i="23"/>
  <c r="I14" i="23"/>
  <c r="K14" i="23"/>
  <c r="P14" i="23"/>
  <c r="Q14" i="23"/>
  <c r="B15" i="23"/>
  <c r="E15" i="23"/>
  <c r="F15" i="23"/>
  <c r="I15" i="23"/>
  <c r="K15" i="23"/>
  <c r="P15" i="23"/>
  <c r="Q15" i="23"/>
  <c r="B16" i="23"/>
  <c r="E16" i="23"/>
  <c r="F16" i="23"/>
  <c r="I16" i="23"/>
  <c r="K16" i="23"/>
  <c r="P16" i="23"/>
  <c r="Q16" i="23"/>
  <c r="B17" i="23"/>
  <c r="E17" i="23"/>
  <c r="F17" i="23"/>
  <c r="I17" i="23"/>
  <c r="K17" i="23"/>
  <c r="P17" i="23"/>
  <c r="Q17" i="23"/>
  <c r="B18" i="23"/>
  <c r="E18" i="23"/>
  <c r="F18" i="23"/>
  <c r="I18" i="23"/>
  <c r="K18" i="23"/>
  <c r="P18" i="23"/>
  <c r="Q18" i="23"/>
  <c r="B13" i="23"/>
  <c r="E13" i="23"/>
  <c r="F13" i="23"/>
  <c r="I13" i="23"/>
  <c r="K13" i="23"/>
  <c r="P13" i="23"/>
  <c r="Q13" i="23"/>
  <c r="B12" i="23"/>
  <c r="Q3" i="24"/>
  <c r="P3" i="24"/>
  <c r="K3" i="24"/>
  <c r="I3" i="24"/>
  <c r="F3" i="24"/>
  <c r="E3" i="24"/>
  <c r="B3" i="24"/>
  <c r="B6" i="23"/>
  <c r="E6" i="23"/>
  <c r="F6" i="23"/>
  <c r="I6" i="23"/>
  <c r="K6" i="23"/>
  <c r="P6" i="23"/>
  <c r="Q6" i="23"/>
  <c r="B7" i="23"/>
  <c r="E7" i="23"/>
  <c r="F7" i="23"/>
  <c r="I7" i="23"/>
  <c r="K7" i="23"/>
  <c r="P7" i="23"/>
  <c r="Q7" i="23"/>
  <c r="B8" i="23"/>
  <c r="E8" i="23"/>
  <c r="F8" i="23"/>
  <c r="I8" i="23"/>
  <c r="K8" i="23"/>
  <c r="P8" i="23"/>
  <c r="Q8" i="23"/>
  <c r="B9" i="23"/>
  <c r="E9" i="23"/>
  <c r="F9" i="23"/>
  <c r="I9" i="23"/>
  <c r="K9" i="23"/>
  <c r="P9" i="23"/>
  <c r="Q9" i="23"/>
  <c r="B10" i="23"/>
  <c r="E10" i="23"/>
  <c r="F10" i="23"/>
  <c r="I10" i="23"/>
  <c r="K10" i="23"/>
  <c r="P10" i="23"/>
  <c r="Q10" i="23"/>
  <c r="B11" i="23"/>
  <c r="E11" i="23"/>
  <c r="F11" i="23"/>
  <c r="I11" i="23"/>
  <c r="K11" i="23"/>
  <c r="P11" i="23"/>
  <c r="Q11" i="23"/>
  <c r="E12" i="23"/>
  <c r="F12" i="23"/>
  <c r="I12" i="23"/>
  <c r="K12" i="23"/>
  <c r="P12" i="23"/>
  <c r="Q12" i="23"/>
  <c r="B4" i="23"/>
  <c r="E4" i="23"/>
  <c r="F4" i="23"/>
  <c r="I4" i="23"/>
  <c r="K4" i="23"/>
  <c r="P4" i="23"/>
  <c r="Q4" i="23"/>
  <c r="B5" i="23"/>
  <c r="E5" i="23"/>
  <c r="F5" i="23"/>
  <c r="I5" i="23"/>
  <c r="K5" i="23"/>
  <c r="P5" i="23"/>
  <c r="Q5" i="23"/>
  <c r="B17" i="21"/>
  <c r="E17" i="21"/>
  <c r="F17" i="21"/>
  <c r="I17" i="21"/>
  <c r="K17" i="21"/>
  <c r="P17" i="21"/>
  <c r="Q17" i="21"/>
  <c r="B8" i="21"/>
  <c r="E8" i="21"/>
  <c r="F8" i="21"/>
  <c r="I8" i="21"/>
  <c r="K8" i="21"/>
  <c r="P8" i="21"/>
  <c r="Q8" i="21"/>
  <c r="B9" i="21"/>
  <c r="E9" i="21"/>
  <c r="F9" i="21"/>
  <c r="I9" i="21"/>
  <c r="K9" i="21"/>
  <c r="P9" i="21"/>
  <c r="Q9" i="21"/>
  <c r="B10" i="21"/>
  <c r="E10" i="21"/>
  <c r="F10" i="21"/>
  <c r="I10" i="21"/>
  <c r="K10" i="21"/>
  <c r="P10" i="21"/>
  <c r="Q10" i="21"/>
  <c r="B11" i="21"/>
  <c r="E11" i="21"/>
  <c r="F11" i="21"/>
  <c r="I11" i="21"/>
  <c r="K11" i="21"/>
  <c r="P11" i="21"/>
  <c r="Q11" i="21"/>
  <c r="B12" i="21"/>
  <c r="E12" i="21"/>
  <c r="F12" i="21"/>
  <c r="I12" i="21"/>
  <c r="K12" i="21"/>
  <c r="P12" i="21"/>
  <c r="Q12" i="21"/>
  <c r="B13" i="21"/>
  <c r="E13" i="21"/>
  <c r="F13" i="21"/>
  <c r="I13" i="21"/>
  <c r="K13" i="21"/>
  <c r="P13" i="21"/>
  <c r="Q13" i="21"/>
  <c r="B14" i="21"/>
  <c r="E14" i="21"/>
  <c r="F14" i="21"/>
  <c r="I14" i="21"/>
  <c r="K14" i="21"/>
  <c r="P14" i="21"/>
  <c r="Q14" i="21"/>
  <c r="B15" i="21"/>
  <c r="E15" i="21"/>
  <c r="F15" i="21"/>
  <c r="I15" i="21"/>
  <c r="K15" i="21"/>
  <c r="P15" i="21"/>
  <c r="Q15" i="21"/>
  <c r="B16" i="21"/>
  <c r="E16" i="21"/>
  <c r="F16" i="21"/>
  <c r="I16" i="21"/>
  <c r="K16" i="21"/>
  <c r="P16" i="21"/>
  <c r="Q16" i="21"/>
  <c r="Q3" i="23"/>
  <c r="P3" i="23"/>
  <c r="K3" i="23"/>
  <c r="I3" i="23"/>
  <c r="F3" i="23"/>
  <c r="E3" i="23"/>
  <c r="B3" i="23"/>
  <c r="B4" i="19"/>
  <c r="E4" i="19"/>
  <c r="F4" i="19"/>
  <c r="I4" i="19"/>
  <c r="K4" i="19"/>
  <c r="P4" i="19"/>
  <c r="Q4" i="19"/>
  <c r="B5" i="19"/>
  <c r="E5" i="19"/>
  <c r="F5" i="19"/>
  <c r="I5" i="19"/>
  <c r="K5" i="19"/>
  <c r="P5" i="19"/>
  <c r="Q5" i="19"/>
  <c r="B6" i="19"/>
  <c r="E6" i="19"/>
  <c r="F6" i="19"/>
  <c r="I6" i="19"/>
  <c r="K6" i="19"/>
  <c r="P6" i="19"/>
  <c r="Q6" i="19"/>
  <c r="B7" i="19"/>
  <c r="E7" i="19"/>
  <c r="F7" i="19"/>
  <c r="I7" i="19"/>
  <c r="K7" i="19"/>
  <c r="P7" i="19"/>
  <c r="Q7" i="19"/>
  <c r="B8" i="19"/>
  <c r="E8" i="19"/>
  <c r="F8" i="19"/>
  <c r="I8" i="19"/>
  <c r="K8" i="19"/>
  <c r="P8" i="19"/>
  <c r="Q8" i="19"/>
  <c r="B9" i="19"/>
  <c r="E9" i="19"/>
  <c r="F9" i="19"/>
  <c r="I9" i="19"/>
  <c r="K9" i="19"/>
  <c r="P9" i="19"/>
  <c r="Q9" i="19"/>
  <c r="B10" i="19"/>
  <c r="E10" i="19"/>
  <c r="F10" i="19"/>
  <c r="I10" i="19"/>
  <c r="K10" i="19"/>
  <c r="P10" i="19"/>
  <c r="Q10" i="19"/>
  <c r="B11" i="19"/>
  <c r="E11" i="19"/>
  <c r="F11" i="19"/>
  <c r="I11" i="19"/>
  <c r="K11" i="19"/>
  <c r="P11" i="19"/>
  <c r="Q11" i="19"/>
  <c r="B12" i="19"/>
  <c r="E12" i="19"/>
  <c r="F12" i="19"/>
  <c r="I12" i="19"/>
  <c r="K12" i="19"/>
  <c r="P12" i="19"/>
  <c r="Q12" i="19"/>
  <c r="B13" i="19"/>
  <c r="E13" i="19"/>
  <c r="F13" i="19"/>
  <c r="I13" i="19"/>
  <c r="K13" i="19"/>
  <c r="P13" i="19"/>
  <c r="Q13" i="19"/>
  <c r="B14" i="19"/>
  <c r="E14" i="19"/>
  <c r="F14" i="19"/>
  <c r="I14" i="19"/>
  <c r="K14" i="19"/>
  <c r="P14" i="19"/>
  <c r="Q14" i="19"/>
  <c r="B15" i="19"/>
  <c r="E15" i="19"/>
  <c r="F15" i="19"/>
  <c r="I15" i="19"/>
  <c r="K15" i="19"/>
  <c r="P15" i="19"/>
  <c r="Q15" i="19"/>
  <c r="B16" i="19"/>
  <c r="E16" i="19"/>
  <c r="F16" i="19"/>
  <c r="I16" i="19"/>
  <c r="K16" i="19"/>
  <c r="P16" i="19"/>
  <c r="Q16" i="19"/>
  <c r="B17" i="19"/>
  <c r="E17" i="19"/>
  <c r="F17" i="19"/>
  <c r="I17" i="19"/>
  <c r="K17" i="19"/>
  <c r="P17" i="19"/>
  <c r="Q17" i="19"/>
  <c r="B7" i="21"/>
  <c r="E7" i="21"/>
  <c r="F7" i="21"/>
  <c r="I7" i="21"/>
  <c r="K7" i="21"/>
  <c r="P7" i="21"/>
  <c r="Q7" i="21"/>
  <c r="BI13" i="20"/>
  <c r="BI14" i="20"/>
  <c r="BH48" i="20"/>
  <c r="BG48" i="20"/>
  <c r="BG50" i="20" s="1"/>
  <c r="BF48" i="20"/>
  <c r="BE24" i="20"/>
  <c r="BC30" i="20"/>
  <c r="B4" i="21"/>
  <c r="E4" i="21"/>
  <c r="F4" i="21"/>
  <c r="I4" i="21"/>
  <c r="K4" i="21"/>
  <c r="P4" i="21"/>
  <c r="Q4" i="21"/>
  <c r="B5" i="21"/>
  <c r="E5" i="21"/>
  <c r="F5" i="21"/>
  <c r="I5" i="21"/>
  <c r="K5" i="21"/>
  <c r="P5" i="21"/>
  <c r="Q5" i="21"/>
  <c r="B6" i="21"/>
  <c r="E6" i="21"/>
  <c r="F6" i="21"/>
  <c r="I6" i="21"/>
  <c r="K6" i="21"/>
  <c r="P6" i="21"/>
  <c r="Q6" i="21"/>
  <c r="Q3" i="21"/>
  <c r="P3" i="21"/>
  <c r="K3" i="21"/>
  <c r="I3" i="21"/>
  <c r="F3" i="21"/>
  <c r="E3" i="21"/>
  <c r="B3" i="21"/>
  <c r="AA28" i="14"/>
  <c r="AA29" i="14"/>
  <c r="AA30" i="14" s="1"/>
  <c r="Y32" i="14" s="1"/>
  <c r="BA15" i="10"/>
  <c r="Q3" i="19"/>
  <c r="P3" i="19"/>
  <c r="K3" i="19"/>
  <c r="I3" i="19"/>
  <c r="F3" i="19"/>
  <c r="E3" i="19"/>
  <c r="B3" i="19"/>
  <c r="Q9" i="17"/>
  <c r="Q10" i="17"/>
  <c r="Q11" i="17"/>
  <c r="Q12" i="17"/>
  <c r="Q13" i="17"/>
  <c r="Q14" i="17"/>
  <c r="Q15" i="17"/>
  <c r="Q16" i="17"/>
  <c r="Q17" i="17"/>
  <c r="Q18" i="17"/>
  <c r="P9" i="17"/>
  <c r="P10" i="17"/>
  <c r="P11" i="17"/>
  <c r="P12" i="17"/>
  <c r="P13" i="17"/>
  <c r="P14" i="17"/>
  <c r="P15" i="17"/>
  <c r="P16" i="17"/>
  <c r="P17" i="17"/>
  <c r="P18" i="17"/>
  <c r="K9" i="17"/>
  <c r="K10" i="17"/>
  <c r="K11" i="17"/>
  <c r="K12" i="17"/>
  <c r="K13" i="17"/>
  <c r="K14" i="17"/>
  <c r="K15" i="17"/>
  <c r="K16" i="17"/>
  <c r="K17" i="17"/>
  <c r="K18" i="17"/>
  <c r="I9" i="17"/>
  <c r="I10" i="17"/>
  <c r="I11" i="17"/>
  <c r="I12" i="17"/>
  <c r="I13" i="17"/>
  <c r="I14" i="17"/>
  <c r="I15" i="17"/>
  <c r="I16" i="17"/>
  <c r="I17" i="17"/>
  <c r="I18" i="17"/>
  <c r="F9" i="17"/>
  <c r="F10" i="17"/>
  <c r="F11" i="17"/>
  <c r="F12" i="17"/>
  <c r="F13" i="17"/>
  <c r="F14" i="17"/>
  <c r="F15" i="17"/>
  <c r="F16" i="17"/>
  <c r="F17" i="17"/>
  <c r="F18" i="17"/>
  <c r="E9" i="17"/>
  <c r="E10" i="17"/>
  <c r="E11" i="17"/>
  <c r="E12" i="17"/>
  <c r="E13" i="17"/>
  <c r="E14" i="17"/>
  <c r="E15" i="17"/>
  <c r="E16" i="17"/>
  <c r="E17" i="17"/>
  <c r="E18" i="17"/>
  <c r="B9" i="17"/>
  <c r="B10" i="17"/>
  <c r="B11" i="17"/>
  <c r="B12" i="17"/>
  <c r="B13" i="17"/>
  <c r="B14" i="17"/>
  <c r="B15" i="17"/>
  <c r="B16" i="17"/>
  <c r="B17" i="17"/>
  <c r="B18" i="17"/>
  <c r="Q8" i="17"/>
  <c r="P8" i="17"/>
  <c r="K8" i="17"/>
  <c r="I8" i="17"/>
  <c r="F8" i="17"/>
  <c r="E8" i="17"/>
  <c r="B8" i="17"/>
  <c r="Q7" i="17"/>
  <c r="P7" i="17"/>
  <c r="K7" i="17"/>
  <c r="I7" i="17"/>
  <c r="F7" i="17"/>
  <c r="E7" i="17"/>
  <c r="B7" i="17"/>
  <c r="Q6" i="17"/>
  <c r="P6" i="17"/>
  <c r="K6" i="17"/>
  <c r="I6" i="17"/>
  <c r="F6" i="17"/>
  <c r="E6" i="17"/>
  <c r="B6" i="17"/>
  <c r="Q5" i="17"/>
  <c r="P5" i="17"/>
  <c r="K5" i="17"/>
  <c r="I5" i="17"/>
  <c r="F5" i="17"/>
  <c r="E5" i="17"/>
  <c r="B5" i="17"/>
  <c r="Q4" i="17"/>
  <c r="P4" i="17"/>
  <c r="K4" i="17"/>
  <c r="I4" i="17"/>
  <c r="F4" i="17"/>
  <c r="E4" i="17"/>
  <c r="B4" i="17"/>
  <c r="Q3" i="17"/>
  <c r="P3" i="17"/>
  <c r="K3" i="17"/>
  <c r="I3" i="17"/>
  <c r="F3" i="17"/>
  <c r="E3" i="17"/>
  <c r="B3" i="17"/>
  <c r="F18" i="16"/>
  <c r="B18" i="16"/>
  <c r="Q17" i="16"/>
  <c r="P17" i="16"/>
  <c r="K17" i="16"/>
  <c r="I17" i="16"/>
  <c r="F17" i="16"/>
  <c r="E17" i="16"/>
  <c r="B17" i="16"/>
  <c r="Q16" i="16"/>
  <c r="P16" i="16"/>
  <c r="K16" i="16"/>
  <c r="I16" i="16"/>
  <c r="F16" i="16"/>
  <c r="E16" i="16"/>
  <c r="B16" i="16"/>
  <c r="Q15" i="16"/>
  <c r="P15" i="16"/>
  <c r="K15" i="16"/>
  <c r="I15" i="16"/>
  <c r="F15" i="16"/>
  <c r="E15" i="16"/>
  <c r="B15" i="16"/>
  <c r="Q14" i="16"/>
  <c r="P14" i="16"/>
  <c r="K14" i="16"/>
  <c r="I14" i="16"/>
  <c r="F14" i="16"/>
  <c r="E14" i="16"/>
  <c r="B14" i="16"/>
  <c r="Q13" i="16"/>
  <c r="P13" i="16"/>
  <c r="K13" i="16"/>
  <c r="I13" i="16"/>
  <c r="F13" i="16"/>
  <c r="E13" i="16"/>
  <c r="B13" i="16"/>
  <c r="Q12" i="16"/>
  <c r="P12" i="16"/>
  <c r="K12" i="16"/>
  <c r="I12" i="16"/>
  <c r="F12" i="16"/>
  <c r="E12" i="16"/>
  <c r="B12" i="16"/>
  <c r="Q11" i="16"/>
  <c r="P11" i="16"/>
  <c r="K11" i="16"/>
  <c r="I11" i="16"/>
  <c r="F11" i="16"/>
  <c r="E11" i="16"/>
  <c r="B11" i="16"/>
  <c r="Q10" i="16"/>
  <c r="P10" i="16"/>
  <c r="K10" i="16"/>
  <c r="I10" i="16"/>
  <c r="F10" i="16"/>
  <c r="E10" i="16"/>
  <c r="B10" i="16"/>
  <c r="Q9" i="16"/>
  <c r="P9" i="16"/>
  <c r="K9" i="16"/>
  <c r="I9" i="16"/>
  <c r="F9" i="16"/>
  <c r="E9" i="16"/>
  <c r="B9" i="16"/>
  <c r="Q8" i="16"/>
  <c r="P8" i="16"/>
  <c r="K8" i="16"/>
  <c r="I8" i="16"/>
  <c r="F8" i="16"/>
  <c r="E8" i="16"/>
  <c r="B8" i="16"/>
  <c r="Q7" i="16"/>
  <c r="P7" i="16"/>
  <c r="K7" i="16"/>
  <c r="I7" i="16"/>
  <c r="F7" i="16"/>
  <c r="E7" i="16"/>
  <c r="B7" i="16"/>
  <c r="Q6" i="16"/>
  <c r="P6" i="16"/>
  <c r="K6" i="16"/>
  <c r="I6" i="16"/>
  <c r="F6" i="16"/>
  <c r="E6" i="16"/>
  <c r="B6" i="16"/>
  <c r="Q5" i="16"/>
  <c r="P5" i="16"/>
  <c r="K5" i="16"/>
  <c r="I5" i="16"/>
  <c r="F5" i="16"/>
  <c r="E5" i="16"/>
  <c r="B5" i="16"/>
  <c r="Q4" i="16"/>
  <c r="P4" i="16"/>
  <c r="K4" i="16"/>
  <c r="I4" i="16"/>
  <c r="F4" i="16"/>
  <c r="E4" i="16"/>
  <c r="B4" i="16"/>
  <c r="Q3" i="16"/>
  <c r="P3" i="16"/>
  <c r="K3" i="16"/>
  <c r="I3" i="16"/>
  <c r="F3" i="16"/>
  <c r="E3" i="16"/>
  <c r="B3" i="16"/>
  <c r="P7" i="14"/>
  <c r="E7" i="14"/>
  <c r="P11" i="11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3" i="14"/>
  <c r="E3" i="14"/>
  <c r="B18" i="14"/>
  <c r="Q17" i="14"/>
  <c r="P17" i="14"/>
  <c r="K17" i="14"/>
  <c r="I17" i="14"/>
  <c r="E17" i="14"/>
  <c r="B17" i="14"/>
  <c r="Q16" i="14"/>
  <c r="P16" i="14"/>
  <c r="K16" i="14"/>
  <c r="I16" i="14"/>
  <c r="E16" i="14"/>
  <c r="B16" i="14"/>
  <c r="Q15" i="14"/>
  <c r="P15" i="14"/>
  <c r="K15" i="14"/>
  <c r="I15" i="14"/>
  <c r="E15" i="14"/>
  <c r="B15" i="14"/>
  <c r="Q14" i="14"/>
  <c r="P14" i="14"/>
  <c r="K14" i="14"/>
  <c r="I14" i="14"/>
  <c r="E14" i="14"/>
  <c r="B14" i="14"/>
  <c r="Q13" i="14"/>
  <c r="P13" i="14"/>
  <c r="K13" i="14"/>
  <c r="I13" i="14"/>
  <c r="E13" i="14"/>
  <c r="B13" i="14"/>
  <c r="Q12" i="14"/>
  <c r="P12" i="14"/>
  <c r="K12" i="14"/>
  <c r="I12" i="14"/>
  <c r="E12" i="14"/>
  <c r="B12" i="14"/>
  <c r="Q11" i="14"/>
  <c r="P11" i="14"/>
  <c r="K11" i="14"/>
  <c r="I11" i="14"/>
  <c r="E11" i="14"/>
  <c r="B11" i="14"/>
  <c r="Q10" i="14"/>
  <c r="P10" i="14"/>
  <c r="K10" i="14"/>
  <c r="I10" i="14"/>
  <c r="E10" i="14"/>
  <c r="B10" i="14"/>
  <c r="Q9" i="14"/>
  <c r="P9" i="14"/>
  <c r="K9" i="14"/>
  <c r="I9" i="14"/>
  <c r="E9" i="14"/>
  <c r="B9" i="14"/>
  <c r="Q8" i="14"/>
  <c r="P8" i="14"/>
  <c r="K8" i="14"/>
  <c r="I8" i="14"/>
  <c r="E8" i="14"/>
  <c r="B8" i="14"/>
  <c r="Q7" i="14"/>
  <c r="K7" i="14"/>
  <c r="I7" i="14"/>
  <c r="B7" i="14"/>
  <c r="Q6" i="14"/>
  <c r="P6" i="14"/>
  <c r="K6" i="14"/>
  <c r="I6" i="14"/>
  <c r="E6" i="14"/>
  <c r="B6" i="14"/>
  <c r="Q5" i="14"/>
  <c r="P5" i="14"/>
  <c r="K5" i="14"/>
  <c r="I5" i="14"/>
  <c r="E5" i="14"/>
  <c r="B5" i="14"/>
  <c r="Q4" i="14"/>
  <c r="P4" i="14"/>
  <c r="K4" i="14"/>
  <c r="I4" i="14"/>
  <c r="E4" i="14"/>
  <c r="B4" i="14"/>
  <c r="Q3" i="14"/>
  <c r="P3" i="14"/>
  <c r="K3" i="14"/>
  <c r="I3" i="14"/>
  <c r="B3" i="14"/>
  <c r="P9" i="11"/>
  <c r="D40" i="11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B3" i="11"/>
  <c r="E3" i="11"/>
  <c r="I3" i="11"/>
  <c r="K3" i="11"/>
  <c r="P3" i="11"/>
  <c r="Q3" i="11"/>
  <c r="B4" i="11"/>
  <c r="E4" i="11"/>
  <c r="I4" i="11"/>
  <c r="K4" i="11"/>
  <c r="P4" i="11"/>
  <c r="Q4" i="11"/>
  <c r="B5" i="11"/>
  <c r="E5" i="11"/>
  <c r="I5" i="11"/>
  <c r="K5" i="11"/>
  <c r="P5" i="11"/>
  <c r="Q5" i="11"/>
  <c r="B6" i="11"/>
  <c r="E6" i="11"/>
  <c r="I6" i="11"/>
  <c r="K6" i="11"/>
  <c r="P6" i="11"/>
  <c r="Q6" i="11"/>
  <c r="B7" i="11"/>
  <c r="E7" i="11"/>
  <c r="I7" i="11"/>
  <c r="K7" i="11"/>
  <c r="P7" i="11"/>
  <c r="Q7" i="11"/>
  <c r="B8" i="11"/>
  <c r="E8" i="11"/>
  <c r="I8" i="11"/>
  <c r="K8" i="11"/>
  <c r="P8" i="11"/>
  <c r="Q8" i="11"/>
  <c r="B9" i="11"/>
  <c r="E9" i="11"/>
  <c r="I9" i="11"/>
  <c r="K9" i="11"/>
  <c r="Q9" i="11"/>
  <c r="B10" i="11"/>
  <c r="E10" i="11"/>
  <c r="I10" i="11"/>
  <c r="K10" i="11"/>
  <c r="P10" i="11"/>
  <c r="Q10" i="11"/>
  <c r="B11" i="11"/>
  <c r="E11" i="11"/>
  <c r="I11" i="11"/>
  <c r="K11" i="11"/>
  <c r="Q11" i="11"/>
  <c r="B12" i="11"/>
  <c r="E12" i="11"/>
  <c r="I12" i="11"/>
  <c r="K12" i="11"/>
  <c r="P12" i="11"/>
  <c r="Q12" i="11"/>
  <c r="B13" i="11"/>
  <c r="E13" i="11"/>
  <c r="I13" i="11"/>
  <c r="K13" i="11"/>
  <c r="P13" i="11"/>
  <c r="Q13" i="11"/>
  <c r="B14" i="11"/>
  <c r="E14" i="11"/>
  <c r="I14" i="11"/>
  <c r="K14" i="11"/>
  <c r="P14" i="11"/>
  <c r="Q14" i="11"/>
  <c r="B15" i="11"/>
  <c r="E15" i="11"/>
  <c r="I15" i="11"/>
  <c r="K15" i="11"/>
  <c r="P15" i="11"/>
  <c r="Q15" i="11"/>
  <c r="B16" i="11"/>
  <c r="E16" i="11"/>
  <c r="I16" i="11"/>
  <c r="K16" i="11"/>
  <c r="P16" i="11"/>
  <c r="Q16" i="11"/>
  <c r="B17" i="11"/>
  <c r="E17" i="11"/>
  <c r="I17" i="11"/>
  <c r="K17" i="11"/>
  <c r="P17" i="11"/>
  <c r="Q17" i="11"/>
  <c r="B18" i="11"/>
  <c r="R27" i="8"/>
  <c r="M24" i="8"/>
  <c r="P30" i="8"/>
  <c r="Q24" i="8"/>
  <c r="M29" i="8"/>
  <c r="N24" i="8"/>
  <c r="L29" i="8"/>
  <c r="L24" i="8"/>
  <c r="P10" i="8"/>
  <c r="P17" i="8"/>
  <c r="T19" i="8"/>
  <c r="S19" i="8"/>
  <c r="T22" i="8" s="1"/>
  <c r="B18" i="9"/>
  <c r="Q17" i="9"/>
  <c r="P17" i="9"/>
  <c r="K17" i="9"/>
  <c r="I17" i="9"/>
  <c r="E17" i="9"/>
  <c r="B17" i="9"/>
  <c r="Q16" i="9"/>
  <c r="P16" i="9"/>
  <c r="K16" i="9"/>
  <c r="I16" i="9"/>
  <c r="E16" i="9"/>
  <c r="B16" i="9"/>
  <c r="Q15" i="9"/>
  <c r="P15" i="9"/>
  <c r="K15" i="9"/>
  <c r="I15" i="9"/>
  <c r="E15" i="9"/>
  <c r="B15" i="9"/>
  <c r="Q14" i="9"/>
  <c r="P14" i="9"/>
  <c r="K14" i="9"/>
  <c r="I14" i="9"/>
  <c r="E14" i="9"/>
  <c r="B14" i="9"/>
  <c r="Q13" i="9"/>
  <c r="P13" i="9"/>
  <c r="K13" i="9"/>
  <c r="I13" i="9"/>
  <c r="E13" i="9"/>
  <c r="B13" i="9"/>
  <c r="Q12" i="9"/>
  <c r="P12" i="9"/>
  <c r="K12" i="9"/>
  <c r="I12" i="9"/>
  <c r="E12" i="9"/>
  <c r="B12" i="9"/>
  <c r="Q11" i="9"/>
  <c r="P11" i="9"/>
  <c r="K11" i="9"/>
  <c r="I11" i="9"/>
  <c r="E11" i="9"/>
  <c r="B11" i="9"/>
  <c r="Q10" i="9"/>
  <c r="P10" i="9"/>
  <c r="K10" i="9"/>
  <c r="I10" i="9"/>
  <c r="E10" i="9"/>
  <c r="B10" i="9"/>
  <c r="Q3" i="9"/>
  <c r="P3" i="9"/>
  <c r="K3" i="9"/>
  <c r="I3" i="9"/>
  <c r="E3" i="9"/>
  <c r="B3" i="9"/>
  <c r="O32" i="9"/>
  <c r="K27" i="9"/>
  <c r="O25" i="9"/>
  <c r="R33" i="9"/>
  <c r="K25" i="9"/>
  <c r="L25" i="9" s="1"/>
  <c r="D40" i="9"/>
  <c r="D40" i="8"/>
  <c r="P14" i="6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3" i="8"/>
  <c r="E3" i="8"/>
  <c r="Q3" i="8"/>
  <c r="P3" i="8"/>
  <c r="K3" i="8"/>
  <c r="I3" i="8"/>
  <c r="Q4" i="8"/>
  <c r="P4" i="8"/>
  <c r="K4" i="8"/>
  <c r="I4" i="8"/>
  <c r="E4" i="8"/>
  <c r="E18" i="6"/>
  <c r="P14" i="7"/>
  <c r="P15" i="7"/>
  <c r="Q3" i="7"/>
  <c r="P3" i="7"/>
  <c r="K3" i="7"/>
  <c r="I3" i="7"/>
  <c r="E3" i="7"/>
  <c r="A5" i="7"/>
  <c r="Q4" i="7"/>
  <c r="P4" i="7"/>
  <c r="K4" i="7"/>
  <c r="I4" i="7"/>
  <c r="E4" i="7"/>
  <c r="Q3" i="6"/>
  <c r="P3" i="6"/>
  <c r="K3" i="6"/>
  <c r="I3" i="6"/>
  <c r="E3" i="6"/>
  <c r="A5" i="6"/>
  <c r="Q4" i="6"/>
  <c r="P4" i="6"/>
  <c r="K4" i="6"/>
  <c r="I4" i="6"/>
  <c r="E4" i="6"/>
  <c r="Q18" i="4"/>
  <c r="P18" i="4"/>
  <c r="K18" i="4"/>
  <c r="I18" i="4"/>
  <c r="E18" i="4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3" i="3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3" i="4"/>
  <c r="Q4" i="4"/>
  <c r="Q5" i="4"/>
  <c r="Q6" i="4"/>
  <c r="Q7" i="4"/>
  <c r="Q3" i="4"/>
  <c r="P4" i="4"/>
  <c r="P5" i="4"/>
  <c r="P6" i="4"/>
  <c r="P3" i="4"/>
  <c r="K3" i="4"/>
  <c r="K4" i="4"/>
  <c r="K5" i="4"/>
  <c r="E3" i="4"/>
  <c r="E4" i="4"/>
  <c r="E5" i="4"/>
  <c r="E8" i="3"/>
  <c r="A5" i="4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3" i="3"/>
  <c r="Q12" i="1"/>
  <c r="P3" i="3"/>
  <c r="P12" i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3" i="3"/>
  <c r="K12" i="1"/>
  <c r="E4" i="3"/>
  <c r="E5" i="3"/>
  <c r="E6" i="3"/>
  <c r="E7" i="3"/>
  <c r="E9" i="3"/>
  <c r="E10" i="3"/>
  <c r="E11" i="3"/>
  <c r="E12" i="3"/>
  <c r="E13" i="3"/>
  <c r="E14" i="3"/>
  <c r="E15" i="3"/>
  <c r="E16" i="3"/>
  <c r="E17" i="3"/>
  <c r="E3" i="3"/>
  <c r="E17" i="1"/>
  <c r="A12" i="3"/>
  <c r="Q13" i="1"/>
  <c r="Q14" i="1"/>
  <c r="Q15" i="1"/>
  <c r="Q16" i="1"/>
  <c r="Q17" i="1"/>
  <c r="P13" i="1"/>
  <c r="P14" i="1"/>
  <c r="P15" i="1"/>
  <c r="P16" i="1"/>
  <c r="P17" i="1"/>
  <c r="K13" i="1"/>
  <c r="K14" i="1"/>
  <c r="K15" i="1"/>
  <c r="K16" i="1"/>
  <c r="K17" i="1"/>
  <c r="E14" i="1"/>
  <c r="E15" i="1"/>
  <c r="E16" i="1"/>
  <c r="E13" i="1"/>
  <c r="E12" i="1"/>
  <c r="Q11" i="1"/>
  <c r="P11" i="1"/>
  <c r="K11" i="1"/>
  <c r="E11" i="1"/>
  <c r="L32" i="51" l="1"/>
  <c r="K32" i="51"/>
  <c r="B6" i="32"/>
  <c r="B7" i="32" s="1"/>
  <c r="B8" i="32" s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M36" i="51"/>
  <c r="N35" i="51"/>
  <c r="G150" i="32"/>
  <c r="J150" i="32" s="1"/>
  <c r="J147" i="32"/>
  <c r="O23" i="51"/>
  <c r="C28" i="51"/>
  <c r="E20" i="51"/>
  <c r="P20" i="51"/>
  <c r="H23" i="51"/>
  <c r="H27" i="51" s="1"/>
  <c r="Q20" i="51"/>
  <c r="B20" i="51"/>
  <c r="I23" i="51" s="1"/>
  <c r="I27" i="51" s="1"/>
  <c r="K20" i="51"/>
  <c r="L28" i="51"/>
  <c r="F20" i="51"/>
  <c r="J23" i="51" s="1"/>
  <c r="J27" i="51" s="1"/>
  <c r="J30" i="51" s="1"/>
  <c r="C23" i="51"/>
  <c r="F23" i="51" s="1"/>
  <c r="F27" i="51" s="1"/>
  <c r="B23" i="51"/>
  <c r="L23" i="51"/>
  <c r="L27" i="51" s="1"/>
  <c r="E23" i="51"/>
  <c r="E27" i="51" s="1"/>
  <c r="D23" i="51"/>
  <c r="D27" i="51" s="1"/>
  <c r="G22" i="48"/>
  <c r="G28" i="48" s="1"/>
  <c r="B28" i="48"/>
  <c r="K21" i="50"/>
  <c r="K27" i="50" s="1"/>
  <c r="G21" i="50"/>
  <c r="P19" i="50"/>
  <c r="Q19" i="50"/>
  <c r="G27" i="50"/>
  <c r="B19" i="50"/>
  <c r="I19" i="50"/>
  <c r="K19" i="50"/>
  <c r="O27" i="50"/>
  <c r="O22" i="49"/>
  <c r="I26" i="49" s="1"/>
  <c r="I29" i="49" s="1"/>
  <c r="O23" i="48"/>
  <c r="F19" i="49"/>
  <c r="P19" i="49"/>
  <c r="E19" i="49"/>
  <c r="B20" i="48"/>
  <c r="I23" i="48" s="1"/>
  <c r="I20" i="48"/>
  <c r="Q20" i="48"/>
  <c r="E23" i="48" s="1"/>
  <c r="E27" i="48" s="1"/>
  <c r="E34" i="48" s="1"/>
  <c r="E20" i="48"/>
  <c r="F19" i="50"/>
  <c r="O22" i="50"/>
  <c r="C22" i="50" s="1"/>
  <c r="E19" i="50"/>
  <c r="K20" i="48"/>
  <c r="B19" i="49"/>
  <c r="I19" i="49"/>
  <c r="Q19" i="49"/>
  <c r="F20" i="48"/>
  <c r="J23" i="48" s="1"/>
  <c r="J27" i="48" s="1"/>
  <c r="J30" i="48" s="1"/>
  <c r="P20" i="48"/>
  <c r="K21" i="49"/>
  <c r="K27" i="49" s="1"/>
  <c r="K19" i="49"/>
  <c r="B27" i="49"/>
  <c r="K22" i="48"/>
  <c r="C28" i="48"/>
  <c r="L28" i="48"/>
  <c r="C26" i="49"/>
  <c r="F22" i="49"/>
  <c r="F26" i="49" s="1"/>
  <c r="B26" i="49"/>
  <c r="K26" i="49"/>
  <c r="G22" i="49"/>
  <c r="G26" i="49" s="1"/>
  <c r="J107" i="32"/>
  <c r="G108" i="32"/>
  <c r="J108" i="32" s="1"/>
  <c r="G119" i="32"/>
  <c r="J119" i="32" s="1"/>
  <c r="G120" i="32"/>
  <c r="J120" i="32" s="1"/>
  <c r="G21" i="47"/>
  <c r="G27" i="47" s="1"/>
  <c r="K21" i="47"/>
  <c r="K27" i="47" s="1"/>
  <c r="B27" i="47"/>
  <c r="Q19" i="47"/>
  <c r="P19" i="47"/>
  <c r="K19" i="47"/>
  <c r="I19" i="47"/>
  <c r="F19" i="47"/>
  <c r="E19" i="47"/>
  <c r="O22" i="47"/>
  <c r="B19" i="47"/>
  <c r="E26" i="34"/>
  <c r="G26" i="34" s="1"/>
  <c r="G25" i="34"/>
  <c r="G98" i="32"/>
  <c r="J98" i="32" s="1"/>
  <c r="J95" i="32"/>
  <c r="AD23" i="32"/>
  <c r="AD13" i="32"/>
  <c r="AE13" i="32" s="1"/>
  <c r="AD5" i="32"/>
  <c r="AD3" i="32"/>
  <c r="AD7" i="32"/>
  <c r="AE7" i="32" s="1"/>
  <c r="AD17" i="32"/>
  <c r="AD26" i="32"/>
  <c r="AD14" i="32"/>
  <c r="AF14" i="32" s="1"/>
  <c r="AD15" i="32"/>
  <c r="AD18" i="32"/>
  <c r="B19" i="32"/>
  <c r="AD25" i="32"/>
  <c r="J23" i="32"/>
  <c r="AD20" i="32" s="1"/>
  <c r="G21" i="42"/>
  <c r="G27" i="42" s="1"/>
  <c r="G39" i="42" s="1"/>
  <c r="B19" i="43"/>
  <c r="K19" i="43"/>
  <c r="O22" i="43"/>
  <c r="B27" i="43"/>
  <c r="K21" i="43"/>
  <c r="K27" i="43" s="1"/>
  <c r="O25" i="43" s="1"/>
  <c r="B19" i="42"/>
  <c r="Q19" i="42"/>
  <c r="E19" i="42"/>
  <c r="O22" i="42"/>
  <c r="B19" i="38"/>
  <c r="E19" i="38"/>
  <c r="K19" i="38"/>
  <c r="I19" i="43"/>
  <c r="Q19" i="43"/>
  <c r="P19" i="43"/>
  <c r="F19" i="38"/>
  <c r="P19" i="38"/>
  <c r="E19" i="43"/>
  <c r="F19" i="43"/>
  <c r="I19" i="38"/>
  <c r="Q19" i="38"/>
  <c r="L39" i="42"/>
  <c r="K21" i="42"/>
  <c r="B39" i="42"/>
  <c r="D27" i="42"/>
  <c r="C27" i="42"/>
  <c r="P19" i="42"/>
  <c r="K19" i="42"/>
  <c r="F19" i="42"/>
  <c r="I19" i="42"/>
  <c r="O21" i="31"/>
  <c r="O21" i="38"/>
  <c r="J55" i="32"/>
  <c r="G56" i="32"/>
  <c r="J56" i="32" s="1"/>
  <c r="G67" i="32"/>
  <c r="J67" i="32" s="1"/>
  <c r="G68" i="32"/>
  <c r="J68" i="32" s="1"/>
  <c r="E11" i="34"/>
  <c r="G11" i="34" s="1"/>
  <c r="E4" i="34"/>
  <c r="G4" i="34" s="1"/>
  <c r="E10" i="35"/>
  <c r="M38" i="37"/>
  <c r="R15" i="37"/>
  <c r="Q15" i="37"/>
  <c r="Q16" i="37"/>
  <c r="Q22" i="37" s="1"/>
  <c r="R16" i="37"/>
  <c r="R22" i="37" s="1"/>
  <c r="E9" i="34"/>
  <c r="G9" i="34" s="1"/>
  <c r="E12" i="34"/>
  <c r="G12" i="34" s="1"/>
  <c r="E4" i="35"/>
  <c r="E11" i="35"/>
  <c r="E10" i="34"/>
  <c r="G10" i="34" s="1"/>
  <c r="E13" i="34"/>
  <c r="G13" i="34" s="1"/>
  <c r="E8" i="35"/>
  <c r="E13" i="35"/>
  <c r="E9" i="35"/>
  <c r="E17" i="34"/>
  <c r="G17" i="34" s="1"/>
  <c r="E19" i="34"/>
  <c r="G19" i="34" s="1"/>
  <c r="E18" i="34"/>
  <c r="E22" i="34"/>
  <c r="G22" i="34" s="1"/>
  <c r="E21" i="34"/>
  <c r="G21" i="34" s="1"/>
  <c r="E20" i="34"/>
  <c r="G20" i="34" s="1"/>
  <c r="E16" i="35"/>
  <c r="E17" i="35"/>
  <c r="E19" i="35"/>
  <c r="E18" i="35"/>
  <c r="E14" i="35" s="1"/>
  <c r="G46" i="32"/>
  <c r="J46" i="32" s="1"/>
  <c r="J43" i="32"/>
  <c r="K19" i="31"/>
  <c r="B19" i="31"/>
  <c r="AF20" i="32"/>
  <c r="AE20" i="32"/>
  <c r="AF21" i="32"/>
  <c r="AE21" i="32"/>
  <c r="AF22" i="32"/>
  <c r="AE22" i="32"/>
  <c r="AF23" i="32"/>
  <c r="AE23" i="32"/>
  <c r="AF13" i="32"/>
  <c r="AF5" i="32"/>
  <c r="AE5" i="32"/>
  <c r="AF3" i="32"/>
  <c r="AE3" i="32"/>
  <c r="AF7" i="32"/>
  <c r="AF17" i="32"/>
  <c r="AE17" i="32"/>
  <c r="AF25" i="32"/>
  <c r="AE25" i="32"/>
  <c r="AF26" i="32"/>
  <c r="AE26" i="32"/>
  <c r="AE14" i="32"/>
  <c r="AF15" i="32"/>
  <c r="AE15" i="32"/>
  <c r="AF18" i="32"/>
  <c r="AE18" i="32"/>
  <c r="AF19" i="32"/>
  <c r="AE19" i="32"/>
  <c r="AD6" i="32"/>
  <c r="I19" i="31"/>
  <c r="F19" i="31"/>
  <c r="E19" i="31"/>
  <c r="P19" i="31"/>
  <c r="Q19" i="31"/>
  <c r="E33" i="29"/>
  <c r="P19" i="30"/>
  <c r="K19" i="30"/>
  <c r="B19" i="30"/>
  <c r="E19" i="30"/>
  <c r="O21" i="30"/>
  <c r="F19" i="30"/>
  <c r="Q19" i="30"/>
  <c r="I19" i="30"/>
  <c r="P33" i="29"/>
  <c r="E19" i="29"/>
  <c r="B19" i="29"/>
  <c r="K19" i="29"/>
  <c r="P19" i="29"/>
  <c r="F19" i="29"/>
  <c r="I19" i="29"/>
  <c r="Q19" i="29"/>
  <c r="O21" i="29"/>
  <c r="O21" i="28"/>
  <c r="E19" i="28"/>
  <c r="O21" i="24"/>
  <c r="F19" i="28"/>
  <c r="K19" i="28"/>
  <c r="B19" i="28"/>
  <c r="I19" i="28"/>
  <c r="P19" i="28"/>
  <c r="Q19" i="28"/>
  <c r="E19" i="27"/>
  <c r="Q19" i="27"/>
  <c r="P19" i="27"/>
  <c r="O21" i="27"/>
  <c r="K19" i="27"/>
  <c r="I19" i="27"/>
  <c r="F19" i="27"/>
  <c r="B19" i="27"/>
  <c r="B19" i="24"/>
  <c r="E19" i="24"/>
  <c r="I19" i="24"/>
  <c r="F19" i="24"/>
  <c r="P19" i="24"/>
  <c r="K19" i="24"/>
  <c r="Q19" i="24"/>
  <c r="O21" i="23"/>
  <c r="P19" i="23"/>
  <c r="F19" i="23"/>
  <c r="B19" i="23"/>
  <c r="I19" i="23"/>
  <c r="Q19" i="23"/>
  <c r="E19" i="23"/>
  <c r="K19" i="23"/>
  <c r="K19" i="21"/>
  <c r="B19" i="21"/>
  <c r="I19" i="21"/>
  <c r="E19" i="21"/>
  <c r="P19" i="21"/>
  <c r="F19" i="21"/>
  <c r="Q19" i="21"/>
  <c r="O21" i="19"/>
  <c r="O21" i="21"/>
  <c r="I19" i="19"/>
  <c r="F19" i="19"/>
  <c r="K19" i="19"/>
  <c r="E19" i="19"/>
  <c r="P19" i="19"/>
  <c r="B19" i="19"/>
  <c r="Q19" i="19"/>
  <c r="E19" i="17"/>
  <c r="F19" i="17"/>
  <c r="O21" i="17"/>
  <c r="Q19" i="17"/>
  <c r="K19" i="17"/>
  <c r="I19" i="17"/>
  <c r="B19" i="17"/>
  <c r="E19" i="16"/>
  <c r="B19" i="16"/>
  <c r="P19" i="17"/>
  <c r="I19" i="16"/>
  <c r="Q19" i="16"/>
  <c r="F19" i="16"/>
  <c r="P19" i="16"/>
  <c r="K19" i="16"/>
  <c r="O21" i="16"/>
  <c r="O21" i="14"/>
  <c r="Q19" i="14"/>
  <c r="F19" i="14"/>
  <c r="I19" i="14"/>
  <c r="B19" i="14"/>
  <c r="P19" i="14"/>
  <c r="E19" i="14"/>
  <c r="K19" i="14"/>
  <c r="E33" i="11"/>
  <c r="I19" i="11"/>
  <c r="K19" i="11"/>
  <c r="Q19" i="11"/>
  <c r="P19" i="11"/>
  <c r="O21" i="11"/>
  <c r="E19" i="11"/>
  <c r="B19" i="11"/>
  <c r="E19" i="9"/>
  <c r="B19" i="9"/>
  <c r="O21" i="9"/>
  <c r="I19" i="9"/>
  <c r="Q19" i="9"/>
  <c r="K19" i="9"/>
  <c r="P19" i="9"/>
  <c r="B19" i="8"/>
  <c r="Q5" i="8"/>
  <c r="P5" i="8"/>
  <c r="K5" i="8"/>
  <c r="I5" i="8"/>
  <c r="E5" i="8"/>
  <c r="A6" i="7"/>
  <c r="Q5" i="7"/>
  <c r="P5" i="7"/>
  <c r="K5" i="7"/>
  <c r="I5" i="7"/>
  <c r="E5" i="7"/>
  <c r="I19" i="4"/>
  <c r="A6" i="6"/>
  <c r="Q5" i="6"/>
  <c r="P5" i="6"/>
  <c r="K5" i="6"/>
  <c r="I5" i="6"/>
  <c r="E5" i="6"/>
  <c r="A6" i="4"/>
  <c r="O21" i="3"/>
  <c r="O21" i="1"/>
  <c r="E19" i="3"/>
  <c r="Q19" i="1"/>
  <c r="A13" i="3"/>
  <c r="K19" i="1"/>
  <c r="P19" i="1"/>
  <c r="E19" i="1"/>
  <c r="J37" i="51" l="1"/>
  <c r="N32" i="51"/>
  <c r="H30" i="51"/>
  <c r="H34" i="51"/>
  <c r="C27" i="51"/>
  <c r="E30" i="51"/>
  <c r="E34" i="51"/>
  <c r="B27" i="51"/>
  <c r="G23" i="51"/>
  <c r="G27" i="51" s="1"/>
  <c r="K23" i="51"/>
  <c r="K27" i="51" s="1"/>
  <c r="I30" i="51"/>
  <c r="I34" i="51"/>
  <c r="D30" i="51"/>
  <c r="D34" i="51"/>
  <c r="C30" i="51"/>
  <c r="C34" i="51"/>
  <c r="F30" i="51"/>
  <c r="F34" i="51"/>
  <c r="N26" i="50"/>
  <c r="O30" i="50"/>
  <c r="L22" i="50"/>
  <c r="L26" i="50" s="1"/>
  <c r="K28" i="48"/>
  <c r="E30" i="48"/>
  <c r="H22" i="50"/>
  <c r="H26" i="50" s="1"/>
  <c r="H33" i="50" s="1"/>
  <c r="H23" i="48"/>
  <c r="H27" i="48" s="1"/>
  <c r="D23" i="48"/>
  <c r="D27" i="48" s="1"/>
  <c r="D30" i="48" s="1"/>
  <c r="E22" i="50"/>
  <c r="E26" i="50" s="1"/>
  <c r="E33" i="50" s="1"/>
  <c r="B23" i="48"/>
  <c r="E22" i="49"/>
  <c r="E26" i="49" s="1"/>
  <c r="E29" i="49" s="1"/>
  <c r="B22" i="50"/>
  <c r="B26" i="50" s="1"/>
  <c r="I22" i="47"/>
  <c r="I26" i="47" s="1"/>
  <c r="I29" i="47" s="1"/>
  <c r="I22" i="50"/>
  <c r="I26" i="50" s="1"/>
  <c r="J22" i="50"/>
  <c r="J26" i="50" s="1"/>
  <c r="J29" i="50" s="1"/>
  <c r="D22" i="50"/>
  <c r="D26" i="50" s="1"/>
  <c r="I27" i="48"/>
  <c r="C23" i="48"/>
  <c r="L23" i="48"/>
  <c r="L27" i="48" s="1"/>
  <c r="C26" i="50"/>
  <c r="F22" i="50"/>
  <c r="F26" i="50" s="1"/>
  <c r="G29" i="49"/>
  <c r="G33" i="49"/>
  <c r="K30" i="49"/>
  <c r="B29" i="49"/>
  <c r="B33" i="49"/>
  <c r="F29" i="49"/>
  <c r="R26" i="49"/>
  <c r="F33" i="49"/>
  <c r="L30" i="49"/>
  <c r="C29" i="49"/>
  <c r="C33" i="49"/>
  <c r="B22" i="47"/>
  <c r="J22" i="47"/>
  <c r="J26" i="47" s="1"/>
  <c r="J29" i="47" s="1"/>
  <c r="H22" i="47"/>
  <c r="H26" i="47" s="1"/>
  <c r="D22" i="47"/>
  <c r="D26" i="47" s="1"/>
  <c r="C22" i="47"/>
  <c r="L22" i="47"/>
  <c r="L26" i="47" s="1"/>
  <c r="E22" i="47"/>
  <c r="E26" i="47" s="1"/>
  <c r="G3" i="34"/>
  <c r="E8" i="34"/>
  <c r="G8" i="34" s="1"/>
  <c r="E14" i="34"/>
  <c r="G14" i="34" s="1"/>
  <c r="G18" i="34"/>
  <c r="B20" i="32"/>
  <c r="E22" i="43"/>
  <c r="E26" i="43" s="1"/>
  <c r="E33" i="43" s="1"/>
  <c r="I22" i="43"/>
  <c r="I21" i="38"/>
  <c r="I24" i="38" s="1"/>
  <c r="D22" i="43"/>
  <c r="J22" i="43"/>
  <c r="H22" i="43"/>
  <c r="B22" i="43"/>
  <c r="C22" i="43"/>
  <c r="L22" i="42"/>
  <c r="L26" i="42" s="1"/>
  <c r="D22" i="42"/>
  <c r="D26" i="42" s="1"/>
  <c r="D33" i="42" s="1"/>
  <c r="H22" i="42"/>
  <c r="H26" i="42" s="1"/>
  <c r="H33" i="42" s="1"/>
  <c r="C22" i="42"/>
  <c r="F22" i="42" s="1"/>
  <c r="F26" i="42" s="1"/>
  <c r="I22" i="42"/>
  <c r="I26" i="42" s="1"/>
  <c r="I29" i="42" s="1"/>
  <c r="J22" i="42"/>
  <c r="J26" i="42" s="1"/>
  <c r="J29" i="42" s="1"/>
  <c r="B22" i="42"/>
  <c r="E22" i="42"/>
  <c r="E26" i="42" s="1"/>
  <c r="E33" i="42" s="1"/>
  <c r="B21" i="31"/>
  <c r="K21" i="31" s="1"/>
  <c r="L22" i="43"/>
  <c r="L26" i="43" s="1"/>
  <c r="K27" i="42"/>
  <c r="F39" i="42"/>
  <c r="C39" i="42"/>
  <c r="D38" i="42"/>
  <c r="D39" i="42"/>
  <c r="C21" i="38"/>
  <c r="C24" i="38" s="1"/>
  <c r="D21" i="38"/>
  <c r="D24" i="38" s="1"/>
  <c r="D30" i="38" s="1"/>
  <c r="J21" i="38"/>
  <c r="J24" i="38" s="1"/>
  <c r="H21" i="38"/>
  <c r="H24" i="38" s="1"/>
  <c r="H26" i="38" s="1"/>
  <c r="B21" i="38"/>
  <c r="L21" i="38"/>
  <c r="L24" i="38" s="1"/>
  <c r="Q27" i="38" s="1"/>
  <c r="E21" i="38"/>
  <c r="E24" i="38" s="1"/>
  <c r="L21" i="31"/>
  <c r="L24" i="31" s="1"/>
  <c r="Q38" i="37"/>
  <c r="S38" i="37"/>
  <c r="D21" i="31"/>
  <c r="D24" i="31" s="1"/>
  <c r="E21" i="31"/>
  <c r="E24" i="31" s="1"/>
  <c r="E30" i="31" s="1"/>
  <c r="AF6" i="32"/>
  <c r="AE6" i="32"/>
  <c r="J21" i="31"/>
  <c r="H21" i="28"/>
  <c r="H24" i="28" s="1"/>
  <c r="H26" i="28" s="1"/>
  <c r="J21" i="27"/>
  <c r="J24" i="27" s="1"/>
  <c r="J26" i="27" s="1"/>
  <c r="C21" i="31"/>
  <c r="F21" i="31" s="1"/>
  <c r="F24" i="31" s="1"/>
  <c r="I21" i="31"/>
  <c r="I24" i="31" s="1"/>
  <c r="H21" i="31"/>
  <c r="H24" i="31" s="1"/>
  <c r="H26" i="31" s="1"/>
  <c r="C21" i="30"/>
  <c r="F21" i="30" s="1"/>
  <c r="F24" i="30" s="1"/>
  <c r="O27" i="30" s="1"/>
  <c r="L21" i="30"/>
  <c r="L24" i="30" s="1"/>
  <c r="H21" i="30"/>
  <c r="H24" i="30" s="1"/>
  <c r="H55" i="30" s="1"/>
  <c r="J21" i="30"/>
  <c r="J24" i="30" s="1"/>
  <c r="I21" i="30"/>
  <c r="I24" i="30" s="1"/>
  <c r="I55" i="30" s="1"/>
  <c r="D21" i="30"/>
  <c r="D24" i="30" s="1"/>
  <c r="D26" i="30" s="1"/>
  <c r="B21" i="30"/>
  <c r="E21" i="30"/>
  <c r="E24" i="30" s="1"/>
  <c r="E30" i="30" s="1"/>
  <c r="L21" i="29"/>
  <c r="L24" i="29" s="1"/>
  <c r="J21" i="29"/>
  <c r="J24" i="29" s="1"/>
  <c r="C21" i="29"/>
  <c r="C24" i="29" s="1"/>
  <c r="Q25" i="29" s="1"/>
  <c r="B21" i="29"/>
  <c r="K21" i="29" s="1"/>
  <c r="K24" i="29" s="1"/>
  <c r="H21" i="29"/>
  <c r="H24" i="29" s="1"/>
  <c r="H26" i="29" s="1"/>
  <c r="D21" i="29"/>
  <c r="D24" i="29" s="1"/>
  <c r="D55" i="29" s="1"/>
  <c r="I21" i="29"/>
  <c r="I24" i="29" s="1"/>
  <c r="I55" i="29" s="1"/>
  <c r="E21" i="29"/>
  <c r="E24" i="29" s="1"/>
  <c r="B21" i="28"/>
  <c r="G21" i="28" s="1"/>
  <c r="K21" i="28" s="1"/>
  <c r="I21" i="28"/>
  <c r="I24" i="28" s="1"/>
  <c r="J34" i="28" s="1"/>
  <c r="J21" i="16"/>
  <c r="J24" i="16" s="1"/>
  <c r="O28" i="16" s="1"/>
  <c r="E21" i="28"/>
  <c r="E24" i="28" s="1"/>
  <c r="E26" i="28" s="1"/>
  <c r="B21" i="27"/>
  <c r="B24" i="27" s="1"/>
  <c r="B32" i="27" s="1"/>
  <c r="I21" i="27"/>
  <c r="I24" i="27" s="1"/>
  <c r="I26" i="27" s="1"/>
  <c r="C21" i="28"/>
  <c r="F21" i="28" s="1"/>
  <c r="F24" i="28" s="1"/>
  <c r="P25" i="28" s="1"/>
  <c r="J21" i="28"/>
  <c r="J24" i="28" s="1"/>
  <c r="D21" i="28"/>
  <c r="D24" i="28" s="1"/>
  <c r="D21" i="27"/>
  <c r="D24" i="27" s="1"/>
  <c r="D30" i="27" s="1"/>
  <c r="H21" i="27"/>
  <c r="H24" i="27" s="1"/>
  <c r="E21" i="24"/>
  <c r="E24" i="24" s="1"/>
  <c r="I21" i="24"/>
  <c r="I24" i="24" s="1"/>
  <c r="N30" i="24" s="1"/>
  <c r="C21" i="27"/>
  <c r="E21" i="27"/>
  <c r="E24" i="27" s="1"/>
  <c r="D21" i="24"/>
  <c r="D24" i="24" s="1"/>
  <c r="E21" i="23"/>
  <c r="E24" i="23" s="1"/>
  <c r="E26" i="23" s="1"/>
  <c r="H21" i="24"/>
  <c r="H24" i="24" s="1"/>
  <c r="D21" i="23"/>
  <c r="D24" i="23" s="1"/>
  <c r="Q25" i="23" s="1"/>
  <c r="J21" i="23"/>
  <c r="J24" i="23" s="1"/>
  <c r="B21" i="23"/>
  <c r="G21" i="23" s="1"/>
  <c r="G24" i="23" s="1"/>
  <c r="N25" i="23" s="1"/>
  <c r="C21" i="24"/>
  <c r="F21" i="24" s="1"/>
  <c r="F24" i="24" s="1"/>
  <c r="K29" i="24" s="1"/>
  <c r="B21" i="24"/>
  <c r="B24" i="24" s="1"/>
  <c r="J21" i="24"/>
  <c r="J24" i="24" s="1"/>
  <c r="D21" i="21"/>
  <c r="D24" i="21" s="1"/>
  <c r="M30" i="21" s="1"/>
  <c r="C21" i="23"/>
  <c r="C24" i="23" s="1"/>
  <c r="J21" i="21"/>
  <c r="J24" i="21" s="1"/>
  <c r="B21" i="21"/>
  <c r="G21" i="21" s="1"/>
  <c r="G24" i="21" s="1"/>
  <c r="M29" i="21" s="1"/>
  <c r="H21" i="23"/>
  <c r="H24" i="23" s="1"/>
  <c r="H30" i="23" s="1"/>
  <c r="I21" i="23"/>
  <c r="I24" i="23" s="1"/>
  <c r="R25" i="23" s="1"/>
  <c r="C21" i="21"/>
  <c r="C24" i="21" s="1"/>
  <c r="C26" i="21" s="1"/>
  <c r="H21" i="21"/>
  <c r="H24" i="21" s="1"/>
  <c r="H30" i="21" s="1"/>
  <c r="I21" i="21"/>
  <c r="I24" i="21" s="1"/>
  <c r="I30" i="21" s="1"/>
  <c r="E21" i="21"/>
  <c r="E24" i="21" s="1"/>
  <c r="C21" i="19"/>
  <c r="F21" i="19" s="1"/>
  <c r="E21" i="19"/>
  <c r="E24" i="19" s="1"/>
  <c r="E26" i="19" s="1"/>
  <c r="B21" i="14"/>
  <c r="G21" i="14" s="1"/>
  <c r="B21" i="19"/>
  <c r="B24" i="19" s="1"/>
  <c r="J21" i="19"/>
  <c r="J24" i="19" s="1"/>
  <c r="J26" i="19" s="1"/>
  <c r="D21" i="9"/>
  <c r="D24" i="9" s="1"/>
  <c r="M29" i="9" s="1"/>
  <c r="I21" i="19"/>
  <c r="I24" i="19" s="1"/>
  <c r="H21" i="19"/>
  <c r="H24" i="19" s="1"/>
  <c r="H26" i="19" s="1"/>
  <c r="D21" i="19"/>
  <c r="D24" i="19" s="1"/>
  <c r="B21" i="17"/>
  <c r="B24" i="17" s="1"/>
  <c r="H21" i="14"/>
  <c r="H24" i="14" s="1"/>
  <c r="H30" i="14" s="1"/>
  <c r="J21" i="17"/>
  <c r="J24" i="17" s="1"/>
  <c r="D21" i="16"/>
  <c r="D24" i="16" s="1"/>
  <c r="D26" i="16" s="1"/>
  <c r="E21" i="17"/>
  <c r="E24" i="17" s="1"/>
  <c r="E26" i="17" s="1"/>
  <c r="C21" i="14"/>
  <c r="C24" i="14" s="1"/>
  <c r="U43" i="14" s="1"/>
  <c r="I21" i="17"/>
  <c r="I24" i="17" s="1"/>
  <c r="H21" i="17"/>
  <c r="H24" i="17" s="1"/>
  <c r="H26" i="17" s="1"/>
  <c r="D21" i="17"/>
  <c r="D24" i="17" s="1"/>
  <c r="C21" i="17"/>
  <c r="C24" i="17" s="1"/>
  <c r="C30" i="17" s="1"/>
  <c r="I21" i="16"/>
  <c r="I24" i="16" s="1"/>
  <c r="I32" i="16" s="1"/>
  <c r="C21" i="16"/>
  <c r="F21" i="16" s="1"/>
  <c r="F24" i="16" s="1"/>
  <c r="M40" i="16" s="1"/>
  <c r="H21" i="16"/>
  <c r="H24" i="16" s="1"/>
  <c r="H26" i="16" s="1"/>
  <c r="J21" i="14"/>
  <c r="J24" i="14" s="1"/>
  <c r="P28" i="14" s="1"/>
  <c r="E21" i="16"/>
  <c r="E24" i="16" s="1"/>
  <c r="D21" i="14"/>
  <c r="D24" i="14" s="1"/>
  <c r="N24" i="14" s="1"/>
  <c r="I21" i="14"/>
  <c r="I24" i="14" s="1"/>
  <c r="I26" i="14" s="1"/>
  <c r="E21" i="14"/>
  <c r="E24" i="14" s="1"/>
  <c r="E26" i="14" s="1"/>
  <c r="B21" i="16"/>
  <c r="E21" i="1"/>
  <c r="E24" i="1" s="1"/>
  <c r="E30" i="1" s="1"/>
  <c r="I21" i="11"/>
  <c r="I24" i="11" s="1"/>
  <c r="I32" i="11" s="1"/>
  <c r="E21" i="11"/>
  <c r="E24" i="11" s="1"/>
  <c r="E32" i="11" s="1"/>
  <c r="B21" i="11"/>
  <c r="D21" i="11"/>
  <c r="D24" i="11" s="1"/>
  <c r="C21" i="11"/>
  <c r="H21" i="11"/>
  <c r="H24" i="11" s="1"/>
  <c r="H32" i="11" s="1"/>
  <c r="B21" i="9"/>
  <c r="B24" i="9" s="1"/>
  <c r="F35" i="9" s="1"/>
  <c r="I21" i="9"/>
  <c r="I24" i="9" s="1"/>
  <c r="I30" i="9" s="1"/>
  <c r="H21" i="9"/>
  <c r="H24" i="9" s="1"/>
  <c r="H30" i="9" s="1"/>
  <c r="C21" i="9"/>
  <c r="F21" i="9" s="1"/>
  <c r="F24" i="9" s="1"/>
  <c r="E21" i="9"/>
  <c r="E24" i="9" s="1"/>
  <c r="E30" i="9" s="1"/>
  <c r="Q6" i="8"/>
  <c r="P6" i="8"/>
  <c r="K6" i="8"/>
  <c r="I6" i="8"/>
  <c r="E6" i="8"/>
  <c r="A7" i="7"/>
  <c r="Q6" i="7"/>
  <c r="P6" i="7"/>
  <c r="K6" i="7"/>
  <c r="I6" i="7"/>
  <c r="E6" i="7"/>
  <c r="A7" i="6"/>
  <c r="Q6" i="6"/>
  <c r="P6" i="6"/>
  <c r="K6" i="6"/>
  <c r="I6" i="6"/>
  <c r="E6" i="6"/>
  <c r="A7" i="4"/>
  <c r="K6" i="4"/>
  <c r="E6" i="4"/>
  <c r="D21" i="1"/>
  <c r="D24" i="1" s="1"/>
  <c r="D26" i="1" s="1"/>
  <c r="A14" i="3"/>
  <c r="B21" i="1"/>
  <c r="B24" i="1" s="1"/>
  <c r="C21" i="1"/>
  <c r="C24" i="1" s="1"/>
  <c r="B30" i="51" l="1"/>
  <c r="B34" i="51"/>
  <c r="G30" i="51"/>
  <c r="G34" i="51"/>
  <c r="I33" i="47"/>
  <c r="H29" i="50"/>
  <c r="E29" i="50"/>
  <c r="E33" i="49"/>
  <c r="D34" i="48"/>
  <c r="H34" i="48"/>
  <c r="H30" i="48"/>
  <c r="B27" i="48"/>
  <c r="G23" i="48"/>
  <c r="G27" i="48" s="1"/>
  <c r="K23" i="48"/>
  <c r="K27" i="48" s="1"/>
  <c r="B29" i="50"/>
  <c r="B33" i="50"/>
  <c r="K22" i="50"/>
  <c r="K26" i="50" s="1"/>
  <c r="G22" i="50"/>
  <c r="G26" i="50" s="1"/>
  <c r="I30" i="48"/>
  <c r="I34" i="48"/>
  <c r="I29" i="50"/>
  <c r="I33" i="50"/>
  <c r="D29" i="50"/>
  <c r="D33" i="50"/>
  <c r="C27" i="48"/>
  <c r="F23" i="48"/>
  <c r="F27" i="48" s="1"/>
  <c r="F29" i="50"/>
  <c r="R26" i="50"/>
  <c r="F33" i="50"/>
  <c r="C29" i="50"/>
  <c r="C33" i="50"/>
  <c r="E29" i="47"/>
  <c r="E33" i="47"/>
  <c r="F22" i="47"/>
  <c r="F26" i="47" s="1"/>
  <c r="C26" i="47"/>
  <c r="D29" i="47"/>
  <c r="D33" i="47"/>
  <c r="H29" i="47"/>
  <c r="H33" i="47"/>
  <c r="G22" i="47"/>
  <c r="G26" i="47" s="1"/>
  <c r="K22" i="47"/>
  <c r="K26" i="47" s="1"/>
  <c r="B26" i="47"/>
  <c r="E29" i="43"/>
  <c r="B21" i="32"/>
  <c r="H26" i="43"/>
  <c r="H33" i="43" s="1"/>
  <c r="F22" i="43"/>
  <c r="C26" i="43"/>
  <c r="C29" i="43" s="1"/>
  <c r="J26" i="43"/>
  <c r="J29" i="43" s="1"/>
  <c r="I26" i="43"/>
  <c r="I29" i="43" s="1"/>
  <c r="K22" i="43"/>
  <c r="K26" i="43" s="1"/>
  <c r="B26" i="43"/>
  <c r="B29" i="43" s="1"/>
  <c r="D26" i="43"/>
  <c r="D29" i="43" s="1"/>
  <c r="B24" i="31"/>
  <c r="R23" i="31" s="1"/>
  <c r="G22" i="43"/>
  <c r="H29" i="42"/>
  <c r="C26" i="42"/>
  <c r="C33" i="42" s="1"/>
  <c r="I33" i="42"/>
  <c r="E29" i="42"/>
  <c r="D29" i="42"/>
  <c r="F33" i="42"/>
  <c r="F29" i="42"/>
  <c r="B26" i="42"/>
  <c r="K22" i="42"/>
  <c r="K26" i="42" s="1"/>
  <c r="G22" i="42"/>
  <c r="G26" i="42" s="1"/>
  <c r="K39" i="42"/>
  <c r="P23" i="38"/>
  <c r="Q23" i="38"/>
  <c r="J56" i="38"/>
  <c r="L28" i="38"/>
  <c r="B24" i="38"/>
  <c r="B26" i="38" s="1"/>
  <c r="L31" i="31"/>
  <c r="H56" i="38"/>
  <c r="H35" i="38"/>
  <c r="I30" i="38"/>
  <c r="I35" i="38"/>
  <c r="E35" i="38"/>
  <c r="D26" i="38"/>
  <c r="D35" i="38"/>
  <c r="D56" i="38"/>
  <c r="H30" i="38"/>
  <c r="J26" i="38"/>
  <c r="I26" i="38"/>
  <c r="I56" i="38"/>
  <c r="G21" i="38"/>
  <c r="G24" i="38" s="1"/>
  <c r="H55" i="31"/>
  <c r="K21" i="38"/>
  <c r="K24" i="38" s="1"/>
  <c r="Q24" i="38" s="1"/>
  <c r="F21" i="38"/>
  <c r="F24" i="38" s="1"/>
  <c r="O24" i="38" s="1"/>
  <c r="E30" i="38"/>
  <c r="E56" i="38"/>
  <c r="E26" i="38"/>
  <c r="N33" i="31"/>
  <c r="R13" i="31"/>
  <c r="S18" i="31"/>
  <c r="N26" i="31"/>
  <c r="O31" i="31"/>
  <c r="L27" i="31"/>
  <c r="S22" i="31"/>
  <c r="Q23" i="31"/>
  <c r="N30" i="31"/>
  <c r="P25" i="31"/>
  <c r="R22" i="31"/>
  <c r="C24" i="31"/>
  <c r="N28" i="31" s="1"/>
  <c r="E26" i="31"/>
  <c r="H55" i="28"/>
  <c r="H30" i="28"/>
  <c r="J24" i="31"/>
  <c r="J26" i="31" s="1"/>
  <c r="E55" i="31"/>
  <c r="D55" i="31"/>
  <c r="R32" i="31"/>
  <c r="I30" i="31"/>
  <c r="Q32" i="31"/>
  <c r="N29" i="30"/>
  <c r="N28" i="30"/>
  <c r="O26" i="30"/>
  <c r="M26" i="30"/>
  <c r="M28" i="30"/>
  <c r="D30" i="31"/>
  <c r="I26" i="31"/>
  <c r="K24" i="31"/>
  <c r="Q25" i="31" s="1"/>
  <c r="D26" i="31"/>
  <c r="I55" i="31"/>
  <c r="G21" i="31"/>
  <c r="G24" i="31" s="1"/>
  <c r="G30" i="31" s="1"/>
  <c r="H30" i="31"/>
  <c r="F55" i="31"/>
  <c r="F26" i="31"/>
  <c r="F30" i="31"/>
  <c r="B55" i="31"/>
  <c r="B26" i="31"/>
  <c r="H30" i="30"/>
  <c r="H26" i="30"/>
  <c r="I30" i="30"/>
  <c r="D30" i="30"/>
  <c r="M21" i="30"/>
  <c r="D55" i="30"/>
  <c r="J55" i="30"/>
  <c r="J26" i="30"/>
  <c r="I26" i="30"/>
  <c r="K21" i="30"/>
  <c r="K24" i="30" s="1"/>
  <c r="B24" i="30"/>
  <c r="G21" i="30"/>
  <c r="G24" i="30" s="1"/>
  <c r="C24" i="30"/>
  <c r="N24" i="30" s="1"/>
  <c r="E55" i="30"/>
  <c r="E26" i="30"/>
  <c r="F55" i="30"/>
  <c r="F26" i="30"/>
  <c r="F30" i="30"/>
  <c r="G21" i="29"/>
  <c r="G24" i="29" s="1"/>
  <c r="O26" i="29" s="1"/>
  <c r="I26" i="29"/>
  <c r="D26" i="29"/>
  <c r="B24" i="29"/>
  <c r="P27" i="29" s="1"/>
  <c r="F21" i="29"/>
  <c r="F24" i="29" s="1"/>
  <c r="J55" i="29"/>
  <c r="I30" i="29"/>
  <c r="C26" i="29"/>
  <c r="U43" i="29"/>
  <c r="H30" i="29"/>
  <c r="C30" i="29"/>
  <c r="C55" i="29"/>
  <c r="D30" i="29"/>
  <c r="I35" i="28"/>
  <c r="H55" i="29"/>
  <c r="J26" i="29"/>
  <c r="B24" i="28"/>
  <c r="G21" i="27"/>
  <c r="G24" i="27" s="1"/>
  <c r="M29" i="27" s="1"/>
  <c r="E30" i="29"/>
  <c r="E55" i="29"/>
  <c r="E26" i="29"/>
  <c r="O35" i="24"/>
  <c r="G24" i="28"/>
  <c r="G26" i="28" s="1"/>
  <c r="G37" i="28"/>
  <c r="G43" i="24"/>
  <c r="Q32" i="24"/>
  <c r="P27" i="24"/>
  <c r="L29" i="27"/>
  <c r="I55" i="28"/>
  <c r="E30" i="28"/>
  <c r="C24" i="28"/>
  <c r="E55" i="28"/>
  <c r="B26" i="27"/>
  <c r="I26" i="28"/>
  <c r="B30" i="27"/>
  <c r="I30" i="28"/>
  <c r="G40" i="28"/>
  <c r="E30" i="23"/>
  <c r="Q27" i="27"/>
  <c r="I30" i="27"/>
  <c r="Q29" i="24"/>
  <c r="Q30" i="24"/>
  <c r="Q26" i="24"/>
  <c r="R26" i="24"/>
  <c r="K25" i="27"/>
  <c r="G43" i="28"/>
  <c r="C38" i="28"/>
  <c r="D30" i="28"/>
  <c r="D55" i="28"/>
  <c r="D38" i="28"/>
  <c r="J55" i="28"/>
  <c r="J26" i="28"/>
  <c r="D37" i="28"/>
  <c r="D35" i="28"/>
  <c r="D26" i="28"/>
  <c r="D26" i="27"/>
  <c r="K26" i="27"/>
  <c r="M31" i="27"/>
  <c r="L24" i="27"/>
  <c r="H30" i="27"/>
  <c r="H26" i="27"/>
  <c r="F55" i="28"/>
  <c r="F26" i="28"/>
  <c r="F30" i="28"/>
  <c r="S43" i="28"/>
  <c r="P23" i="24"/>
  <c r="M24" i="24"/>
  <c r="K22" i="24"/>
  <c r="G21" i="24"/>
  <c r="G24" i="24" s="1"/>
  <c r="M27" i="24" s="1"/>
  <c r="F55" i="24"/>
  <c r="K25" i="24"/>
  <c r="J26" i="24"/>
  <c r="J55" i="24"/>
  <c r="E26" i="24"/>
  <c r="E55" i="24"/>
  <c r="J34" i="24"/>
  <c r="I55" i="24"/>
  <c r="I35" i="24"/>
  <c r="H26" i="24"/>
  <c r="H55" i="24"/>
  <c r="M23" i="24"/>
  <c r="D55" i="24"/>
  <c r="C38" i="24"/>
  <c r="G40" i="24"/>
  <c r="L30" i="24"/>
  <c r="O29" i="24"/>
  <c r="D37" i="24"/>
  <c r="D38" i="24"/>
  <c r="M32" i="24"/>
  <c r="M31" i="24"/>
  <c r="D35" i="24"/>
  <c r="O26" i="24"/>
  <c r="M29" i="24"/>
  <c r="L25" i="24"/>
  <c r="N25" i="24"/>
  <c r="M25" i="24"/>
  <c r="H30" i="24"/>
  <c r="E26" i="27"/>
  <c r="E30" i="27"/>
  <c r="F21" i="27"/>
  <c r="F24" i="27" s="1"/>
  <c r="N33" i="27" s="1"/>
  <c r="C24" i="27"/>
  <c r="D26" i="24"/>
  <c r="S43" i="24"/>
  <c r="J26" i="23"/>
  <c r="N29" i="23"/>
  <c r="L38" i="21"/>
  <c r="D26" i="23"/>
  <c r="O25" i="23"/>
  <c r="E30" i="24"/>
  <c r="F26" i="24"/>
  <c r="F30" i="24"/>
  <c r="D30" i="24"/>
  <c r="E35" i="9"/>
  <c r="H26" i="14"/>
  <c r="B24" i="14"/>
  <c r="K24" i="14" s="1"/>
  <c r="D26" i="9"/>
  <c r="D32" i="9"/>
  <c r="C24" i="24"/>
  <c r="D26" i="21"/>
  <c r="G34" i="23"/>
  <c r="K24" i="23"/>
  <c r="I30" i="24"/>
  <c r="I26" i="24"/>
  <c r="B24" i="21"/>
  <c r="B26" i="21" s="1"/>
  <c r="J34" i="21"/>
  <c r="I26" i="23"/>
  <c r="D30" i="23"/>
  <c r="D30" i="21"/>
  <c r="D33" i="21"/>
  <c r="F21" i="23"/>
  <c r="F24" i="23" s="1"/>
  <c r="I30" i="23"/>
  <c r="H26" i="23"/>
  <c r="J26" i="21"/>
  <c r="L24" i="21"/>
  <c r="B24" i="23"/>
  <c r="B30" i="23" s="1"/>
  <c r="F21" i="21"/>
  <c r="F24" i="21" s="1"/>
  <c r="G36" i="21" s="1"/>
  <c r="G38" i="21" s="1"/>
  <c r="G30" i="23"/>
  <c r="G26" i="23"/>
  <c r="T43" i="23"/>
  <c r="O27" i="21"/>
  <c r="L29" i="21"/>
  <c r="N29" i="21"/>
  <c r="C24" i="19"/>
  <c r="C26" i="19" s="1"/>
  <c r="I26" i="21"/>
  <c r="U43" i="21"/>
  <c r="N23" i="21"/>
  <c r="L25" i="21"/>
  <c r="M27" i="21"/>
  <c r="H26" i="21"/>
  <c r="C30" i="21"/>
  <c r="E26" i="21"/>
  <c r="E30" i="21"/>
  <c r="E30" i="19"/>
  <c r="G21" i="19"/>
  <c r="G24" i="19" s="1"/>
  <c r="G32" i="19" s="1"/>
  <c r="J32" i="21"/>
  <c r="S24" i="21"/>
  <c r="H33" i="21"/>
  <c r="G32" i="21"/>
  <c r="E32" i="21"/>
  <c r="C32" i="21"/>
  <c r="G26" i="21"/>
  <c r="G30" i="21"/>
  <c r="T43" i="21"/>
  <c r="I30" i="19"/>
  <c r="J34" i="19"/>
  <c r="D30" i="19"/>
  <c r="D30" i="9"/>
  <c r="D26" i="19"/>
  <c r="I26" i="19"/>
  <c r="H30" i="19"/>
  <c r="F24" i="19"/>
  <c r="P23" i="19" s="1"/>
  <c r="B26" i="19"/>
  <c r="B30" i="19"/>
  <c r="D33" i="17"/>
  <c r="E32" i="17"/>
  <c r="J26" i="17"/>
  <c r="C30" i="14"/>
  <c r="C26" i="14"/>
  <c r="F21" i="14"/>
  <c r="F24" i="14" s="1"/>
  <c r="M23" i="14" s="1"/>
  <c r="I26" i="17"/>
  <c r="G21" i="17"/>
  <c r="G24" i="17" s="1"/>
  <c r="I30" i="17"/>
  <c r="D30" i="16"/>
  <c r="M30" i="16"/>
  <c r="D32" i="16"/>
  <c r="I32" i="9"/>
  <c r="I30" i="14"/>
  <c r="C26" i="17"/>
  <c r="D30" i="14"/>
  <c r="H32" i="16"/>
  <c r="D30" i="17"/>
  <c r="E30" i="17"/>
  <c r="D32" i="14"/>
  <c r="H30" i="17"/>
  <c r="K23" i="16"/>
  <c r="M35" i="14"/>
  <c r="U43" i="17"/>
  <c r="G33" i="17"/>
  <c r="I33" i="17" s="1"/>
  <c r="F33" i="16"/>
  <c r="D32" i="17"/>
  <c r="E30" i="14"/>
  <c r="F30" i="16"/>
  <c r="L27" i="16"/>
  <c r="F32" i="16"/>
  <c r="D26" i="17"/>
  <c r="C24" i="16"/>
  <c r="U43" i="16" s="1"/>
  <c r="S43" i="16"/>
  <c r="F26" i="16"/>
  <c r="O31" i="16"/>
  <c r="F21" i="17"/>
  <c r="F24" i="17" s="1"/>
  <c r="P25" i="17" s="1"/>
  <c r="H30" i="16"/>
  <c r="I30" i="16"/>
  <c r="I26" i="16"/>
  <c r="D26" i="14"/>
  <c r="J26" i="14"/>
  <c r="E30" i="16"/>
  <c r="E32" i="16"/>
  <c r="E26" i="16"/>
  <c r="G21" i="16"/>
  <c r="G24" i="16" s="1"/>
  <c r="B24" i="16"/>
  <c r="B26" i="17"/>
  <c r="B30" i="17"/>
  <c r="G24" i="14"/>
  <c r="L29" i="14" s="1"/>
  <c r="D32" i="11"/>
  <c r="H26" i="11"/>
  <c r="H30" i="11"/>
  <c r="D30" i="11"/>
  <c r="D26" i="11"/>
  <c r="E35" i="11"/>
  <c r="I26" i="11"/>
  <c r="I30" i="11"/>
  <c r="G21" i="11"/>
  <c r="G24" i="11" s="1"/>
  <c r="B24" i="11"/>
  <c r="F21" i="11"/>
  <c r="F24" i="11" s="1"/>
  <c r="C24" i="11"/>
  <c r="E26" i="11"/>
  <c r="E30" i="11"/>
  <c r="B45" i="9"/>
  <c r="O27" i="9"/>
  <c r="N27" i="9"/>
  <c r="J24" i="9"/>
  <c r="B26" i="9"/>
  <c r="T18" i="9"/>
  <c r="B32" i="9"/>
  <c r="F32" i="9"/>
  <c r="B30" i="9"/>
  <c r="H37" i="9"/>
  <c r="H35" i="9"/>
  <c r="G21" i="9"/>
  <c r="G24" i="9" s="1"/>
  <c r="R32" i="9" s="1"/>
  <c r="H26" i="9"/>
  <c r="P39" i="9"/>
  <c r="F30" i="9"/>
  <c r="F26" i="9"/>
  <c r="N32" i="9"/>
  <c r="P35" i="9"/>
  <c r="S18" i="9"/>
  <c r="S26" i="9"/>
  <c r="S32" i="9"/>
  <c r="F37" i="9"/>
  <c r="I26" i="9"/>
  <c r="O36" i="9"/>
  <c r="H32" i="9"/>
  <c r="E32" i="9"/>
  <c r="C24" i="9"/>
  <c r="E26" i="9"/>
  <c r="Q7" i="8"/>
  <c r="P7" i="8"/>
  <c r="K7" i="8"/>
  <c r="I7" i="8"/>
  <c r="E7" i="8"/>
  <c r="G21" i="1"/>
  <c r="G24" i="1" s="1"/>
  <c r="I30" i="1" s="1"/>
  <c r="A8" i="7"/>
  <c r="Q7" i="7"/>
  <c r="P7" i="7"/>
  <c r="K7" i="7"/>
  <c r="I7" i="7"/>
  <c r="E7" i="7"/>
  <c r="A8" i="6"/>
  <c r="Q7" i="6"/>
  <c r="P7" i="6"/>
  <c r="K7" i="6"/>
  <c r="I7" i="6"/>
  <c r="E7" i="6"/>
  <c r="E26" i="1"/>
  <c r="D30" i="1"/>
  <c r="A8" i="4"/>
  <c r="P7" i="4"/>
  <c r="K7" i="4"/>
  <c r="E7" i="4"/>
  <c r="A15" i="3"/>
  <c r="J27" i="1"/>
  <c r="K24" i="1"/>
  <c r="F21" i="1"/>
  <c r="F24" i="1" s="1"/>
  <c r="F26" i="1" s="1"/>
  <c r="C26" i="1"/>
  <c r="C30" i="1"/>
  <c r="B26" i="1"/>
  <c r="B30" i="1"/>
  <c r="G30" i="48" l="1"/>
  <c r="G34" i="48"/>
  <c r="B34" i="48"/>
  <c r="B30" i="48"/>
  <c r="G33" i="50"/>
  <c r="G29" i="50"/>
  <c r="F30" i="48"/>
  <c r="R27" i="48"/>
  <c r="F34" i="48"/>
  <c r="C30" i="48"/>
  <c r="C34" i="48"/>
  <c r="B29" i="47"/>
  <c r="K30" i="47"/>
  <c r="B33" i="47"/>
  <c r="G29" i="47"/>
  <c r="G33" i="47"/>
  <c r="C29" i="47"/>
  <c r="L30" i="47"/>
  <c r="C33" i="47"/>
  <c r="R26" i="47"/>
  <c r="F29" i="47"/>
  <c r="F33" i="47"/>
  <c r="B22" i="32"/>
  <c r="D33" i="43"/>
  <c r="H29" i="43"/>
  <c r="I33" i="43"/>
  <c r="G26" i="43"/>
  <c r="G29" i="43" s="1"/>
  <c r="F26" i="43"/>
  <c r="F33" i="43" s="1"/>
  <c r="B30" i="31"/>
  <c r="B35" i="38"/>
  <c r="C33" i="43"/>
  <c r="B33" i="43"/>
  <c r="C29" i="42"/>
  <c r="K34" i="31"/>
  <c r="G33" i="42"/>
  <c r="G29" i="42"/>
  <c r="B29" i="42"/>
  <c r="B33" i="42"/>
  <c r="B30" i="38"/>
  <c r="B56" i="38"/>
  <c r="S24" i="38"/>
  <c r="R20" i="31"/>
  <c r="R19" i="31"/>
  <c r="F35" i="38"/>
  <c r="J35" i="38"/>
  <c r="G56" i="38"/>
  <c r="G35" i="38"/>
  <c r="C35" i="38"/>
  <c r="G30" i="38"/>
  <c r="G26" i="38"/>
  <c r="C26" i="31"/>
  <c r="C55" i="31"/>
  <c r="F56" i="38"/>
  <c r="F26" i="38"/>
  <c r="F30" i="38"/>
  <c r="K34" i="38"/>
  <c r="C56" i="38"/>
  <c r="C26" i="38"/>
  <c r="C30" i="38"/>
  <c r="S19" i="31"/>
  <c r="O29" i="31"/>
  <c r="S20" i="31"/>
  <c r="C30" i="31"/>
  <c r="N31" i="31"/>
  <c r="R24" i="31"/>
  <c r="K28" i="31"/>
  <c r="L29" i="31"/>
  <c r="R7" i="31"/>
  <c r="J55" i="31"/>
  <c r="S32" i="31"/>
  <c r="K34" i="29"/>
  <c r="K35" i="29" s="1"/>
  <c r="K36" i="29" s="1"/>
  <c r="N30" i="27"/>
  <c r="G26" i="31"/>
  <c r="G55" i="31"/>
  <c r="Q33" i="30"/>
  <c r="B55" i="29"/>
  <c r="O27" i="29"/>
  <c r="C26" i="30"/>
  <c r="G26" i="30"/>
  <c r="O27" i="27"/>
  <c r="C55" i="30"/>
  <c r="M22" i="9"/>
  <c r="G55" i="30"/>
  <c r="G30" i="30"/>
  <c r="B30" i="30"/>
  <c r="B55" i="30"/>
  <c r="C30" i="30"/>
  <c r="B26" i="30"/>
  <c r="B30" i="29"/>
  <c r="B26" i="29"/>
  <c r="P29" i="27"/>
  <c r="N24" i="27"/>
  <c r="G26" i="27"/>
  <c r="M23" i="27"/>
  <c r="T43" i="27"/>
  <c r="O23" i="27"/>
  <c r="O25" i="27"/>
  <c r="N22" i="27"/>
  <c r="M25" i="27"/>
  <c r="R22" i="27"/>
  <c r="F30" i="29"/>
  <c r="F26" i="29"/>
  <c r="S43" i="29"/>
  <c r="I35" i="29"/>
  <c r="E36" i="29"/>
  <c r="G37" i="29"/>
  <c r="F36" i="29"/>
  <c r="F55" i="29"/>
  <c r="G30" i="27"/>
  <c r="T43" i="28"/>
  <c r="E36" i="28"/>
  <c r="N24" i="28"/>
  <c r="P27" i="27"/>
  <c r="Q29" i="27" s="1"/>
  <c r="C26" i="28"/>
  <c r="B35" i="28"/>
  <c r="G30" i="28"/>
  <c r="B55" i="28"/>
  <c r="B30" i="28"/>
  <c r="B26" i="28"/>
  <c r="N29" i="27"/>
  <c r="P25" i="27"/>
  <c r="G55" i="28"/>
  <c r="G35" i="28"/>
  <c r="G55" i="29"/>
  <c r="G26" i="29"/>
  <c r="G30" i="29"/>
  <c r="T43" i="29"/>
  <c r="C35" i="28"/>
  <c r="B26" i="24"/>
  <c r="P33" i="24"/>
  <c r="U43" i="28"/>
  <c r="B26" i="14"/>
  <c r="C34" i="28"/>
  <c r="C55" i="28"/>
  <c r="C30" i="28"/>
  <c r="G30" i="24"/>
  <c r="T43" i="24"/>
  <c r="P35" i="19"/>
  <c r="B30" i="21"/>
  <c r="R22" i="24"/>
  <c r="Q27" i="24"/>
  <c r="O31" i="24"/>
  <c r="N27" i="24"/>
  <c r="G26" i="24"/>
  <c r="G35" i="24"/>
  <c r="G55" i="24"/>
  <c r="K23" i="24"/>
  <c r="L24" i="24"/>
  <c r="P30" i="24"/>
  <c r="C35" i="24"/>
  <c r="C55" i="24"/>
  <c r="P25" i="24"/>
  <c r="B55" i="24"/>
  <c r="D33" i="24"/>
  <c r="C34" i="24"/>
  <c r="E36" i="24"/>
  <c r="B35" i="24"/>
  <c r="N29" i="24"/>
  <c r="M33" i="27"/>
  <c r="L27" i="27"/>
  <c r="U43" i="27"/>
  <c r="C26" i="27"/>
  <c r="C30" i="27"/>
  <c r="S43" i="27"/>
  <c r="F26" i="27"/>
  <c r="N26" i="27"/>
  <c r="M27" i="27"/>
  <c r="F30" i="27"/>
  <c r="O31" i="27"/>
  <c r="B30" i="24"/>
  <c r="P29" i="23"/>
  <c r="M25" i="23"/>
  <c r="P25" i="23"/>
  <c r="B30" i="14"/>
  <c r="F30" i="21"/>
  <c r="N26" i="21"/>
  <c r="F26" i="21"/>
  <c r="C30" i="24"/>
  <c r="C26" i="24"/>
  <c r="U43" i="24"/>
  <c r="C30" i="19"/>
  <c r="U43" i="19"/>
  <c r="L27" i="21"/>
  <c r="O31" i="21"/>
  <c r="H32" i="21"/>
  <c r="S43" i="21"/>
  <c r="C26" i="23"/>
  <c r="C30" i="23"/>
  <c r="U43" i="23"/>
  <c r="C32" i="19"/>
  <c r="F26" i="23"/>
  <c r="F30" i="23"/>
  <c r="S43" i="23"/>
  <c r="B26" i="23"/>
  <c r="P23" i="21"/>
  <c r="H33" i="19"/>
  <c r="E32" i="19"/>
  <c r="N27" i="19"/>
  <c r="O25" i="19"/>
  <c r="G36" i="19"/>
  <c r="G38" i="19" s="1"/>
  <c r="H32" i="19"/>
  <c r="T43" i="19"/>
  <c r="R22" i="19"/>
  <c r="G26" i="19"/>
  <c r="G30" i="19"/>
  <c r="S43" i="19"/>
  <c r="F30" i="19"/>
  <c r="S24" i="19"/>
  <c r="F26" i="19"/>
  <c r="M24" i="17"/>
  <c r="L25" i="17"/>
  <c r="K24" i="17"/>
  <c r="N20" i="17"/>
  <c r="L20" i="17"/>
  <c r="G37" i="17"/>
  <c r="H37" i="17" s="1"/>
  <c r="H39" i="17" s="1"/>
  <c r="H41" i="17" s="1"/>
  <c r="S24" i="17"/>
  <c r="T43" i="17"/>
  <c r="S43" i="14"/>
  <c r="F26" i="14"/>
  <c r="L23" i="14"/>
  <c r="O28" i="14"/>
  <c r="G30" i="17"/>
  <c r="G26" i="17"/>
  <c r="F33" i="17"/>
  <c r="I34" i="14"/>
  <c r="F30" i="14"/>
  <c r="M26" i="16"/>
  <c r="C26" i="16"/>
  <c r="C30" i="16"/>
  <c r="C32" i="16"/>
  <c r="S43" i="17"/>
  <c r="F30" i="17"/>
  <c r="F26" i="17"/>
  <c r="B30" i="16"/>
  <c r="B32" i="16"/>
  <c r="B26" i="16"/>
  <c r="G32" i="16"/>
  <c r="T43" i="16"/>
  <c r="G26" i="16"/>
  <c r="L40" i="16"/>
  <c r="G30" i="16"/>
  <c r="T43" i="14"/>
  <c r="G26" i="14"/>
  <c r="G30" i="14"/>
  <c r="G34" i="11"/>
  <c r="B32" i="11"/>
  <c r="B33" i="11"/>
  <c r="G32" i="11"/>
  <c r="C32" i="11"/>
  <c r="F32" i="11"/>
  <c r="S45" i="11"/>
  <c r="S44" i="11"/>
  <c r="S43" i="11"/>
  <c r="S42" i="11"/>
  <c r="S41" i="11"/>
  <c r="S40" i="11"/>
  <c r="S39" i="11"/>
  <c r="S38" i="11"/>
  <c r="S37" i="11"/>
  <c r="S36" i="11"/>
  <c r="S35" i="11"/>
  <c r="S34" i="11"/>
  <c r="F35" i="11"/>
  <c r="B26" i="11"/>
  <c r="B30" i="11"/>
  <c r="C26" i="11"/>
  <c r="C30" i="11"/>
  <c r="D34" i="11"/>
  <c r="D35" i="11"/>
  <c r="G26" i="11"/>
  <c r="G30" i="11"/>
  <c r="F26" i="11"/>
  <c r="F30" i="11"/>
  <c r="H37" i="11"/>
  <c r="F37" i="11"/>
  <c r="H35" i="11"/>
  <c r="T21" i="9"/>
  <c r="K22" i="9"/>
  <c r="Q23" i="9"/>
  <c r="Q28" i="9"/>
  <c r="G26" i="9"/>
  <c r="G32" i="9"/>
  <c r="Q22" i="9"/>
  <c r="G30" i="9"/>
  <c r="L35" i="9"/>
  <c r="C32" i="9"/>
  <c r="Q27" i="9"/>
  <c r="C30" i="9"/>
  <c r="D35" i="9"/>
  <c r="O31" i="9"/>
  <c r="P31" i="9" s="1"/>
  <c r="C26" i="9"/>
  <c r="D34" i="9"/>
  <c r="Q30" i="9"/>
  <c r="K23" i="9"/>
  <c r="L23" i="9" s="1"/>
  <c r="Q8" i="8"/>
  <c r="P8" i="8"/>
  <c r="K8" i="8"/>
  <c r="I8" i="8"/>
  <c r="E8" i="8"/>
  <c r="G30" i="1"/>
  <c r="G26" i="1"/>
  <c r="A9" i="7"/>
  <c r="Q8" i="7"/>
  <c r="P8" i="7"/>
  <c r="K8" i="7"/>
  <c r="I8" i="7"/>
  <c r="E8" i="7"/>
  <c r="A9" i="6"/>
  <c r="Q8" i="6"/>
  <c r="P8" i="6"/>
  <c r="K8" i="6"/>
  <c r="I8" i="6"/>
  <c r="E8" i="6"/>
  <c r="A9" i="4"/>
  <c r="Q8" i="4"/>
  <c r="P8" i="4"/>
  <c r="K8" i="4"/>
  <c r="E8" i="4"/>
  <c r="F30" i="1"/>
  <c r="A16" i="3"/>
  <c r="B23" i="32" l="1"/>
  <c r="G33" i="43"/>
  <c r="F29" i="43"/>
  <c r="G39" i="17"/>
  <c r="G41" i="17" s="1"/>
  <c r="I41" i="17" s="1"/>
  <c r="R28" i="9"/>
  <c r="Q9" i="8"/>
  <c r="P9" i="8"/>
  <c r="K9" i="8"/>
  <c r="I9" i="8"/>
  <c r="E9" i="8"/>
  <c r="A10" i="7"/>
  <c r="Q9" i="7"/>
  <c r="P9" i="7"/>
  <c r="K9" i="7"/>
  <c r="I9" i="7"/>
  <c r="E9" i="7"/>
  <c r="A10" i="6"/>
  <c r="Q9" i="6"/>
  <c r="P9" i="6"/>
  <c r="K9" i="6"/>
  <c r="I9" i="6"/>
  <c r="E9" i="6"/>
  <c r="A10" i="4"/>
  <c r="Q9" i="4"/>
  <c r="P9" i="4"/>
  <c r="K9" i="4"/>
  <c r="E9" i="4"/>
  <c r="A17" i="3"/>
  <c r="B24" i="32" l="1"/>
  <c r="Q10" i="8"/>
  <c r="K10" i="8"/>
  <c r="I10" i="8"/>
  <c r="E10" i="8"/>
  <c r="A11" i="7"/>
  <c r="Q10" i="7"/>
  <c r="P10" i="7"/>
  <c r="K10" i="7"/>
  <c r="I10" i="7"/>
  <c r="E10" i="7"/>
  <c r="A11" i="6"/>
  <c r="Q10" i="6"/>
  <c r="P10" i="6"/>
  <c r="K10" i="6"/>
  <c r="I10" i="6"/>
  <c r="E10" i="6"/>
  <c r="A11" i="4"/>
  <c r="Q10" i="4"/>
  <c r="P10" i="4"/>
  <c r="K10" i="4"/>
  <c r="E10" i="4"/>
  <c r="Q19" i="3"/>
  <c r="K19" i="3"/>
  <c r="B25" i="32" l="1"/>
  <c r="S4" i="32"/>
  <c r="S8" i="32"/>
  <c r="S9" i="32"/>
  <c r="S10" i="32"/>
  <c r="S11" i="32"/>
  <c r="S12" i="32"/>
  <c r="S14" i="32"/>
  <c r="S15" i="32"/>
  <c r="S18" i="32"/>
  <c r="S19" i="32"/>
  <c r="S25" i="32"/>
  <c r="S26" i="32"/>
  <c r="S27" i="32"/>
  <c r="S28" i="32"/>
  <c r="S29" i="32"/>
  <c r="S30" i="32"/>
  <c r="S31" i="32"/>
  <c r="S32" i="32"/>
  <c r="S33" i="32"/>
  <c r="S34" i="32"/>
  <c r="R3" i="32"/>
  <c r="R4" i="32"/>
  <c r="R5" i="32"/>
  <c r="R6" i="32"/>
  <c r="R7" i="32"/>
  <c r="R8" i="32"/>
  <c r="R9" i="32"/>
  <c r="R10" i="32"/>
  <c r="R11" i="32"/>
  <c r="R12" i="32"/>
  <c r="R13" i="32"/>
  <c r="R16" i="32"/>
  <c r="R17" i="32"/>
  <c r="R19" i="32"/>
  <c r="R20" i="32"/>
  <c r="R21" i="32"/>
  <c r="R22" i="32"/>
  <c r="R23" i="32"/>
  <c r="R24" i="32"/>
  <c r="R27" i="32"/>
  <c r="R28" i="32"/>
  <c r="R29" i="32"/>
  <c r="R30" i="32"/>
  <c r="R31" i="32"/>
  <c r="R32" i="32"/>
  <c r="R33" i="32"/>
  <c r="R34" i="32"/>
  <c r="Q4" i="32"/>
  <c r="Q8" i="32"/>
  <c r="Q9" i="32"/>
  <c r="Q10" i="32"/>
  <c r="Q11" i="32"/>
  <c r="Q12" i="32"/>
  <c r="Q16" i="32"/>
  <c r="Q19" i="32"/>
  <c r="Q20" i="32"/>
  <c r="Q21" i="32"/>
  <c r="Q22" i="32"/>
  <c r="Q24" i="32"/>
  <c r="Q27" i="32"/>
  <c r="Q28" i="32"/>
  <c r="Q29" i="32"/>
  <c r="Q30" i="32"/>
  <c r="Q31" i="32"/>
  <c r="Q32" i="32"/>
  <c r="Q33" i="32"/>
  <c r="Q34" i="32"/>
  <c r="S24" i="32"/>
  <c r="S22" i="32"/>
  <c r="S21" i="32"/>
  <c r="S20" i="32"/>
  <c r="S16" i="32"/>
  <c r="S17" i="32"/>
  <c r="S7" i="32"/>
  <c r="S3" i="32"/>
  <c r="S5" i="32"/>
  <c r="S13" i="32"/>
  <c r="S6" i="32"/>
  <c r="S23" i="32"/>
  <c r="R18" i="32"/>
  <c r="Q25" i="32"/>
  <c r="R15" i="32"/>
  <c r="R14" i="32"/>
  <c r="R26" i="32"/>
  <c r="R25" i="32"/>
  <c r="Q11" i="8"/>
  <c r="P11" i="8"/>
  <c r="K11" i="8"/>
  <c r="I11" i="8"/>
  <c r="E11" i="8"/>
  <c r="A12" i="7"/>
  <c r="Q11" i="7"/>
  <c r="P11" i="7"/>
  <c r="K11" i="7"/>
  <c r="I11" i="7"/>
  <c r="E11" i="7"/>
  <c r="A12" i="6"/>
  <c r="Q11" i="6"/>
  <c r="P11" i="6"/>
  <c r="K11" i="6"/>
  <c r="I11" i="6"/>
  <c r="E11" i="6"/>
  <c r="A12" i="4"/>
  <c r="Q11" i="4"/>
  <c r="P11" i="4"/>
  <c r="K11" i="4"/>
  <c r="E11" i="4"/>
  <c r="P19" i="3"/>
  <c r="C21" i="3" s="1"/>
  <c r="E21" i="3"/>
  <c r="E24" i="3" s="1"/>
  <c r="V34" i="32" l="1"/>
  <c r="V33" i="32"/>
  <c r="V32" i="32"/>
  <c r="V31" i="32"/>
  <c r="V30" i="32"/>
  <c r="V29" i="32"/>
  <c r="V28" i="32"/>
  <c r="V27" i="32"/>
  <c r="V26" i="32"/>
  <c r="V25" i="32"/>
  <c r="V24" i="32"/>
  <c r="V23" i="32"/>
  <c r="V22" i="32"/>
  <c r="V21" i="32"/>
  <c r="V20" i="32"/>
  <c r="V19" i="32"/>
  <c r="V18" i="32"/>
  <c r="V17" i="32"/>
  <c r="V16" i="32"/>
  <c r="V15" i="32"/>
  <c r="V14" i="32"/>
  <c r="V13" i="32"/>
  <c r="V12" i="32"/>
  <c r="V11" i="32"/>
  <c r="V10" i="32"/>
  <c r="V9" i="32"/>
  <c r="V8" i="32"/>
  <c r="V7" i="32"/>
  <c r="V6" i="32"/>
  <c r="V5" i="32"/>
  <c r="V4" i="32"/>
  <c r="V3" i="32"/>
  <c r="U3" i="32"/>
  <c r="U34" i="32"/>
  <c r="U33" i="32"/>
  <c r="U32" i="32"/>
  <c r="U31" i="32"/>
  <c r="U30" i="32"/>
  <c r="U29" i="32"/>
  <c r="U28" i="32"/>
  <c r="U27" i="32"/>
  <c r="U26" i="32"/>
  <c r="U25" i="32"/>
  <c r="U24" i="32"/>
  <c r="U23" i="32"/>
  <c r="U22" i="32"/>
  <c r="U21" i="32"/>
  <c r="U20" i="32"/>
  <c r="U19" i="32"/>
  <c r="U18" i="32"/>
  <c r="U17" i="32"/>
  <c r="U16" i="32"/>
  <c r="U15" i="32"/>
  <c r="U14" i="32"/>
  <c r="U13" i="32"/>
  <c r="U12" i="32"/>
  <c r="U11" i="32"/>
  <c r="U10" i="32"/>
  <c r="U9" i="32"/>
  <c r="U8" i="32"/>
  <c r="U7" i="32"/>
  <c r="U6" i="32"/>
  <c r="U5" i="32"/>
  <c r="U4" i="32"/>
  <c r="T4" i="32"/>
  <c r="T5" i="32"/>
  <c r="T6" i="32"/>
  <c r="T7" i="32"/>
  <c r="T8" i="32"/>
  <c r="T9" i="32"/>
  <c r="T10" i="32"/>
  <c r="T11" i="32"/>
  <c r="T12" i="32"/>
  <c r="T13" i="32"/>
  <c r="T14" i="32"/>
  <c r="T15" i="32"/>
  <c r="T16" i="32"/>
  <c r="T17" i="32"/>
  <c r="T18" i="32"/>
  <c r="T19" i="32"/>
  <c r="T20" i="32"/>
  <c r="T21" i="32"/>
  <c r="T22" i="32"/>
  <c r="T23" i="32"/>
  <c r="T24" i="32"/>
  <c r="T25" i="32"/>
  <c r="T26" i="32"/>
  <c r="T27" i="32"/>
  <c r="T28" i="32"/>
  <c r="T29" i="32"/>
  <c r="T30" i="32"/>
  <c r="T31" i="32"/>
  <c r="T32" i="32"/>
  <c r="T33" i="32"/>
  <c r="T34" i="32"/>
  <c r="T3" i="32"/>
  <c r="W4" i="32"/>
  <c r="W5" i="32"/>
  <c r="W6" i="32"/>
  <c r="W7" i="32"/>
  <c r="W8" i="32"/>
  <c r="W9" i="32"/>
  <c r="W10" i="32"/>
  <c r="W11" i="32"/>
  <c r="W12" i="32"/>
  <c r="W13" i="32"/>
  <c r="W14" i="32"/>
  <c r="W15" i="32"/>
  <c r="W16" i="32"/>
  <c r="W17" i="32"/>
  <c r="W18" i="32"/>
  <c r="W19" i="32"/>
  <c r="W20" i="32"/>
  <c r="W21" i="32"/>
  <c r="W22" i="32"/>
  <c r="W23" i="32"/>
  <c r="W24" i="32"/>
  <c r="W26" i="32"/>
  <c r="W27" i="32"/>
  <c r="W28" i="32"/>
  <c r="W29" i="32"/>
  <c r="W30" i="32"/>
  <c r="W31" i="32"/>
  <c r="W32" i="32"/>
  <c r="W33" i="32"/>
  <c r="W34" i="32"/>
  <c r="W3" i="32"/>
  <c r="W25" i="32"/>
  <c r="Q23" i="32"/>
  <c r="Q6" i="32"/>
  <c r="Q13" i="32"/>
  <c r="Q5" i="32"/>
  <c r="Q3" i="32"/>
  <c r="Q7" i="32"/>
  <c r="Q17" i="32"/>
  <c r="Q26" i="32"/>
  <c r="Q14" i="32"/>
  <c r="Q15" i="32"/>
  <c r="Q18" i="32"/>
  <c r="Q12" i="8"/>
  <c r="P12" i="8"/>
  <c r="K12" i="8"/>
  <c r="I12" i="8"/>
  <c r="E12" i="8"/>
  <c r="A13" i="7"/>
  <c r="Q12" i="7"/>
  <c r="P12" i="7"/>
  <c r="K12" i="7"/>
  <c r="I12" i="7"/>
  <c r="E12" i="7"/>
  <c r="Q12" i="6"/>
  <c r="P12" i="6"/>
  <c r="K12" i="6"/>
  <c r="I12" i="6"/>
  <c r="E12" i="6"/>
  <c r="A13" i="4"/>
  <c r="Q12" i="4"/>
  <c r="P12" i="4"/>
  <c r="K12" i="4"/>
  <c r="E12" i="4"/>
  <c r="E26" i="3"/>
  <c r="E30" i="3"/>
  <c r="C24" i="3"/>
  <c r="L22" i="3" s="1"/>
  <c r="F21" i="3"/>
  <c r="F24" i="3" s="1"/>
  <c r="B21" i="3"/>
  <c r="D21" i="3"/>
  <c r="D24" i="3" s="1"/>
  <c r="B32" i="3" s="1"/>
  <c r="Q13" i="8" l="1"/>
  <c r="P13" i="8"/>
  <c r="K13" i="8"/>
  <c r="I13" i="8"/>
  <c r="E13" i="8"/>
  <c r="A14" i="7"/>
  <c r="Q13" i="7"/>
  <c r="P13" i="7"/>
  <c r="K13" i="7"/>
  <c r="I13" i="7"/>
  <c r="E13" i="7"/>
  <c r="Q13" i="6"/>
  <c r="P13" i="6"/>
  <c r="K13" i="6"/>
  <c r="I13" i="6"/>
  <c r="E13" i="6"/>
  <c r="P32" i="3"/>
  <c r="L39" i="3"/>
  <c r="A14" i="4"/>
  <c r="Q13" i="4"/>
  <c r="P13" i="4"/>
  <c r="K13" i="4"/>
  <c r="E13" i="4"/>
  <c r="D35" i="3"/>
  <c r="I30" i="3"/>
  <c r="J33" i="3"/>
  <c r="B36" i="3"/>
  <c r="D26" i="3"/>
  <c r="D30" i="3"/>
  <c r="B24" i="3"/>
  <c r="G21" i="3"/>
  <c r="G24" i="3" s="1"/>
  <c r="K37" i="3" s="1"/>
  <c r="F26" i="3"/>
  <c r="F30" i="3"/>
  <c r="C26" i="3"/>
  <c r="C30" i="3"/>
  <c r="Q14" i="8" l="1"/>
  <c r="P14" i="8"/>
  <c r="K14" i="8"/>
  <c r="I14" i="8"/>
  <c r="E14" i="8"/>
  <c r="A15" i="7"/>
  <c r="Q14" i="7"/>
  <c r="K14" i="7"/>
  <c r="I14" i="7"/>
  <c r="E14" i="7"/>
  <c r="Q14" i="6"/>
  <c r="K14" i="6"/>
  <c r="I14" i="6"/>
  <c r="E14" i="6"/>
  <c r="A15" i="4"/>
  <c r="Q14" i="4"/>
  <c r="P14" i="4"/>
  <c r="K14" i="4"/>
  <c r="E14" i="4"/>
  <c r="N28" i="3"/>
  <c r="F35" i="3"/>
  <c r="K34" i="3"/>
  <c r="H41" i="3"/>
  <c r="H24" i="3"/>
  <c r="H35" i="3"/>
  <c r="K23" i="3"/>
  <c r="B37" i="3"/>
  <c r="L30" i="3"/>
  <c r="M24" i="3"/>
  <c r="I22" i="3"/>
  <c r="J23" i="3"/>
  <c r="P24" i="3"/>
  <c r="O24" i="3"/>
  <c r="G26" i="3"/>
  <c r="G30" i="3"/>
  <c r="B26" i="3"/>
  <c r="B30" i="3"/>
  <c r="Q15" i="8" l="1"/>
  <c r="P15" i="8"/>
  <c r="K15" i="8"/>
  <c r="I15" i="8"/>
  <c r="E15" i="8"/>
  <c r="A16" i="7"/>
  <c r="Q15" i="7"/>
  <c r="K15" i="7"/>
  <c r="I15" i="7"/>
  <c r="E15" i="7"/>
  <c r="Q15" i="6"/>
  <c r="P15" i="6"/>
  <c r="K15" i="6"/>
  <c r="I15" i="6"/>
  <c r="E15" i="6"/>
  <c r="A16" i="4"/>
  <c r="Q15" i="4"/>
  <c r="P15" i="4"/>
  <c r="K15" i="4"/>
  <c r="E15" i="4"/>
  <c r="Q16" i="8" l="1"/>
  <c r="P16" i="8"/>
  <c r="O21" i="8" s="1"/>
  <c r="K16" i="8"/>
  <c r="I16" i="8"/>
  <c r="E16" i="8"/>
  <c r="A17" i="7"/>
  <c r="Q16" i="7"/>
  <c r="P16" i="7"/>
  <c r="K16" i="7"/>
  <c r="I16" i="7"/>
  <c r="E16" i="7"/>
  <c r="Q16" i="6"/>
  <c r="P16" i="6"/>
  <c r="K16" i="6"/>
  <c r="I16" i="6"/>
  <c r="E16" i="6"/>
  <c r="A17" i="4"/>
  <c r="Q16" i="4"/>
  <c r="P16" i="4"/>
  <c r="K16" i="4"/>
  <c r="E16" i="4"/>
  <c r="Q17" i="8" l="1"/>
  <c r="Q19" i="8" s="1"/>
  <c r="K17" i="8"/>
  <c r="K19" i="8" s="1"/>
  <c r="I17" i="8"/>
  <c r="I19" i="8" s="1"/>
  <c r="E17" i="8"/>
  <c r="E19" i="8" s="1"/>
  <c r="Q17" i="7"/>
  <c r="P17" i="7"/>
  <c r="O21" i="7" s="1"/>
  <c r="K17" i="7"/>
  <c r="I17" i="7"/>
  <c r="E17" i="7"/>
  <c r="Q17" i="6"/>
  <c r="P17" i="6"/>
  <c r="K17" i="6"/>
  <c r="I17" i="6"/>
  <c r="E17" i="6"/>
  <c r="Q17" i="4"/>
  <c r="Q19" i="4" s="1"/>
  <c r="P17" i="4"/>
  <c r="O21" i="4" s="1"/>
  <c r="K17" i="4"/>
  <c r="K19" i="4" s="1"/>
  <c r="E17" i="4"/>
  <c r="E19" i="4" s="1"/>
  <c r="P19" i="8" l="1"/>
  <c r="I21" i="8"/>
  <c r="I24" i="8" s="1"/>
  <c r="K30" i="8" s="1"/>
  <c r="Q18" i="7"/>
  <c r="Q19" i="7" s="1"/>
  <c r="K18" i="7"/>
  <c r="K19" i="7" s="1"/>
  <c r="I18" i="7"/>
  <c r="I19" i="7" s="1"/>
  <c r="E18" i="7"/>
  <c r="E19" i="7" s="1"/>
  <c r="Q18" i="6"/>
  <c r="Q19" i="6" s="1"/>
  <c r="P18" i="6"/>
  <c r="O21" i="6" s="1"/>
  <c r="K18" i="6"/>
  <c r="K19" i="6" s="1"/>
  <c r="I18" i="6"/>
  <c r="I19" i="6" s="1"/>
  <c r="E19" i="6"/>
  <c r="P19" i="4"/>
  <c r="C21" i="4" s="1"/>
  <c r="C24" i="4" s="1"/>
  <c r="O36" i="4" s="1"/>
  <c r="D21" i="6" l="1"/>
  <c r="I32" i="8"/>
  <c r="E21" i="8"/>
  <c r="E24" i="8" s="1"/>
  <c r="E26" i="8" s="1"/>
  <c r="I26" i="8"/>
  <c r="I30" i="8"/>
  <c r="C21" i="8"/>
  <c r="F21" i="8" s="1"/>
  <c r="F24" i="8" s="1"/>
  <c r="B21" i="8"/>
  <c r="H21" i="8"/>
  <c r="H24" i="8" s="1"/>
  <c r="H32" i="8" s="1"/>
  <c r="D21" i="8"/>
  <c r="D24" i="8" s="1"/>
  <c r="E21" i="7"/>
  <c r="E24" i="7" s="1"/>
  <c r="P19" i="7"/>
  <c r="E21" i="6"/>
  <c r="E24" i="6" s="1"/>
  <c r="P19" i="6"/>
  <c r="O26" i="4"/>
  <c r="K31" i="4"/>
  <c r="E21" i="4"/>
  <c r="E24" i="4" s="1"/>
  <c r="E26" i="4" s="1"/>
  <c r="H21" i="4"/>
  <c r="H24" i="4" s="1"/>
  <c r="H26" i="4" s="1"/>
  <c r="J21" i="4"/>
  <c r="F21" i="4"/>
  <c r="F24" i="4" s="1"/>
  <c r="B21" i="4"/>
  <c r="D21" i="4"/>
  <c r="D24" i="4" s="1"/>
  <c r="R26" i="8" l="1"/>
  <c r="S26" i="8"/>
  <c r="M23" i="8"/>
  <c r="P29" i="8"/>
  <c r="Q23" i="8"/>
  <c r="M28" i="8"/>
  <c r="N23" i="8"/>
  <c r="H37" i="8"/>
  <c r="F37" i="8"/>
  <c r="H35" i="8"/>
  <c r="S18" i="8"/>
  <c r="F32" i="8"/>
  <c r="T18" i="8"/>
  <c r="D32" i="8"/>
  <c r="E35" i="8"/>
  <c r="E30" i="8"/>
  <c r="E32" i="8"/>
  <c r="F26" i="8"/>
  <c r="C24" i="8"/>
  <c r="D26" i="8"/>
  <c r="D30" i="8"/>
  <c r="H26" i="8"/>
  <c r="H30" i="8"/>
  <c r="B24" i="8"/>
  <c r="G21" i="8"/>
  <c r="G24" i="8" s="1"/>
  <c r="F30" i="8"/>
  <c r="E30" i="6"/>
  <c r="E32" i="6"/>
  <c r="C21" i="6"/>
  <c r="C24" i="6" s="1"/>
  <c r="C21" i="7"/>
  <c r="C24" i="7" s="1"/>
  <c r="E26" i="7"/>
  <c r="E30" i="7"/>
  <c r="B21" i="7"/>
  <c r="H21" i="7"/>
  <c r="H24" i="7" s="1"/>
  <c r="D21" i="7"/>
  <c r="D24" i="7" s="1"/>
  <c r="E30" i="4"/>
  <c r="E26" i="6"/>
  <c r="B21" i="6"/>
  <c r="H21" i="6"/>
  <c r="H24" i="6" s="1"/>
  <c r="H32" i="6" s="1"/>
  <c r="D24" i="6"/>
  <c r="R31" i="6" s="1"/>
  <c r="K23" i="4"/>
  <c r="K24" i="4" s="1"/>
  <c r="K25" i="4" s="1"/>
  <c r="O29" i="4"/>
  <c r="P29" i="4" s="1"/>
  <c r="D26" i="4"/>
  <c r="D30" i="4"/>
  <c r="B24" i="4"/>
  <c r="G21" i="4"/>
  <c r="G24" i="4" s="1"/>
  <c r="L21" i="4" s="1"/>
  <c r="F26" i="4"/>
  <c r="F30" i="4"/>
  <c r="C26" i="4"/>
  <c r="C30" i="4"/>
  <c r="K32" i="8" l="1"/>
  <c r="R28" i="8"/>
  <c r="L28" i="8"/>
  <c r="L23" i="8"/>
  <c r="T21" i="8"/>
  <c r="B32" i="8"/>
  <c r="F35" i="8"/>
  <c r="D35" i="8"/>
  <c r="D34" i="8"/>
  <c r="G32" i="8"/>
  <c r="C32" i="8"/>
  <c r="E35" i="6"/>
  <c r="P28" i="6"/>
  <c r="C30" i="8"/>
  <c r="C26" i="8"/>
  <c r="Q27" i="7"/>
  <c r="S35" i="7"/>
  <c r="G26" i="8"/>
  <c r="G30" i="8"/>
  <c r="B26" i="8"/>
  <c r="B30" i="8"/>
  <c r="S30" i="7"/>
  <c r="R35" i="7"/>
  <c r="R38" i="7"/>
  <c r="S14" i="7"/>
  <c r="S19" i="7"/>
  <c r="S21" i="7" s="1"/>
  <c r="O38" i="7"/>
  <c r="P39" i="7" s="1"/>
  <c r="M21" i="7"/>
  <c r="K38" i="7"/>
  <c r="G37" i="7"/>
  <c r="R31" i="7"/>
  <c r="I24" i="7"/>
  <c r="E35" i="7"/>
  <c r="D33" i="7"/>
  <c r="D32" i="7"/>
  <c r="K21" i="7"/>
  <c r="O29" i="7"/>
  <c r="M29" i="7"/>
  <c r="N30" i="7" s="1"/>
  <c r="C32" i="6"/>
  <c r="C35" i="6"/>
  <c r="C33" i="6"/>
  <c r="C34" i="6" s="1"/>
  <c r="J35" i="6"/>
  <c r="D32" i="6"/>
  <c r="P34" i="6"/>
  <c r="K32" i="6"/>
  <c r="K34" i="6" s="1"/>
  <c r="M30" i="6"/>
  <c r="N31" i="6" s="1"/>
  <c r="K28" i="6"/>
  <c r="K30" i="6" s="1"/>
  <c r="F21" i="7"/>
  <c r="F24" i="7" s="1"/>
  <c r="U30" i="7" s="1"/>
  <c r="J35" i="7"/>
  <c r="L34" i="7"/>
  <c r="D26" i="7"/>
  <c r="D30" i="7"/>
  <c r="H26" i="7"/>
  <c r="H30" i="7"/>
  <c r="B24" i="7"/>
  <c r="G21" i="7"/>
  <c r="K28" i="7"/>
  <c r="K30" i="7" s="1"/>
  <c r="C26" i="7"/>
  <c r="J23" i="7"/>
  <c r="C30" i="7"/>
  <c r="L34" i="6"/>
  <c r="C30" i="6"/>
  <c r="J23" i="6"/>
  <c r="D30" i="6"/>
  <c r="H26" i="6"/>
  <c r="H30" i="6"/>
  <c r="F21" i="6"/>
  <c r="F24" i="6" s="1"/>
  <c r="D26" i="6"/>
  <c r="B24" i="6"/>
  <c r="B32" i="6" s="1"/>
  <c r="G21" i="6"/>
  <c r="G24" i="6" s="1"/>
  <c r="G32" i="6" s="1"/>
  <c r="C26" i="6"/>
  <c r="L23" i="4"/>
  <c r="K28" i="4"/>
  <c r="I35" i="4"/>
  <c r="G26" i="4"/>
  <c r="G30" i="4"/>
  <c r="B26" i="4"/>
  <c r="B30" i="4"/>
  <c r="T14" i="7" l="1"/>
  <c r="T19" i="7"/>
  <c r="T21" i="7" s="1"/>
  <c r="F30" i="7"/>
  <c r="R26" i="7"/>
  <c r="S27" i="7" s="1"/>
  <c r="K39" i="7"/>
  <c r="L39" i="7" s="1"/>
  <c r="D35" i="7"/>
  <c r="F33" i="7"/>
  <c r="I25" i="7"/>
  <c r="B32" i="7"/>
  <c r="J29" i="7"/>
  <c r="G24" i="7"/>
  <c r="T30" i="7" s="1"/>
  <c r="F26" i="7"/>
  <c r="F30" i="6"/>
  <c r="F32" i="6"/>
  <c r="F26" i="6"/>
  <c r="J34" i="7"/>
  <c r="L33" i="7"/>
  <c r="L27" i="7"/>
  <c r="B26" i="7"/>
  <c r="B30" i="7"/>
  <c r="J24" i="7"/>
  <c r="K24" i="7" s="1"/>
  <c r="J24" i="6"/>
  <c r="K24" i="6" s="1"/>
  <c r="J34" i="6"/>
  <c r="L27" i="6"/>
  <c r="L33" i="6"/>
  <c r="M24" i="6"/>
  <c r="P24" i="6"/>
  <c r="K23" i="6"/>
  <c r="B30" i="6"/>
  <c r="G26" i="6"/>
  <c r="G30" i="6"/>
  <c r="B26" i="6"/>
  <c r="K23" i="7" l="1"/>
  <c r="G30" i="7"/>
  <c r="M24" i="7"/>
  <c r="P24" i="7"/>
  <c r="F37" i="7"/>
  <c r="H37" i="7"/>
  <c r="Q31" i="7"/>
  <c r="F41" i="7"/>
  <c r="H39" i="7"/>
  <c r="G32" i="7"/>
  <c r="G34" i="7"/>
  <c r="R21" i="7"/>
  <c r="R23" i="7"/>
  <c r="S24" i="7" s="1"/>
  <c r="G26" i="7"/>
  <c r="J22" i="7"/>
  <c r="T44" i="14"/>
  <c r="T44" i="16"/>
  <c r="N40" i="16"/>
  <c r="T44" i="17"/>
  <c r="T44" i="19"/>
  <c r="T44" i="21"/>
  <c r="BJ39" i="20"/>
  <c r="BI19" i="20"/>
  <c r="CN40" i="20"/>
  <c r="CJ40" i="20"/>
  <c r="CK40" i="20"/>
  <c r="CL40" i="20"/>
  <c r="CM40" i="20"/>
  <c r="CO41" i="20"/>
  <c r="CO43" i="20"/>
  <c r="BH40" i="20"/>
  <c r="BG19" i="20"/>
  <c r="BB43" i="20"/>
  <c r="BA9" i="20"/>
  <c r="T44" i="23"/>
  <c r="T44" i="24"/>
  <c r="T44" i="27"/>
  <c r="T44" i="28"/>
  <c r="T44" i="29"/>
  <c r="Q11" i="37"/>
  <c r="R11" i="37"/>
  <c r="R45" i="47"/>
  <c r="R46" i="48"/>
  <c r="S43" i="48"/>
  <c r="R45" i="49"/>
  <c r="S42" i="49"/>
  <c r="R45" i="50"/>
  <c r="S42" i="5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tc={6EE9B625-D50F-4F0C-8AD7-4296D986EF06}</author>
  </authors>
  <commentList>
    <comment ref="G26" authorId="0" shapeId="0" xr:uid="{6EE9B625-D50F-4F0C-8AD7-4296D986EF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@Hritik Kumar - pls check. This should be for 550D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tc={23A97622-1D31-48F1-B6FA-100CAFEFA08B}</author>
  </authors>
  <commentList>
    <comment ref="I25" authorId="0" shapeId="0" xr:uid="{23A97622-1D31-48F1-B6FA-100CAFEFA08B}">
      <text>
        <t>[Threaded comment]
Your version of Excel allows you to read this threaded comment; however, any edits to it will get removed if the file is opened in a newer version of Excel. Learn more: https://go.microsoft.com/fwlink/?linkid=870924
Comment:
    45300- FE 
550D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tc={6F8938BA-D01C-4677-BF2B-0F61FB1C06AB}</author>
  </authors>
  <commentList>
    <comment ref="I25" authorId="0" shapeId="0" xr:uid="{6F8938BA-D01C-4677-BF2B-0F61FB1C06AB}">
      <text>
        <t>[Threaded comment]
Your version of Excel allows you to read this threaded comment; however, any edits to it will get removed if the file is opened in a newer version of Excel. Learn more: https://go.microsoft.com/fwlink/?linkid=870924
Comment:
    45300- FE 
550D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tc={AC337F82-3924-4697-84AF-DA1C4B9ADE52}</author>
  </authors>
  <commentList>
    <comment ref="I25" authorId="0" shapeId="0" xr:uid="{AC337F82-3924-4697-84AF-DA1C4B9ADE52}">
      <text>
        <t>[Threaded comment]
Your version of Excel allows you to read this threaded comment; however, any edits to it will get removed if the file is opened in a newer version of Excel. Learn more: https://go.microsoft.com/fwlink/?linkid=870924
Comment:
    45300- FE 
550D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tc={8EEF0180-9A68-43E6-8585-BA3E80194837}</author>
  </authors>
  <commentList>
    <comment ref="I25" authorId="0" shapeId="0" xr:uid="{8EEF0180-9A68-43E6-8585-BA3E80194837}">
      <text>
        <t>[Threaded comment]
Your version of Excel allows you to read this threaded comment; however, any edits to it will get removed if the file is opened in a newer version of Excel. Learn more: https://go.microsoft.com/fwlink/?linkid=870924
Comment:
    45300- FE 
550D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tc={DDEEFAA0-901F-44A0-A045-EDE646C69871}</author>
  </authors>
  <commentList>
    <comment ref="I25" authorId="0" shapeId="0" xr:uid="{DDEEFAA0-901F-44A0-A045-EDE646C69871}">
      <text>
        <t>[Threaded comment]
Your version of Excel allows you to read this threaded comment; however, any edits to it will get removed if the file is opened in a newer version of Excel. Learn more: https://go.microsoft.com/fwlink/?linkid=870924
Comment:
    45300- FE 
550D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tc={92B80573-1FFD-46FE-B2BF-30FBCC6BBF09}</author>
  </authors>
  <commentList>
    <comment ref="I25" authorId="0" shapeId="0" xr:uid="{92B80573-1FFD-46FE-B2BF-30FBCC6BBF09}">
      <text>
        <t>[Threaded comment]
Your version of Excel allows you to read this threaded comment; however, any edits to it will get removed if the file is opened in a newer version of Excel. Learn more: https://go.microsoft.com/fwlink/?linkid=870924
Comment:
    45300- FE 
550D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tc={25A831C6-D179-46CA-99F9-78352187C959}</author>
  </authors>
  <commentList>
    <comment ref="I25" authorId="0" shapeId="0" xr:uid="{25A831C6-D179-46CA-99F9-78352187C959}">
      <text>
        <t>[Threaded comment]
Your version of Excel allows you to read this threaded comment; however, any edits to it will get removed if the file is opened in a newer version of Excel. Learn more: https://go.microsoft.com/fwlink/?linkid=870924
Comment:
    45300- FE 
550D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tc={F35AB1C1-8DC9-4393-AE9E-B42F3C8A1DFB}</author>
  </authors>
  <commentList>
    <comment ref="I25" authorId="0" shapeId="0" xr:uid="{F35AB1C1-8DC9-4393-AE9E-B42F3C8A1DFB}">
      <text>
        <t>[Threaded comment]
Your version of Excel allows you to read this threaded comment; however, any edits to it will get removed if the file is opened in a newer version of Excel. Learn more: https://go.microsoft.com/fwlink/?linkid=870924
Comment:
    45300- FE 
550D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tc={31DFB81F-4422-4F28-892A-F8D8C3AE1D4E}</author>
  </authors>
  <commentList>
    <comment ref="I25" authorId="0" shapeId="0" xr:uid="{31DFB81F-4422-4F28-892A-F8D8C3AE1D4E}">
      <text>
        <t>[Threaded comment]
Your version of Excel allows you to read this threaded comment; however, any edits to it will get removed if the file is opened in a newer version of Excel. Learn more: https://go.microsoft.com/fwlink/?linkid=870924
Comment:
    45300- FE 
550D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tc={983F7C81-019F-4351-B6F6-FFFEF8824FB6}</author>
  </authors>
  <commentList>
    <comment ref="I25" authorId="0" shapeId="0" xr:uid="{983F7C81-019F-4351-B6F6-FFFEF8824FB6}">
      <text>
        <t>[Threaded comment]
Your version of Excel allows you to read this threaded comment; however, any edits to it will get removed if the file is opened in a newer version of Excel. Learn more: https://go.microsoft.com/fwlink/?linkid=870924
Comment:
    45300- FE 
550D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tc={AF3C85A1-DB8C-4413-AD11-FB156589A50B}</author>
  </authors>
  <commentList>
    <comment ref="I25" authorId="0" shapeId="0" xr:uid="{AF3C85A1-DB8C-4413-AD11-FB156589A50B}">
      <text>
        <t>[Threaded comment]
Your version of Excel allows you to read this threaded comment; however, any edits to it will get removed if the file is opened in a newer version of Excel. Learn more: https://go.microsoft.com/fwlink/?linkid=870924
Comment:
    45300- FE 
550D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tc={AC07FB91-B046-4462-95DA-8E1AF812D65A}</author>
  </authors>
  <commentList>
    <comment ref="I25" authorId="0" shapeId="0" xr:uid="{AC07FB91-B046-4462-95DA-8E1AF812D65A}">
      <text>
        <t>[Threaded comment]
Your version of Excel allows you to read this threaded comment; however, any edits to it will get removed if the file is opened in a newer version of Excel. Learn more: https://go.microsoft.com/fwlink/?linkid=870924
Comment:
    45300- FE 
550D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tc={86DB63E9-D95F-4738-8F3D-6A23FB9B639A}</author>
  </authors>
  <commentList>
    <comment ref="I25" authorId="0" shapeId="0" xr:uid="{86DB63E9-D95F-4738-8F3D-6A23FB9B639A}">
      <text>
        <t>[Threaded comment]
Your version of Excel allows you to read this threaded comment; however, any edits to it will get removed if the file is opened in a newer version of Excel. Learn more: https://go.microsoft.com/fwlink/?linkid=870924
Comment:
    45300- FE 
550D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tc={59840138-08B9-4FC1-AF50-EE19AEE854AF}</author>
  </authors>
  <commentList>
    <comment ref="I28" authorId="0" shapeId="0" xr:uid="{59840138-08B9-4FC1-AF50-EE19AEE854AF}">
      <text>
        <t>[Threaded comment]
Your version of Excel allows you to read this threaded comment; however, any edits to it will get removed if the file is opened in a newer version of Excel. Learn more: https://go.microsoft.com/fwlink/?linkid=870924
Comment:
    45300- FE 
550D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tc={45E3999B-F45E-42A0-86DC-6D4219DC82F8}</author>
  </authors>
  <commentList>
    <comment ref="I28" authorId="0" shapeId="0" xr:uid="{45E3999B-F45E-42A0-86DC-6D4219DC82F8}">
      <text>
        <t>[Threaded comment]
Your version of Excel allows you to read this threaded comment; however, any edits to it will get removed if the file is opened in a newer version of Excel. Learn more: https://go.microsoft.com/fwlink/?linkid=870924
Comment:
    45300- FE 
550D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tc={732A501B-3AE0-4337-8BCB-216ED630C51D}</author>
  </authors>
  <commentList>
    <comment ref="I28" authorId="0" shapeId="0" xr:uid="{732A501B-3AE0-4337-8BCB-216ED630C51D}">
      <text>
        <t>[Threaded comment]
Your version of Excel allows you to read this threaded comment; however, any edits to it will get removed if the file is opened in a newer version of Excel. Learn more: https://go.microsoft.com/fwlink/?linkid=870924
Comment:
    45300- FE 
550D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tc={3524ED63-6E60-4AFC-85BA-975BA4B341D9}</author>
  </authors>
  <commentList>
    <comment ref="I29" authorId="0" shapeId="0" xr:uid="{3524ED63-6E60-4AFC-85BA-975BA4B341D9}">
      <text>
        <t>[Threaded comment]
Your version of Excel allows you to read this threaded comment; however, any edits to it will get removed if the file is opened in a newer version of Excel. Learn more: https://go.microsoft.com/fwlink/?linkid=870924
Comment:
    45300- FE 
550D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tc={4B6BCB79-64DA-4437-896D-2F4AE7C669DF}</author>
  </authors>
  <commentList>
    <comment ref="I29" authorId="0" shapeId="0" xr:uid="{4B6BCB79-64DA-4437-896D-2F4AE7C669DF}">
      <text>
        <t>[Threaded comment]
Your version of Excel allows you to read this threaded comment; however, any edits to it will get removed if the file is opened in a newer version of Excel. Learn more: https://go.microsoft.com/fwlink/?linkid=870924
Comment:
    45300- FE 
550D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tc={FC78B0A5-A352-459F-B134-1C33F72ABEED}</author>
  </authors>
  <commentList>
    <comment ref="I28" authorId="0" shapeId="0" xr:uid="{FC78B0A5-A352-459F-B134-1C33F72ABEED}">
      <text>
        <t>[Threaded comment]
Your version of Excel allows you to read this threaded comment; however, any edits to it will get removed if the file is opened in a newer version of Excel. Learn more: https://go.microsoft.com/fwlink/?linkid=870924
Comment:
    45300- FE 
550D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tc={D1840D84-A73A-42C7-AE28-8ED4776B38DE}</author>
  </authors>
  <commentList>
    <comment ref="I28" authorId="0" shapeId="0" xr:uid="{D1840D84-A73A-42C7-AE28-8ED4776B38DE}">
      <text>
        <t>[Threaded comment]
Your version of Excel allows you to read this threaded comment; however, any edits to it will get removed if the file is opened in a newer version of Excel. Learn more: https://go.microsoft.com/fwlink/?linkid=870924
Comment:
    45300- FE 
550D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<sst xmlns="http://schemas.openxmlformats.org/spreadsheetml/2006/main" count="4173" uniqueCount="766">
  <si>
    <t>Fe 500</t>
  </si>
  <si>
    <t>Region / Date</t>
  </si>
  <si>
    <t>Ex-Ahmedabad</t>
  </si>
  <si>
    <t>Ex-Bangalore</t>
  </si>
  <si>
    <t>Ex-Chennai</t>
  </si>
  <si>
    <t>Ex-Delhi/NCR</t>
  </si>
  <si>
    <t>Ex-Durgapur</t>
  </si>
  <si>
    <t>Ex-Goa</t>
  </si>
  <si>
    <t>Ex-Hyderabad</t>
  </si>
  <si>
    <t>Ex-Jaipur</t>
  </si>
  <si>
    <t>Ex-Jalna</t>
  </si>
  <si>
    <t>Ex-Mandi Gobindgarh</t>
  </si>
  <si>
    <t>Ex-Mumbai</t>
  </si>
  <si>
    <t>Ex-Muzaffarnagar</t>
  </si>
  <si>
    <t>Ex-Patna</t>
  </si>
  <si>
    <t>Ex-Raigarh</t>
  </si>
  <si>
    <t>Ex-Raipur</t>
  </si>
  <si>
    <t>Ex-Rourkela</t>
  </si>
  <si>
    <t>Amba Shakti (NCR)</t>
  </si>
  <si>
    <t>API (Raipur)</t>
  </si>
  <si>
    <t xml:space="preserve">Aditya Industries (Mandi) </t>
  </si>
  <si>
    <t>Shree Ganesh  (Rourkela)</t>
  </si>
  <si>
    <t>SKA Raipur</t>
  </si>
  <si>
    <t>Amba Gwalior</t>
  </si>
  <si>
    <t>SKA</t>
  </si>
  <si>
    <t>Avg Price - Divided by no of days steel mint price is available</t>
  </si>
  <si>
    <t>BIS</t>
  </si>
  <si>
    <t>Loading Charges</t>
  </si>
  <si>
    <t>Actual PO Price (base dia): A</t>
  </si>
  <si>
    <t>Notional PO: B</t>
  </si>
  <si>
    <t>Change (A-B)</t>
  </si>
  <si>
    <t>Current PL</t>
  </si>
  <si>
    <t>Current ex plant NR</t>
  </si>
  <si>
    <t>Current GM: C</t>
  </si>
  <si>
    <t>as per H1</t>
  </si>
  <si>
    <t>Notional PO</t>
  </si>
  <si>
    <t>Kala Amb</t>
  </si>
  <si>
    <t>Gwalior</t>
  </si>
  <si>
    <t>32mm</t>
  </si>
  <si>
    <t>Rajasthan</t>
  </si>
  <si>
    <t>Plant</t>
  </si>
  <si>
    <t>Jun H1 notional</t>
  </si>
  <si>
    <t>Sikandarabad</t>
  </si>
  <si>
    <t>API, Raipur</t>
  </si>
  <si>
    <t>SKA, Raipur</t>
  </si>
  <si>
    <t>Jaipur</t>
  </si>
  <si>
    <t>Gujarat</t>
  </si>
  <si>
    <t>API</t>
  </si>
  <si>
    <t>Fe 550D</t>
  </si>
  <si>
    <t>Jul H1 notional</t>
  </si>
  <si>
    <t>Roukeral</t>
  </si>
  <si>
    <t>Dashnoor  -550D -42</t>
  </si>
  <si>
    <t>gwalior</t>
  </si>
  <si>
    <t>kalaamb</t>
  </si>
  <si>
    <t xml:space="preserve">DEHRADUN </t>
  </si>
  <si>
    <t>Punjab</t>
  </si>
  <si>
    <t>Shree Tect -120 MT 550</t>
  </si>
  <si>
    <t>Grade</t>
  </si>
  <si>
    <t>CM</t>
  </si>
  <si>
    <t>Grand Total</t>
  </si>
  <si>
    <t>API Ispat</t>
  </si>
  <si>
    <t>SKA ISPAT</t>
  </si>
  <si>
    <t>Aditya Industries</t>
  </si>
  <si>
    <t>ASUL- Gwalior</t>
  </si>
  <si>
    <t>Fe 550D Total</t>
  </si>
  <si>
    <t>Name of Customer</t>
  </si>
  <si>
    <t>Qnty.</t>
  </si>
  <si>
    <t>Delivery Location</t>
  </si>
  <si>
    <t>Asking Price Deliverd</t>
  </si>
  <si>
    <t>Quoted Price</t>
  </si>
  <si>
    <t>Status</t>
  </si>
  <si>
    <t>Freight</t>
  </si>
  <si>
    <t>Margin</t>
  </si>
  <si>
    <t>Fuel pro System</t>
  </si>
  <si>
    <t>Balram pur Chini  Kumbhi, U.P.</t>
  </si>
  <si>
    <t>Open/Client approval awaited</t>
  </si>
  <si>
    <t>Ram Kripal Singh</t>
  </si>
  <si>
    <t>Muzzafrpur Railway station</t>
  </si>
  <si>
    <t>Under Negotation</t>
  </si>
  <si>
    <t>Shree Balajee Engicon</t>
  </si>
  <si>
    <t>Jharsguda</t>
  </si>
  <si>
    <t>PO Aawited</t>
  </si>
  <si>
    <t>Trishul Engicon</t>
  </si>
  <si>
    <t>Motihari -Bihar</t>
  </si>
  <si>
    <t>Orissa Engicon</t>
  </si>
  <si>
    <t>CDA Cuttack</t>
  </si>
  <si>
    <t>GR INFRA </t>
  </si>
  <si>
    <t>NAGPUR METRO</t>
  </si>
  <si>
    <t>Cilent approval awaited</t>
  </si>
  <si>
    <t>Velecha engg Co. Ltd</t>
  </si>
  <si>
    <t>Muzzafarpur Smart City</t>
  </si>
  <si>
    <t>Customer response awaited</t>
  </si>
  <si>
    <t>Rakesh Masala</t>
  </si>
  <si>
    <t>Hajipur Bihar</t>
  </si>
  <si>
    <t>PO awaited </t>
  </si>
  <si>
    <t>Ansh Enterprises</t>
  </si>
  <si>
    <t>Ranchi</t>
  </si>
  <si>
    <t>Bardhman Rolling awaited</t>
  </si>
  <si>
    <t>Shakti Merchant</t>
  </si>
  <si>
    <t>Mixed</t>
  </si>
  <si>
    <t>PO Confiration awaited</t>
  </si>
  <si>
    <t>Angelique International</t>
  </si>
  <si>
    <t>Delhi</t>
  </si>
  <si>
    <t>Under InternalApproval </t>
  </si>
  <si>
    <t>Ritesh Infrastructure</t>
  </si>
  <si>
    <t>Chapra</t>
  </si>
  <si>
    <t>M.A Construction</t>
  </si>
  <si>
    <t>Kolkata</t>
  </si>
  <si>
    <t>Rashmi Used / Closed</t>
  </si>
  <si>
    <t>TOTAL</t>
  </si>
  <si>
    <t> </t>
  </si>
  <si>
    <t>Durgapur</t>
  </si>
  <si>
    <t>total</t>
  </si>
  <si>
    <t>gst</t>
  </si>
  <si>
    <t>250-500</t>
  </si>
  <si>
    <t>Raunak Infra</t>
  </si>
  <si>
    <t>Approved Qty from SKA Plant</t>
  </si>
  <si>
    <t>Invoiced qty from Gwalior</t>
  </si>
  <si>
    <t>Planned to Inoviced from API</t>
  </si>
  <si>
    <t>Qty (MT)</t>
  </si>
  <si>
    <t>Approval FOR Price</t>
  </si>
  <si>
    <t xml:space="preserve">Freight </t>
  </si>
  <si>
    <t>Grade -550D</t>
  </si>
  <si>
    <t>Ex-works Price</t>
  </si>
  <si>
    <t>Adjusted margin as on 4th Aug'25</t>
  </si>
  <si>
    <t>Wt. Margin (Rs/MT)</t>
  </si>
  <si>
    <t>Bardhman</t>
  </si>
  <si>
    <t>alwar</t>
  </si>
  <si>
    <t>&gt;500</t>
  </si>
  <si>
    <t>100-250</t>
  </si>
  <si>
    <t>Alwar</t>
  </si>
  <si>
    <t>Badayun</t>
  </si>
  <si>
    <t>&lt;100</t>
  </si>
  <si>
    <t>Gwalior 550D</t>
  </si>
  <si>
    <t>Target price</t>
  </si>
  <si>
    <t>NEt loss</t>
  </si>
  <si>
    <t>Tonnage</t>
  </si>
  <si>
    <t>12m</t>
  </si>
  <si>
    <t>Neo</t>
  </si>
  <si>
    <t>pricing</t>
  </si>
  <si>
    <t>`</t>
  </si>
  <si>
    <t>Fe 550</t>
  </si>
  <si>
    <t>RAipur</t>
  </si>
  <si>
    <t>Amba Gwalior
43700</t>
  </si>
  <si>
    <t>LRF</t>
  </si>
  <si>
    <t>Avg. Inventory Cost</t>
  </si>
  <si>
    <t>Gwalior - Fe 550D</t>
  </si>
  <si>
    <t>Real Ispat Raipur</t>
  </si>
  <si>
    <t>will go down by 250</t>
  </si>
  <si>
    <t>Rashmi</t>
  </si>
  <si>
    <t xml:space="preserve">Plant </t>
  </si>
  <si>
    <t>Adjusted as on 30th Dec</t>
  </si>
  <si>
    <t>NN Ispat</t>
  </si>
  <si>
    <t>Kutuch</t>
  </si>
  <si>
    <t>Raipur</t>
  </si>
  <si>
    <t>FOR</t>
  </si>
  <si>
    <t>Exworks</t>
  </si>
  <si>
    <t xml:space="preserve">actual PO </t>
  </si>
  <si>
    <t>Adjusted GM</t>
  </si>
  <si>
    <t>actual GM</t>
  </si>
  <si>
    <t>15th Jan</t>
  </si>
  <si>
    <t>Given</t>
  </si>
  <si>
    <t>19th Jan</t>
  </si>
  <si>
    <t>24th Jan (Sales)</t>
  </si>
  <si>
    <t xml:space="preserve">28th </t>
  </si>
  <si>
    <t>Avg Price - Last 15 days from today</t>
  </si>
  <si>
    <t>JSW Project Management Cost</t>
  </si>
  <si>
    <t>Actual PO Price (Base dia ) on last 15 days</t>
  </si>
  <si>
    <t>Cost</t>
  </si>
  <si>
    <t>exrta</t>
  </si>
  <si>
    <t>freight</t>
  </si>
  <si>
    <t>GM</t>
  </si>
  <si>
    <t>actula</t>
  </si>
  <si>
    <t>Dia</t>
  </si>
  <si>
    <t>PO</t>
  </si>
  <si>
    <t>First vehicle dispatched qty</t>
  </si>
  <si>
    <t>New qty</t>
  </si>
  <si>
    <t>Revise opp Created</t>
  </si>
  <si>
    <t>Secondvehicle dispatched qty</t>
  </si>
  <si>
    <t>balance to dispatched</t>
  </si>
  <si>
    <t>Total</t>
  </si>
  <si>
    <t>Odisha East - 58600</t>
  </si>
  <si>
    <t>Base Price</t>
  </si>
  <si>
    <t>Odisha West - 57900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</si>
  <si>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</si>
  <si>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</si>
  <si>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</si>
  <si>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</si>
  <si>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</si>
  <si>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</si>
  <si>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</si>
  <si>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</si>
  <si>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</si>
  <si>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Jajapur</t>
  </si>
  <si>
    <t>Gajapati</t>
  </si>
  <si>
    <t>Jharsuguda</t>
  </si>
  <si>
    <t>Ganjam</t>
  </si>
  <si>
    <t>Kalahandi</t>
  </si>
  <si>
    <t>Jagatsinghapur</t>
  </si>
  <si>
    <t>Nuapada</t>
  </si>
  <si>
    <t>Kandhamal</t>
  </si>
  <si>
    <t>Sambalpur</t>
  </si>
  <si>
    <t>Kendrapara</t>
  </si>
  <si>
    <t>Sonepur</t>
  </si>
  <si>
    <t>Kendujhar</t>
  </si>
  <si>
    <t>Sundargarh</t>
  </si>
  <si>
    <t>Khordha</t>
  </si>
  <si>
    <t>Sundergarh</t>
  </si>
  <si>
    <t>Koraput</t>
  </si>
  <si>
    <t>Malkangiri</t>
  </si>
  <si>
    <t>Total Clusters:</t>
  </si>
  <si>
    <t>Mayurbhanj</t>
  </si>
  <si>
    <t>Nabarangpur</t>
  </si>
  <si>
    <t>Nayagarh</t>
  </si>
  <si>
    <t>Puri</t>
  </si>
  <si>
    <t>Rayagada</t>
  </si>
  <si>
    <t xml:space="preserve"> Fe 550D</t>
  </si>
  <si>
    <t>Ambashakti sikandrabad</t>
  </si>
  <si>
    <t>API Raipur</t>
  </si>
  <si>
    <t>Aditiya Industries -Kala amb</t>
  </si>
  <si>
    <t>Amba - Gwalior</t>
  </si>
  <si>
    <t>German Plant</t>
  </si>
  <si>
    <t>Real Ispat</t>
  </si>
  <si>
    <t>Month</t>
  </si>
  <si>
    <t>JSPL</t>
  </si>
  <si>
    <t>TSL</t>
  </si>
  <si>
    <t>SAIL</t>
  </si>
  <si>
    <t>Steelmint</t>
  </si>
  <si>
    <t>JSW One Fe 550D</t>
  </si>
  <si>
    <t>JSW One Fe 550</t>
  </si>
  <si>
    <t>Oct'25 (29th)</t>
  </si>
  <si>
    <t>Nov'25 (29th)</t>
  </si>
  <si>
    <t>Change in Nov'25</t>
  </si>
  <si>
    <t>Dec'25 (31st)</t>
  </si>
  <si>
    <t>Change in Dec'25</t>
  </si>
  <si>
    <t>Jan'26 (5th Jan '26)</t>
  </si>
  <si>
    <t> 49,300</t>
  </si>
  <si>
    <t> 50,900</t>
  </si>
  <si>
    <t> 51,400</t>
  </si>
  <si>
    <t>27th Jan'26</t>
  </si>
  <si>
    <t>Change in Jan'26</t>
  </si>
  <si>
    <t>Feb'26 (5th Feb '26)</t>
  </si>
  <si>
    <t>27th Feb'26</t>
  </si>
  <si>
    <t>Change in Feb'26</t>
  </si>
  <si>
    <t>Mar'26 ( 5th Mar'26)</t>
  </si>
  <si>
    <t>31st Mar'26</t>
  </si>
  <si>
    <t>Change in Mar'26</t>
  </si>
  <si>
    <t>Apr'26 ( 07th Apr'26)</t>
  </si>
  <si>
    <t>Change from Oct end</t>
  </si>
  <si>
    <t xml:space="preserve">
Total Inventory (In Crs)</t>
  </si>
  <si>
    <t>Average Inventory Cost ( In Rs)</t>
  </si>
  <si>
    <t>Avg Inventory Cost(12-32MM)</t>
  </si>
  <si>
    <t>CM Name</t>
  </si>
  <si>
    <t>Total Inventory</t>
  </si>
  <si>
    <t>FE 550</t>
  </si>
  <si>
    <t>8.39 </t>
  </si>
  <si>
    <t>0.38 </t>
  </si>
  <si>
    <t>SKA Ispat</t>
  </si>
  <si>
    <t>12.25 </t>
  </si>
  <si>
    <t>LUCKNOW</t>
  </si>
  <si>
    <t>0.16 </t>
  </si>
  <si>
    <t>7.82 </t>
  </si>
  <si>
    <t>0.08 </t>
  </si>
  <si>
    <t>0.82 </t>
  </si>
  <si>
    <t>0.17 </t>
  </si>
  <si>
    <t>FE 550D-LRF</t>
  </si>
  <si>
    <t>4.18 </t>
  </si>
  <si>
    <t>Amba Shakti</t>
  </si>
  <si>
    <t>10.57 </t>
  </si>
  <si>
    <t>3.29 </t>
  </si>
  <si>
    <t>German Steel</t>
  </si>
  <si>
    <t>2.12 </t>
  </si>
  <si>
    <t>SGML Rourkela</t>
  </si>
  <si>
    <t>0.11 </t>
  </si>
  <si>
    <t>N N Ispat</t>
  </si>
  <si>
    <t>SGSML Jaipur</t>
  </si>
  <si>
    <t>7.6 </t>
  </si>
  <si>
    <t> 11.7 </t>
  </si>
  <si>
    <t> 4.5 </t>
  </si>
  <si>
    <t> 5.7 </t>
  </si>
  <si>
    <t> 3.4 </t>
  </si>
  <si>
    <t> 40.8 </t>
  </si>
  <si>
    <t> 46,300 </t>
  </si>
  <si>
    <t> 45,896 </t>
  </si>
  <si>
    <t> 45,279 </t>
  </si>
  <si>
    <t> 45,253 </t>
  </si>
  <si>
    <t> 44,727 </t>
  </si>
  <si>
    <t> 44,283 </t>
  </si>
  <si>
    <t> 47,074 </t>
  </si>
  <si>
    <t> 45,634 </t>
  </si>
  <si>
    <t>FE 550D</t>
  </si>
  <si>
    <t>0.3 </t>
  </si>
  <si>
    <t> 0.5 </t>
  </si>
  <si>
    <t> 0.8 </t>
  </si>
  <si>
    <t> 0.1 </t>
  </si>
  <si>
    <t> 0.7 </t>
  </si>
  <si>
    <t> 0.4 </t>
  </si>
  <si>
    <t> 0.2 </t>
  </si>
  <si>
    <t> 2.9 </t>
  </si>
  <si>
    <t> 47,797 </t>
  </si>
  <si>
    <t> 48,220 </t>
  </si>
  <si>
    <t> 45,858 </t>
  </si>
  <si>
    <t> 47,195 </t>
  </si>
  <si>
    <t> 46,401 </t>
  </si>
  <si>
    <t> 44,512 </t>
  </si>
  <si>
    <t> 46,302 </t>
  </si>
  <si>
    <t> 47,148 </t>
  </si>
  <si>
    <t>0.4 </t>
  </si>
  <si>
    <t> 0.9 </t>
  </si>
  <si>
    <t> 1.8 </t>
  </si>
  <si>
    <t> 1.4 </t>
  </si>
  <si>
    <t> 1.2 </t>
  </si>
  <si>
    <t> 1.1 </t>
  </si>
  <si>
    <t> 7.5 </t>
  </si>
  <si>
    <t> 45,869 </t>
  </si>
  <si>
    <t> 49,803 </t>
  </si>
  <si>
    <t> 44,523 </t>
  </si>
  <si>
    <t> 45,271 </t>
  </si>
  <si>
    <t> 44,089 </t>
  </si>
  <si>
    <t> 45,316 </t>
  </si>
  <si>
    <t> 45,254 </t>
  </si>
  <si>
    <t> 45,386 </t>
  </si>
  <si>
    <t>Sl No</t>
  </si>
  <si>
    <t>Date</t>
  </si>
  <si>
    <t>Zone</t>
  </si>
  <si>
    <t>State</t>
  </si>
  <si>
    <t>City</t>
  </si>
  <si>
    <t>Competition</t>
  </si>
  <si>
    <t>Ex plant/ yard</t>
  </si>
  <si>
    <t>Source plant</t>
  </si>
  <si>
    <t>Major city</t>
  </si>
  <si>
    <t>Brand</t>
  </si>
  <si>
    <t>Price</t>
  </si>
  <si>
    <t>JSW  One MOP -550D</t>
  </si>
  <si>
    <t>JSW  One MOP -550</t>
  </si>
  <si>
    <t>JSW  One -550D</t>
  </si>
  <si>
    <t>JSW  One  -550</t>
  </si>
  <si>
    <t>Central</t>
  </si>
  <si>
    <t>CHHATTISGARH</t>
  </si>
  <si>
    <t>Raigarh</t>
  </si>
  <si>
    <t>North</t>
  </si>
  <si>
    <t>DL</t>
  </si>
  <si>
    <t>DL/NCR</t>
  </si>
  <si>
    <t>Sikandrabad</t>
  </si>
  <si>
    <t>MADHYA PRADESH</t>
  </si>
  <si>
    <t>HR</t>
  </si>
  <si>
    <t>Bawal/Rewari/ Faridabad</t>
  </si>
  <si>
    <t>MAHARASHTRA (Nagpur)</t>
  </si>
  <si>
    <t>Bhilai</t>
  </si>
  <si>
    <t>UP (W)</t>
  </si>
  <si>
    <t>Agra/ Ghaziabad</t>
  </si>
  <si>
    <t>ODISHA ( east)</t>
  </si>
  <si>
    <t>Angul</t>
  </si>
  <si>
    <t>UP (E)</t>
  </si>
  <si>
    <t>Gorakhpur/Kanpur</t>
  </si>
  <si>
    <t>EAST UP</t>
  </si>
  <si>
    <t xml:space="preserve">Bhilai/Durgapur/Burnpur </t>
  </si>
  <si>
    <t>RJ</t>
  </si>
  <si>
    <t>PUNJAB</t>
  </si>
  <si>
    <t>J&amp;K</t>
  </si>
  <si>
    <t>Srinagar</t>
  </si>
  <si>
    <t>TATA</t>
  </si>
  <si>
    <t>Kala amb</t>
  </si>
  <si>
    <t>HIMACHAL PRADESH</t>
  </si>
  <si>
    <t>Tata</t>
  </si>
  <si>
    <t>Jammu</t>
  </si>
  <si>
    <t>WEST UP</t>
  </si>
  <si>
    <t>CH</t>
  </si>
  <si>
    <t>Chandigarh</t>
  </si>
  <si>
    <t>DELHI</t>
  </si>
  <si>
    <t>HP</t>
  </si>
  <si>
    <t>Shimla</t>
  </si>
  <si>
    <t>HARYANA</t>
  </si>
  <si>
    <t>UK</t>
  </si>
  <si>
    <t>Dehradun</t>
  </si>
  <si>
    <t>RAJASTHAN</t>
  </si>
  <si>
    <t>PB</t>
  </si>
  <si>
    <t>Ludhiana</t>
  </si>
  <si>
    <t>UTTARAKHAND</t>
  </si>
  <si>
    <t>East</t>
  </si>
  <si>
    <t>JH</t>
  </si>
  <si>
    <t>Jharkhand</t>
  </si>
  <si>
    <t>Patratu</t>
  </si>
  <si>
    <t>BR</t>
  </si>
  <si>
    <t>Patna</t>
  </si>
  <si>
    <t>Bihar</t>
  </si>
  <si>
    <t>WB</t>
  </si>
  <si>
    <t>Siliguri, Jalpaiguri, Cooch behar</t>
  </si>
  <si>
    <t>WEST BENGAL</t>
  </si>
  <si>
    <t>OD (E)</t>
  </si>
  <si>
    <t>Bhubaneshwar</t>
  </si>
  <si>
    <t>OD (W)</t>
  </si>
  <si>
    <t>Rourkela</t>
  </si>
  <si>
    <t>WEST BENGAL(Siliguri, Jalpaiguri, Cooch behar)</t>
  </si>
  <si>
    <t>West</t>
  </si>
  <si>
    <t>MH</t>
  </si>
  <si>
    <t>Mumbai</t>
  </si>
  <si>
    <t>ODISHA (w)</t>
  </si>
  <si>
    <t>Pune</t>
  </si>
  <si>
    <t>Nashik</t>
  </si>
  <si>
    <t>MAHARASHTRA (Mumbai)</t>
  </si>
  <si>
    <t>Nagpur</t>
  </si>
  <si>
    <t>MAHARASHTRA (Pune)</t>
  </si>
  <si>
    <t>GJ</t>
  </si>
  <si>
    <t>Ahmedabad</t>
  </si>
  <si>
    <t>MAHARASHTRA (Nashik)</t>
  </si>
  <si>
    <t>CG</t>
  </si>
  <si>
    <t>MP</t>
  </si>
  <si>
    <t>Indore</t>
  </si>
  <si>
    <t>South</t>
  </si>
  <si>
    <t>KA</t>
  </si>
  <si>
    <t>North Karnataka-Hubli</t>
  </si>
  <si>
    <t/>
  </si>
  <si>
    <t>South karnataka- Bangalore</t>
  </si>
  <si>
    <t>TN</t>
  </si>
  <si>
    <t>Chennai</t>
  </si>
  <si>
    <t>Coimbatore</t>
  </si>
  <si>
    <t>KL</t>
  </si>
  <si>
    <t>Cochin</t>
  </si>
  <si>
    <t>TS</t>
  </si>
  <si>
    <t>Hyderabad</t>
  </si>
  <si>
    <t>Non Hyderabad</t>
  </si>
  <si>
    <t>AP</t>
  </si>
  <si>
    <t>AP- Vizag</t>
  </si>
  <si>
    <t xml:space="preserve">Sec </t>
  </si>
  <si>
    <t>Sec price</t>
  </si>
  <si>
    <t>Kamdhenu</t>
  </si>
  <si>
    <t>Delhi/NCR</t>
  </si>
  <si>
    <t>Jindal (UHD)</t>
  </si>
  <si>
    <t xml:space="preserve">Shyam </t>
  </si>
  <si>
    <t>Gorakhpur</t>
  </si>
  <si>
    <t>Durgapur-550</t>
  </si>
  <si>
    <t>Jalna</t>
  </si>
  <si>
    <t>Tehri</t>
  </si>
  <si>
    <t>Goa</t>
  </si>
  <si>
    <t>Jyoti</t>
  </si>
  <si>
    <t>Rungta</t>
  </si>
  <si>
    <t>Magadh</t>
  </si>
  <si>
    <t>Gaurdian/Metro</t>
  </si>
  <si>
    <t>Trishul</t>
  </si>
  <si>
    <t>Bhagwati/MITC</t>
  </si>
  <si>
    <t>Shree Om</t>
  </si>
  <si>
    <t>Elegant</t>
  </si>
  <si>
    <t>GK</t>
  </si>
  <si>
    <t>Goel</t>
  </si>
  <si>
    <t>SM Brand</t>
  </si>
  <si>
    <t>Muzaffarnagar</t>
  </si>
  <si>
    <t>RANA MAX TMT</t>
  </si>
  <si>
    <t>Amba Shakti  550 SD TMT</t>
  </si>
  <si>
    <t>Mangala TMT</t>
  </si>
  <si>
    <t>16th Sep</t>
  </si>
  <si>
    <t>30th Sep</t>
  </si>
  <si>
    <t>1st Oct'25</t>
  </si>
  <si>
    <t>16th Oct'25</t>
  </si>
  <si>
    <t>JSW NEO STEEL NOD ( NCR region)</t>
  </si>
  <si>
    <t>LESS MOU</t>
  </si>
  <si>
    <t>LESS FREIGHT</t>
  </si>
  <si>
    <t>Neo Steel NSR</t>
  </si>
  <si>
    <t>PO RATE as per contract</t>
  </si>
  <si>
    <t>​</t>
  </si>
  <si>
    <r>
      <t>Retail</t>
    </r>
    <r>
      <rPr>
        <sz val="14"/>
        <color rgb="FF000000"/>
        <rFont val="Calibri"/>
        <charset val="1"/>
      </rPr>
      <t>​</t>
    </r>
  </si>
  <si>
    <r>
      <t>Steelmint price (Ex-plant)</t>
    </r>
    <r>
      <rPr>
        <sz val="14"/>
        <color rgb="FF000000"/>
        <rFont val="Calibri"/>
        <charset val="1"/>
      </rPr>
      <t>​</t>
    </r>
  </si>
  <si>
    <r>
      <t>Projects</t>
    </r>
    <r>
      <rPr>
        <sz val="14"/>
        <color rgb="FF000000"/>
        <rFont val="Calibri"/>
        <charset val="1"/>
      </rPr>
      <t>​</t>
    </r>
  </si>
  <si>
    <r>
      <t>Neo Steel</t>
    </r>
    <r>
      <rPr>
        <sz val="14"/>
        <color rgb="FF000000"/>
        <rFont val="Calibri"/>
        <charset val="1"/>
      </rPr>
      <t>​</t>
    </r>
  </si>
  <si>
    <r>
      <t>JSW One TMT</t>
    </r>
    <r>
      <rPr>
        <sz val="14"/>
        <color rgb="FF000000"/>
        <rFont val="Calibri"/>
        <charset val="1"/>
      </rPr>
      <t>​</t>
    </r>
  </si>
  <si>
    <r>
      <t>IS 1786- Fe 500: 12-25mm</t>
    </r>
    <r>
      <rPr>
        <sz val="14"/>
        <color rgb="FF000000"/>
        <rFont val="Calibri"/>
        <charset val="1"/>
      </rPr>
      <t>​</t>
    </r>
  </si>
  <si>
    <r>
      <t>SAIL</t>
    </r>
    <r>
      <rPr>
        <sz val="14"/>
        <color rgb="FF000000"/>
        <rFont val="Calibri"/>
        <charset val="1"/>
      </rPr>
      <t>​</t>
    </r>
  </si>
  <si>
    <r>
      <t>JSW One</t>
    </r>
    <r>
      <rPr>
        <sz val="14"/>
        <color rgb="FF000000"/>
        <rFont val="Calibri"/>
        <charset val="1"/>
      </rPr>
      <t>​</t>
    </r>
  </si>
  <si>
    <r>
      <t>Distr NOD</t>
    </r>
    <r>
      <rPr>
        <sz val="14"/>
        <color rgb="FF000000"/>
        <rFont val="Calibri"/>
        <charset val="1"/>
      </rPr>
      <t>​</t>
    </r>
  </si>
  <si>
    <r>
      <t>Ex plant</t>
    </r>
    <r>
      <rPr>
        <sz val="14"/>
        <color rgb="FF000000"/>
        <rFont val="Calibri"/>
        <charset val="1"/>
      </rPr>
      <t>​</t>
    </r>
  </si>
  <si>
    <r>
      <t>Induction Grade</t>
    </r>
    <r>
      <rPr>
        <sz val="14"/>
        <color rgb="FF000000"/>
        <rFont val="Calibri"/>
        <charset val="1"/>
      </rPr>
      <t>​</t>
    </r>
  </si>
  <si>
    <r>
      <t>Fe 550D</t>
    </r>
    <r>
      <rPr>
        <sz val="14"/>
        <color rgb="FF000000"/>
        <rFont val="Calibri"/>
        <charset val="1"/>
      </rPr>
      <t>​</t>
    </r>
  </si>
  <si>
    <r>
      <t>Fe 550</t>
    </r>
    <r>
      <rPr>
        <sz val="14"/>
        <color rgb="FF000000"/>
        <rFont val="Calibri"/>
        <charset val="1"/>
      </rPr>
      <t>​</t>
    </r>
  </si>
  <si>
    <t>EXW</t>
  </si>
  <si>
    <t>Support</t>
  </si>
  <si>
    <r>
      <t>Oct-24</t>
    </r>
    <r>
      <rPr>
        <sz val="14"/>
        <color rgb="FF000000"/>
        <rFont val="Calibri"/>
        <charset val="1"/>
      </rPr>
      <t>​</t>
    </r>
  </si>
  <si>
    <r>
      <t>52795</t>
    </r>
    <r>
      <rPr>
        <sz val="14"/>
        <color rgb="FF000000"/>
        <rFont val="Calibri"/>
        <charset val="1"/>
      </rPr>
      <t>​</t>
    </r>
  </si>
  <si>
    <r>
      <t>51,895 </t>
    </r>
    <r>
      <rPr>
        <sz val="14"/>
        <color rgb="FF000000"/>
        <rFont val="Calibri"/>
        <charset val="1"/>
      </rPr>
      <t>​</t>
    </r>
  </si>
  <si>
    <r>
      <t>47904</t>
    </r>
    <r>
      <rPr>
        <sz val="14"/>
        <color rgb="FF000000"/>
        <rFont val="Calibri"/>
        <charset val="1"/>
      </rPr>
      <t>​</t>
    </r>
  </si>
  <si>
    <r>
      <t>53500</t>
    </r>
    <r>
      <rPr>
        <sz val="14"/>
        <color rgb="FF000000"/>
        <rFont val="Calibri"/>
        <charset val="1"/>
      </rPr>
      <t>​</t>
    </r>
  </si>
  <si>
    <r>
      <t>52300</t>
    </r>
    <r>
      <rPr>
        <sz val="14"/>
        <color rgb="FF000000"/>
        <rFont val="Calibri"/>
        <charset val="1"/>
      </rPr>
      <t>​</t>
    </r>
  </si>
  <si>
    <r>
      <t>Nov-24</t>
    </r>
    <r>
      <rPr>
        <sz val="14"/>
        <color rgb="FF000000"/>
        <rFont val="Calibri"/>
        <charset val="1"/>
      </rPr>
      <t>​</t>
    </r>
  </si>
  <si>
    <r>
      <t>53653</t>
    </r>
    <r>
      <rPr>
        <sz val="14"/>
        <color rgb="FF000000"/>
        <rFont val="Calibri"/>
        <charset val="1"/>
      </rPr>
      <t>​</t>
    </r>
  </si>
  <si>
    <r>
      <t>52,753 </t>
    </r>
    <r>
      <rPr>
        <sz val="14"/>
        <color rgb="FF000000"/>
        <rFont val="Calibri"/>
        <charset val="1"/>
      </rPr>
      <t>​</t>
    </r>
  </si>
  <si>
    <r>
      <t>45836</t>
    </r>
    <r>
      <rPr>
        <sz val="14"/>
        <color rgb="FF000000"/>
        <rFont val="Calibri"/>
        <charset val="1"/>
      </rPr>
      <t>​</t>
    </r>
  </si>
  <si>
    <r>
      <t>52350</t>
    </r>
    <r>
      <rPr>
        <sz val="14"/>
        <color rgb="FF000000"/>
        <rFont val="Calibri"/>
        <charset val="1"/>
      </rPr>
      <t>​</t>
    </r>
  </si>
  <si>
    <r>
      <t>Dec-24</t>
    </r>
    <r>
      <rPr>
        <sz val="14"/>
        <color rgb="FF000000"/>
        <rFont val="Calibri"/>
        <charset val="1"/>
      </rPr>
      <t>​</t>
    </r>
  </si>
  <si>
    <r>
      <t>51205</t>
    </r>
    <r>
      <rPr>
        <sz val="14"/>
        <color rgb="FF000000"/>
        <rFont val="Calibri"/>
        <charset val="1"/>
      </rPr>
      <t>​</t>
    </r>
  </si>
  <si>
    <r>
      <t>50,305 </t>
    </r>
    <r>
      <rPr>
        <sz val="14"/>
        <color rgb="FF000000"/>
        <rFont val="Calibri"/>
        <charset val="1"/>
      </rPr>
      <t>​</t>
    </r>
  </si>
  <si>
    <r>
      <t>45432</t>
    </r>
    <r>
      <rPr>
        <sz val="14"/>
        <color rgb="FF000000"/>
        <rFont val="Calibri"/>
        <charset val="1"/>
      </rPr>
      <t>​</t>
    </r>
  </si>
  <si>
    <r>
      <t>51000</t>
    </r>
    <r>
      <rPr>
        <sz val="14"/>
        <color rgb="FF000000"/>
        <rFont val="Calibri"/>
        <charset val="1"/>
      </rPr>
      <t>​</t>
    </r>
  </si>
  <si>
    <r>
      <t>49800</t>
    </r>
    <r>
      <rPr>
        <sz val="14"/>
        <color rgb="FF000000"/>
        <rFont val="Calibri"/>
        <charset val="1"/>
      </rPr>
      <t>​</t>
    </r>
  </si>
  <si>
    <r>
      <t>Jan-25</t>
    </r>
    <r>
      <rPr>
        <sz val="14"/>
        <color rgb="FF000000"/>
        <rFont val="Calibri"/>
        <charset val="1"/>
      </rPr>
      <t>​</t>
    </r>
  </si>
  <si>
    <r>
      <t>50125</t>
    </r>
    <r>
      <rPr>
        <sz val="14"/>
        <color rgb="FF000000"/>
        <rFont val="Calibri"/>
        <charset val="1"/>
      </rPr>
      <t>​</t>
    </r>
  </si>
  <si>
    <r>
      <t>49,225 </t>
    </r>
    <r>
      <rPr>
        <sz val="14"/>
        <color rgb="FF000000"/>
        <rFont val="Calibri"/>
        <charset val="1"/>
      </rPr>
      <t>​</t>
    </r>
  </si>
  <si>
    <r>
      <t>45200</t>
    </r>
    <r>
      <rPr>
        <sz val="14"/>
        <color rgb="FF000000"/>
        <rFont val="Calibri"/>
        <charset val="1"/>
      </rPr>
      <t>​</t>
    </r>
  </si>
  <si>
    <r>
      <t>50250</t>
    </r>
    <r>
      <rPr>
        <sz val="14"/>
        <color rgb="FF000000"/>
        <rFont val="Calibri"/>
        <charset val="1"/>
      </rPr>
      <t>​</t>
    </r>
  </si>
  <si>
    <r>
      <t>49200</t>
    </r>
    <r>
      <rPr>
        <sz val="14"/>
        <color rgb="FF000000"/>
        <rFont val="Calibri"/>
        <charset val="1"/>
      </rPr>
      <t>​</t>
    </r>
  </si>
  <si>
    <r>
      <t>Feb-25</t>
    </r>
    <r>
      <rPr>
        <sz val="14"/>
        <color rgb="FF000000"/>
        <rFont val="Calibri"/>
        <charset val="1"/>
      </rPr>
      <t>​</t>
    </r>
  </si>
  <si>
    <r>
      <t>49995</t>
    </r>
    <r>
      <rPr>
        <sz val="14"/>
        <color rgb="FF000000"/>
        <rFont val="Calibri"/>
        <charset val="1"/>
      </rPr>
      <t>​</t>
    </r>
  </si>
  <si>
    <r>
      <t>49,095 </t>
    </r>
    <r>
      <rPr>
        <sz val="14"/>
        <color rgb="FF000000"/>
        <rFont val="Calibri"/>
        <charset val="1"/>
      </rPr>
      <t>​</t>
    </r>
  </si>
  <si>
    <r>
      <t>46221</t>
    </r>
    <r>
      <rPr>
        <sz val="14"/>
        <color rgb="FF000000"/>
        <rFont val="Calibri"/>
        <charset val="1"/>
      </rPr>
      <t>​</t>
    </r>
  </si>
  <si>
    <r>
      <t>50750</t>
    </r>
    <r>
      <rPr>
        <sz val="14"/>
        <color rgb="FF000000"/>
        <rFont val="Calibri"/>
        <charset val="1"/>
      </rPr>
      <t>​</t>
    </r>
  </si>
  <si>
    <r>
      <t>49700</t>
    </r>
    <r>
      <rPr>
        <sz val="14"/>
        <color rgb="FF000000"/>
        <rFont val="Calibri"/>
        <charset val="1"/>
      </rPr>
      <t>​</t>
    </r>
  </si>
  <si>
    <r>
      <t>Mar-25</t>
    </r>
    <r>
      <rPr>
        <sz val="14"/>
        <color rgb="FF000000"/>
        <rFont val="Calibri"/>
        <charset val="1"/>
      </rPr>
      <t>​</t>
    </r>
  </si>
  <si>
    <r>
      <t>53488</t>
    </r>
    <r>
      <rPr>
        <sz val="14"/>
        <color rgb="FF000000"/>
        <rFont val="Calibri"/>
        <charset val="1"/>
      </rPr>
      <t>​</t>
    </r>
  </si>
  <si>
    <r>
      <t>52,588 </t>
    </r>
    <r>
      <rPr>
        <sz val="14"/>
        <color rgb="FF000000"/>
        <rFont val="Calibri"/>
        <charset val="1"/>
      </rPr>
      <t>​</t>
    </r>
  </si>
  <si>
    <r>
      <t>47750</t>
    </r>
    <r>
      <rPr>
        <sz val="14"/>
        <color rgb="FF000000"/>
        <rFont val="Calibri"/>
        <charset val="1"/>
      </rPr>
      <t>​</t>
    </r>
  </si>
  <si>
    <r>
      <t>53800</t>
    </r>
    <r>
      <rPr>
        <sz val="14"/>
        <color rgb="FF000000"/>
        <rFont val="Calibri"/>
        <charset val="1"/>
      </rPr>
      <t>​</t>
    </r>
  </si>
  <si>
    <r>
      <t>52800</t>
    </r>
    <r>
      <rPr>
        <sz val="14"/>
        <color rgb="FF000000"/>
        <rFont val="Calibri"/>
        <charset val="1"/>
      </rPr>
      <t>​</t>
    </r>
  </si>
  <si>
    <t>Ageing Inventory</t>
  </si>
  <si>
    <r>
      <t>Apr-25</t>
    </r>
    <r>
      <rPr>
        <sz val="14"/>
        <color rgb="FF000000"/>
        <rFont val="Calibri"/>
        <charset val="1"/>
      </rPr>
      <t>​</t>
    </r>
  </si>
  <si>
    <r>
      <t>55739</t>
    </r>
    <r>
      <rPr>
        <sz val="14"/>
        <color rgb="FF000000"/>
        <rFont val="Calibri"/>
        <charset val="1"/>
      </rPr>
      <t>​</t>
    </r>
  </si>
  <si>
    <r>
      <t>54,839 </t>
    </r>
    <r>
      <rPr>
        <sz val="14"/>
        <color rgb="FF000000"/>
        <rFont val="Calibri"/>
        <charset val="1"/>
      </rPr>
      <t>​</t>
    </r>
  </si>
  <si>
    <r>
      <t>48804</t>
    </r>
    <r>
      <rPr>
        <sz val="14"/>
        <color rgb="FF000000"/>
        <rFont val="Calibri"/>
        <charset val="1"/>
      </rPr>
      <t>​</t>
    </r>
  </si>
  <si>
    <r>
      <t>56250</t>
    </r>
    <r>
      <rPr>
        <sz val="14"/>
        <color rgb="FF000000"/>
        <rFont val="Calibri"/>
        <charset val="1"/>
      </rPr>
      <t>​</t>
    </r>
  </si>
  <si>
    <r>
      <t>55250</t>
    </r>
    <r>
      <rPr>
        <sz val="14"/>
        <color rgb="FF000000"/>
        <rFont val="Calibri"/>
        <charset val="1"/>
      </rPr>
      <t>​</t>
    </r>
  </si>
  <si>
    <t>Ageing Bucket</t>
  </si>
  <si>
    <t>15Days-30Days</t>
  </si>
  <si>
    <t>31Days-45Days</t>
  </si>
  <si>
    <t>61Days-90Days</t>
  </si>
  <si>
    <t>Serving Qty</t>
  </si>
  <si>
    <t xml:space="preserve">EX Wroks </t>
  </si>
  <si>
    <t>Customer asked Price</t>
  </si>
  <si>
    <r>
      <t>May-25</t>
    </r>
    <r>
      <rPr>
        <sz val="14"/>
        <color rgb="FF000000"/>
        <rFont val="Calibri"/>
        <charset val="1"/>
      </rPr>
      <t>​</t>
    </r>
  </si>
  <si>
    <r>
      <t>54500</t>
    </r>
    <r>
      <rPr>
        <sz val="14"/>
        <color rgb="FF000000"/>
        <rFont val="Calibri"/>
        <charset val="1"/>
      </rPr>
      <t>​</t>
    </r>
  </si>
  <si>
    <r>
      <t>53,600 </t>
    </r>
    <r>
      <rPr>
        <sz val="14"/>
        <color rgb="FF000000"/>
        <rFont val="Calibri"/>
        <charset val="1"/>
      </rPr>
      <t>​</t>
    </r>
  </si>
  <si>
    <r>
      <t>46789</t>
    </r>
    <r>
      <rPr>
        <sz val="14"/>
        <color rgb="FF000000"/>
        <rFont val="Calibri"/>
        <charset val="1"/>
      </rPr>
      <t>​</t>
    </r>
  </si>
  <si>
    <r>
      <t>53950</t>
    </r>
    <r>
      <rPr>
        <sz val="14"/>
        <color rgb="FF000000"/>
        <rFont val="Calibri"/>
        <charset val="1"/>
      </rPr>
      <t>​</t>
    </r>
  </si>
  <si>
    <r>
      <t>Jun-25</t>
    </r>
    <r>
      <rPr>
        <sz val="14"/>
        <color rgb="FF000000"/>
        <rFont val="Calibri"/>
        <charset val="1"/>
      </rPr>
      <t>​</t>
    </r>
  </si>
  <si>
    <r>
      <t>51200</t>
    </r>
    <r>
      <rPr>
        <sz val="14"/>
        <color rgb="FF000000"/>
        <rFont val="Calibri"/>
        <charset val="1"/>
      </rPr>
      <t>​</t>
    </r>
  </si>
  <si>
    <r>
      <t>50,300 </t>
    </r>
    <r>
      <rPr>
        <sz val="14"/>
        <color rgb="FF000000"/>
        <rFont val="Calibri"/>
        <charset val="1"/>
      </rPr>
      <t>​</t>
    </r>
  </si>
  <si>
    <r>
      <t>45244</t>
    </r>
    <r>
      <rPr>
        <sz val="14"/>
        <color rgb="FF000000"/>
        <rFont val="Calibri"/>
        <charset val="1"/>
      </rPr>
      <t>​</t>
    </r>
  </si>
  <si>
    <r>
      <t>52000</t>
    </r>
    <r>
      <rPr>
        <sz val="14"/>
        <color rgb="FF000000"/>
        <rFont val="Calibri"/>
        <charset val="1"/>
      </rPr>
      <t>​</t>
    </r>
  </si>
  <si>
    <r>
      <t>50950</t>
    </r>
    <r>
      <rPr>
        <sz val="14"/>
        <color rgb="FF000000"/>
        <rFont val="Calibri"/>
        <charset val="1"/>
      </rPr>
      <t>​</t>
    </r>
  </si>
  <si>
    <r>
      <t>Jul-25</t>
    </r>
    <r>
      <rPr>
        <sz val="14"/>
        <color rgb="FF000000"/>
        <rFont val="Calibri"/>
        <charset val="1"/>
      </rPr>
      <t>​</t>
    </r>
  </si>
  <si>
    <r>
      <t>47000</t>
    </r>
    <r>
      <rPr>
        <sz val="14"/>
        <color rgb="FF000000"/>
        <rFont val="Calibri"/>
        <charset val="1"/>
      </rPr>
      <t>​</t>
    </r>
  </si>
  <si>
    <r>
      <t>46,100 </t>
    </r>
    <r>
      <rPr>
        <sz val="14"/>
        <color rgb="FF000000"/>
        <rFont val="Calibri"/>
        <charset val="1"/>
      </rPr>
      <t>​</t>
    </r>
  </si>
  <si>
    <r>
      <t>44233</t>
    </r>
    <r>
      <rPr>
        <sz val="14"/>
        <color rgb="FF000000"/>
        <rFont val="Calibri"/>
        <charset val="1"/>
      </rPr>
      <t>​</t>
    </r>
  </si>
  <si>
    <r>
      <t>46750</t>
    </r>
    <r>
      <rPr>
        <sz val="14"/>
        <color rgb="FF000000"/>
        <rFont val="Calibri"/>
        <charset val="1"/>
      </rPr>
      <t>​</t>
    </r>
  </si>
  <si>
    <t>More than 90Days</t>
  </si>
  <si>
    <t>Distr landed</t>
  </si>
  <si>
    <t>Sr No</t>
  </si>
  <si>
    <t>JSW One</t>
  </si>
  <si>
    <t>Wt. GM</t>
  </si>
  <si>
    <t>Shyam</t>
  </si>
  <si>
    <t>Sum of Inventory</t>
  </si>
  <si>
    <t>Size</t>
  </si>
  <si>
    <t>550D</t>
  </si>
  <si>
    <t>West Bengal</t>
  </si>
  <si>
    <t>Dia (mm)</t>
  </si>
  <si>
    <t>Qty Req.</t>
  </si>
  <si>
    <t>Fresh Inv</t>
  </si>
  <si>
    <t xml:space="preserve">PO </t>
  </si>
  <si>
    <t>Dealer landed</t>
  </si>
  <si>
    <t>NCR</t>
  </si>
  <si>
    <t>Dist landed</t>
  </si>
  <si>
    <t>46Days-60Days</t>
  </si>
  <si>
    <t>Aditiya</t>
  </si>
  <si>
    <t>ASUL</t>
  </si>
  <si>
    <t>German</t>
  </si>
  <si>
    <t>Wt GM</t>
  </si>
  <si>
    <t>Wt Avg Cost</t>
  </si>
  <si>
    <t>GM actual</t>
  </si>
  <si>
    <t>GM adjusted</t>
  </si>
  <si>
    <t>Total/Avg</t>
  </si>
  <si>
    <t>PO order qty</t>
  </si>
  <si>
    <t xml:space="preserve"> </t>
  </si>
  <si>
    <t>S.NO</t>
  </si>
  <si>
    <t>Description of Machinery</t>
  </si>
  <si>
    <t>Quantity</t>
  </si>
  <si>
    <t xml:space="preserve">Serving Inventory at ASUL </t>
  </si>
  <si>
    <t>Balance PO Qty after ASUL Order</t>
  </si>
  <si>
    <t xml:space="preserve">Serving SKA
Inventory </t>
  </si>
  <si>
    <t>Balance PO Qty after ASUL Order +SKA Order</t>
  </si>
  <si>
    <t>Serving API Ispat Inventory</t>
  </si>
  <si>
    <t>Balance PO Qty after ASUL Order +SKA Order+API Order</t>
  </si>
  <si>
    <t>&gt;60 days stock</t>
  </si>
  <si>
    <t>After PO</t>
  </si>
  <si>
    <t>PO QTY</t>
  </si>
  <si>
    <t>Stock - PO</t>
  </si>
  <si>
    <t>WRT RAIGAD (As on 31st Mar'25)</t>
  </si>
  <si>
    <t>WRT RAIGAD (As on 30th Nov'24)</t>
  </si>
  <si>
    <t>WRT DELHI</t>
  </si>
  <si>
    <t>WRT RAIGAD</t>
  </si>
  <si>
    <t>H</t>
  </si>
  <si>
    <t>-</t>
  </si>
  <si>
    <t>Region</t>
  </si>
  <si>
    <t>Qty</t>
  </si>
  <si>
    <t>FOR 550 D</t>
  </si>
  <si>
    <t>Bihta</t>
  </si>
  <si>
    <t>UP</t>
  </si>
  <si>
    <t>50L</t>
  </si>
  <si>
    <t>Volume (MT)</t>
  </si>
  <si>
    <t>Retail + PTR</t>
  </si>
  <si>
    <t>PB Total</t>
  </si>
  <si>
    <t>Target</t>
  </si>
  <si>
    <t>Achievement</t>
  </si>
  <si>
    <t>BE</t>
  </si>
  <si>
    <t xml:space="preserve">Total </t>
  </si>
  <si>
    <t>Dia Wise - Ageing analysis ( Aged &gt; 30 Days)</t>
  </si>
  <si>
    <t>Inventory Available</t>
  </si>
  <si>
    <t>Inventory Required</t>
  </si>
  <si>
    <t>Uttarakhand</t>
  </si>
  <si>
    <t>Uttar Pradesh</t>
  </si>
  <si>
    <t>PB Project</t>
  </si>
  <si>
    <t>Himachal Pradesh</t>
  </si>
  <si>
    <t>Haryana</t>
  </si>
  <si>
    <t>Delhi-NCR</t>
  </si>
  <si>
    <t>Odisha</t>
  </si>
  <si>
    <t>Fe 550 Total</t>
  </si>
  <si>
    <t>Maharashtra</t>
  </si>
  <si>
    <t>8MM</t>
  </si>
  <si>
    <t>Madhya Pradesh</t>
  </si>
  <si>
    <t>10MM</t>
  </si>
  <si>
    <t>12MM</t>
  </si>
  <si>
    <t>Chhattisgarh</t>
  </si>
  <si>
    <t>16MM</t>
  </si>
  <si>
    <t>AP / TS</t>
  </si>
  <si>
    <t>20MM</t>
  </si>
  <si>
    <t>25MM</t>
  </si>
  <si>
    <t>OFB</t>
  </si>
  <si>
    <t>Infra</t>
  </si>
  <si>
    <t>Trade AR</t>
  </si>
  <si>
    <t>32MM</t>
  </si>
  <si>
    <t>Cost of funds</t>
  </si>
  <si>
    <t>19k this month</t>
  </si>
  <si>
    <t>BIS +Loading</t>
  </si>
  <si>
    <t>Frt</t>
  </si>
  <si>
    <t>Net landed</t>
  </si>
  <si>
    <t>JSW Projects</t>
  </si>
  <si>
    <t>JSW One  view</t>
  </si>
  <si>
    <t>Actual Cost</t>
  </si>
  <si>
    <t>Adjusted Cost</t>
  </si>
  <si>
    <t>GM on actual Cost</t>
  </si>
  <si>
    <t>GM on adjusted Cost</t>
  </si>
  <si>
    <r>
      <t>CM Name</t>
    </r>
    <r>
      <rPr>
        <sz val="14"/>
        <color rgb="FF000000"/>
        <rFont val="Aptos Display"/>
        <scheme val="major"/>
      </rPr>
      <t>​</t>
    </r>
  </si>
  <si>
    <r>
      <t>Location, State</t>
    </r>
    <r>
      <rPr>
        <sz val="14"/>
        <color rgb="FF000000"/>
        <rFont val="Aptos Display"/>
        <scheme val="major"/>
      </rPr>
      <t>​</t>
    </r>
  </si>
  <si>
    <r>
      <t>Timeline for Starting</t>
    </r>
    <r>
      <rPr>
        <sz val="14"/>
        <color rgb="FF000000"/>
        <rFont val="Aptos Display"/>
        <scheme val="major"/>
      </rPr>
      <t>​</t>
    </r>
  </si>
  <si>
    <r>
      <t>Feb'26</t>
    </r>
    <r>
      <rPr>
        <sz val="14"/>
        <color rgb="FF000000"/>
        <rFont val="Aptos Display"/>
        <scheme val="major"/>
      </rPr>
      <t>​</t>
    </r>
  </si>
  <si>
    <r>
      <t>Mar'26</t>
    </r>
    <r>
      <rPr>
        <sz val="14"/>
        <color rgb="FF000000"/>
        <rFont val="Aptos Display"/>
        <scheme val="major"/>
      </rPr>
      <t>​</t>
    </r>
  </si>
  <si>
    <r>
      <t>Apr'26</t>
    </r>
    <r>
      <rPr>
        <sz val="14"/>
        <color rgb="FF000000"/>
        <rFont val="Aptos Display"/>
        <scheme val="major"/>
      </rPr>
      <t>​</t>
    </r>
  </si>
  <si>
    <r>
      <t>Projections FY'27</t>
    </r>
    <r>
      <rPr>
        <sz val="14"/>
        <color rgb="FF000000"/>
        <rFont val="Aptos Display"/>
        <scheme val="major"/>
      </rPr>
      <t>​</t>
    </r>
  </si>
  <si>
    <r>
      <t>Remarks</t>
    </r>
    <r>
      <rPr>
        <sz val="14"/>
        <color rgb="FF000000"/>
        <rFont val="Aptos Display"/>
        <scheme val="major"/>
      </rPr>
      <t>​</t>
    </r>
  </si>
  <si>
    <t>Start time</t>
  </si>
  <si>
    <t>Feb'26</t>
  </si>
  <si>
    <t>Mar'26</t>
  </si>
  <si>
    <t>Apr'26</t>
  </si>
  <si>
    <t>Steady state</t>
  </si>
  <si>
    <t>Sales Market</t>
  </si>
  <si>
    <t>LRF Cost</t>
  </si>
  <si>
    <t>Freight from Plant</t>
  </si>
  <si>
    <t>JSW One Margin</t>
  </si>
  <si>
    <t>AmbaShakti Gwalior​</t>
  </si>
  <si>
    <t>Gwalior, MP​</t>
  </si>
  <si>
    <t>Started in Oct'25​</t>
  </si>
  <si>
    <t>Unit already established​</t>
  </si>
  <si>
    <t>Ongoing</t>
  </si>
  <si>
    <t>Gwalior, NCR/ HR,  Jaipur, UP W</t>
  </si>
  <si>
    <t>Real Ispat​</t>
  </si>
  <si>
    <t>Raipur, Chhattisgarh​</t>
  </si>
  <si>
    <t>Started in Dec'25​</t>
  </si>
  <si>
    <t>Raipur, OD W, UP C, UP E, Vidharbha, Indore</t>
  </si>
  <si>
    <t>Rashmi​</t>
  </si>
  <si>
    <t>Kharagpur, West Bengal​</t>
  </si>
  <si>
    <t>Ready - Feb'26​</t>
  </si>
  <si>
    <t>LRF available production to be started from Feb'26 ​</t>
  </si>
  <si>
    <t>May'26</t>
  </si>
  <si>
    <t>OD W, OD E, Patna, Ranchi, Durgapur, Siliguri</t>
  </si>
  <si>
    <t>Ex plant</t>
  </si>
  <si>
    <t>Jai Bharat​</t>
  </si>
  <si>
    <t>Kala Amb, HP​</t>
  </si>
  <si>
    <t>March'26​</t>
  </si>
  <si>
    <t>LRF will be commissioned in Feb'26​</t>
  </si>
  <si>
    <t>SKA Ispat​</t>
  </si>
  <si>
    <t>April'26​</t>
  </si>
  <si>
    <t>LRF under installation, production will start from Apr'26, Commercial agreement signed​</t>
  </si>
  <si>
    <t>AmbaShakti Sikandrabad​</t>
  </si>
  <si>
    <t>Sikandrabad, UP​</t>
  </si>
  <si>
    <t>LRF under project stage, Commercial to be closed​</t>
  </si>
  <si>
    <t>Q2 FY27</t>
  </si>
  <si>
    <t>Fe550D</t>
  </si>
  <si>
    <t>German Steel​</t>
  </si>
  <si>
    <t>Kutch, Gujarat​</t>
  </si>
  <si>
    <t>Ready (Go ahead from JSW pending)​</t>
  </si>
  <si>
    <t>LRF production ready, JSW ONE has to give Go ahead​</t>
  </si>
  <si>
    <t>Ocrt</t>
  </si>
  <si>
    <t> ​</t>
  </si>
  <si>
    <t>Fe 550D sales plan</t>
  </si>
  <si>
    <t>Steel Mint</t>
  </si>
  <si>
    <t>LRF cost</t>
  </si>
  <si>
    <t>32 mm extra</t>
  </si>
  <si>
    <t>Loading</t>
  </si>
  <si>
    <t>Mfg Cost</t>
  </si>
  <si>
    <t>FOR Price</t>
  </si>
  <si>
    <t>Jots Freight</t>
  </si>
  <si>
    <t>Oct End</t>
  </si>
  <si>
    <t>Nov 1 -  Nov 10</t>
  </si>
  <si>
    <t>Nov 11 -  Nov 20</t>
  </si>
  <si>
    <t>Nov 21 -  Nov 30</t>
  </si>
  <si>
    <t>Dec 1 -  Dec 10</t>
  </si>
  <si>
    <t>Dec 11 - Dec 20</t>
  </si>
  <si>
    <t>Dec 21 -  Dec 31</t>
  </si>
  <si>
    <t>Jan 1 - Jan 10</t>
  </si>
  <si>
    <t>Net change</t>
  </si>
  <si>
    <t>Retail Fe 550</t>
  </si>
  <si>
    <t>Retail Fe 550D</t>
  </si>
  <si>
    <t>Spl price Fe 550</t>
  </si>
  <si>
    <t>Spl price Fe 550D</t>
  </si>
  <si>
    <t>Wt Avg</t>
  </si>
  <si>
    <t>Max</t>
  </si>
  <si>
    <t>Min</t>
  </si>
  <si>
    <t>Nov exit</t>
  </si>
  <si>
    <t>Dec Exit</t>
  </si>
  <si>
    <t>Current level</t>
  </si>
  <si>
    <t>Ex plant (Fe 550)</t>
  </si>
  <si>
    <t>Change</t>
  </si>
  <si>
    <t>On 22nd Jan</t>
  </si>
  <si>
    <t>Special pricing</t>
  </si>
  <si>
    <t>Retail</t>
  </si>
  <si>
    <t>Rashmi Durgapur</t>
  </si>
  <si>
    <t>28th Feb</t>
  </si>
  <si>
    <t>Last 15th day</t>
  </si>
  <si>
    <t>current 3rd mar</t>
  </si>
  <si>
    <t>Item</t>
  </si>
  <si>
    <t>Consumption</t>
  </si>
  <si>
    <t>Unit</t>
  </si>
  <si>
    <t>Rate</t>
  </si>
  <si>
    <t>Recovery amount</t>
  </si>
  <si>
    <t>Effective cost</t>
  </si>
  <si>
    <t>Total cost</t>
  </si>
  <si>
    <t>Change from Oct</t>
  </si>
  <si>
    <t>Impact (Rs PMT)</t>
  </si>
  <si>
    <t xml:space="preserve"> Oct end </t>
  </si>
  <si>
    <t>Pallet DRI</t>
  </si>
  <si>
    <t>%</t>
  </si>
  <si>
    <t>Pig Iron</t>
  </si>
  <si>
    <t>Scrap</t>
  </si>
  <si>
    <t>Silico Manganese</t>
  </si>
  <si>
    <t>kg</t>
  </si>
  <si>
    <t>Iron Ore DRI</t>
  </si>
  <si>
    <t>Power (incldg ancilliaries)</t>
  </si>
  <si>
    <t>Stores</t>
  </si>
  <si>
    <t>Rs/T</t>
  </si>
  <si>
    <t>Manpower</t>
  </si>
  <si>
    <t>Billet Cost  (eff 19 Jan 26)</t>
  </si>
  <si>
    <t>Market price of Billet</t>
  </si>
  <si>
    <t>Nett Margin</t>
  </si>
  <si>
    <t>Rolling Mill Cost</t>
  </si>
  <si>
    <t>Hot charging (own billet - direct rolling )</t>
  </si>
  <si>
    <t>Cost of Billet</t>
  </si>
  <si>
    <t>Scale loss</t>
  </si>
  <si>
    <t>Power</t>
  </si>
  <si>
    <t>unit</t>
  </si>
  <si>
    <t>Fuel cost</t>
  </si>
  <si>
    <t>scm/t</t>
  </si>
  <si>
    <t xml:space="preserve">                                     -  </t>
  </si>
  <si>
    <t>Cutting loss</t>
  </si>
  <si>
    <t>Rolling cost</t>
  </si>
  <si>
    <t>Yield loss</t>
  </si>
  <si>
    <t>Add back cost of scrap</t>
  </si>
  <si>
    <t>Short length realiz</t>
  </si>
  <si>
    <t>Interest + Depreciation</t>
  </si>
  <si>
    <t>LS</t>
  </si>
  <si>
    <t>Market price for TMT</t>
  </si>
  <si>
    <t>Margin for mfr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</si>
</sst>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&quot;/&quot;mm&quot;/&quot;yyyy"/>
    <numFmt numFmtId="165" formatCode="_(* #,##0_);_(* \(#,##0\);_(* &quot;-&quot;??_);_(@_)"/>
    <numFmt numFmtId="166" formatCode="_ * #,##0_ ;_ * \-#,##0_ ;_ * &quot;-&quot;??_ ;_ @_ "/>
    <numFmt numFmtId="167" formatCode="0.0000"/>
    <numFmt numFmtId="168" formatCode="_(* #,##0.0_);_(* \(#,##0.0\);_(* &quot;-&quot;??_);_(@_)"/>
    <numFmt numFmtId="169" formatCode="[$-409]dd\-mmm\-yy;@"/>
    <numFmt numFmtId="170" formatCode="[$-F800]dddd\,\ mmmm\ dd\,\ yyyy"/>
  </numFmts>
  <fonts count="65">
    <font>
      <sz val="11"/>
      <color theme="1"/>
      <name val="Aptos Narrow"/>
      <family val="2"/>
      <scheme val="minor"/>
    </font>
    <font>
      <b/>
      <sz val="10"/>
      <color theme="1"/>
      <name val="Arial"/>
      <scheme val="minor"/>
    </font>
    <font>
      <b/>
      <sz val="9"/>
      <color rgb="FF2B2A29"/>
      <name val="Verdana"/>
    </font>
    <font>
      <b/>
      <sz val="9"/>
      <color theme="1"/>
      <name val="Arial"/>
      <scheme val="minor"/>
    </font>
    <font>
      <sz val="9"/>
      <color theme="1"/>
      <name val="Arial"/>
      <scheme val="minor"/>
    </font>
    <font>
      <b/>
      <sz val="9"/>
      <color rgb="FF000000"/>
      <name val="Calibri"/>
    </font>
    <font>
      <sz val="9"/>
      <color rgb="FF000000"/>
      <name val="Calibri"/>
    </font>
    <font>
      <b/>
      <sz val="11"/>
      <color theme="1"/>
      <name val="Aptos Narrow"/>
      <family val="2"/>
      <scheme val="minor"/>
    </font>
    <font>
      <sz val="9"/>
      <color theme="1"/>
      <name val="Arial"/>
    </font>
    <font>
      <b/>
      <sz val="11"/>
      <color indexed="8"/>
      <name val="Calibri"/>
    </font>
    <font>
      <sz val="10"/>
      <color rgb="FF000000"/>
      <name val="Calibri"/>
      <family val="2"/>
    </font>
    <font>
      <b/>
      <sz val="9"/>
      <name val="Calibri"/>
    </font>
    <font>
      <sz val="8"/>
      <color rgb="FF000000"/>
      <name val="Calibri"/>
    </font>
    <font>
      <b/>
      <sz val="11"/>
      <color theme="0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</font>
    <font>
      <b/>
      <sz val="9"/>
      <color theme="1"/>
      <name val="Arial"/>
    </font>
    <font>
      <sz val="10"/>
      <color rgb="FF000000"/>
      <name val="Calibri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000000"/>
      <name val="Inherit"/>
      <charset val="1"/>
    </font>
    <font>
      <sz val="12"/>
      <color rgb="FF000000"/>
      <name val="Aptos"/>
      <charset val="1"/>
    </font>
    <font>
      <sz val="11"/>
      <color rgb="FF000000"/>
      <name val="Calibri"/>
    </font>
    <font>
      <sz val="11"/>
      <color indexed="8"/>
      <name val="Calibri"/>
    </font>
    <font>
      <b/>
      <sz val="11"/>
      <color rgb="FF153D64"/>
      <name val="Aptos Narrow"/>
      <family val="2"/>
    </font>
    <font>
      <sz val="11"/>
      <color rgb="FF153D64"/>
      <name val="Aptos Narrow"/>
      <family val="2"/>
    </font>
    <font>
      <b/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sz val="14"/>
      <color rgb="FF000000"/>
      <name val="Calibri"/>
      <charset val="1"/>
    </font>
    <font>
      <b/>
      <sz val="14"/>
      <color rgb="FFFFFFFF"/>
      <name val="Calibri"/>
      <charset val="1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0"/>
      <color rgb="FF000000"/>
      <name val="Calibri"/>
    </font>
    <font>
      <sz val="11"/>
      <color theme="1"/>
      <name val="Aptos Narrow"/>
      <scheme val="minor"/>
    </font>
    <font>
      <sz val="12"/>
      <color rgb="FF000000"/>
      <name val="Aptos Narrow"/>
      <scheme val="minor"/>
    </font>
    <font>
      <sz val="11"/>
      <color rgb="FF000000"/>
      <name val="Aptos Narrow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0"/>
      <color theme="1"/>
      <name val="Calibri"/>
    </font>
    <font>
      <sz val="11"/>
      <color rgb="FFFF0000"/>
      <name val="Calibri"/>
    </font>
    <font>
      <sz val="11"/>
      <color rgb="FF242424"/>
      <name val="Segoe UI"/>
      <charset val="1"/>
    </font>
    <font>
      <sz val="11"/>
      <color rgb="FF000000"/>
      <name val="Aptos Narrow"/>
      <family val="2"/>
      <scheme val="minor"/>
    </font>
    <font>
      <b/>
      <sz val="12"/>
      <color theme="1"/>
      <name val="Inherit"/>
      <charset val="1"/>
    </font>
    <font>
      <sz val="12"/>
      <color theme="1"/>
      <name val="Aptos"/>
      <charset val="1"/>
    </font>
    <font>
      <sz val="12"/>
      <color rgb="FFC82613"/>
      <name val="Aptos"/>
      <charset val="1"/>
    </font>
    <font>
      <sz val="12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rgb="FF203764"/>
      <name val="Calibri"/>
      <family val="2"/>
    </font>
    <font>
      <sz val="11"/>
      <color rgb="FF203764"/>
      <name val="Calibri"/>
      <family val="2"/>
    </font>
    <font>
      <sz val="14"/>
      <color rgb="FF000000"/>
      <name val="Aptos Display"/>
      <scheme val="major"/>
    </font>
    <font>
      <b/>
      <sz val="14"/>
      <color rgb="FF000000"/>
      <name val="Aptos Display"/>
      <scheme val="major"/>
    </font>
    <font>
      <b/>
      <sz val="11"/>
      <color theme="0"/>
      <name val="Aptos Display"/>
      <scheme val="major"/>
    </font>
    <font>
      <sz val="11"/>
      <color theme="1"/>
      <name val="Aptos Display"/>
      <scheme val="major"/>
    </font>
    <font>
      <b/>
      <sz val="11"/>
      <color rgb="FF000000"/>
      <name val="Aptos Narrow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</fonts>
  <fills count="51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rgb="FF18489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17469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E4F5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DEDED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2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6489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AE9F8"/>
        <bgColor rgb="FF000000"/>
      </patternFill>
    </fill>
  </fills>
  <borders count="6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747474"/>
      </left>
      <right style="thin">
        <color rgb="FF747474"/>
      </right>
      <top style="thin">
        <color rgb="FF747474"/>
      </top>
      <bottom style="thin">
        <color rgb="FF74747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47474"/>
      </left>
      <right style="thin">
        <color rgb="FF747474"/>
      </right>
      <top style="thin">
        <color rgb="FF747474"/>
      </top>
      <bottom/>
      <diagonal/>
    </border>
  </borders>
  <cellStyleXfs count="1">
    <xf numFmtId="0" fontId="0" fillId="0" borderId="0"/>
  </cellStyleXfs>
  <cellXfs count="56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3" borderId="1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164" fontId="3" fillId="4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0" fontId="0" fillId="0" borderId="1" xfId="0" applyBorder="1"/>
    <xf numFmtId="3" fontId="4" fillId="0" borderId="5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5" borderId="0" xfId="0" applyNumberFormat="1" applyFill="1" applyAlignment="1">
      <alignment horizontal="center"/>
    </xf>
    <xf numFmtId="0" fontId="5" fillId="6" borderId="1" xfId="0" applyFont="1" applyFill="1" applyBorder="1" applyAlignment="1">
      <alignment horizontal="center" vertical="center" wrapText="1" indent="1"/>
    </xf>
    <xf numFmtId="0" fontId="6" fillId="0" borderId="1" xfId="0" applyFont="1" applyBorder="1"/>
    <xf numFmtId="165" fontId="6" fillId="0" borderId="1" xfId="0" applyNumberFormat="1" applyFont="1" applyBorder="1"/>
    <xf numFmtId="165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0" fontId="6" fillId="0" borderId="1" xfId="0" applyFont="1" applyBorder="1" applyAlignment="1">
      <alignment wrapText="1"/>
    </xf>
    <xf numFmtId="165" fontId="6" fillId="7" borderId="1" xfId="0" applyNumberFormat="1" applyFont="1" applyFill="1" applyBorder="1"/>
    <xf numFmtId="165" fontId="6" fillId="0" borderId="0" xfId="0" applyNumberFormat="1" applyFont="1"/>
    <xf numFmtId="0" fontId="6" fillId="0" borderId="3" xfId="0" applyFont="1" applyBorder="1" applyAlignment="1">
      <alignment wrapText="1"/>
    </xf>
    <xf numFmtId="165" fontId="6" fillId="0" borderId="2" xfId="0" applyNumberFormat="1" applyFont="1" applyBorder="1"/>
    <xf numFmtId="0" fontId="0" fillId="0" borderId="0" xfId="0" applyAlignment="1">
      <alignment horizontal="center" vertical="center"/>
    </xf>
    <xf numFmtId="0" fontId="0" fillId="7" borderId="0" xfId="0" applyFill="1"/>
    <xf numFmtId="0" fontId="0" fillId="0" borderId="1" xfId="0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0" fontId="7" fillId="7" borderId="0" xfId="0" applyFont="1" applyFill="1"/>
    <xf numFmtId="0" fontId="0" fillId="0" borderId="0" xfId="0" applyAlignment="1">
      <alignment wrapText="1"/>
    </xf>
    <xf numFmtId="165" fontId="0" fillId="0" borderId="0" xfId="0" applyNumberFormat="1"/>
    <xf numFmtId="9" fontId="0" fillId="0" borderId="0" xfId="0" applyNumberFormat="1" applyAlignment="1">
      <alignment horizontal="center"/>
    </xf>
    <xf numFmtId="9" fontId="0" fillId="0" borderId="0" xfId="0" applyNumberFormat="1"/>
    <xf numFmtId="3" fontId="8" fillId="0" borderId="1" xfId="0" applyNumberFormat="1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readingOrder="1"/>
    </xf>
    <xf numFmtId="0" fontId="10" fillId="9" borderId="0" xfId="0" applyFont="1" applyFill="1" applyAlignment="1">
      <alignment wrapText="1" readingOrder="1"/>
    </xf>
    <xf numFmtId="0" fontId="0" fillId="0" borderId="1" xfId="0" applyBorder="1" applyAlignment="1">
      <alignment horizontal="center"/>
    </xf>
    <xf numFmtId="0" fontId="10" fillId="9" borderId="0" xfId="0" applyFont="1" applyFill="1" applyAlignment="1">
      <alignment wrapText="1"/>
    </xf>
    <xf numFmtId="0" fontId="10" fillId="9" borderId="0" xfId="0" applyFont="1" applyFill="1"/>
    <xf numFmtId="0" fontId="0" fillId="10" borderId="1" xfId="0" applyFill="1" applyBorder="1" applyAlignment="1">
      <alignment horizontal="center"/>
    </xf>
    <xf numFmtId="165" fontId="10" fillId="9" borderId="0" xfId="0" applyNumberFormat="1" applyFont="1" applyFill="1" applyAlignment="1">
      <alignment wrapText="1" readingOrder="1"/>
    </xf>
    <xf numFmtId="1" fontId="0" fillId="0" borderId="0" xfId="0" applyNumberFormat="1" applyAlignment="1">
      <alignment horizontal="center"/>
    </xf>
    <xf numFmtId="1" fontId="0" fillId="0" borderId="0" xfId="0" applyNumberFormat="1"/>
    <xf numFmtId="1" fontId="6" fillId="0" borderId="0" xfId="0" applyNumberFormat="1" applyFont="1"/>
    <xf numFmtId="1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166" fontId="6" fillId="0" borderId="0" xfId="0" applyNumberFormat="1" applyFont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3" fillId="12" borderId="0" xfId="0" applyFont="1" applyFill="1"/>
    <xf numFmtId="167" fontId="0" fillId="0" borderId="0" xfId="0" applyNumberFormat="1" applyAlignment="1">
      <alignment horizontal="center" vertical="center"/>
    </xf>
    <xf numFmtId="0" fontId="7" fillId="0" borderId="7" xfId="0" applyFont="1" applyBorder="1"/>
    <xf numFmtId="1" fontId="7" fillId="0" borderId="7" xfId="0" applyNumberFormat="1" applyFont="1" applyBorder="1" applyAlignment="1">
      <alignment horizontal="center" vertical="center"/>
    </xf>
    <xf numFmtId="1" fontId="14" fillId="10" borderId="1" xfId="0" applyNumberFormat="1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1" fontId="15" fillId="10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 wrapText="1"/>
    </xf>
    <xf numFmtId="0" fontId="16" fillId="13" borderId="1" xfId="0" applyFont="1" applyFill="1" applyBorder="1" applyAlignment="1" applyProtection="1">
      <alignment horizontal="center" vertical="center" wrapText="1"/>
      <protection locked="0"/>
    </xf>
    <xf numFmtId="0" fontId="16" fillId="13" borderId="1" xfId="0" applyFont="1" applyFill="1" applyBorder="1" applyAlignment="1" applyProtection="1">
      <alignment horizontal="left" vertical="center" wrapText="1"/>
      <protection locked="0"/>
    </xf>
    <xf numFmtId="0" fontId="16" fillId="13" borderId="1" xfId="0" applyFont="1" applyFill="1" applyBorder="1" applyAlignment="1" applyProtection="1">
      <alignment vertical="center" wrapText="1"/>
      <protection locked="0"/>
    </xf>
    <xf numFmtId="0" fontId="17" fillId="0" borderId="1" xfId="0" applyFont="1" applyBorder="1" applyAlignment="1" applyProtection="1">
      <alignment vertical="center"/>
      <protection locked="0"/>
    </xf>
    <xf numFmtId="0" fontId="17" fillId="0" borderId="1" xfId="0" applyFont="1" applyBorder="1" applyAlignment="1">
      <alignment vertical="center"/>
    </xf>
    <xf numFmtId="0" fontId="18" fillId="0" borderId="1" xfId="0" applyFont="1" applyBorder="1" applyAlignment="1" applyProtection="1">
      <alignment vertical="center"/>
      <protection locked="0"/>
    </xf>
    <xf numFmtId="49" fontId="18" fillId="0" borderId="5" xfId="0" applyNumberFormat="1" applyFont="1" applyBorder="1" applyAlignment="1">
      <alignment vertical="center"/>
    </xf>
    <xf numFmtId="49" fontId="18" fillId="0" borderId="1" xfId="0" applyNumberFormat="1" applyFont="1" applyBorder="1" applyAlignment="1">
      <alignment vertical="center"/>
    </xf>
    <xf numFmtId="49" fontId="18" fillId="0" borderId="2" xfId="0" applyNumberFormat="1" applyFont="1" applyBorder="1" applyAlignment="1">
      <alignment vertical="center"/>
    </xf>
    <xf numFmtId="49" fontId="18" fillId="7" borderId="1" xfId="0" applyNumberFormat="1" applyFont="1" applyFill="1" applyBorder="1" applyAlignment="1">
      <alignment vertical="center"/>
    </xf>
    <xf numFmtId="49" fontId="18" fillId="7" borderId="2" xfId="0" applyNumberFormat="1" applyFont="1" applyFill="1" applyBorder="1" applyAlignment="1">
      <alignment vertical="center"/>
    </xf>
    <xf numFmtId="0" fontId="19" fillId="2" borderId="0" xfId="0" applyFont="1" applyFill="1"/>
    <xf numFmtId="0" fontId="19" fillId="2" borderId="1" xfId="0" applyFont="1" applyFill="1" applyBorder="1"/>
    <xf numFmtId="164" fontId="20" fillId="4" borderId="1" xfId="0" applyNumberFormat="1" applyFont="1" applyFill="1" applyBorder="1" applyAlignment="1">
      <alignment horizontal="center" vertical="center"/>
    </xf>
    <xf numFmtId="3" fontId="8" fillId="0" borderId="5" xfId="0" applyNumberFormat="1" applyFont="1" applyBorder="1" applyAlignment="1">
      <alignment horizontal="center" vertical="center"/>
    </xf>
    <xf numFmtId="0" fontId="21" fillId="9" borderId="0" xfId="0" applyFont="1" applyFill="1" applyAlignment="1">
      <alignment wrapText="1" readingOrder="1"/>
    </xf>
    <xf numFmtId="0" fontId="21" fillId="9" borderId="0" xfId="0" applyFont="1" applyFill="1" applyAlignment="1">
      <alignment readingOrder="1"/>
    </xf>
    <xf numFmtId="165" fontId="21" fillId="9" borderId="0" xfId="0" applyNumberFormat="1" applyFont="1" applyFill="1" applyAlignment="1">
      <alignment wrapText="1" readingOrder="1"/>
    </xf>
    <xf numFmtId="0" fontId="21" fillId="9" borderId="0" xfId="0" applyFont="1" applyFill="1" applyAlignment="1">
      <alignment wrapText="1"/>
    </xf>
    <xf numFmtId="0" fontId="21" fillId="9" borderId="0" xfId="0" applyFont="1" applyFill="1"/>
    <xf numFmtId="0" fontId="22" fillId="0" borderId="1" xfId="0" applyFont="1" applyBorder="1" applyAlignment="1">
      <alignment horizontal="right" vertical="center"/>
    </xf>
    <xf numFmtId="0" fontId="23" fillId="0" borderId="1" xfId="0" applyFont="1" applyBorder="1" applyAlignment="1">
      <alignment horizontal="right" vertical="center"/>
    </xf>
    <xf numFmtId="1" fontId="23" fillId="0" borderId="1" xfId="0" applyNumberFormat="1" applyFont="1" applyBorder="1" applyAlignment="1">
      <alignment horizontal="right" vertical="center"/>
    </xf>
    <xf numFmtId="1" fontId="22" fillId="0" borderId="1" xfId="0" applyNumberFormat="1" applyFont="1" applyBorder="1" applyAlignment="1">
      <alignment horizontal="right" vertical="center"/>
    </xf>
    <xf numFmtId="0" fontId="24" fillId="14" borderId="9" xfId="0" applyFont="1" applyFill="1" applyBorder="1" applyAlignment="1">
      <alignment readingOrder="1"/>
    </xf>
    <xf numFmtId="0" fontId="25" fillId="14" borderId="10" xfId="0" applyFont="1" applyFill="1" applyBorder="1" applyAlignment="1">
      <alignment readingOrder="1"/>
    </xf>
    <xf numFmtId="0" fontId="24" fillId="14" borderId="9" xfId="0" applyFont="1" applyFill="1" applyBorder="1" applyAlignment="1">
      <alignment wrapText="1" readingOrder="1"/>
    </xf>
    <xf numFmtId="0" fontId="25" fillId="14" borderId="10" xfId="0" applyFont="1" applyFill="1" applyBorder="1" applyAlignment="1">
      <alignment wrapText="1" readingOrder="1"/>
    </xf>
    <xf numFmtId="0" fontId="24" fillId="14" borderId="11" xfId="0" applyFont="1" applyFill="1" applyBorder="1" applyAlignment="1">
      <alignment readingOrder="1"/>
    </xf>
    <xf numFmtId="0" fontId="24" fillId="14" borderId="12" xfId="0" applyFont="1" applyFill="1" applyBorder="1" applyAlignment="1">
      <alignment readingOrder="1"/>
    </xf>
    <xf numFmtId="0" fontId="25" fillId="14" borderId="13" xfId="0" applyFont="1" applyFill="1" applyBorder="1" applyAlignment="1">
      <alignment readingOrder="1"/>
    </xf>
    <xf numFmtId="0" fontId="25" fillId="14" borderId="14" xfId="0" applyFont="1" applyFill="1" applyBorder="1" applyAlignment="1">
      <alignment readingOrder="1"/>
    </xf>
    <xf numFmtId="0" fontId="25" fillId="14" borderId="17" xfId="0" applyFont="1" applyFill="1" applyBorder="1" applyAlignment="1">
      <alignment readingOrder="1"/>
    </xf>
    <xf numFmtId="0" fontId="25" fillId="14" borderId="18" xfId="0" applyFont="1" applyFill="1" applyBorder="1" applyAlignment="1">
      <alignment readingOrder="1"/>
    </xf>
    <xf numFmtId="3" fontId="0" fillId="0" borderId="0" xfId="0" applyNumberFormat="1"/>
    <xf numFmtId="0" fontId="24" fillId="0" borderId="0" xfId="0" applyFont="1" applyAlignment="1">
      <alignment readingOrder="1"/>
    </xf>
    <xf numFmtId="0" fontId="25" fillId="0" borderId="0" xfId="0" applyFont="1" applyAlignment="1">
      <alignment readingOrder="1"/>
    </xf>
    <xf numFmtId="0" fontId="21" fillId="0" borderId="0" xfId="0" applyFont="1" applyAlignment="1">
      <alignment readingOrder="1"/>
    </xf>
    <xf numFmtId="0" fontId="21" fillId="0" borderId="0" xfId="0" applyFont="1"/>
    <xf numFmtId="0" fontId="11" fillId="0" borderId="0" xfId="0" applyFont="1" applyAlignment="1">
      <alignment horizontal="center" wrapText="1"/>
    </xf>
    <xf numFmtId="0" fontId="13" fillId="0" borderId="0" xfId="0" applyFont="1"/>
    <xf numFmtId="165" fontId="12" fillId="0" borderId="0" xfId="0" applyNumberFormat="1" applyFont="1" applyAlignment="1">
      <alignment horizontal="center"/>
    </xf>
    <xf numFmtId="0" fontId="21" fillId="0" borderId="0" xfId="0" applyFont="1" applyAlignment="1">
      <alignment wrapText="1" readingOrder="1"/>
    </xf>
    <xf numFmtId="165" fontId="21" fillId="0" borderId="0" xfId="0" applyNumberFormat="1" applyFont="1" applyAlignment="1">
      <alignment wrapText="1" readingOrder="1"/>
    </xf>
    <xf numFmtId="0" fontId="21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7" fillId="0" borderId="0" xfId="0" applyFont="1"/>
    <xf numFmtId="1" fontId="7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" fontId="14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165" fontId="0" fillId="0" borderId="0" xfId="0" applyNumberFormat="1" applyAlignment="1">
      <alignment wrapText="1"/>
    </xf>
    <xf numFmtId="165" fontId="25" fillId="0" borderId="0" xfId="0" applyNumberFormat="1" applyFont="1" applyAlignment="1">
      <alignment readingOrder="1"/>
    </xf>
    <xf numFmtId="0" fontId="25" fillId="0" borderId="0" xfId="0" applyFont="1" applyAlignment="1">
      <alignment wrapText="1" readingOrder="1"/>
    </xf>
    <xf numFmtId="1" fontId="25" fillId="0" borderId="0" xfId="0" applyNumberFormat="1" applyFont="1" applyAlignment="1">
      <alignment wrapText="1" readingOrder="1"/>
    </xf>
    <xf numFmtId="1" fontId="25" fillId="0" borderId="0" xfId="0" applyNumberFormat="1" applyFont="1" applyAlignment="1">
      <alignment readingOrder="1"/>
    </xf>
    <xf numFmtId="1" fontId="0" fillId="0" borderId="1" xfId="0" applyNumberForma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" fontId="7" fillId="7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6" fillId="7" borderId="0" xfId="0" applyFont="1" applyFill="1" applyAlignment="1">
      <alignment horizontal="center"/>
    </xf>
    <xf numFmtId="0" fontId="26" fillId="0" borderId="0" xfId="0" quotePrefix="1" applyFont="1" applyAlignment="1">
      <alignment horizontal="center"/>
    </xf>
    <xf numFmtId="0" fontId="27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27" fillId="0" borderId="0" xfId="0" applyFont="1" applyAlignment="1">
      <alignment horizontal="center" wrapText="1"/>
    </xf>
    <xf numFmtId="0" fontId="9" fillId="0" borderId="0" xfId="0" applyFont="1"/>
    <xf numFmtId="14" fontId="26" fillId="0" borderId="0" xfId="0" applyNumberFormat="1" applyFont="1" applyAlignment="1">
      <alignment horizontal="center"/>
    </xf>
    <xf numFmtId="14" fontId="26" fillId="7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7" borderId="0" xfId="0" applyNumberFormat="1" applyFill="1" applyAlignment="1">
      <alignment horizontal="center"/>
    </xf>
    <xf numFmtId="0" fontId="7" fillId="0" borderId="1" xfId="0" applyFont="1" applyBorder="1" applyAlignment="1">
      <alignment horizontal="center"/>
    </xf>
    <xf numFmtId="2" fontId="25" fillId="0" borderId="0" xfId="0" applyNumberFormat="1" applyFont="1" applyAlignment="1">
      <alignment readingOrder="1"/>
    </xf>
    <xf numFmtId="165" fontId="0" fillId="0" borderId="0" xfId="0" applyNumberFormat="1" applyAlignment="1">
      <alignment horizontal="center" wrapText="1"/>
    </xf>
    <xf numFmtId="0" fontId="28" fillId="9" borderId="19" xfId="0" applyFont="1" applyFill="1" applyBorder="1"/>
    <xf numFmtId="0" fontId="28" fillId="9" borderId="20" xfId="0" applyFont="1" applyFill="1" applyBorder="1"/>
    <xf numFmtId="0" fontId="18" fillId="0" borderId="20" xfId="0" applyFont="1" applyBorder="1"/>
    <xf numFmtId="0" fontId="28" fillId="9" borderId="21" xfId="0" applyFont="1" applyFill="1" applyBorder="1"/>
    <xf numFmtId="0" fontId="28" fillId="9" borderId="10" xfId="0" applyFont="1" applyFill="1" applyBorder="1"/>
    <xf numFmtId="0" fontId="18" fillId="0" borderId="10" xfId="0" applyFont="1" applyBorder="1"/>
    <xf numFmtId="0" fontId="29" fillId="9" borderId="21" xfId="0" applyFont="1" applyFill="1" applyBorder="1"/>
    <xf numFmtId="0" fontId="29" fillId="9" borderId="10" xfId="0" applyFont="1" applyFill="1" applyBorder="1"/>
    <xf numFmtId="0" fontId="28" fillId="15" borderId="22" xfId="0" applyFont="1" applyFill="1" applyBorder="1"/>
    <xf numFmtId="0" fontId="17" fillId="15" borderId="0" xfId="0" applyFont="1" applyFill="1"/>
    <xf numFmtId="0" fontId="28" fillId="15" borderId="23" xfId="0" applyFont="1" applyFill="1" applyBorder="1"/>
    <xf numFmtId="0" fontId="30" fillId="15" borderId="23" xfId="0" applyFont="1" applyFill="1" applyBorder="1"/>
    <xf numFmtId="0" fontId="18" fillId="15" borderId="0" xfId="0" applyFont="1" applyFill="1"/>
    <xf numFmtId="0" fontId="18" fillId="0" borderId="0" xfId="0" applyFont="1"/>
    <xf numFmtId="0" fontId="29" fillId="9" borderId="22" xfId="0" applyFont="1" applyFill="1" applyBorder="1"/>
    <xf numFmtId="0" fontId="29" fillId="9" borderId="23" xfId="0" applyFont="1" applyFill="1" applyBorder="1"/>
    <xf numFmtId="0" fontId="29" fillId="16" borderId="10" xfId="0" applyFont="1" applyFill="1" applyBorder="1"/>
    <xf numFmtId="0" fontId="0" fillId="16" borderId="0" xfId="0" applyFill="1"/>
    <xf numFmtId="165" fontId="21" fillId="7" borderId="0" xfId="0" applyNumberFormat="1" applyFont="1" applyFill="1" applyAlignment="1">
      <alignment wrapText="1" readingOrder="1"/>
    </xf>
    <xf numFmtId="165" fontId="21" fillId="7" borderId="0" xfId="0" applyNumberFormat="1" applyFont="1" applyFill="1" applyAlignment="1">
      <alignment horizontal="right" vertical="center" readingOrder="1"/>
    </xf>
    <xf numFmtId="165" fontId="0" fillId="0" borderId="0" xfId="0" applyNumberFormat="1" applyAlignment="1">
      <alignment horizontal="right" vertical="center"/>
    </xf>
    <xf numFmtId="0" fontId="21" fillId="0" borderId="0" xfId="0" applyFont="1" applyAlignment="1">
      <alignment horizontal="right" vertical="center" readingOrder="1"/>
    </xf>
    <xf numFmtId="0" fontId="31" fillId="0" borderId="0" xfId="0" applyFont="1" applyAlignment="1">
      <alignment horizontal="right" vertical="center"/>
    </xf>
    <xf numFmtId="165" fontId="21" fillId="0" borderId="0" xfId="0" applyNumberFormat="1" applyFont="1" applyAlignment="1">
      <alignment horizontal="right" vertical="center" readingOrder="1"/>
    </xf>
    <xf numFmtId="0" fontId="21" fillId="0" borderId="0" xfId="0" applyFont="1" applyAlignment="1">
      <alignment horizontal="right" vertical="center"/>
    </xf>
    <xf numFmtId="165" fontId="2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14" fillId="10" borderId="3" xfId="0" applyNumberFormat="1" applyFont="1" applyFill="1" applyBorder="1" applyAlignment="1">
      <alignment horizontal="center"/>
    </xf>
    <xf numFmtId="1" fontId="15" fillId="10" borderId="3" xfId="0" applyNumberFormat="1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0" fontId="15" fillId="10" borderId="3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1" fontId="7" fillId="17" borderId="1" xfId="0" applyNumberFormat="1" applyFont="1" applyFill="1" applyBorder="1" applyAlignment="1">
      <alignment horizontal="center" vertical="center"/>
    </xf>
    <xf numFmtId="1" fontId="0" fillId="17" borderId="1" xfId="0" applyNumberFormat="1" applyFill="1" applyBorder="1" applyAlignment="1">
      <alignment horizontal="center"/>
    </xf>
    <xf numFmtId="1" fontId="0" fillId="17" borderId="1" xfId="0" applyNumberFormat="1" applyFill="1" applyBorder="1" applyAlignment="1">
      <alignment horizontal="center" vertical="center"/>
    </xf>
    <xf numFmtId="0" fontId="0" fillId="17" borderId="1" xfId="0" applyFill="1" applyBorder="1" applyAlignment="1">
      <alignment horizontal="center"/>
    </xf>
    <xf numFmtId="1" fontId="7" fillId="17" borderId="1" xfId="0" applyNumberFormat="1" applyFont="1" applyFill="1" applyBorder="1" applyAlignment="1">
      <alignment horizontal="center"/>
    </xf>
    <xf numFmtId="0" fontId="0" fillId="0" borderId="0" xfId="0" applyAlignment="1">
      <alignment vertical="top"/>
    </xf>
    <xf numFmtId="0" fontId="32" fillId="18" borderId="1" xfId="0" applyFont="1" applyFill="1" applyBorder="1" applyAlignment="1">
      <alignment vertical="top"/>
    </xf>
    <xf numFmtId="0" fontId="33" fillId="18" borderId="1" xfId="0" applyFont="1" applyFill="1" applyBorder="1" applyAlignment="1">
      <alignment vertical="top"/>
    </xf>
    <xf numFmtId="0" fontId="32" fillId="18" borderId="1" xfId="0" applyFont="1" applyFill="1" applyBorder="1" applyAlignment="1">
      <alignment horizontal="left" vertical="top"/>
    </xf>
    <xf numFmtId="0" fontId="33" fillId="18" borderId="1" xfId="0" applyFont="1" applyFill="1" applyBorder="1" applyAlignment="1">
      <alignment horizontal="left" vertical="top"/>
    </xf>
    <xf numFmtId="0" fontId="32" fillId="0" borderId="1" xfId="0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32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0" fontId="34" fillId="8" borderId="1" xfId="0" applyFont="1" applyFill="1" applyBorder="1" applyAlignment="1">
      <alignment horizontal="center" vertical="center"/>
    </xf>
    <xf numFmtId="0" fontId="34" fillId="8" borderId="1" xfId="0" applyFont="1" applyFill="1" applyBorder="1" applyAlignment="1">
      <alignment vertical="center"/>
    </xf>
    <xf numFmtId="0" fontId="34" fillId="8" borderId="3" xfId="0" applyFont="1" applyFill="1" applyBorder="1" applyAlignment="1">
      <alignment horizontal="center" vertical="center"/>
    </xf>
    <xf numFmtId="0" fontId="34" fillId="20" borderId="1" xfId="0" applyFont="1" applyFill="1" applyBorder="1" applyAlignment="1">
      <alignment horizontal="center" vertical="center"/>
    </xf>
    <xf numFmtId="0" fontId="34" fillId="20" borderId="29" xfId="0" applyFont="1" applyFill="1" applyBorder="1" applyAlignment="1">
      <alignment horizontal="center" vertical="center"/>
    </xf>
    <xf numFmtId="0" fontId="34" fillId="20" borderId="2" xfId="0" applyFont="1" applyFill="1" applyBorder="1" applyAlignment="1">
      <alignment horizontal="center" vertical="center"/>
    </xf>
    <xf numFmtId="0" fontId="34" fillId="20" borderId="30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vertical="center"/>
    </xf>
    <xf numFmtId="0" fontId="0" fillId="0" borderId="3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34" fillId="8" borderId="3" xfId="0" applyFont="1" applyFill="1" applyBorder="1" applyAlignment="1">
      <alignment vertical="center"/>
    </xf>
    <xf numFmtId="0" fontId="35" fillId="0" borderId="3" xfId="0" applyFont="1" applyBorder="1" applyAlignment="1">
      <alignment vertical="center"/>
    </xf>
    <xf numFmtId="0" fontId="0" fillId="0" borderId="6" xfId="0" applyBorder="1"/>
    <xf numFmtId="2" fontId="24" fillId="0" borderId="0" xfId="0" applyNumberFormat="1" applyFont="1" applyAlignment="1">
      <alignment readingOrder="1"/>
    </xf>
    <xf numFmtId="0" fontId="26" fillId="0" borderId="1" xfId="0" applyFont="1" applyBorder="1"/>
    <xf numFmtId="0" fontId="26" fillId="0" borderId="1" xfId="0" applyFont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/>
    </xf>
    <xf numFmtId="165" fontId="21" fillId="0" borderId="0" xfId="0" applyNumberFormat="1" applyFont="1" applyAlignment="1">
      <alignment readingOrder="1"/>
    </xf>
    <xf numFmtId="168" fontId="0" fillId="0" borderId="0" xfId="0" applyNumberFormat="1" applyAlignment="1">
      <alignment horizontal="center"/>
    </xf>
    <xf numFmtId="165" fontId="24" fillId="0" borderId="0" xfId="0" applyNumberFormat="1" applyFont="1" applyAlignment="1">
      <alignment readingOrder="1"/>
    </xf>
    <xf numFmtId="0" fontId="37" fillId="15" borderId="19" xfId="0" applyFont="1" applyFill="1" applyBorder="1" applyAlignment="1">
      <alignment horizontal="center" vertical="center" wrapText="1"/>
    </xf>
    <xf numFmtId="0" fontId="37" fillId="15" borderId="20" xfId="0" applyFont="1" applyFill="1" applyBorder="1" applyAlignment="1">
      <alignment horizontal="center" vertical="center" wrapText="1"/>
    </xf>
    <xf numFmtId="0" fontId="17" fillId="15" borderId="20" xfId="0" applyFont="1" applyFill="1" applyBorder="1" applyAlignment="1">
      <alignment horizontal="center" vertical="center" wrapText="1"/>
    </xf>
    <xf numFmtId="0" fontId="38" fillId="9" borderId="21" xfId="0" applyFont="1" applyFill="1" applyBorder="1" applyAlignment="1">
      <alignment horizontal="center" vertical="center" wrapText="1"/>
    </xf>
    <xf numFmtId="0" fontId="38" fillId="9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37" fillId="15" borderId="10" xfId="0" applyFont="1" applyFill="1" applyBorder="1" applyAlignment="1">
      <alignment horizontal="center" vertical="center" wrapText="1"/>
    </xf>
    <xf numFmtId="0" fontId="17" fillId="15" borderId="10" xfId="0" applyFont="1" applyFill="1" applyBorder="1" applyAlignment="1">
      <alignment horizontal="center" vertical="center"/>
    </xf>
    <xf numFmtId="0" fontId="39" fillId="21" borderId="19" xfId="0" applyFont="1" applyFill="1" applyBorder="1" applyAlignment="1">
      <alignment horizontal="center" vertical="center" wrapText="1"/>
    </xf>
    <xf numFmtId="0" fontId="39" fillId="21" borderId="20" xfId="0" applyFont="1" applyFill="1" applyBorder="1" applyAlignment="1">
      <alignment horizontal="center" vertical="center" wrapText="1"/>
    </xf>
    <xf numFmtId="0" fontId="18" fillId="22" borderId="21" xfId="0" applyFont="1" applyFill="1" applyBorder="1" applyAlignment="1">
      <alignment horizontal="center" vertical="center"/>
    </xf>
    <xf numFmtId="0" fontId="38" fillId="10" borderId="10" xfId="0" applyFont="1" applyFill="1" applyBorder="1" applyAlignment="1">
      <alignment horizontal="center" vertical="center" wrapText="1"/>
    </xf>
    <xf numFmtId="0" fontId="37" fillId="10" borderId="10" xfId="0" applyFont="1" applyFill="1" applyBorder="1" applyAlignment="1">
      <alignment horizontal="center" vertical="center" wrapText="1"/>
    </xf>
    <xf numFmtId="0" fontId="28" fillId="10" borderId="10" xfId="0" applyFont="1" applyFill="1" applyBorder="1" applyAlignment="1">
      <alignment horizontal="center" vertical="center"/>
    </xf>
    <xf numFmtId="0" fontId="37" fillId="23" borderId="10" xfId="0" applyFont="1" applyFill="1" applyBorder="1" applyAlignment="1">
      <alignment horizontal="center" vertical="center" wrapText="1"/>
    </xf>
    <xf numFmtId="0" fontId="38" fillId="23" borderId="10" xfId="0" applyFont="1" applyFill="1" applyBorder="1" applyAlignment="1">
      <alignment horizontal="center" vertical="center" wrapText="1"/>
    </xf>
    <xf numFmtId="0" fontId="38" fillId="24" borderId="10" xfId="0" applyFont="1" applyFill="1" applyBorder="1" applyAlignment="1">
      <alignment horizontal="center" vertical="center" wrapText="1"/>
    </xf>
    <xf numFmtId="0" fontId="7" fillId="20" borderId="0" xfId="0" applyFont="1" applyFill="1" applyAlignment="1">
      <alignment horizontal="center"/>
    </xf>
    <xf numFmtId="0" fontId="7" fillId="20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20" borderId="0" xfId="0" applyFill="1" applyAlignment="1">
      <alignment horizontal="center"/>
    </xf>
    <xf numFmtId="0" fontId="7" fillId="16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1" fontId="7" fillId="8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7" fillId="19" borderId="29" xfId="0" applyFont="1" applyFill="1" applyBorder="1" applyAlignment="1">
      <alignment horizontal="center"/>
    </xf>
    <xf numFmtId="0" fontId="7" fillId="19" borderId="30" xfId="0" applyFont="1" applyFill="1" applyBorder="1" applyAlignment="1">
      <alignment horizontal="center"/>
    </xf>
    <xf numFmtId="0" fontId="21" fillId="14" borderId="35" xfId="0" applyFont="1" applyFill="1" applyBorder="1" applyAlignment="1">
      <alignment readingOrder="1"/>
    </xf>
    <xf numFmtId="165" fontId="21" fillId="14" borderId="35" xfId="0" applyNumberFormat="1" applyFont="1" applyFill="1" applyBorder="1" applyAlignment="1">
      <alignment readingOrder="1"/>
    </xf>
    <xf numFmtId="165" fontId="21" fillId="14" borderId="36" xfId="0" applyNumberFormat="1" applyFont="1" applyFill="1" applyBorder="1" applyAlignment="1">
      <alignment readingOrder="1"/>
    </xf>
    <xf numFmtId="0" fontId="21" fillId="14" borderId="37" xfId="0" applyFont="1" applyFill="1" applyBorder="1" applyAlignment="1">
      <alignment readingOrder="1"/>
    </xf>
    <xf numFmtId="165" fontId="21" fillId="14" borderId="37" xfId="0" applyNumberFormat="1" applyFont="1" applyFill="1" applyBorder="1" applyAlignment="1">
      <alignment readingOrder="1"/>
    </xf>
    <xf numFmtId="165" fontId="21" fillId="14" borderId="38" xfId="0" applyNumberFormat="1" applyFont="1" applyFill="1" applyBorder="1" applyAlignment="1">
      <alignment readingOrder="1"/>
    </xf>
    <xf numFmtId="0" fontId="40" fillId="26" borderId="37" xfId="0" applyFont="1" applyFill="1" applyBorder="1" applyAlignment="1">
      <alignment readingOrder="1"/>
    </xf>
    <xf numFmtId="165" fontId="40" fillId="26" borderId="37" xfId="0" applyNumberFormat="1" applyFont="1" applyFill="1" applyBorder="1" applyAlignment="1">
      <alignment readingOrder="1"/>
    </xf>
    <xf numFmtId="0" fontId="7" fillId="19" borderId="31" xfId="0" applyFont="1" applyFill="1" applyBorder="1"/>
    <xf numFmtId="0" fontId="7" fillId="19" borderId="0" xfId="0" applyFont="1" applyFill="1"/>
    <xf numFmtId="165" fontId="21" fillId="7" borderId="35" xfId="0" applyNumberFormat="1" applyFont="1" applyFill="1" applyBorder="1" applyAlignment="1">
      <alignment readingOrder="1"/>
    </xf>
    <xf numFmtId="0" fontId="7" fillId="0" borderId="0" xfId="0" applyFont="1" applyAlignment="1">
      <alignment horizontal="center" vertical="center"/>
    </xf>
    <xf numFmtId="1" fontId="41" fillId="0" borderId="0" xfId="0" applyNumberFormat="1" applyFont="1" applyAlignment="1">
      <alignment horizontal="center" vertical="center"/>
    </xf>
    <xf numFmtId="165" fontId="43" fillId="0" borderId="0" xfId="0" applyNumberFormat="1" applyFont="1" applyAlignment="1">
      <alignment horizontal="left" vertical="center" readingOrder="1"/>
    </xf>
    <xf numFmtId="165" fontId="42" fillId="0" borderId="0" xfId="0" applyNumberFormat="1" applyFont="1" applyAlignment="1">
      <alignment horizontal="center" vertical="center" readingOrder="1"/>
    </xf>
    <xf numFmtId="0" fontId="42" fillId="0" borderId="0" xfId="0" applyFont="1" applyAlignment="1">
      <alignment horizontal="center" vertical="center" readingOrder="1"/>
    </xf>
    <xf numFmtId="165" fontId="6" fillId="0" borderId="4" xfId="0" applyNumberFormat="1" applyFont="1" applyBorder="1"/>
    <xf numFmtId="165" fontId="6" fillId="0" borderId="3" xfId="0" applyNumberFormat="1" applyFont="1" applyBorder="1"/>
    <xf numFmtId="0" fontId="45" fillId="0" borderId="1" xfId="0" applyFont="1" applyBorder="1" applyAlignment="1">
      <alignment horizontal="center" vertical="center"/>
    </xf>
    <xf numFmtId="0" fontId="45" fillId="10" borderId="1" xfId="0" applyFont="1" applyFill="1" applyBorder="1" applyAlignment="1">
      <alignment horizontal="center" vertical="center"/>
    </xf>
    <xf numFmtId="165" fontId="44" fillId="0" borderId="1" xfId="0" applyNumberFormat="1" applyFont="1" applyBorder="1" applyAlignment="1">
      <alignment horizontal="center" vertical="center" readingOrder="1"/>
    </xf>
    <xf numFmtId="1" fontId="45" fillId="0" borderId="1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 readingOrder="1"/>
    </xf>
    <xf numFmtId="0" fontId="44" fillId="0" borderId="1" xfId="0" applyFont="1" applyBorder="1" applyAlignment="1">
      <alignment horizontal="center" vertical="center" wrapText="1" readingOrder="1"/>
    </xf>
    <xf numFmtId="0" fontId="5" fillId="7" borderId="1" xfId="0" applyFont="1" applyFill="1" applyBorder="1" applyAlignment="1">
      <alignment horizontal="center" vertical="center" wrapText="1" indent="1"/>
    </xf>
    <xf numFmtId="165" fontId="0" fillId="7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/>
    </xf>
    <xf numFmtId="165" fontId="5" fillId="7" borderId="1" xfId="0" applyNumberFormat="1" applyFont="1" applyFill="1" applyBorder="1"/>
    <xf numFmtId="0" fontId="5" fillId="5" borderId="1" xfId="0" applyFont="1" applyFill="1" applyBorder="1" applyAlignment="1">
      <alignment horizontal="center" vertical="center" wrapText="1" indent="1"/>
    </xf>
    <xf numFmtId="165" fontId="6" fillId="5" borderId="1" xfId="0" applyNumberFormat="1" applyFont="1" applyFill="1" applyBorder="1"/>
    <xf numFmtId="1" fontId="0" fillId="7" borderId="1" xfId="0" applyNumberForma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7" borderId="5" xfId="0" applyNumberFormat="1" applyFill="1" applyBorder="1" applyAlignment="1">
      <alignment horizontal="center" vertical="center"/>
    </xf>
    <xf numFmtId="165" fontId="46" fillId="0" borderId="1" xfId="0" applyNumberFormat="1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0" fontId="34" fillId="27" borderId="1" xfId="0" applyFont="1" applyFill="1" applyBorder="1" applyAlignment="1">
      <alignment horizontal="center" vertical="center"/>
    </xf>
    <xf numFmtId="165" fontId="34" fillId="27" borderId="1" xfId="0" applyNumberFormat="1" applyFont="1" applyFill="1" applyBorder="1" applyAlignment="1">
      <alignment horizontal="center" vertical="center"/>
    </xf>
    <xf numFmtId="165" fontId="2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8" fillId="14" borderId="0" xfId="0" applyFont="1" applyFill="1"/>
    <xf numFmtId="0" fontId="0" fillId="14" borderId="0" xfId="0" applyFill="1"/>
    <xf numFmtId="0" fontId="24" fillId="14" borderId="37" xfId="0" applyFont="1" applyFill="1" applyBorder="1"/>
    <xf numFmtId="0" fontId="24" fillId="14" borderId="1" xfId="0" applyFont="1" applyFill="1" applyBorder="1"/>
    <xf numFmtId="0" fontId="24" fillId="28" borderId="25" xfId="0" applyFont="1" applyFill="1" applyBorder="1"/>
    <xf numFmtId="0" fontId="24" fillId="28" borderId="1" xfId="0" applyFont="1" applyFill="1" applyBorder="1"/>
    <xf numFmtId="0" fontId="24" fillId="28" borderId="44" xfId="0" applyFont="1" applyFill="1" applyBorder="1"/>
    <xf numFmtId="0" fontId="24" fillId="28" borderId="45" xfId="0" applyFont="1" applyFill="1" applyBorder="1"/>
    <xf numFmtId="0" fontId="24" fillId="28" borderId="46" xfId="0" applyFont="1" applyFill="1" applyBorder="1"/>
    <xf numFmtId="0" fontId="24" fillId="28" borderId="47" xfId="0" applyFont="1" applyFill="1" applyBorder="1"/>
    <xf numFmtId="0" fontId="25" fillId="29" borderId="1" xfId="0" applyFont="1" applyFill="1" applyBorder="1"/>
    <xf numFmtId="0" fontId="25" fillId="29" borderId="25" xfId="0" applyFont="1" applyFill="1" applyBorder="1" applyAlignment="1">
      <alignment wrapText="1"/>
    </xf>
    <xf numFmtId="0" fontId="25" fillId="29" borderId="44" xfId="0" applyFont="1" applyFill="1" applyBorder="1"/>
    <xf numFmtId="0" fontId="25" fillId="29" borderId="48" xfId="0" applyFont="1" applyFill="1" applyBorder="1" applyAlignment="1">
      <alignment wrapText="1"/>
    </xf>
    <xf numFmtId="0" fontId="25" fillId="29" borderId="49" xfId="0" applyFont="1" applyFill="1" applyBorder="1" applyAlignment="1">
      <alignment wrapText="1"/>
    </xf>
    <xf numFmtId="0" fontId="25" fillId="29" borderId="6" xfId="0" applyFont="1" applyFill="1" applyBorder="1"/>
    <xf numFmtId="0" fontId="25" fillId="29" borderId="50" xfId="0" applyFont="1" applyFill="1" applyBorder="1"/>
    <xf numFmtId="0" fontId="25" fillId="14" borderId="1" xfId="0" applyFont="1" applyFill="1" applyBorder="1"/>
    <xf numFmtId="0" fontId="25" fillId="14" borderId="44" xfId="0" applyFont="1" applyFill="1" applyBorder="1"/>
    <xf numFmtId="0" fontId="25" fillId="14" borderId="37" xfId="0" applyFont="1" applyFill="1" applyBorder="1"/>
    <xf numFmtId="0" fontId="25" fillId="14" borderId="3" xfId="0" applyFont="1" applyFill="1" applyBorder="1"/>
    <xf numFmtId="0" fontId="25" fillId="14" borderId="38" xfId="0" applyFont="1" applyFill="1" applyBorder="1"/>
    <xf numFmtId="0" fontId="25" fillId="29" borderId="37" xfId="0" applyFont="1" applyFill="1" applyBorder="1" applyAlignment="1">
      <alignment wrapText="1"/>
    </xf>
    <xf numFmtId="0" fontId="25" fillId="29" borderId="3" xfId="0" applyFont="1" applyFill="1" applyBorder="1"/>
    <xf numFmtId="0" fontId="25" fillId="29" borderId="38" xfId="0" applyFont="1" applyFill="1" applyBorder="1"/>
    <xf numFmtId="0" fontId="25" fillId="14" borderId="2" xfId="0" applyFont="1" applyFill="1" applyBorder="1"/>
    <xf numFmtId="0" fontId="25" fillId="14" borderId="30" xfId="0" applyFont="1" applyFill="1" applyBorder="1"/>
    <xf numFmtId="0" fontId="25" fillId="14" borderId="4" xfId="0" applyFont="1" applyFill="1" applyBorder="1"/>
    <xf numFmtId="0" fontId="48" fillId="14" borderId="1" xfId="0" applyFont="1" applyFill="1" applyBorder="1"/>
    <xf numFmtId="0" fontId="25" fillId="30" borderId="1" xfId="0" applyFont="1" applyFill="1" applyBorder="1"/>
    <xf numFmtId="0" fontId="25" fillId="30" borderId="44" xfId="0" applyFont="1" applyFill="1" applyBorder="1"/>
    <xf numFmtId="0" fontId="25" fillId="30" borderId="37" xfId="0" applyFont="1" applyFill="1" applyBorder="1"/>
    <xf numFmtId="0" fontId="25" fillId="30" borderId="3" xfId="0" applyFont="1" applyFill="1" applyBorder="1"/>
    <xf numFmtId="0" fontId="25" fillId="30" borderId="38" xfId="0" applyFont="1" applyFill="1" applyBorder="1"/>
    <xf numFmtId="0" fontId="48" fillId="29" borderId="25" xfId="0" applyFont="1" applyFill="1" applyBorder="1" applyAlignment="1">
      <alignment wrapText="1"/>
    </xf>
    <xf numFmtId="0" fontId="25" fillId="14" borderId="45" xfId="0" applyFont="1" applyFill="1" applyBorder="1"/>
    <xf numFmtId="0" fontId="25" fillId="29" borderId="46" xfId="0" applyFont="1" applyFill="1" applyBorder="1"/>
    <xf numFmtId="0" fontId="25" fillId="29" borderId="52" xfId="0" applyFont="1" applyFill="1" applyBorder="1" applyAlignment="1">
      <alignment wrapText="1"/>
    </xf>
    <xf numFmtId="0" fontId="25" fillId="29" borderId="47" xfId="0" applyFont="1" applyFill="1" applyBorder="1"/>
    <xf numFmtId="0" fontId="25" fillId="29" borderId="45" xfId="0" applyFont="1" applyFill="1" applyBorder="1" applyAlignment="1">
      <alignment wrapText="1"/>
    </xf>
    <xf numFmtId="0" fontId="48" fillId="29" borderId="52" xfId="0" applyFont="1" applyFill="1" applyBorder="1" applyAlignment="1">
      <alignment wrapText="1"/>
    </xf>
    <xf numFmtId="0" fontId="25" fillId="29" borderId="53" xfId="0" applyFont="1" applyFill="1" applyBorder="1"/>
    <xf numFmtId="0" fontId="25" fillId="29" borderId="54" xfId="0" applyFont="1" applyFill="1" applyBorder="1"/>
    <xf numFmtId="0" fontId="25" fillId="14" borderId="35" xfId="0" applyFont="1" applyFill="1" applyBorder="1"/>
    <xf numFmtId="0" fontId="25" fillId="29" borderId="39" xfId="0" applyFont="1" applyFill="1" applyBorder="1"/>
    <xf numFmtId="0" fontId="25" fillId="29" borderId="41" xfId="0" applyFont="1" applyFill="1" applyBorder="1" applyAlignment="1">
      <alignment wrapText="1"/>
    </xf>
    <xf numFmtId="0" fontId="25" fillId="29" borderId="28" xfId="0" applyFont="1" applyFill="1" applyBorder="1" applyAlignment="1">
      <alignment wrapText="1"/>
    </xf>
    <xf numFmtId="0" fontId="25" fillId="29" borderId="35" xfId="0" applyFont="1" applyFill="1" applyBorder="1"/>
    <xf numFmtId="0" fontId="25" fillId="29" borderId="39" xfId="0" applyFont="1" applyFill="1" applyBorder="1" applyAlignment="1">
      <alignment wrapText="1"/>
    </xf>
    <xf numFmtId="0" fontId="25" fillId="29" borderId="55" xfId="0" applyFont="1" applyFill="1" applyBorder="1" applyAlignment="1">
      <alignment wrapText="1"/>
    </xf>
    <xf numFmtId="0" fontId="48" fillId="14" borderId="0" xfId="0" applyFont="1" applyFill="1" applyAlignment="1">
      <alignment wrapText="1"/>
    </xf>
    <xf numFmtId="0" fontId="25" fillId="29" borderId="56" xfId="0" applyFont="1" applyFill="1" applyBorder="1" applyAlignment="1">
      <alignment wrapText="1"/>
    </xf>
    <xf numFmtId="0" fontId="25" fillId="29" borderId="45" xfId="0" applyFont="1" applyFill="1" applyBorder="1"/>
    <xf numFmtId="0" fontId="25" fillId="29" borderId="46" xfId="0" applyFont="1" applyFill="1" applyBorder="1" applyAlignment="1">
      <alignment wrapText="1"/>
    </xf>
    <xf numFmtId="0" fontId="25" fillId="29" borderId="47" xfId="0" applyFont="1" applyFill="1" applyBorder="1" applyAlignment="1">
      <alignment wrapText="1"/>
    </xf>
    <xf numFmtId="0" fontId="24" fillId="14" borderId="57" xfId="0" applyFont="1" applyFill="1" applyBorder="1"/>
    <xf numFmtId="169" fontId="7" fillId="27" borderId="1" xfId="0" applyNumberFormat="1" applyFont="1" applyFill="1" applyBorder="1" applyAlignment="1">
      <alignment horizontal="center" vertical="center"/>
    </xf>
    <xf numFmtId="165" fontId="7" fillId="31" borderId="8" xfId="0" applyNumberFormat="1" applyFont="1" applyFill="1" applyBorder="1" applyAlignment="1">
      <alignment horizontal="center"/>
    </xf>
    <xf numFmtId="0" fontId="34" fillId="27" borderId="3" xfId="0" applyFont="1" applyFill="1" applyBorder="1" applyAlignment="1">
      <alignment horizontal="center" vertical="center"/>
    </xf>
    <xf numFmtId="0" fontId="34" fillId="27" borderId="2" xfId="0" applyFont="1" applyFill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165" fontId="0" fillId="7" borderId="3" xfId="0" applyNumberFormat="1" applyFill="1" applyBorder="1"/>
    <xf numFmtId="165" fontId="0" fillId="33" borderId="1" xfId="0" applyNumberFormat="1" applyFill="1" applyBorder="1"/>
    <xf numFmtId="165" fontId="0" fillId="19" borderId="3" xfId="0" applyNumberFormat="1" applyFill="1" applyBorder="1"/>
    <xf numFmtId="0" fontId="0" fillId="0" borderId="0" xfId="0" applyAlignment="1">
      <alignment horizontal="left" vertical="center"/>
    </xf>
    <xf numFmtId="0" fontId="49" fillId="0" borderId="0" xfId="0" applyFont="1"/>
    <xf numFmtId="169" fontId="34" fillId="27" borderId="58" xfId="0" applyNumberFormat="1" applyFont="1" applyFill="1" applyBorder="1" applyAlignment="1">
      <alignment horizontal="center" vertical="center"/>
    </xf>
    <xf numFmtId="165" fontId="7" fillId="31" borderId="24" xfId="0" applyNumberFormat="1" applyFont="1" applyFill="1" applyBorder="1"/>
    <xf numFmtId="165" fontId="7" fillId="31" borderId="25" xfId="0" applyNumberFormat="1" applyFont="1" applyFill="1" applyBorder="1"/>
    <xf numFmtId="0" fontId="7" fillId="32" borderId="8" xfId="0" applyFont="1" applyFill="1" applyBorder="1"/>
    <xf numFmtId="0" fontId="7" fillId="32" borderId="0" xfId="0" applyFont="1" applyFill="1"/>
    <xf numFmtId="0" fontId="34" fillId="27" borderId="0" xfId="0" applyFont="1" applyFill="1" applyAlignment="1">
      <alignment horizontal="center" vertical="center"/>
    </xf>
    <xf numFmtId="165" fontId="0" fillId="33" borderId="0" xfId="0" applyNumberFormat="1" applyFill="1"/>
    <xf numFmtId="0" fontId="50" fillId="34" borderId="59" xfId="0" applyFont="1" applyFill="1" applyBorder="1" applyAlignment="1">
      <alignment horizontal="center" vertical="center" readingOrder="1"/>
    </xf>
    <xf numFmtId="0" fontId="51" fillId="0" borderId="59" xfId="0" applyFont="1" applyBorder="1" applyAlignment="1">
      <alignment horizontal="center" vertical="center" readingOrder="1"/>
    </xf>
    <xf numFmtId="0" fontId="51" fillId="35" borderId="59" xfId="0" applyFont="1" applyFill="1" applyBorder="1" applyAlignment="1">
      <alignment horizontal="center" vertical="center" readingOrder="1"/>
    </xf>
    <xf numFmtId="165" fontId="51" fillId="0" borderId="59" xfId="0" applyNumberFormat="1" applyFont="1" applyBorder="1" applyAlignment="1">
      <alignment horizontal="right" vertical="center" readingOrder="1"/>
    </xf>
    <xf numFmtId="165" fontId="52" fillId="0" borderId="59" xfId="0" applyNumberFormat="1" applyFont="1" applyBorder="1" applyAlignment="1">
      <alignment horizontal="right" vertical="center" readingOrder="1"/>
    </xf>
    <xf numFmtId="165" fontId="51" fillId="35" borderId="59" xfId="0" applyNumberFormat="1" applyFont="1" applyFill="1" applyBorder="1" applyAlignment="1">
      <alignment horizontal="right" vertical="center" readingOrder="1"/>
    </xf>
    <xf numFmtId="165" fontId="7" fillId="7" borderId="0" xfId="0" applyNumberFormat="1" applyFont="1" applyFill="1"/>
    <xf numFmtId="1" fontId="7" fillId="7" borderId="0" xfId="0" applyNumberFormat="1" applyFont="1" applyFill="1"/>
    <xf numFmtId="1" fontId="0" fillId="7" borderId="0" xfId="0" applyNumberFormat="1" applyFill="1"/>
    <xf numFmtId="165" fontId="0" fillId="7" borderId="0" xfId="0" applyNumberFormat="1" applyFill="1"/>
    <xf numFmtId="3" fontId="0" fillId="7" borderId="0" xfId="0" applyNumberFormat="1" applyFill="1"/>
    <xf numFmtId="1" fontId="7" fillId="7" borderId="0" xfId="0" applyNumberFormat="1" applyFont="1" applyFill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37" borderId="1" xfId="0" applyFont="1" applyFill="1" applyBorder="1" applyAlignment="1">
      <alignment horizontal="center"/>
    </xf>
    <xf numFmtId="165" fontId="7" fillId="37" borderId="1" xfId="0" applyNumberFormat="1" applyFont="1" applyFill="1" applyBorder="1" applyAlignment="1">
      <alignment horizontal="center"/>
    </xf>
    <xf numFmtId="16" fontId="37" fillId="37" borderId="60" xfId="0" applyNumberFormat="1" applyFont="1" applyFill="1" applyBorder="1" applyAlignment="1">
      <alignment horizontal="center" vertical="center" wrapText="1"/>
    </xf>
    <xf numFmtId="165" fontId="53" fillId="0" borderId="25" xfId="0" applyNumberFormat="1" applyFont="1" applyBorder="1" applyAlignment="1">
      <alignment vertical="center"/>
    </xf>
    <xf numFmtId="165" fontId="0" fillId="0" borderId="1" xfId="0" applyNumberFormat="1" applyBorder="1"/>
    <xf numFmtId="0" fontId="0" fillId="37" borderId="1" xfId="0" applyFill="1" applyBorder="1" applyAlignment="1">
      <alignment horizontal="center"/>
    </xf>
    <xf numFmtId="165" fontId="7" fillId="37" borderId="1" xfId="0" applyNumberFormat="1" applyFont="1" applyFill="1" applyBorder="1"/>
    <xf numFmtId="0" fontId="7" fillId="37" borderId="1" xfId="0" applyFont="1" applyFill="1" applyBorder="1"/>
    <xf numFmtId="0" fontId="0" fillId="19" borderId="0" xfId="0" applyFill="1"/>
    <xf numFmtId="0" fontId="7" fillId="37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0" fillId="0" borderId="25" xfId="0" applyBorder="1"/>
    <xf numFmtId="0" fontId="31" fillId="0" borderId="0" xfId="0" applyFont="1"/>
    <xf numFmtId="0" fontId="0" fillId="24" borderId="0" xfId="0" applyFill="1"/>
    <xf numFmtId="165" fontId="0" fillId="24" borderId="0" xfId="0" applyNumberFormat="1" applyFill="1"/>
    <xf numFmtId="3" fontId="0" fillId="0" borderId="0" xfId="0" applyNumberFormat="1" applyAlignment="1">
      <alignment horizontal="center" vertical="center"/>
    </xf>
    <xf numFmtId="0" fontId="17" fillId="0" borderId="19" xfId="0" applyFont="1" applyBorder="1"/>
    <xf numFmtId="0" fontId="17" fillId="0" borderId="20" xfId="0" applyFont="1" applyBorder="1"/>
    <xf numFmtId="0" fontId="17" fillId="0" borderId="21" xfId="0" applyFont="1" applyBorder="1"/>
    <xf numFmtId="9" fontId="18" fillId="0" borderId="10" xfId="0" applyNumberFormat="1" applyFont="1" applyBorder="1"/>
    <xf numFmtId="0" fontId="17" fillId="38" borderId="61" xfId="0" applyFont="1" applyFill="1" applyBorder="1"/>
    <xf numFmtId="0" fontId="18" fillId="38" borderId="62" xfId="0" applyFont="1" applyFill="1" applyBorder="1"/>
    <xf numFmtId="0" fontId="17" fillId="39" borderId="61" xfId="0" applyFont="1" applyFill="1" applyBorder="1"/>
    <xf numFmtId="0" fontId="18" fillId="39" borderId="62" xfId="0" applyFont="1" applyFill="1" applyBorder="1"/>
    <xf numFmtId="0" fontId="17" fillId="0" borderId="61" xfId="0" applyFont="1" applyBorder="1"/>
    <xf numFmtId="0" fontId="17" fillId="0" borderId="62" xfId="0" applyFont="1" applyBorder="1"/>
    <xf numFmtId="0" fontId="17" fillId="0" borderId="0" xfId="0" applyFont="1"/>
    <xf numFmtId="0" fontId="17" fillId="40" borderId="19" xfId="0" applyFont="1" applyFill="1" applyBorder="1"/>
    <xf numFmtId="0" fontId="17" fillId="41" borderId="0" xfId="0" applyFont="1" applyFill="1"/>
    <xf numFmtId="0" fontId="17" fillId="40" borderId="21" xfId="0" applyFont="1" applyFill="1" applyBorder="1"/>
    <xf numFmtId="0" fontId="17" fillId="40" borderId="10" xfId="0" applyFont="1" applyFill="1" applyBorder="1"/>
    <xf numFmtId="0" fontId="18" fillId="40" borderId="10" xfId="0" applyFont="1" applyFill="1" applyBorder="1"/>
    <xf numFmtId="0" fontId="18" fillId="41" borderId="0" xfId="0" applyFont="1" applyFill="1"/>
    <xf numFmtId="0" fontId="55" fillId="15" borderId="21" xfId="0" applyFont="1" applyFill="1" applyBorder="1"/>
    <xf numFmtId="0" fontId="56" fillId="15" borderId="10" xfId="0" applyFont="1" applyFill="1" applyBorder="1"/>
    <xf numFmtId="0" fontId="56" fillId="41" borderId="0" xfId="0" applyFont="1" applyFill="1"/>
    <xf numFmtId="0" fontId="17" fillId="40" borderId="63" xfId="0" applyFont="1" applyFill="1" applyBorder="1"/>
    <xf numFmtId="165" fontId="18" fillId="15" borderId="10" xfId="0" applyNumberFormat="1" applyFont="1" applyFill="1" applyBorder="1"/>
    <xf numFmtId="165" fontId="18" fillId="0" borderId="10" xfId="0" applyNumberFormat="1" applyFont="1" applyBorder="1"/>
    <xf numFmtId="165" fontId="54" fillId="15" borderId="10" xfId="0" applyNumberFormat="1" applyFont="1" applyFill="1" applyBorder="1"/>
    <xf numFmtId="165" fontId="18" fillId="38" borderId="62" xfId="0" applyNumberFormat="1" applyFont="1" applyFill="1" applyBorder="1"/>
    <xf numFmtId="165" fontId="18" fillId="39" borderId="62" xfId="0" applyNumberFormat="1" applyFont="1" applyFill="1" applyBorder="1"/>
    <xf numFmtId="165" fontId="17" fillId="0" borderId="62" xfId="0" applyNumberFormat="1" applyFont="1" applyBorder="1"/>
    <xf numFmtId="165" fontId="17" fillId="0" borderId="0" xfId="0" applyNumberFormat="1" applyFont="1"/>
    <xf numFmtId="165" fontId="17" fillId="40" borderId="63" xfId="0" applyNumberFormat="1" applyFont="1" applyFill="1" applyBorder="1"/>
    <xf numFmtId="165" fontId="17" fillId="40" borderId="20" xfId="0" applyNumberFormat="1" applyFont="1" applyFill="1" applyBorder="1"/>
    <xf numFmtId="165" fontId="17" fillId="40" borderId="10" xfId="0" applyNumberFormat="1" applyFont="1" applyFill="1" applyBorder="1"/>
    <xf numFmtId="165" fontId="17" fillId="40" borderId="62" xfId="0" applyNumberFormat="1" applyFont="1" applyFill="1" applyBorder="1"/>
    <xf numFmtId="165" fontId="18" fillId="40" borderId="10" xfId="0" applyNumberFormat="1" applyFont="1" applyFill="1" applyBorder="1"/>
    <xf numFmtId="165" fontId="18" fillId="40" borderId="62" xfId="0" applyNumberFormat="1" applyFont="1" applyFill="1" applyBorder="1"/>
    <xf numFmtId="165" fontId="56" fillId="15" borderId="10" xfId="0" applyNumberFormat="1" applyFont="1" applyFill="1" applyBorder="1"/>
    <xf numFmtId="165" fontId="55" fillId="15" borderId="62" xfId="0" applyNumberFormat="1" applyFont="1" applyFill="1" applyBorder="1"/>
    <xf numFmtId="165" fontId="17" fillId="38" borderId="10" xfId="0" applyNumberFormat="1" applyFont="1" applyFill="1" applyBorder="1"/>
    <xf numFmtId="165" fontId="17" fillId="39" borderId="10" xfId="0" applyNumberFormat="1" applyFont="1" applyFill="1" applyBorder="1"/>
    <xf numFmtId="165" fontId="17" fillId="0" borderId="10" xfId="0" applyNumberFormat="1" applyFont="1" applyBorder="1"/>
    <xf numFmtId="165" fontId="55" fillId="15" borderId="10" xfId="0" applyNumberFormat="1" applyFont="1" applyFill="1" applyBorder="1"/>
    <xf numFmtId="165" fontId="17" fillId="0" borderId="20" xfId="0" applyNumberFormat="1" applyFont="1" applyBorder="1"/>
    <xf numFmtId="165" fontId="18" fillId="0" borderId="0" xfId="0" applyNumberFormat="1" applyFont="1"/>
    <xf numFmtId="165" fontId="17" fillId="41" borderId="0" xfId="0" applyNumberFormat="1" applyFont="1" applyFill="1"/>
    <xf numFmtId="165" fontId="17" fillId="42" borderId="20" xfId="0" applyNumberFormat="1" applyFont="1" applyFill="1" applyBorder="1"/>
    <xf numFmtId="165" fontId="18" fillId="41" borderId="0" xfId="0" applyNumberFormat="1" applyFont="1" applyFill="1"/>
    <xf numFmtId="165" fontId="56" fillId="41" borderId="0" xfId="0" applyNumberFormat="1" applyFont="1" applyFill="1"/>
    <xf numFmtId="165" fontId="5" fillId="0" borderId="1" xfId="0" applyNumberFormat="1" applyFont="1" applyBorder="1"/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16" borderId="1" xfId="0" applyFont="1" applyFill="1" applyBorder="1" applyAlignment="1">
      <alignment horizontal="center" wrapText="1"/>
    </xf>
    <xf numFmtId="1" fontId="5" fillId="6" borderId="1" xfId="0" applyNumberFormat="1" applyFont="1" applyFill="1" applyBorder="1" applyAlignment="1">
      <alignment horizontal="center" vertical="center" wrapText="1" indent="1"/>
    </xf>
    <xf numFmtId="1" fontId="5" fillId="5" borderId="1" xfId="0" applyNumberFormat="1" applyFont="1" applyFill="1" applyBorder="1" applyAlignment="1">
      <alignment horizontal="center" vertical="center" wrapText="1" indent="1"/>
    </xf>
    <xf numFmtId="165" fontId="5" fillId="16" borderId="1" xfId="0" applyNumberFormat="1" applyFont="1" applyFill="1" applyBorder="1" applyAlignment="1">
      <alignment horizontal="center" vertical="center"/>
    </xf>
    <xf numFmtId="165" fontId="5" fillId="20" borderId="1" xfId="0" applyNumberFormat="1" applyFont="1" applyFill="1" applyBorder="1"/>
    <xf numFmtId="0" fontId="0" fillId="0" borderId="0" xfId="0" applyAlignment="1">
      <alignment horizontal="left" wrapText="1"/>
    </xf>
    <xf numFmtId="0" fontId="7" fillId="7" borderId="0" xfId="0" applyFont="1" applyFill="1" applyAlignment="1">
      <alignment horizontal="center"/>
    </xf>
    <xf numFmtId="165" fontId="5" fillId="5" borderId="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7" fillId="7" borderId="0" xfId="0" applyNumberFormat="1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170" fontId="0" fillId="0" borderId="0" xfId="0" applyNumberFormat="1"/>
    <xf numFmtId="0" fontId="2" fillId="3" borderId="1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left" vertical="center" readingOrder="1"/>
    </xf>
    <xf numFmtId="0" fontId="58" fillId="43" borderId="1" xfId="0" applyFont="1" applyFill="1" applyBorder="1" applyAlignment="1">
      <alignment horizontal="center" vertical="center" wrapText="1"/>
    </xf>
    <xf numFmtId="0" fontId="59" fillId="47" borderId="1" xfId="0" applyFont="1" applyFill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165" fontId="57" fillId="44" borderId="1" xfId="0" applyNumberFormat="1" applyFont="1" applyFill="1" applyBorder="1" applyAlignment="1">
      <alignment horizontal="center" vertical="center" wrapText="1"/>
    </xf>
    <xf numFmtId="165" fontId="57" fillId="45" borderId="1" xfId="0" applyNumberFormat="1" applyFont="1" applyFill="1" applyBorder="1" applyAlignment="1">
      <alignment horizontal="center" vertical="center" wrapText="1"/>
    </xf>
    <xf numFmtId="165" fontId="57" fillId="46" borderId="1" xfId="0" applyNumberFormat="1" applyFont="1" applyFill="1" applyBorder="1" applyAlignment="1">
      <alignment horizontal="center" vertical="center" wrapText="1"/>
    </xf>
    <xf numFmtId="165" fontId="57" fillId="43" borderId="1" xfId="0" applyNumberFormat="1" applyFont="1" applyFill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/>
    </xf>
    <xf numFmtId="165" fontId="60" fillId="0" borderId="1" xfId="0" applyNumberFormat="1" applyFont="1" applyBorder="1" applyAlignment="1">
      <alignment horizontal="center" vertical="center"/>
    </xf>
    <xf numFmtId="0" fontId="57" fillId="46" borderId="1" xfId="0" applyFont="1" applyFill="1" applyBorder="1" applyAlignment="1">
      <alignment horizontal="left" vertical="center" wrapText="1"/>
    </xf>
    <xf numFmtId="165" fontId="60" fillId="0" borderId="1" xfId="0" applyNumberFormat="1" applyFont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/>
    </xf>
    <xf numFmtId="165" fontId="4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0" fontId="25" fillId="0" borderId="0" xfId="0" applyFont="1"/>
    <xf numFmtId="0" fontId="51" fillId="35" borderId="1" xfId="0" applyFont="1" applyFill="1" applyBorder="1" applyAlignment="1">
      <alignment horizontal="center" vertical="center" readingOrder="1"/>
    </xf>
    <xf numFmtId="165" fontId="51" fillId="35" borderId="1" xfId="0" applyNumberFormat="1" applyFont="1" applyFill="1" applyBorder="1" applyAlignment="1">
      <alignment horizontal="right" vertical="center" readingOrder="1"/>
    </xf>
    <xf numFmtId="0" fontId="51" fillId="36" borderId="1" xfId="0" applyFont="1" applyFill="1" applyBorder="1" applyAlignment="1">
      <alignment horizontal="center" vertical="center" readingOrder="1"/>
    </xf>
    <xf numFmtId="165" fontId="51" fillId="36" borderId="1" xfId="0" applyNumberFormat="1" applyFont="1" applyFill="1" applyBorder="1" applyAlignment="1">
      <alignment horizontal="center" vertical="center" readingOrder="1"/>
    </xf>
    <xf numFmtId="0" fontId="51" fillId="0" borderId="64" xfId="0" applyFont="1" applyBorder="1" applyAlignment="1">
      <alignment horizontal="center" vertical="center" readingOrder="1"/>
    </xf>
    <xf numFmtId="165" fontId="51" fillId="0" borderId="64" xfId="0" applyNumberFormat="1" applyFont="1" applyBorder="1" applyAlignment="1">
      <alignment horizontal="right" vertical="center" readingOrder="1"/>
    </xf>
    <xf numFmtId="165" fontId="52" fillId="0" borderId="64" xfId="0" applyNumberFormat="1" applyFont="1" applyBorder="1" applyAlignment="1">
      <alignment horizontal="right" vertical="center" readingOrder="1"/>
    </xf>
    <xf numFmtId="165" fontId="49" fillId="0" borderId="0" xfId="0" applyNumberFormat="1" applyFont="1" applyAlignment="1">
      <alignment horizontal="left" vertical="center" readingOrder="1"/>
    </xf>
    <xf numFmtId="0" fontId="49" fillId="0" borderId="0" xfId="0" applyFont="1" applyAlignment="1">
      <alignment horizontal="left" vertical="center" readingOrder="1"/>
    </xf>
    <xf numFmtId="165" fontId="7" fillId="0" borderId="0" xfId="0" applyNumberFormat="1" applyFont="1" applyAlignment="1">
      <alignment horizontal="center" vertical="center"/>
    </xf>
    <xf numFmtId="165" fontId="31" fillId="33" borderId="1" xfId="0" applyNumberFormat="1" applyFont="1" applyFill="1" applyBorder="1"/>
    <xf numFmtId="3" fontId="8" fillId="0" borderId="0" xfId="0" applyNumberFormat="1" applyFont="1" applyAlignment="1">
      <alignment horizontal="center" vertical="center"/>
    </xf>
    <xf numFmtId="0" fontId="43" fillId="10" borderId="1" xfId="0" applyFont="1" applyFill="1" applyBorder="1" applyAlignment="1">
      <alignment horizontal="center" vertical="center"/>
    </xf>
    <xf numFmtId="1" fontId="43" fillId="10" borderId="1" xfId="0" applyNumberFormat="1" applyFont="1" applyFill="1" applyBorder="1" applyAlignment="1">
      <alignment horizontal="center" vertical="center"/>
    </xf>
    <xf numFmtId="1" fontId="61" fillId="7" borderId="1" xfId="0" applyNumberFormat="1" applyFont="1" applyFill="1" applyBorder="1" applyAlignment="1">
      <alignment horizontal="center" vertical="center"/>
    </xf>
    <xf numFmtId="0" fontId="61" fillId="7" borderId="1" xfId="0" applyFont="1" applyFill="1" applyBorder="1" applyAlignment="1">
      <alignment horizontal="center" vertical="center"/>
    </xf>
    <xf numFmtId="0" fontId="62" fillId="48" borderId="19" xfId="0" applyFont="1" applyFill="1" applyBorder="1"/>
    <xf numFmtId="0" fontId="62" fillId="49" borderId="19" xfId="0" applyFont="1" applyFill="1" applyBorder="1"/>
    <xf numFmtId="0" fontId="0" fillId="0" borderId="19" xfId="0" applyBorder="1"/>
    <xf numFmtId="0" fontId="63" fillId="15" borderId="19" xfId="0" applyFont="1" applyFill="1" applyBorder="1" applyAlignment="1">
      <alignment horizontal="center" vertical="center" wrapText="1"/>
    </xf>
    <xf numFmtId="0" fontId="63" fillId="15" borderId="20" xfId="0" applyFont="1" applyFill="1" applyBorder="1" applyAlignment="1">
      <alignment horizontal="center" vertical="center" wrapText="1"/>
    </xf>
    <xf numFmtId="0" fontId="64" fillId="0" borderId="21" xfId="0" applyFont="1" applyBorder="1" applyAlignment="1">
      <alignment horizontal="center" vertical="center"/>
    </xf>
    <xf numFmtId="0" fontId="64" fillId="0" borderId="10" xfId="0" applyFont="1" applyBorder="1" applyAlignment="1">
      <alignment horizontal="center" vertical="center"/>
    </xf>
    <xf numFmtId="0" fontId="63" fillId="50" borderId="21" xfId="0" applyFont="1" applyFill="1" applyBorder="1" applyAlignment="1">
      <alignment horizontal="center" vertical="center"/>
    </xf>
    <xf numFmtId="0" fontId="63" fillId="50" borderId="10" xfId="0" applyFont="1" applyFill="1" applyBorder="1" applyAlignment="1">
      <alignment horizontal="center" vertical="center"/>
    </xf>
    <xf numFmtId="0" fontId="51" fillId="10" borderId="1" xfId="0" applyFont="1" applyFill="1" applyBorder="1" applyAlignment="1">
      <alignment horizontal="center" vertical="center" readingOrder="1"/>
    </xf>
    <xf numFmtId="165" fontId="51" fillId="10" borderId="1" xfId="0" applyNumberFormat="1" applyFont="1" applyFill="1" applyBorder="1" applyAlignment="1">
      <alignment horizontal="right" vertical="center" readingOrder="1"/>
    </xf>
    <xf numFmtId="0" fontId="2" fillId="3" borderId="0" xfId="0" applyFont="1" applyFill="1" applyAlignment="1">
      <alignment horizontal="center" vertical="center"/>
    </xf>
    <xf numFmtId="166" fontId="6" fillId="0" borderId="8" xfId="0" applyNumberFormat="1" applyFont="1" applyBorder="1" applyAlignment="1">
      <alignment horizontal="center"/>
    </xf>
    <xf numFmtId="0" fontId="25" fillId="14" borderId="15" xfId="0" applyFont="1" applyFill="1" applyBorder="1" applyAlignment="1">
      <alignment readingOrder="1"/>
    </xf>
    <xf numFmtId="0" fontId="25" fillId="14" borderId="16" xfId="0" applyFont="1" applyFill="1" applyBorder="1" applyAlignment="1">
      <alignment readingOrder="1"/>
    </xf>
    <xf numFmtId="0" fontId="25" fillId="0" borderId="0" xfId="0" applyFont="1" applyAlignment="1">
      <alignment readingOrder="1"/>
    </xf>
    <xf numFmtId="166" fontId="6" fillId="0" borderId="0" xfId="0" applyNumberFormat="1" applyFont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4" fillId="28" borderId="40" xfId="0" applyFont="1" applyFill="1" applyBorder="1" applyAlignment="1">
      <alignment wrapText="1"/>
    </xf>
    <xf numFmtId="0" fontId="24" fillId="28" borderId="42" xfId="0" applyFont="1" applyFill="1" applyBorder="1" applyAlignment="1">
      <alignment wrapText="1"/>
    </xf>
    <xf numFmtId="0" fontId="24" fillId="28" borderId="43" xfId="0" applyFont="1" applyFill="1" applyBorder="1" applyAlignment="1">
      <alignment wrapText="1"/>
    </xf>
    <xf numFmtId="0" fontId="7" fillId="7" borderId="1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33" fillId="18" borderId="3" xfId="0" applyFont="1" applyFill="1" applyBorder="1" applyAlignment="1">
      <alignment vertical="top"/>
    </xf>
    <xf numFmtId="0" fontId="33" fillId="18" borderId="24" xfId="0" applyFont="1" applyFill="1" applyBorder="1" applyAlignment="1">
      <alignment vertical="top"/>
    </xf>
    <xf numFmtId="0" fontId="33" fillId="18" borderId="25" xfId="0" applyFont="1" applyFill="1" applyBorder="1" applyAlignment="1">
      <alignment vertical="top"/>
    </xf>
    <xf numFmtId="0" fontId="7" fillId="19" borderId="33" xfId="0" applyFont="1" applyFill="1" applyBorder="1" applyAlignment="1">
      <alignment horizontal="center" vertical="center" wrapText="1"/>
    </xf>
    <xf numFmtId="0" fontId="7" fillId="19" borderId="34" xfId="0" applyFont="1" applyFill="1" applyBorder="1" applyAlignment="1">
      <alignment horizontal="center" vertical="center" wrapText="1"/>
    </xf>
    <xf numFmtId="0" fontId="7" fillId="7" borderId="26" xfId="0" applyFont="1" applyFill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9" fillId="47" borderId="3" xfId="0" applyFont="1" applyFill="1" applyBorder="1" applyAlignment="1">
      <alignment horizontal="center" vertical="center" wrapText="1"/>
    </xf>
    <xf numFmtId="0" fontId="59" fillId="47" borderId="24" xfId="0" applyFont="1" applyFill="1" applyBorder="1" applyAlignment="1">
      <alignment horizontal="center" vertical="center" wrapText="1"/>
    </xf>
    <xf numFmtId="0" fontId="59" fillId="47" borderId="25" xfId="0" applyFont="1" applyFill="1" applyBorder="1" applyAlignment="1">
      <alignment horizontal="center" vertical="center" wrapText="1"/>
    </xf>
    <xf numFmtId="0" fontId="58" fillId="43" borderId="3" xfId="0" applyFont="1" applyFill="1" applyBorder="1" applyAlignment="1">
      <alignment horizontal="center" vertical="center" wrapText="1"/>
    </xf>
    <xf numFmtId="0" fontId="58" fillId="43" borderId="24" xfId="0" applyFont="1" applyFill="1" applyBorder="1" applyAlignment="1">
      <alignment horizontal="center" vertical="center" wrapText="1"/>
    </xf>
    <xf numFmtId="0" fontId="58" fillId="43" borderId="2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24" fillId="28" borderId="27" xfId="0" applyFont="1" applyFill="1" applyBorder="1" applyAlignment="1"/>
    <xf numFmtId="0" fontId="24" fillId="28" borderId="41" xfId="0" applyFont="1" applyFill="1" applyBorder="1" applyAlignment="1"/>
    <xf numFmtId="0" fontId="24" fillId="28" borderId="26" xfId="0" applyFont="1" applyFill="1" applyBorder="1" applyAlignment="1"/>
    <xf numFmtId="0" fontId="25" fillId="14" borderId="29" xfId="0" applyFont="1" applyFill="1" applyBorder="1" applyAlignment="1"/>
    <xf numFmtId="0" fontId="25" fillId="14" borderId="48" xfId="0" applyFont="1" applyFill="1" applyBorder="1" applyAlignment="1"/>
    <xf numFmtId="0" fontId="25" fillId="14" borderId="51" xfId="0" applyFont="1" applyFill="1" applyBorder="1" applyAlignment="1"/>
    <xf numFmtId="0" fontId="48" fillId="14" borderId="0" xfId="0" applyFont="1" applyFill="1" applyAlignment="1"/>
    <xf numFmtId="0" fontId="48" fillId="14" borderId="31" xfId="0" applyFont="1" applyFill="1" applyBorder="1" applyAlignmen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50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umit_khandelwal_jsw_in/Documents/Rebar%20&amp;%20Billet%20price%20trend.xlsx" TargetMode="External"/><Relationship Id="rId2" Type="http://schemas.openxmlformats.org/officeDocument/2006/relationships/externalLinkPath" Target="https://jsw-my.sharepoint.com/personal/sumit_khandelwal_jsw_in/Documents/Rebar%20&amp;%20Billet%20price%20trend.xlsx" TargetMode="External"/><Relationship Id="rId1" Type="http://schemas.openxmlformats.org/officeDocument/2006/relationships/externalLinkPath" Target="/personal/sumit_khandelwal_jsw_in/Documents/Rebar%20&amp;%20Billet%20price%20tre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S1aUy_-U306wJsvUik_9j6CcMKwebjpBuY12ixZRBEE_C5sn8NPNT5QOjVTx1AsR" itemId="01UQZ7RJYSSY3SGJZ7MNBI4TD5M7QRCFK5">
      <xxl21:absoluteUrl r:id="rId2"/>
      <xxl21:relativeUrl r:id="rId3"/>
    </xxl21:alternateUrls>
    <sheetNames>
      <sheetName val="PRIMARY"/>
      <sheetName val="D-Billet"/>
      <sheetName val="12MM (2)"/>
      <sheetName val="12MM (3)"/>
      <sheetName val="12MM (4)"/>
      <sheetName val="12MM"/>
      <sheetName val="Mkt ladder"/>
      <sheetName val="GM Estimate (2)"/>
      <sheetName val="10. Statewise retail "/>
      <sheetName val="Billet Bar_last 10 days"/>
      <sheetName val="5yrtrend"/>
      <sheetName val="GM Estimate"/>
      <sheetName val="Sheet1"/>
      <sheetName val="Rough-&gt;"/>
      <sheetName val="12MM (last 1 yr)"/>
      <sheetName val="Distr - Dealer price (4)"/>
      <sheetName val="Distr - Dealer price (3)"/>
      <sheetName val="Distr - Dealer price (2)"/>
      <sheetName val="Raipur sales"/>
      <sheetName val="Statewise_pricing_P&amp;L"/>
      <sheetName val="Distr - Dealer price"/>
      <sheetName val="Price list upload"/>
      <sheetName val="Sheet2"/>
      <sheetName val="Sheet3"/>
      <sheetName val="Ahmedabad"/>
    </sheetNames>
    <sheetDataSet>
      <sheetData sheetId="0"/>
      <sheetData sheetId="1"/>
      <sheetData sheetId="2"/>
      <sheetData sheetId="3"/>
      <sheetData sheetId="4"/>
      <sheetData sheetId="5">
        <row r="19">
          <cell r="A19" t="str">
            <v>Date</v>
          </cell>
          <cell r="B19" t="str">
            <v>IS 1786- 500 Fe,12-25mm, Induction Grade</v>
          </cell>
          <cell r="C19"/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 t="str">
            <v>IS 1786- 500D Fe 12-25mm, Induction Grade</v>
          </cell>
          <cell r="T19"/>
          <cell r="U19"/>
          <cell r="V19" t="str">
            <v>IS 1786- 550 Fe 12-25mm, Induction Grade</v>
          </cell>
          <cell r="W19" t="str">
            <v>IS 1786- 550D Fe 12-25mm, Induction Grade</v>
          </cell>
        </row>
        <row r="20">
          <cell r="A20"/>
          <cell r="B20" t="str">
            <v>Ahmedabad</v>
          </cell>
          <cell r="C20" t="str">
            <v>Chennai</v>
          </cell>
          <cell r="D20" t="str">
            <v>Delhi/NCR</v>
          </cell>
          <cell r="E20" t="str">
            <v>Durgapur-550</v>
          </cell>
          <cell r="F20" t="str">
            <v>Goa</v>
          </cell>
          <cell r="G20" t="str">
            <v>Guwahati</v>
          </cell>
          <cell r="H20" t="str">
            <v>Hyderabad</v>
          </cell>
          <cell r="I20" t="str">
            <v>Jaipur</v>
          </cell>
          <cell r="J20" t="str">
            <v>Jalna</v>
          </cell>
          <cell r="K20" t="str">
            <v>Jharsugda</v>
          </cell>
          <cell r="L20" t="str">
            <v>Mandi Gobindgarh</v>
          </cell>
          <cell r="M20" t="str">
            <v>Mumbai</v>
          </cell>
          <cell r="N20" t="str">
            <v>Muzaffarnagar</v>
          </cell>
          <cell r="O20" t="str">
            <v>Patna</v>
          </cell>
          <cell r="P20" t="str">
            <v>Raigarh</v>
          </cell>
          <cell r="Q20" t="str">
            <v>Raipur</v>
          </cell>
          <cell r="R20" t="str">
            <v>Rourkela</v>
          </cell>
          <cell r="S20" t="str">
            <v>Durgapur</v>
          </cell>
          <cell r="T20" t="str">
            <v>Raipur</v>
          </cell>
          <cell r="U20" t="str">
            <v>Rourkela</v>
          </cell>
          <cell r="V20" t="str">
            <v>Bangalore</v>
          </cell>
          <cell r="W20" t="str">
            <v>Bangalore</v>
          </cell>
        </row>
        <row r="21">
          <cell r="A21">
            <v>44287</v>
          </cell>
          <cell r="B21">
            <v>47200</v>
          </cell>
          <cell r="C21">
            <v>47900</v>
          </cell>
          <cell r="D21">
            <v>45700</v>
          </cell>
          <cell r="E21">
            <v>45750</v>
          </cell>
          <cell r="F21">
            <v>48600</v>
          </cell>
          <cell r="G21" t="str">
            <v>-</v>
          </cell>
          <cell r="H21">
            <v>47500</v>
          </cell>
          <cell r="I21" t="str">
            <v>-</v>
          </cell>
          <cell r="J21">
            <v>48100</v>
          </cell>
          <cell r="K21" t="str">
            <v>-</v>
          </cell>
          <cell r="L21">
            <v>47100</v>
          </cell>
          <cell r="M21">
            <v>47500</v>
          </cell>
          <cell r="N21">
            <v>45500</v>
          </cell>
          <cell r="O21" t="str">
            <v>-</v>
          </cell>
          <cell r="P21">
            <v>45400</v>
          </cell>
          <cell r="Q21">
            <v>44800</v>
          </cell>
          <cell r="R21">
            <v>45600</v>
          </cell>
          <cell r="S21" t="str">
            <v>-</v>
          </cell>
          <cell r="T21" t="str">
            <v>-</v>
          </cell>
          <cell r="U21" t="str">
            <v>-</v>
          </cell>
          <cell r="V21">
            <v>47900</v>
          </cell>
          <cell r="W21" t="str">
            <v>-</v>
          </cell>
        </row>
        <row r="22">
          <cell r="A22">
            <v>44288</v>
          </cell>
          <cell r="B22">
            <v>47500</v>
          </cell>
          <cell r="C22">
            <v>48300</v>
          </cell>
          <cell r="D22">
            <v>46300</v>
          </cell>
          <cell r="E22">
            <v>46000</v>
          </cell>
          <cell r="F22">
            <v>49300</v>
          </cell>
          <cell r="G22" t="str">
            <v>-</v>
          </cell>
          <cell r="H22">
            <v>47600</v>
          </cell>
          <cell r="I22" t="str">
            <v>-</v>
          </cell>
          <cell r="J22">
            <v>48400</v>
          </cell>
          <cell r="K22" t="str">
            <v>-</v>
          </cell>
          <cell r="L22">
            <v>47500</v>
          </cell>
          <cell r="M22">
            <v>47800</v>
          </cell>
          <cell r="N22">
            <v>45600</v>
          </cell>
          <cell r="O22" t="str">
            <v>-</v>
          </cell>
          <cell r="P22">
            <v>45500</v>
          </cell>
          <cell r="Q22">
            <v>45100</v>
          </cell>
          <cell r="R22">
            <v>45800</v>
          </cell>
          <cell r="S22" t="str">
            <v>-</v>
          </cell>
          <cell r="T22" t="str">
            <v>-</v>
          </cell>
          <cell r="U22" t="str">
            <v>-</v>
          </cell>
          <cell r="V22">
            <v>48500</v>
          </cell>
          <cell r="W22" t="str">
            <v>-</v>
          </cell>
        </row>
        <row r="23">
          <cell r="A23">
            <v>44289</v>
          </cell>
          <cell r="B23">
            <v>47600</v>
          </cell>
          <cell r="C23">
            <v>48700</v>
          </cell>
          <cell r="D23">
            <v>46300</v>
          </cell>
          <cell r="E23">
            <v>46500</v>
          </cell>
          <cell r="F23">
            <v>49700</v>
          </cell>
          <cell r="G23" t="str">
            <v>-</v>
          </cell>
          <cell r="H23">
            <v>47900</v>
          </cell>
          <cell r="I23" t="str">
            <v>-</v>
          </cell>
          <cell r="J23">
            <v>48400</v>
          </cell>
          <cell r="K23" t="str">
            <v>-</v>
          </cell>
          <cell r="L23">
            <v>47800</v>
          </cell>
          <cell r="M23">
            <v>47800</v>
          </cell>
          <cell r="N23">
            <v>45600</v>
          </cell>
          <cell r="O23" t="str">
            <v>-</v>
          </cell>
          <cell r="P23">
            <v>45300</v>
          </cell>
          <cell r="Q23">
            <v>44900</v>
          </cell>
          <cell r="R23">
            <v>45700</v>
          </cell>
          <cell r="S23" t="str">
            <v>-</v>
          </cell>
          <cell r="T23" t="str">
            <v>-</v>
          </cell>
          <cell r="U23" t="str">
            <v>-</v>
          </cell>
          <cell r="V23">
            <v>48600</v>
          </cell>
          <cell r="W23" t="str">
            <v>-</v>
          </cell>
        </row>
        <row r="24">
          <cell r="A24">
            <v>44290</v>
          </cell>
          <cell r="B24" t="str">
            <v>H</v>
          </cell>
          <cell r="C24" t="str">
            <v>H</v>
          </cell>
          <cell r="D24" t="str">
            <v>H</v>
          </cell>
          <cell r="E24" t="str">
            <v>H</v>
          </cell>
          <cell r="F24" t="str">
            <v>H</v>
          </cell>
          <cell r="G24" t="str">
            <v>H</v>
          </cell>
          <cell r="H24" t="str">
            <v>H</v>
          </cell>
          <cell r="I24" t="str">
            <v>H</v>
          </cell>
          <cell r="J24" t="str">
            <v>H</v>
          </cell>
          <cell r="K24" t="str">
            <v>H</v>
          </cell>
          <cell r="L24" t="str">
            <v>H</v>
          </cell>
          <cell r="M24" t="str">
            <v>H</v>
          </cell>
          <cell r="N24" t="str">
            <v>H</v>
          </cell>
          <cell r="O24" t="str">
            <v>H</v>
          </cell>
          <cell r="P24" t="str">
            <v>H</v>
          </cell>
          <cell r="Q24" t="str">
            <v>H</v>
          </cell>
          <cell r="R24" t="str">
            <v>H</v>
          </cell>
          <cell r="S24" t="str">
            <v>H</v>
          </cell>
          <cell r="T24" t="str">
            <v>H</v>
          </cell>
          <cell r="U24" t="str">
            <v>H</v>
          </cell>
          <cell r="V24" t="str">
            <v>H</v>
          </cell>
          <cell r="W24" t="str">
            <v>H</v>
          </cell>
        </row>
        <row r="25">
          <cell r="A25">
            <v>44291</v>
          </cell>
          <cell r="B25">
            <v>48100</v>
          </cell>
          <cell r="C25">
            <v>49100</v>
          </cell>
          <cell r="D25">
            <v>46500</v>
          </cell>
          <cell r="E25">
            <v>46500</v>
          </cell>
          <cell r="F25">
            <v>49700</v>
          </cell>
          <cell r="G25" t="str">
            <v>-</v>
          </cell>
          <cell r="H25">
            <v>47800</v>
          </cell>
          <cell r="I25" t="str">
            <v>-</v>
          </cell>
          <cell r="J25">
            <v>48400</v>
          </cell>
          <cell r="K25" t="str">
            <v>-</v>
          </cell>
          <cell r="L25">
            <v>48000</v>
          </cell>
          <cell r="M25">
            <v>47800</v>
          </cell>
          <cell r="N25">
            <v>45600</v>
          </cell>
          <cell r="O25" t="str">
            <v>-</v>
          </cell>
          <cell r="P25">
            <v>45000</v>
          </cell>
          <cell r="Q25">
            <v>44900</v>
          </cell>
          <cell r="R25">
            <v>45600</v>
          </cell>
          <cell r="S25" t="str">
            <v>-</v>
          </cell>
          <cell r="T25" t="str">
            <v>-</v>
          </cell>
          <cell r="U25" t="str">
            <v>-</v>
          </cell>
          <cell r="V25">
            <v>48600</v>
          </cell>
          <cell r="W25" t="str">
            <v>-</v>
          </cell>
        </row>
        <row r="26">
          <cell r="A26">
            <v>44292</v>
          </cell>
          <cell r="B26">
            <v>48600</v>
          </cell>
          <cell r="C26" t="str">
            <v>-</v>
          </cell>
          <cell r="D26">
            <v>47100</v>
          </cell>
          <cell r="E26">
            <v>46500</v>
          </cell>
          <cell r="F26">
            <v>49700</v>
          </cell>
          <cell r="G26" t="str">
            <v>-</v>
          </cell>
          <cell r="H26">
            <v>48300</v>
          </cell>
          <cell r="I26" t="str">
            <v>-</v>
          </cell>
          <cell r="J26">
            <v>48400</v>
          </cell>
          <cell r="K26" t="str">
            <v>-</v>
          </cell>
          <cell r="L26">
            <v>48400</v>
          </cell>
          <cell r="M26">
            <v>47700</v>
          </cell>
          <cell r="N26">
            <v>46300</v>
          </cell>
          <cell r="O26" t="str">
            <v>-</v>
          </cell>
          <cell r="P26">
            <v>45200</v>
          </cell>
          <cell r="Q26">
            <v>45100</v>
          </cell>
          <cell r="R26">
            <v>45800</v>
          </cell>
          <cell r="S26" t="str">
            <v>-</v>
          </cell>
          <cell r="T26" t="str">
            <v>-</v>
          </cell>
          <cell r="U26" t="str">
            <v>-</v>
          </cell>
          <cell r="V26">
            <v>48600</v>
          </cell>
          <cell r="W26" t="str">
            <v>-</v>
          </cell>
        </row>
        <row r="27">
          <cell r="A27">
            <v>44293</v>
          </cell>
          <cell r="B27">
            <v>48600</v>
          </cell>
          <cell r="C27">
            <v>49100</v>
          </cell>
          <cell r="D27">
            <v>47100</v>
          </cell>
          <cell r="E27">
            <v>46500</v>
          </cell>
          <cell r="F27">
            <v>49700</v>
          </cell>
          <cell r="G27" t="str">
            <v>-</v>
          </cell>
          <cell r="H27">
            <v>48000</v>
          </cell>
          <cell r="I27" t="str">
            <v>-</v>
          </cell>
          <cell r="J27">
            <v>48400</v>
          </cell>
          <cell r="K27" t="str">
            <v>-</v>
          </cell>
          <cell r="L27">
            <v>48300</v>
          </cell>
          <cell r="M27">
            <v>47700</v>
          </cell>
          <cell r="N27">
            <v>46000</v>
          </cell>
          <cell r="O27" t="str">
            <v>-</v>
          </cell>
          <cell r="P27">
            <v>45100</v>
          </cell>
          <cell r="Q27">
            <v>44900</v>
          </cell>
          <cell r="R27">
            <v>45700</v>
          </cell>
          <cell r="S27" t="str">
            <v>-</v>
          </cell>
          <cell r="T27" t="str">
            <v>-</v>
          </cell>
          <cell r="U27" t="str">
            <v>-</v>
          </cell>
          <cell r="V27">
            <v>48700</v>
          </cell>
          <cell r="W27" t="str">
            <v>-</v>
          </cell>
        </row>
        <row r="28">
          <cell r="A28">
            <v>44294</v>
          </cell>
          <cell r="B28">
            <v>48600</v>
          </cell>
          <cell r="C28">
            <v>49100</v>
          </cell>
          <cell r="D28">
            <v>47000</v>
          </cell>
          <cell r="E28">
            <v>46500</v>
          </cell>
          <cell r="F28">
            <v>49400</v>
          </cell>
          <cell r="G28" t="str">
            <v>-</v>
          </cell>
          <cell r="H28">
            <v>47900</v>
          </cell>
          <cell r="I28" t="str">
            <v>-</v>
          </cell>
          <cell r="J28">
            <v>48400</v>
          </cell>
          <cell r="K28" t="str">
            <v>-</v>
          </cell>
          <cell r="L28">
            <v>48300</v>
          </cell>
          <cell r="M28">
            <v>47700</v>
          </cell>
          <cell r="N28">
            <v>46000</v>
          </cell>
          <cell r="O28" t="str">
            <v>-</v>
          </cell>
          <cell r="P28">
            <v>44800</v>
          </cell>
          <cell r="Q28">
            <v>44700</v>
          </cell>
          <cell r="R28">
            <v>45700</v>
          </cell>
          <cell r="S28" t="str">
            <v>-</v>
          </cell>
          <cell r="T28" t="str">
            <v>-</v>
          </cell>
          <cell r="U28" t="str">
            <v>-</v>
          </cell>
          <cell r="V28">
            <v>48600</v>
          </cell>
          <cell r="W28" t="str">
            <v>-</v>
          </cell>
        </row>
        <row r="29">
          <cell r="A29">
            <v>44295</v>
          </cell>
          <cell r="B29">
            <v>48200</v>
          </cell>
          <cell r="C29">
            <v>49000</v>
          </cell>
          <cell r="D29">
            <v>46400</v>
          </cell>
          <cell r="E29">
            <v>46300</v>
          </cell>
          <cell r="F29">
            <v>49100</v>
          </cell>
          <cell r="G29" t="str">
            <v>-</v>
          </cell>
          <cell r="H29">
            <v>47500</v>
          </cell>
          <cell r="I29" t="str">
            <v>-</v>
          </cell>
          <cell r="J29">
            <v>48300</v>
          </cell>
          <cell r="K29" t="str">
            <v>-</v>
          </cell>
          <cell r="L29">
            <v>48000</v>
          </cell>
          <cell r="M29">
            <v>47700</v>
          </cell>
          <cell r="N29">
            <v>45500</v>
          </cell>
          <cell r="O29" t="str">
            <v>-</v>
          </cell>
          <cell r="P29">
            <v>44000</v>
          </cell>
          <cell r="Q29">
            <v>44300</v>
          </cell>
          <cell r="R29">
            <v>45200</v>
          </cell>
          <cell r="S29" t="str">
            <v>-</v>
          </cell>
          <cell r="T29" t="str">
            <v>-</v>
          </cell>
          <cell r="U29" t="str">
            <v>-</v>
          </cell>
          <cell r="V29">
            <v>48100</v>
          </cell>
          <cell r="W29" t="str">
            <v>-</v>
          </cell>
        </row>
        <row r="30">
          <cell r="A30">
            <v>44296</v>
          </cell>
          <cell r="B30">
            <v>48200</v>
          </cell>
          <cell r="C30">
            <v>49100</v>
          </cell>
          <cell r="D30">
            <v>46300</v>
          </cell>
          <cell r="E30">
            <v>45750</v>
          </cell>
          <cell r="F30">
            <v>48500</v>
          </cell>
          <cell r="G30" t="str">
            <v>-</v>
          </cell>
          <cell r="H30">
            <v>47000</v>
          </cell>
          <cell r="I30" t="str">
            <v>-</v>
          </cell>
          <cell r="J30">
            <v>48200</v>
          </cell>
          <cell r="K30" t="str">
            <v>-</v>
          </cell>
          <cell r="L30">
            <v>48200</v>
          </cell>
          <cell r="M30">
            <v>47200</v>
          </cell>
          <cell r="N30">
            <v>45600</v>
          </cell>
          <cell r="O30" t="str">
            <v>-</v>
          </cell>
          <cell r="P30">
            <v>44000</v>
          </cell>
          <cell r="Q30">
            <v>44300</v>
          </cell>
          <cell r="R30">
            <v>45100</v>
          </cell>
          <cell r="S30" t="str">
            <v>-</v>
          </cell>
          <cell r="T30" t="str">
            <v>-</v>
          </cell>
          <cell r="U30" t="str">
            <v>-</v>
          </cell>
          <cell r="V30">
            <v>48000</v>
          </cell>
          <cell r="W30" t="str">
            <v>-</v>
          </cell>
        </row>
        <row r="31">
          <cell r="A31">
            <v>44297</v>
          </cell>
          <cell r="B31" t="str">
            <v>H</v>
          </cell>
          <cell r="C31" t="str">
            <v>H</v>
          </cell>
          <cell r="D31" t="str">
            <v>H</v>
          </cell>
          <cell r="E31" t="str">
            <v>H</v>
          </cell>
          <cell r="F31" t="str">
            <v>H</v>
          </cell>
          <cell r="G31" t="str">
            <v>H</v>
          </cell>
          <cell r="H31" t="str">
            <v>H</v>
          </cell>
          <cell r="I31" t="str">
            <v>H</v>
          </cell>
          <cell r="J31" t="str">
            <v>H</v>
          </cell>
          <cell r="K31" t="str">
            <v>H</v>
          </cell>
          <cell r="L31" t="str">
            <v>H</v>
          </cell>
          <cell r="M31" t="str">
            <v>H</v>
          </cell>
          <cell r="N31" t="str">
            <v>H</v>
          </cell>
          <cell r="O31" t="str">
            <v>H</v>
          </cell>
          <cell r="P31" t="str">
            <v>H</v>
          </cell>
          <cell r="Q31" t="str">
            <v>H</v>
          </cell>
          <cell r="R31" t="str">
            <v>H</v>
          </cell>
          <cell r="S31" t="str">
            <v>H</v>
          </cell>
          <cell r="T31" t="str">
            <v>H</v>
          </cell>
          <cell r="U31" t="str">
            <v>H</v>
          </cell>
          <cell r="V31" t="str">
            <v>H</v>
          </cell>
          <cell r="W31" t="str">
            <v>H</v>
          </cell>
        </row>
        <row r="32">
          <cell r="A32">
            <v>44298</v>
          </cell>
          <cell r="B32">
            <v>48400</v>
          </cell>
          <cell r="C32">
            <v>49300</v>
          </cell>
          <cell r="D32">
            <v>46600</v>
          </cell>
          <cell r="E32">
            <v>46000</v>
          </cell>
          <cell r="F32">
            <v>48800</v>
          </cell>
          <cell r="G32" t="str">
            <v>-</v>
          </cell>
          <cell r="H32">
            <v>47600</v>
          </cell>
          <cell r="I32" t="str">
            <v>-</v>
          </cell>
          <cell r="J32">
            <v>48900</v>
          </cell>
          <cell r="K32" t="str">
            <v>-</v>
          </cell>
          <cell r="L32">
            <v>48500</v>
          </cell>
          <cell r="M32">
            <v>47300</v>
          </cell>
          <cell r="N32">
            <v>46100</v>
          </cell>
          <cell r="O32" t="str">
            <v>-</v>
          </cell>
          <cell r="P32">
            <v>44800</v>
          </cell>
          <cell r="Q32">
            <v>44900</v>
          </cell>
          <cell r="R32">
            <v>45400</v>
          </cell>
          <cell r="S32" t="str">
            <v>-</v>
          </cell>
          <cell r="T32" t="str">
            <v>-</v>
          </cell>
          <cell r="U32" t="str">
            <v>-</v>
          </cell>
          <cell r="V32">
            <v>48100</v>
          </cell>
          <cell r="W32" t="str">
            <v>-</v>
          </cell>
        </row>
        <row r="33">
          <cell r="A33">
            <v>44299</v>
          </cell>
          <cell r="B33">
            <v>48300</v>
          </cell>
          <cell r="C33">
            <v>49100</v>
          </cell>
          <cell r="D33">
            <v>46300</v>
          </cell>
          <cell r="E33">
            <v>45700</v>
          </cell>
          <cell r="F33">
            <v>48900</v>
          </cell>
          <cell r="G33" t="str">
            <v>-</v>
          </cell>
          <cell r="H33">
            <v>47500</v>
          </cell>
          <cell r="I33" t="str">
            <v>-</v>
          </cell>
          <cell r="J33">
            <v>48900</v>
          </cell>
          <cell r="K33" t="str">
            <v>-</v>
          </cell>
          <cell r="L33">
            <v>48400</v>
          </cell>
          <cell r="M33">
            <v>47300</v>
          </cell>
          <cell r="N33">
            <v>45500</v>
          </cell>
          <cell r="O33" t="str">
            <v>-</v>
          </cell>
          <cell r="P33">
            <v>44900</v>
          </cell>
          <cell r="Q33">
            <v>44900</v>
          </cell>
          <cell r="R33">
            <v>45400</v>
          </cell>
          <cell r="S33" t="str">
            <v>-</v>
          </cell>
          <cell r="T33" t="str">
            <v>-</v>
          </cell>
          <cell r="U33" t="str">
            <v>-</v>
          </cell>
          <cell r="V33">
            <v>48100</v>
          </cell>
          <cell r="W33" t="str">
            <v>-</v>
          </cell>
        </row>
        <row r="34">
          <cell r="A34">
            <v>44300</v>
          </cell>
          <cell r="B34">
            <v>48400</v>
          </cell>
          <cell r="C34">
            <v>49100</v>
          </cell>
          <cell r="D34">
            <v>46400</v>
          </cell>
          <cell r="E34">
            <v>45750</v>
          </cell>
          <cell r="F34">
            <v>49000</v>
          </cell>
          <cell r="G34" t="str">
            <v>-</v>
          </cell>
          <cell r="H34">
            <v>47400</v>
          </cell>
          <cell r="I34" t="str">
            <v>-</v>
          </cell>
          <cell r="J34">
            <v>49000</v>
          </cell>
          <cell r="K34" t="str">
            <v>-</v>
          </cell>
          <cell r="L34">
            <v>48500</v>
          </cell>
          <cell r="M34">
            <v>47500</v>
          </cell>
          <cell r="N34">
            <v>45700</v>
          </cell>
          <cell r="O34" t="str">
            <v>-</v>
          </cell>
          <cell r="P34">
            <v>45200</v>
          </cell>
          <cell r="Q34">
            <v>44900</v>
          </cell>
          <cell r="R34">
            <v>45600</v>
          </cell>
          <cell r="S34" t="str">
            <v>-</v>
          </cell>
          <cell r="T34" t="str">
            <v>-</v>
          </cell>
          <cell r="U34" t="str">
            <v>-</v>
          </cell>
          <cell r="V34">
            <v>48100</v>
          </cell>
          <cell r="W34" t="str">
            <v>-</v>
          </cell>
        </row>
        <row r="35">
          <cell r="A35">
            <v>44301</v>
          </cell>
          <cell r="B35">
            <v>48900</v>
          </cell>
          <cell r="C35">
            <v>49200</v>
          </cell>
          <cell r="D35">
            <v>46900</v>
          </cell>
          <cell r="E35">
            <v>46300</v>
          </cell>
          <cell r="F35">
            <v>49400</v>
          </cell>
          <cell r="G35" t="str">
            <v>-</v>
          </cell>
          <cell r="H35">
            <v>47700</v>
          </cell>
          <cell r="I35" t="str">
            <v>-</v>
          </cell>
          <cell r="J35">
            <v>50600</v>
          </cell>
          <cell r="K35" t="str">
            <v>-</v>
          </cell>
          <cell r="L35">
            <v>48900</v>
          </cell>
          <cell r="M35">
            <v>48400</v>
          </cell>
          <cell r="N35">
            <v>46300</v>
          </cell>
          <cell r="O35" t="str">
            <v>-</v>
          </cell>
          <cell r="P35">
            <v>46100</v>
          </cell>
          <cell r="Q35">
            <v>46400</v>
          </cell>
          <cell r="R35">
            <v>46500</v>
          </cell>
          <cell r="S35" t="str">
            <v>-</v>
          </cell>
          <cell r="T35" t="str">
            <v>-</v>
          </cell>
          <cell r="U35" t="str">
            <v>-</v>
          </cell>
          <cell r="V35">
            <v>48300</v>
          </cell>
          <cell r="W35" t="str">
            <v>-</v>
          </cell>
        </row>
        <row r="36">
          <cell r="A36">
            <v>44302</v>
          </cell>
          <cell r="B36">
            <v>50800</v>
          </cell>
          <cell r="C36">
            <v>50000</v>
          </cell>
          <cell r="D36">
            <v>47500</v>
          </cell>
          <cell r="E36">
            <v>47000</v>
          </cell>
          <cell r="F36">
            <v>50800</v>
          </cell>
          <cell r="G36" t="str">
            <v>-</v>
          </cell>
          <cell r="H36">
            <v>48300</v>
          </cell>
          <cell r="I36" t="str">
            <v>-</v>
          </cell>
          <cell r="J36">
            <v>52700</v>
          </cell>
          <cell r="K36" t="str">
            <v>-</v>
          </cell>
          <cell r="L36">
            <v>49100</v>
          </cell>
          <cell r="M36">
            <v>49700</v>
          </cell>
          <cell r="N36">
            <v>47000</v>
          </cell>
          <cell r="O36" t="str">
            <v>-</v>
          </cell>
          <cell r="P36">
            <v>46900</v>
          </cell>
          <cell r="Q36">
            <v>47300</v>
          </cell>
          <cell r="R36">
            <v>47400</v>
          </cell>
          <cell r="S36" t="str">
            <v>-</v>
          </cell>
          <cell r="T36" t="str">
            <v>-</v>
          </cell>
          <cell r="U36" t="str">
            <v>-</v>
          </cell>
          <cell r="V36">
            <v>49700</v>
          </cell>
          <cell r="W36" t="str">
            <v>-</v>
          </cell>
        </row>
        <row r="37">
          <cell r="A37">
            <v>44303</v>
          </cell>
          <cell r="B37">
            <v>51300</v>
          </cell>
          <cell r="C37">
            <v>50200</v>
          </cell>
          <cell r="D37">
            <v>47800</v>
          </cell>
          <cell r="E37">
            <v>47000</v>
          </cell>
          <cell r="F37">
            <v>52200</v>
          </cell>
          <cell r="G37" t="str">
            <v>-</v>
          </cell>
          <cell r="H37">
            <v>48400</v>
          </cell>
          <cell r="I37" t="str">
            <v>-</v>
          </cell>
          <cell r="J37">
            <v>52700</v>
          </cell>
          <cell r="K37" t="str">
            <v>-</v>
          </cell>
          <cell r="L37">
            <v>49300</v>
          </cell>
          <cell r="M37">
            <v>50900</v>
          </cell>
          <cell r="N37">
            <v>46700</v>
          </cell>
          <cell r="O37" t="str">
            <v>-</v>
          </cell>
          <cell r="P37">
            <v>46800</v>
          </cell>
          <cell r="Q37">
            <v>47300</v>
          </cell>
          <cell r="R37">
            <v>47300</v>
          </cell>
          <cell r="S37" t="str">
            <v>-</v>
          </cell>
          <cell r="T37" t="str">
            <v>-</v>
          </cell>
          <cell r="U37" t="str">
            <v>-</v>
          </cell>
          <cell r="V37">
            <v>50000</v>
          </cell>
          <cell r="W37" t="str">
            <v>-</v>
          </cell>
        </row>
        <row r="38">
          <cell r="A38">
            <v>44304</v>
          </cell>
          <cell r="B38" t="str">
            <v>H</v>
          </cell>
          <cell r="C38" t="str">
            <v>H</v>
          </cell>
          <cell r="D38" t="str">
            <v>H</v>
          </cell>
          <cell r="E38" t="str">
            <v>H</v>
          </cell>
          <cell r="F38" t="str">
            <v>H</v>
          </cell>
          <cell r="G38" t="str">
            <v>H</v>
          </cell>
          <cell r="H38" t="str">
            <v>H</v>
          </cell>
          <cell r="I38" t="str">
            <v>H</v>
          </cell>
          <cell r="J38" t="str">
            <v>H</v>
          </cell>
          <cell r="K38" t="str">
            <v>H</v>
          </cell>
          <cell r="L38" t="str">
            <v>H</v>
          </cell>
          <cell r="M38" t="str">
            <v>H</v>
          </cell>
          <cell r="N38" t="str">
            <v>H</v>
          </cell>
          <cell r="O38" t="str">
            <v>H</v>
          </cell>
          <cell r="P38" t="str">
            <v>H</v>
          </cell>
          <cell r="Q38" t="str">
            <v>H</v>
          </cell>
          <cell r="R38" t="str">
            <v>H</v>
          </cell>
          <cell r="S38" t="str">
            <v>H</v>
          </cell>
          <cell r="T38" t="str">
            <v>H</v>
          </cell>
          <cell r="U38" t="str">
            <v>H</v>
          </cell>
          <cell r="V38" t="str">
            <v>H</v>
          </cell>
          <cell r="W38" t="str">
            <v>H</v>
          </cell>
        </row>
        <row r="39">
          <cell r="A39">
            <v>44305</v>
          </cell>
          <cell r="B39">
            <v>51200</v>
          </cell>
          <cell r="C39">
            <v>50700</v>
          </cell>
          <cell r="D39">
            <v>48500</v>
          </cell>
          <cell r="E39">
            <v>46500</v>
          </cell>
          <cell r="F39">
            <v>52100</v>
          </cell>
          <cell r="G39" t="str">
            <v>-</v>
          </cell>
          <cell r="H39">
            <v>48000</v>
          </cell>
          <cell r="I39" t="str">
            <v>-</v>
          </cell>
          <cell r="J39">
            <v>52600</v>
          </cell>
          <cell r="K39" t="str">
            <v>-</v>
          </cell>
          <cell r="L39">
            <v>49100</v>
          </cell>
          <cell r="M39">
            <v>50900</v>
          </cell>
          <cell r="N39">
            <v>46000</v>
          </cell>
          <cell r="O39" t="str">
            <v>-</v>
          </cell>
          <cell r="P39">
            <v>46200</v>
          </cell>
          <cell r="Q39">
            <v>47000</v>
          </cell>
          <cell r="R39">
            <v>47100</v>
          </cell>
          <cell r="S39" t="str">
            <v>-</v>
          </cell>
          <cell r="T39" t="str">
            <v>-</v>
          </cell>
          <cell r="U39" t="str">
            <v>-</v>
          </cell>
          <cell r="V39">
            <v>50100</v>
          </cell>
          <cell r="W39" t="str">
            <v>-</v>
          </cell>
        </row>
        <row r="40">
          <cell r="A40">
            <v>44306</v>
          </cell>
          <cell r="B40">
            <v>50400</v>
          </cell>
          <cell r="C40">
            <v>50700</v>
          </cell>
          <cell r="D40">
            <v>48300</v>
          </cell>
          <cell r="E40">
            <v>45800</v>
          </cell>
          <cell r="F40">
            <v>50200</v>
          </cell>
          <cell r="G40" t="str">
            <v>-</v>
          </cell>
          <cell r="H40">
            <v>47000</v>
          </cell>
          <cell r="I40" t="str">
            <v>-</v>
          </cell>
          <cell r="J40">
            <v>50600</v>
          </cell>
          <cell r="K40" t="str">
            <v>-</v>
          </cell>
          <cell r="L40">
            <v>48500</v>
          </cell>
          <cell r="M40">
            <v>49900</v>
          </cell>
          <cell r="N40">
            <v>45500</v>
          </cell>
          <cell r="O40" t="str">
            <v>-</v>
          </cell>
          <cell r="P40">
            <v>45100</v>
          </cell>
          <cell r="Q40">
            <v>46000</v>
          </cell>
          <cell r="R40">
            <v>46500</v>
          </cell>
          <cell r="S40" t="str">
            <v>-</v>
          </cell>
          <cell r="T40" t="str">
            <v>-</v>
          </cell>
          <cell r="U40" t="str">
            <v>-</v>
          </cell>
          <cell r="V40">
            <v>49900</v>
          </cell>
          <cell r="W40" t="str">
            <v>-</v>
          </cell>
        </row>
        <row r="41">
          <cell r="A41">
            <v>44307</v>
          </cell>
          <cell r="B41">
            <v>49900</v>
          </cell>
          <cell r="C41">
            <v>50700</v>
          </cell>
          <cell r="D41">
            <v>48300</v>
          </cell>
          <cell r="E41">
            <v>45800</v>
          </cell>
          <cell r="F41">
            <v>50200</v>
          </cell>
          <cell r="G41" t="str">
            <v>-</v>
          </cell>
          <cell r="H41">
            <v>47500</v>
          </cell>
          <cell r="I41" t="str">
            <v>-</v>
          </cell>
          <cell r="J41">
            <v>49600</v>
          </cell>
          <cell r="K41" t="str">
            <v>-</v>
          </cell>
          <cell r="L41">
            <v>48500</v>
          </cell>
          <cell r="M41">
            <v>48900</v>
          </cell>
          <cell r="N41">
            <v>46000</v>
          </cell>
          <cell r="O41" t="str">
            <v>-</v>
          </cell>
          <cell r="P41">
            <v>45000</v>
          </cell>
          <cell r="Q41">
            <v>45900</v>
          </cell>
          <cell r="R41">
            <v>46500</v>
          </cell>
          <cell r="S41" t="str">
            <v>-</v>
          </cell>
          <cell r="T41" t="str">
            <v>-</v>
          </cell>
          <cell r="U41" t="str">
            <v>-</v>
          </cell>
          <cell r="V41">
            <v>49800</v>
          </cell>
          <cell r="W41" t="str">
            <v>-</v>
          </cell>
        </row>
        <row r="42">
          <cell r="A42">
            <v>44308</v>
          </cell>
          <cell r="B42">
            <v>50200</v>
          </cell>
          <cell r="C42">
            <v>50900</v>
          </cell>
          <cell r="D42">
            <v>47800</v>
          </cell>
          <cell r="E42">
            <v>46500</v>
          </cell>
          <cell r="F42">
            <v>50500</v>
          </cell>
          <cell r="G42" t="str">
            <v>-</v>
          </cell>
          <cell r="H42">
            <v>47800</v>
          </cell>
          <cell r="I42" t="str">
            <v>-</v>
          </cell>
          <cell r="J42">
            <v>49600</v>
          </cell>
          <cell r="K42" t="str">
            <v>-</v>
          </cell>
          <cell r="L42">
            <v>48800</v>
          </cell>
          <cell r="M42">
            <v>48900</v>
          </cell>
          <cell r="N42">
            <v>46700</v>
          </cell>
          <cell r="O42" t="str">
            <v>-</v>
          </cell>
          <cell r="P42">
            <v>45400</v>
          </cell>
          <cell r="Q42">
            <v>46000</v>
          </cell>
          <cell r="R42">
            <v>46600</v>
          </cell>
          <cell r="S42" t="str">
            <v>-</v>
          </cell>
          <cell r="T42" t="str">
            <v>-</v>
          </cell>
          <cell r="U42" t="str">
            <v>-</v>
          </cell>
          <cell r="V42">
            <v>49800</v>
          </cell>
          <cell r="W42" t="str">
            <v>-</v>
          </cell>
        </row>
        <row r="43">
          <cell r="A43">
            <v>44309</v>
          </cell>
          <cell r="B43">
            <v>50400</v>
          </cell>
          <cell r="C43">
            <v>50900</v>
          </cell>
          <cell r="D43">
            <v>48600</v>
          </cell>
          <cell r="E43">
            <v>46800</v>
          </cell>
          <cell r="F43">
            <v>51100</v>
          </cell>
          <cell r="G43" t="str">
            <v>-</v>
          </cell>
          <cell r="H43">
            <v>47800</v>
          </cell>
          <cell r="I43" t="str">
            <v>-</v>
          </cell>
          <cell r="J43">
            <v>49800</v>
          </cell>
          <cell r="K43" t="str">
            <v>-</v>
          </cell>
          <cell r="L43">
            <v>49500</v>
          </cell>
          <cell r="M43">
            <v>49100</v>
          </cell>
          <cell r="N43">
            <v>46800</v>
          </cell>
          <cell r="O43" t="str">
            <v>-</v>
          </cell>
          <cell r="P43">
            <v>45900</v>
          </cell>
          <cell r="Q43">
            <v>46200</v>
          </cell>
          <cell r="R43">
            <v>46600</v>
          </cell>
          <cell r="S43" t="str">
            <v>-</v>
          </cell>
          <cell r="T43" t="str">
            <v>-</v>
          </cell>
          <cell r="U43" t="str">
            <v>-</v>
          </cell>
          <cell r="V43">
            <v>49800</v>
          </cell>
          <cell r="W43" t="str">
            <v>-</v>
          </cell>
        </row>
        <row r="44">
          <cell r="A44">
            <v>44310</v>
          </cell>
          <cell r="B44">
            <v>50400</v>
          </cell>
          <cell r="C44">
            <v>50900</v>
          </cell>
          <cell r="D44">
            <v>48500</v>
          </cell>
          <cell r="E44">
            <v>46500</v>
          </cell>
          <cell r="F44">
            <v>51500</v>
          </cell>
          <cell r="G44" t="str">
            <v>-</v>
          </cell>
          <cell r="H44">
            <v>47500</v>
          </cell>
          <cell r="I44" t="str">
            <v>-</v>
          </cell>
          <cell r="J44">
            <v>49800</v>
          </cell>
          <cell r="K44" t="str">
            <v>-</v>
          </cell>
          <cell r="L44">
            <v>49300</v>
          </cell>
          <cell r="M44">
            <v>49100</v>
          </cell>
          <cell r="N44">
            <v>47000</v>
          </cell>
          <cell r="O44" t="str">
            <v>-</v>
          </cell>
          <cell r="P44">
            <v>45600</v>
          </cell>
          <cell r="Q44">
            <v>46100</v>
          </cell>
          <cell r="R44">
            <v>46400</v>
          </cell>
          <cell r="S44" t="str">
            <v>-</v>
          </cell>
          <cell r="T44" t="str">
            <v>-</v>
          </cell>
          <cell r="U44" t="str">
            <v>-</v>
          </cell>
          <cell r="V44">
            <v>49800</v>
          </cell>
          <cell r="W44" t="str">
            <v>-</v>
          </cell>
        </row>
        <row r="45">
          <cell r="A45">
            <v>44311</v>
          </cell>
          <cell r="B45" t="str">
            <v>H</v>
          </cell>
          <cell r="C45" t="str">
            <v>H</v>
          </cell>
          <cell r="D45" t="str">
            <v>H</v>
          </cell>
          <cell r="E45" t="str">
            <v>H</v>
          </cell>
          <cell r="F45" t="str">
            <v>H</v>
          </cell>
          <cell r="G45" t="str">
            <v>H</v>
          </cell>
          <cell r="H45" t="str">
            <v>H</v>
          </cell>
          <cell r="I45" t="str">
            <v>H</v>
          </cell>
          <cell r="J45" t="str">
            <v>H</v>
          </cell>
          <cell r="K45" t="str">
            <v>H</v>
          </cell>
          <cell r="L45" t="str">
            <v>H</v>
          </cell>
          <cell r="M45" t="str">
            <v>H</v>
          </cell>
          <cell r="N45" t="str">
            <v>H</v>
          </cell>
          <cell r="O45" t="str">
            <v>H</v>
          </cell>
          <cell r="P45" t="str">
            <v>H</v>
          </cell>
          <cell r="Q45" t="str">
            <v>H</v>
          </cell>
          <cell r="R45" t="str">
            <v>H</v>
          </cell>
          <cell r="S45" t="str">
            <v>H</v>
          </cell>
          <cell r="T45" t="str">
            <v>H</v>
          </cell>
          <cell r="U45" t="str">
            <v>H</v>
          </cell>
          <cell r="V45" t="str">
            <v>H</v>
          </cell>
          <cell r="W45" t="str">
            <v>H</v>
          </cell>
        </row>
        <row r="46">
          <cell r="A46">
            <v>44312</v>
          </cell>
          <cell r="B46">
            <v>49900</v>
          </cell>
          <cell r="C46">
            <v>51200</v>
          </cell>
          <cell r="D46">
            <v>48500</v>
          </cell>
          <cell r="E46">
            <v>46500</v>
          </cell>
          <cell r="F46">
            <v>51500</v>
          </cell>
          <cell r="G46" t="str">
            <v>-</v>
          </cell>
          <cell r="H46">
            <v>47000</v>
          </cell>
          <cell r="I46" t="str">
            <v>-</v>
          </cell>
          <cell r="J46">
            <v>49700</v>
          </cell>
          <cell r="K46" t="str">
            <v>-</v>
          </cell>
          <cell r="L46">
            <v>49400</v>
          </cell>
          <cell r="M46">
            <v>49100</v>
          </cell>
          <cell r="N46">
            <v>46500</v>
          </cell>
          <cell r="O46" t="str">
            <v>-</v>
          </cell>
          <cell r="P46">
            <v>45300</v>
          </cell>
          <cell r="Q46">
            <v>45800</v>
          </cell>
          <cell r="R46">
            <v>46200</v>
          </cell>
          <cell r="S46" t="str">
            <v>-</v>
          </cell>
          <cell r="T46" t="str">
            <v>-</v>
          </cell>
          <cell r="U46" t="str">
            <v>-</v>
          </cell>
          <cell r="V46">
            <v>49700</v>
          </cell>
          <cell r="W46" t="str">
            <v>-</v>
          </cell>
        </row>
        <row r="47">
          <cell r="A47">
            <v>44313</v>
          </cell>
          <cell r="B47">
            <v>49600</v>
          </cell>
          <cell r="C47">
            <v>51200</v>
          </cell>
          <cell r="D47">
            <v>48500</v>
          </cell>
          <cell r="E47">
            <v>46500</v>
          </cell>
          <cell r="F47">
            <v>50700</v>
          </cell>
          <cell r="G47" t="str">
            <v>-</v>
          </cell>
          <cell r="H47">
            <v>47300</v>
          </cell>
          <cell r="I47" t="str">
            <v>-</v>
          </cell>
          <cell r="J47">
            <v>49700</v>
          </cell>
          <cell r="K47" t="str">
            <v>-</v>
          </cell>
          <cell r="L47">
            <v>49300</v>
          </cell>
          <cell r="M47">
            <v>49100</v>
          </cell>
          <cell r="N47">
            <v>46500</v>
          </cell>
          <cell r="O47" t="str">
            <v>-</v>
          </cell>
          <cell r="P47">
            <v>45000</v>
          </cell>
          <cell r="Q47">
            <v>45600</v>
          </cell>
          <cell r="R47">
            <v>45500</v>
          </cell>
          <cell r="S47" t="str">
            <v>-</v>
          </cell>
          <cell r="T47" t="str">
            <v>-</v>
          </cell>
          <cell r="U47" t="str">
            <v>-</v>
          </cell>
          <cell r="V47">
            <v>49600</v>
          </cell>
          <cell r="W47" t="str">
            <v>-</v>
          </cell>
        </row>
        <row r="48">
          <cell r="A48">
            <v>44314</v>
          </cell>
          <cell r="B48">
            <v>49300</v>
          </cell>
          <cell r="C48">
            <v>51200</v>
          </cell>
          <cell r="D48">
            <v>48600</v>
          </cell>
          <cell r="E48">
            <v>47000</v>
          </cell>
          <cell r="F48">
            <v>50100</v>
          </cell>
          <cell r="G48" t="str">
            <v>-</v>
          </cell>
          <cell r="H48">
            <v>47700</v>
          </cell>
          <cell r="I48" t="str">
            <v>-</v>
          </cell>
          <cell r="J48">
            <v>49700</v>
          </cell>
          <cell r="K48" t="str">
            <v>-</v>
          </cell>
          <cell r="L48">
            <v>49700</v>
          </cell>
          <cell r="M48">
            <v>48800</v>
          </cell>
          <cell r="N48">
            <v>47100</v>
          </cell>
          <cell r="O48" t="str">
            <v>-</v>
          </cell>
          <cell r="P48">
            <v>45300</v>
          </cell>
          <cell r="Q48">
            <v>45600</v>
          </cell>
          <cell r="R48">
            <v>45700</v>
          </cell>
          <cell r="S48" t="str">
            <v>-</v>
          </cell>
          <cell r="T48" t="str">
            <v>-</v>
          </cell>
          <cell r="U48" t="str">
            <v>-</v>
          </cell>
          <cell r="V48">
            <v>49400</v>
          </cell>
          <cell r="W48" t="str">
            <v>-</v>
          </cell>
        </row>
        <row r="49">
          <cell r="A49">
            <v>44315</v>
          </cell>
          <cell r="B49">
            <v>49300</v>
          </cell>
          <cell r="C49">
            <v>51000</v>
          </cell>
          <cell r="D49">
            <v>48700</v>
          </cell>
          <cell r="E49">
            <v>47500</v>
          </cell>
          <cell r="F49">
            <v>50400</v>
          </cell>
          <cell r="G49" t="str">
            <v>-</v>
          </cell>
          <cell r="H49">
            <v>48000</v>
          </cell>
          <cell r="I49" t="str">
            <v>-</v>
          </cell>
          <cell r="J49">
            <v>49700</v>
          </cell>
          <cell r="K49" t="str">
            <v>-</v>
          </cell>
          <cell r="L49">
            <v>49800</v>
          </cell>
          <cell r="M49">
            <v>49000</v>
          </cell>
          <cell r="N49">
            <v>47800</v>
          </cell>
          <cell r="O49" t="str">
            <v>-</v>
          </cell>
          <cell r="P49">
            <v>45400</v>
          </cell>
          <cell r="Q49">
            <v>45800</v>
          </cell>
          <cell r="R49">
            <v>45800</v>
          </cell>
          <cell r="S49" t="str">
            <v>-</v>
          </cell>
          <cell r="T49" t="str">
            <v>-</v>
          </cell>
          <cell r="U49" t="str">
            <v>-</v>
          </cell>
          <cell r="V49">
            <v>49400</v>
          </cell>
          <cell r="W49" t="str">
            <v>-</v>
          </cell>
        </row>
        <row r="50">
          <cell r="A50">
            <v>44316</v>
          </cell>
          <cell r="B50">
            <v>49200</v>
          </cell>
          <cell r="C50">
            <v>51300</v>
          </cell>
          <cell r="D50">
            <v>48800</v>
          </cell>
          <cell r="E50">
            <v>47300</v>
          </cell>
          <cell r="F50">
            <v>51000</v>
          </cell>
          <cell r="G50" t="str">
            <v>-</v>
          </cell>
          <cell r="H50">
            <v>48300</v>
          </cell>
          <cell r="I50" t="str">
            <v>-</v>
          </cell>
          <cell r="J50">
            <v>49700</v>
          </cell>
          <cell r="K50" t="str">
            <v>-</v>
          </cell>
          <cell r="L50">
            <v>49900</v>
          </cell>
          <cell r="M50">
            <v>49000</v>
          </cell>
          <cell r="N50">
            <v>47900</v>
          </cell>
          <cell r="O50" t="str">
            <v>-</v>
          </cell>
          <cell r="P50">
            <v>45400</v>
          </cell>
          <cell r="Q50">
            <v>45700</v>
          </cell>
          <cell r="R50">
            <v>45800</v>
          </cell>
          <cell r="S50" t="str">
            <v>-</v>
          </cell>
          <cell r="T50" t="str">
            <v>-</v>
          </cell>
          <cell r="U50" t="str">
            <v>-</v>
          </cell>
          <cell r="V50">
            <v>49400</v>
          </cell>
          <cell r="W50" t="str">
            <v>-</v>
          </cell>
        </row>
        <row r="51">
          <cell r="A51">
            <v>44317</v>
          </cell>
          <cell r="B51">
            <v>49200</v>
          </cell>
          <cell r="C51">
            <v>51300</v>
          </cell>
          <cell r="D51">
            <v>49000</v>
          </cell>
          <cell r="E51">
            <v>47500</v>
          </cell>
          <cell r="F51">
            <v>52000</v>
          </cell>
          <cell r="G51" t="str">
            <v>-</v>
          </cell>
          <cell r="H51">
            <v>48500</v>
          </cell>
          <cell r="I51" t="str">
            <v>-</v>
          </cell>
          <cell r="J51">
            <v>49700</v>
          </cell>
          <cell r="K51" t="str">
            <v>-</v>
          </cell>
          <cell r="L51">
            <v>50300</v>
          </cell>
          <cell r="M51">
            <v>49000</v>
          </cell>
          <cell r="N51">
            <v>48000</v>
          </cell>
          <cell r="O51" t="str">
            <v>-</v>
          </cell>
          <cell r="P51">
            <v>45900</v>
          </cell>
          <cell r="Q51">
            <v>46100</v>
          </cell>
          <cell r="R51">
            <v>45800</v>
          </cell>
          <cell r="S51" t="str">
            <v>-</v>
          </cell>
          <cell r="T51" t="str">
            <v>-</v>
          </cell>
          <cell r="U51" t="str">
            <v>-</v>
          </cell>
          <cell r="V51">
            <v>49400</v>
          </cell>
          <cell r="W51" t="str">
            <v>-</v>
          </cell>
        </row>
        <row r="52">
          <cell r="A52">
            <v>44318</v>
          </cell>
          <cell r="B52" t="str">
            <v>H</v>
          </cell>
          <cell r="C52" t="str">
            <v>H</v>
          </cell>
          <cell r="D52" t="str">
            <v>H</v>
          </cell>
          <cell r="E52" t="str">
            <v>H</v>
          </cell>
          <cell r="F52" t="str">
            <v>H</v>
          </cell>
          <cell r="G52" t="str">
            <v>H</v>
          </cell>
          <cell r="H52" t="str">
            <v>H</v>
          </cell>
          <cell r="I52" t="str">
            <v>H</v>
          </cell>
          <cell r="J52" t="str">
            <v>H</v>
          </cell>
          <cell r="K52" t="str">
            <v>H</v>
          </cell>
          <cell r="L52" t="str">
            <v>H</v>
          </cell>
          <cell r="M52" t="str">
            <v>H</v>
          </cell>
          <cell r="N52" t="str">
            <v>H</v>
          </cell>
          <cell r="O52" t="str">
            <v>H</v>
          </cell>
          <cell r="P52" t="str">
            <v>H</v>
          </cell>
          <cell r="Q52" t="str">
            <v>H</v>
          </cell>
          <cell r="R52" t="str">
            <v>H</v>
          </cell>
          <cell r="S52" t="str">
            <v>H</v>
          </cell>
          <cell r="T52" t="str">
            <v>H</v>
          </cell>
          <cell r="U52" t="str">
            <v>H</v>
          </cell>
          <cell r="V52" t="str">
            <v>H</v>
          </cell>
          <cell r="W52" t="str">
            <v>H</v>
          </cell>
        </row>
        <row r="53">
          <cell r="A53">
            <v>44319</v>
          </cell>
          <cell r="B53">
            <v>49300</v>
          </cell>
          <cell r="C53">
            <v>51500</v>
          </cell>
          <cell r="D53">
            <v>49500</v>
          </cell>
          <cell r="E53">
            <v>48500</v>
          </cell>
          <cell r="F53">
            <v>52200</v>
          </cell>
          <cell r="G53" t="str">
            <v>-</v>
          </cell>
          <cell r="H53">
            <v>49000</v>
          </cell>
          <cell r="I53" t="str">
            <v>-</v>
          </cell>
          <cell r="J53">
            <v>49900</v>
          </cell>
          <cell r="K53" t="str">
            <v>-</v>
          </cell>
          <cell r="L53">
            <v>50800</v>
          </cell>
          <cell r="M53">
            <v>49600</v>
          </cell>
          <cell r="N53">
            <v>48500</v>
          </cell>
          <cell r="O53" t="str">
            <v>-</v>
          </cell>
          <cell r="P53">
            <v>46200</v>
          </cell>
          <cell r="Q53">
            <v>46600</v>
          </cell>
          <cell r="R53">
            <v>46500</v>
          </cell>
          <cell r="S53" t="str">
            <v>-</v>
          </cell>
          <cell r="T53" t="str">
            <v>-</v>
          </cell>
          <cell r="U53" t="str">
            <v>-</v>
          </cell>
          <cell r="V53">
            <v>49600</v>
          </cell>
          <cell r="W53" t="str">
            <v>-</v>
          </cell>
        </row>
        <row r="54">
          <cell r="A54">
            <v>44320</v>
          </cell>
          <cell r="B54">
            <v>49800</v>
          </cell>
          <cell r="C54">
            <v>51700</v>
          </cell>
          <cell r="D54">
            <v>49500</v>
          </cell>
          <cell r="E54">
            <v>48800</v>
          </cell>
          <cell r="F54">
            <v>52200</v>
          </cell>
          <cell r="G54" t="str">
            <v>-</v>
          </cell>
          <cell r="H54">
            <v>49000</v>
          </cell>
          <cell r="I54" t="str">
            <v>-</v>
          </cell>
          <cell r="J54">
            <v>49900</v>
          </cell>
          <cell r="K54" t="str">
            <v>-</v>
          </cell>
          <cell r="L54">
            <v>51500</v>
          </cell>
          <cell r="M54">
            <v>49800</v>
          </cell>
          <cell r="N54">
            <v>48800</v>
          </cell>
          <cell r="O54" t="str">
            <v>-</v>
          </cell>
          <cell r="P54">
            <v>46200</v>
          </cell>
          <cell r="Q54">
            <v>46600</v>
          </cell>
          <cell r="R54">
            <v>46600</v>
          </cell>
          <cell r="S54" t="str">
            <v>-</v>
          </cell>
          <cell r="T54" t="str">
            <v>-</v>
          </cell>
          <cell r="U54" t="str">
            <v>-</v>
          </cell>
          <cell r="V54">
            <v>49800</v>
          </cell>
          <cell r="W54" t="str">
            <v>-</v>
          </cell>
        </row>
        <row r="55">
          <cell r="A55">
            <v>44321</v>
          </cell>
          <cell r="B55">
            <v>50100</v>
          </cell>
          <cell r="C55">
            <v>51700</v>
          </cell>
          <cell r="D55">
            <v>49600</v>
          </cell>
          <cell r="E55">
            <v>48500</v>
          </cell>
          <cell r="F55">
            <v>52200</v>
          </cell>
          <cell r="G55" t="str">
            <v>-</v>
          </cell>
          <cell r="H55">
            <v>49000</v>
          </cell>
          <cell r="I55" t="str">
            <v>-</v>
          </cell>
          <cell r="J55">
            <v>49900</v>
          </cell>
          <cell r="K55" t="str">
            <v>-</v>
          </cell>
          <cell r="L55">
            <v>51600</v>
          </cell>
          <cell r="M55">
            <v>49800</v>
          </cell>
          <cell r="N55">
            <v>49000</v>
          </cell>
          <cell r="O55" t="str">
            <v>-</v>
          </cell>
          <cell r="P55">
            <v>46000</v>
          </cell>
          <cell r="Q55">
            <v>46300</v>
          </cell>
          <cell r="R55">
            <v>46300</v>
          </cell>
          <cell r="S55" t="str">
            <v>-</v>
          </cell>
          <cell r="T55" t="str">
            <v>-</v>
          </cell>
          <cell r="U55" t="str">
            <v>-</v>
          </cell>
          <cell r="V55">
            <v>49800</v>
          </cell>
          <cell r="W55" t="str">
            <v>-</v>
          </cell>
        </row>
        <row r="56">
          <cell r="A56">
            <v>44322</v>
          </cell>
          <cell r="B56">
            <v>50100</v>
          </cell>
          <cell r="C56">
            <v>51500</v>
          </cell>
          <cell r="D56">
            <v>49500</v>
          </cell>
          <cell r="E56">
            <v>47700</v>
          </cell>
          <cell r="F56">
            <v>51900</v>
          </cell>
          <cell r="G56" t="str">
            <v>-</v>
          </cell>
          <cell r="H56">
            <v>48500</v>
          </cell>
          <cell r="I56" t="str">
            <v>-</v>
          </cell>
          <cell r="J56">
            <v>49800</v>
          </cell>
          <cell r="K56" t="str">
            <v>-</v>
          </cell>
          <cell r="L56">
            <v>51400</v>
          </cell>
          <cell r="M56">
            <v>50200</v>
          </cell>
          <cell r="N56">
            <v>48800</v>
          </cell>
          <cell r="O56" t="str">
            <v>-</v>
          </cell>
          <cell r="P56">
            <v>45500</v>
          </cell>
          <cell r="Q56">
            <v>45800</v>
          </cell>
          <cell r="R56">
            <v>46000</v>
          </cell>
          <cell r="S56" t="str">
            <v>-</v>
          </cell>
          <cell r="T56" t="str">
            <v>-</v>
          </cell>
          <cell r="U56" t="str">
            <v>-</v>
          </cell>
          <cell r="V56">
            <v>49900</v>
          </cell>
          <cell r="W56" t="str">
            <v>-</v>
          </cell>
        </row>
        <row r="57">
          <cell r="A57">
            <v>44323</v>
          </cell>
          <cell r="B57">
            <v>49900</v>
          </cell>
          <cell r="C57">
            <v>51500</v>
          </cell>
          <cell r="D57">
            <v>49600</v>
          </cell>
          <cell r="E57">
            <v>48200</v>
          </cell>
          <cell r="F57">
            <v>51900</v>
          </cell>
          <cell r="G57" t="str">
            <v>-</v>
          </cell>
          <cell r="H57">
            <v>48500</v>
          </cell>
          <cell r="I57" t="str">
            <v>-</v>
          </cell>
          <cell r="J57">
            <v>49800</v>
          </cell>
          <cell r="K57" t="str">
            <v>-</v>
          </cell>
          <cell r="L57">
            <v>51600</v>
          </cell>
          <cell r="M57">
            <v>50300</v>
          </cell>
          <cell r="N57">
            <v>48800</v>
          </cell>
          <cell r="O57" t="str">
            <v>-</v>
          </cell>
          <cell r="P57">
            <v>45800</v>
          </cell>
          <cell r="Q57">
            <v>45800</v>
          </cell>
          <cell r="R57">
            <v>46200</v>
          </cell>
          <cell r="S57" t="str">
            <v>-</v>
          </cell>
          <cell r="T57" t="str">
            <v>-</v>
          </cell>
          <cell r="U57" t="str">
            <v>-</v>
          </cell>
          <cell r="V57">
            <v>50000</v>
          </cell>
          <cell r="W57" t="str">
            <v>-</v>
          </cell>
        </row>
        <row r="58">
          <cell r="A58">
            <v>44324</v>
          </cell>
          <cell r="B58">
            <v>50200</v>
          </cell>
          <cell r="C58">
            <v>51500</v>
          </cell>
          <cell r="D58">
            <v>50300</v>
          </cell>
          <cell r="E58">
            <v>48800</v>
          </cell>
          <cell r="F58">
            <v>52000</v>
          </cell>
          <cell r="G58" t="str">
            <v>-</v>
          </cell>
          <cell r="H58">
            <v>49000</v>
          </cell>
          <cell r="I58" t="str">
            <v>-</v>
          </cell>
          <cell r="J58">
            <v>49800</v>
          </cell>
          <cell r="K58" t="str">
            <v>-</v>
          </cell>
          <cell r="L58">
            <v>52000</v>
          </cell>
          <cell r="M58">
            <v>50500</v>
          </cell>
          <cell r="N58">
            <v>49100</v>
          </cell>
          <cell r="O58" t="str">
            <v>-</v>
          </cell>
          <cell r="P58">
            <v>46500</v>
          </cell>
          <cell r="Q58">
            <v>46300</v>
          </cell>
          <cell r="R58">
            <v>47000</v>
          </cell>
          <cell r="S58" t="str">
            <v>-</v>
          </cell>
          <cell r="T58" t="str">
            <v>-</v>
          </cell>
          <cell r="U58" t="str">
            <v>-</v>
          </cell>
          <cell r="V58">
            <v>50000</v>
          </cell>
          <cell r="W58" t="str">
            <v>-</v>
          </cell>
        </row>
        <row r="59">
          <cell r="A59">
            <v>44325</v>
          </cell>
          <cell r="B59" t="str">
            <v>H</v>
          </cell>
          <cell r="C59" t="str">
            <v>H</v>
          </cell>
          <cell r="D59" t="str">
            <v>H</v>
          </cell>
          <cell r="E59" t="str">
            <v>H</v>
          </cell>
          <cell r="F59" t="str">
            <v>H</v>
          </cell>
          <cell r="G59" t="str">
            <v>H</v>
          </cell>
          <cell r="H59" t="str">
            <v>H</v>
          </cell>
          <cell r="I59" t="str">
            <v>H</v>
          </cell>
          <cell r="J59" t="str">
            <v>H</v>
          </cell>
          <cell r="K59" t="str">
            <v>H</v>
          </cell>
          <cell r="L59" t="str">
            <v>H</v>
          </cell>
          <cell r="M59" t="str">
            <v>H</v>
          </cell>
          <cell r="N59" t="str">
            <v>H</v>
          </cell>
          <cell r="O59" t="str">
            <v>H</v>
          </cell>
          <cell r="P59" t="str">
            <v>H</v>
          </cell>
          <cell r="Q59" t="str">
            <v>H</v>
          </cell>
          <cell r="R59" t="str">
            <v>H</v>
          </cell>
          <cell r="S59" t="str">
            <v>H</v>
          </cell>
          <cell r="T59" t="str">
            <v>H</v>
          </cell>
          <cell r="U59" t="str">
            <v>H</v>
          </cell>
          <cell r="V59" t="str">
            <v>H</v>
          </cell>
          <cell r="W59" t="str">
            <v>H</v>
          </cell>
        </row>
        <row r="60">
          <cell r="A60">
            <v>44326</v>
          </cell>
          <cell r="B60">
            <v>50900</v>
          </cell>
          <cell r="C60">
            <v>51500</v>
          </cell>
          <cell r="D60">
            <v>50300</v>
          </cell>
          <cell r="E60">
            <v>49300</v>
          </cell>
          <cell r="F60">
            <v>52000</v>
          </cell>
          <cell r="G60" t="str">
            <v>-</v>
          </cell>
          <cell r="H60">
            <v>49000</v>
          </cell>
          <cell r="I60" t="str">
            <v>-</v>
          </cell>
          <cell r="J60">
            <v>49800</v>
          </cell>
          <cell r="K60" t="str">
            <v>-</v>
          </cell>
          <cell r="L60">
            <v>52100</v>
          </cell>
          <cell r="M60">
            <v>50400</v>
          </cell>
          <cell r="N60">
            <v>49300</v>
          </cell>
          <cell r="O60" t="str">
            <v>-</v>
          </cell>
          <cell r="P60">
            <v>46600</v>
          </cell>
          <cell r="Q60">
            <v>46400</v>
          </cell>
          <cell r="R60">
            <v>47400</v>
          </cell>
          <cell r="S60" t="str">
            <v>-</v>
          </cell>
          <cell r="T60" t="str">
            <v>-</v>
          </cell>
          <cell r="U60" t="str">
            <v>-</v>
          </cell>
          <cell r="V60">
            <v>50000</v>
          </cell>
          <cell r="W60" t="str">
            <v>-</v>
          </cell>
        </row>
        <row r="61">
          <cell r="A61">
            <v>44327</v>
          </cell>
          <cell r="B61">
            <v>51500</v>
          </cell>
          <cell r="C61">
            <v>51900</v>
          </cell>
          <cell r="D61">
            <v>50700</v>
          </cell>
          <cell r="E61">
            <v>49600</v>
          </cell>
          <cell r="F61">
            <v>52300</v>
          </cell>
          <cell r="G61" t="str">
            <v>-</v>
          </cell>
          <cell r="H61">
            <v>49500</v>
          </cell>
          <cell r="I61" t="str">
            <v>-</v>
          </cell>
          <cell r="J61">
            <v>50300</v>
          </cell>
          <cell r="K61" t="str">
            <v>-</v>
          </cell>
          <cell r="L61">
            <v>52400</v>
          </cell>
          <cell r="M61">
            <v>50400</v>
          </cell>
          <cell r="N61">
            <v>50000</v>
          </cell>
          <cell r="O61" t="str">
            <v>-</v>
          </cell>
          <cell r="P61">
            <v>47500</v>
          </cell>
          <cell r="Q61">
            <v>47400</v>
          </cell>
          <cell r="R61">
            <v>47500</v>
          </cell>
          <cell r="S61" t="str">
            <v>-</v>
          </cell>
          <cell r="T61" t="str">
            <v>-</v>
          </cell>
          <cell r="U61" t="str">
            <v>-</v>
          </cell>
          <cell r="V61">
            <v>50200</v>
          </cell>
          <cell r="W61" t="str">
            <v>-</v>
          </cell>
        </row>
        <row r="62">
          <cell r="A62">
            <v>44328</v>
          </cell>
          <cell r="B62">
            <v>51800</v>
          </cell>
          <cell r="C62">
            <v>52200</v>
          </cell>
          <cell r="D62">
            <v>50800</v>
          </cell>
          <cell r="E62">
            <v>50000</v>
          </cell>
          <cell r="F62">
            <v>52300</v>
          </cell>
          <cell r="G62" t="str">
            <v>-</v>
          </cell>
          <cell r="H62">
            <v>49600</v>
          </cell>
          <cell r="I62" t="str">
            <v>-</v>
          </cell>
          <cell r="J62">
            <v>50500</v>
          </cell>
          <cell r="K62" t="str">
            <v>-</v>
          </cell>
          <cell r="L62">
            <v>52400</v>
          </cell>
          <cell r="M62">
            <v>50700</v>
          </cell>
          <cell r="N62">
            <v>50200</v>
          </cell>
          <cell r="O62" t="str">
            <v>-</v>
          </cell>
          <cell r="P62">
            <v>48000</v>
          </cell>
          <cell r="Q62">
            <v>47600</v>
          </cell>
          <cell r="R62">
            <v>47850</v>
          </cell>
          <cell r="S62" t="str">
            <v>-</v>
          </cell>
          <cell r="T62" t="str">
            <v>-</v>
          </cell>
          <cell r="U62" t="str">
            <v>-</v>
          </cell>
          <cell r="V62">
            <v>50600</v>
          </cell>
          <cell r="W62" t="str">
            <v>-</v>
          </cell>
        </row>
        <row r="63">
          <cell r="A63">
            <v>44329</v>
          </cell>
          <cell r="B63">
            <v>52100</v>
          </cell>
          <cell r="C63">
            <v>52300</v>
          </cell>
          <cell r="D63">
            <v>50800</v>
          </cell>
          <cell r="E63">
            <v>50250</v>
          </cell>
          <cell r="F63">
            <v>52300</v>
          </cell>
          <cell r="G63" t="str">
            <v>-</v>
          </cell>
          <cell r="H63">
            <v>50000</v>
          </cell>
          <cell r="I63" t="str">
            <v>-</v>
          </cell>
          <cell r="J63">
            <v>50500</v>
          </cell>
          <cell r="K63" t="str">
            <v>-</v>
          </cell>
          <cell r="L63">
            <v>52600</v>
          </cell>
          <cell r="M63">
            <v>50900</v>
          </cell>
          <cell r="N63">
            <v>50200</v>
          </cell>
          <cell r="O63" t="str">
            <v>-</v>
          </cell>
          <cell r="P63">
            <v>48500</v>
          </cell>
          <cell r="Q63">
            <v>48000</v>
          </cell>
          <cell r="R63">
            <v>48000</v>
          </cell>
          <cell r="S63" t="str">
            <v>-</v>
          </cell>
          <cell r="T63" t="str">
            <v>-</v>
          </cell>
          <cell r="U63" t="str">
            <v>-</v>
          </cell>
          <cell r="V63">
            <v>51100</v>
          </cell>
          <cell r="W63" t="str">
            <v>-</v>
          </cell>
        </row>
        <row r="64">
          <cell r="A64">
            <v>44330</v>
          </cell>
          <cell r="B64">
            <v>52100</v>
          </cell>
          <cell r="C64">
            <v>52300</v>
          </cell>
          <cell r="D64">
            <v>50600</v>
          </cell>
          <cell r="E64">
            <v>49250</v>
          </cell>
          <cell r="F64">
            <v>52200</v>
          </cell>
          <cell r="G64" t="str">
            <v>-</v>
          </cell>
          <cell r="H64">
            <v>49500</v>
          </cell>
          <cell r="I64" t="str">
            <v>-</v>
          </cell>
          <cell r="J64">
            <v>50500</v>
          </cell>
          <cell r="K64" t="str">
            <v>-</v>
          </cell>
          <cell r="L64">
            <v>52200</v>
          </cell>
          <cell r="M64">
            <v>50900</v>
          </cell>
          <cell r="N64">
            <v>49800</v>
          </cell>
          <cell r="O64" t="str">
            <v>-</v>
          </cell>
          <cell r="P64">
            <v>47700</v>
          </cell>
          <cell r="Q64">
            <v>47600</v>
          </cell>
          <cell r="R64">
            <v>47500</v>
          </cell>
          <cell r="S64" t="str">
            <v>-</v>
          </cell>
          <cell r="T64" t="str">
            <v>-</v>
          </cell>
          <cell r="U64" t="str">
            <v>-</v>
          </cell>
          <cell r="V64">
            <v>51100</v>
          </cell>
          <cell r="W64" t="str">
            <v>-</v>
          </cell>
        </row>
        <row r="65">
          <cell r="A65">
            <v>44331</v>
          </cell>
          <cell r="B65">
            <v>52100</v>
          </cell>
          <cell r="C65">
            <v>52300</v>
          </cell>
          <cell r="D65">
            <v>50200</v>
          </cell>
          <cell r="E65">
            <v>48750</v>
          </cell>
          <cell r="F65">
            <v>52200</v>
          </cell>
          <cell r="G65" t="str">
            <v>-</v>
          </cell>
          <cell r="H65">
            <v>49500</v>
          </cell>
          <cell r="I65" t="str">
            <v>-</v>
          </cell>
          <cell r="J65">
            <v>50400</v>
          </cell>
          <cell r="K65" t="str">
            <v>-</v>
          </cell>
          <cell r="L65">
            <v>52200</v>
          </cell>
          <cell r="M65">
            <v>50900</v>
          </cell>
          <cell r="N65">
            <v>50000</v>
          </cell>
          <cell r="O65" t="str">
            <v>-</v>
          </cell>
          <cell r="P65">
            <v>48000</v>
          </cell>
          <cell r="Q65">
            <v>47600</v>
          </cell>
          <cell r="R65">
            <v>47800</v>
          </cell>
          <cell r="S65" t="str">
            <v>-</v>
          </cell>
          <cell r="T65" t="str">
            <v>-</v>
          </cell>
          <cell r="U65" t="str">
            <v>-</v>
          </cell>
          <cell r="V65">
            <v>51200</v>
          </cell>
          <cell r="W65" t="str">
            <v>-</v>
          </cell>
        </row>
        <row r="66">
          <cell r="A66">
            <v>44332</v>
          </cell>
          <cell r="B66" t="str">
            <v>H</v>
          </cell>
          <cell r="C66" t="str">
            <v>H</v>
          </cell>
          <cell r="D66" t="str">
            <v>H</v>
          </cell>
          <cell r="E66" t="str">
            <v>H</v>
          </cell>
          <cell r="F66" t="str">
            <v>H</v>
          </cell>
          <cell r="G66" t="str">
            <v>H</v>
          </cell>
          <cell r="H66" t="str">
            <v>H</v>
          </cell>
          <cell r="I66" t="str">
            <v>H</v>
          </cell>
          <cell r="J66" t="str">
            <v>H</v>
          </cell>
          <cell r="K66" t="str">
            <v>H</v>
          </cell>
          <cell r="L66" t="str">
            <v>H</v>
          </cell>
          <cell r="M66" t="str">
            <v>H</v>
          </cell>
          <cell r="N66" t="str">
            <v>H</v>
          </cell>
          <cell r="O66" t="str">
            <v>H</v>
          </cell>
          <cell r="P66" t="str">
            <v>H</v>
          </cell>
          <cell r="Q66" t="str">
            <v>H</v>
          </cell>
          <cell r="R66" t="str">
            <v>H</v>
          </cell>
          <cell r="S66" t="str">
            <v>H</v>
          </cell>
          <cell r="T66" t="str">
            <v>H</v>
          </cell>
          <cell r="U66" t="str">
            <v>H</v>
          </cell>
          <cell r="V66" t="str">
            <v>H</v>
          </cell>
          <cell r="W66" t="str">
            <v>H</v>
          </cell>
        </row>
        <row r="67">
          <cell r="A67">
            <v>44333</v>
          </cell>
          <cell r="B67">
            <v>51700</v>
          </cell>
          <cell r="C67">
            <v>52300</v>
          </cell>
          <cell r="D67">
            <v>50000</v>
          </cell>
          <cell r="E67">
            <v>48750</v>
          </cell>
          <cell r="F67">
            <v>52000</v>
          </cell>
          <cell r="G67" t="str">
            <v>-</v>
          </cell>
          <cell r="H67">
            <v>49500</v>
          </cell>
          <cell r="I67" t="str">
            <v>-</v>
          </cell>
          <cell r="J67">
            <v>50400</v>
          </cell>
          <cell r="K67" t="str">
            <v>-</v>
          </cell>
          <cell r="L67">
            <v>52200</v>
          </cell>
          <cell r="M67">
            <v>50600</v>
          </cell>
          <cell r="N67">
            <v>50000</v>
          </cell>
          <cell r="O67" t="str">
            <v>-</v>
          </cell>
          <cell r="P67">
            <v>48000</v>
          </cell>
          <cell r="Q67">
            <v>47600</v>
          </cell>
          <cell r="R67">
            <v>47900</v>
          </cell>
          <cell r="S67" t="str">
            <v>-</v>
          </cell>
          <cell r="T67" t="str">
            <v>-</v>
          </cell>
          <cell r="U67" t="str">
            <v>-</v>
          </cell>
          <cell r="V67">
            <v>51300</v>
          </cell>
          <cell r="W67" t="str">
            <v>-</v>
          </cell>
        </row>
        <row r="68">
          <cell r="A68">
            <v>44334</v>
          </cell>
          <cell r="B68">
            <v>51400</v>
          </cell>
          <cell r="C68">
            <v>52300</v>
          </cell>
          <cell r="D68">
            <v>50000</v>
          </cell>
          <cell r="E68">
            <v>48250</v>
          </cell>
          <cell r="F68">
            <v>51900</v>
          </cell>
          <cell r="G68" t="str">
            <v>-</v>
          </cell>
          <cell r="H68">
            <v>49000</v>
          </cell>
          <cell r="I68" t="str">
            <v>-</v>
          </cell>
          <cell r="J68">
            <v>50400</v>
          </cell>
          <cell r="K68" t="str">
            <v>-</v>
          </cell>
          <cell r="L68">
            <v>52000</v>
          </cell>
          <cell r="M68">
            <v>50300</v>
          </cell>
          <cell r="N68">
            <v>49700</v>
          </cell>
          <cell r="O68" t="str">
            <v>-</v>
          </cell>
          <cell r="P68">
            <v>47300</v>
          </cell>
          <cell r="Q68">
            <v>47000</v>
          </cell>
          <cell r="R68">
            <v>47500</v>
          </cell>
          <cell r="S68" t="str">
            <v>-</v>
          </cell>
          <cell r="T68" t="str">
            <v>-</v>
          </cell>
          <cell r="U68" t="str">
            <v>-</v>
          </cell>
          <cell r="V68">
            <v>51300</v>
          </cell>
          <cell r="W68" t="str">
            <v>-</v>
          </cell>
        </row>
        <row r="69">
          <cell r="A69">
            <v>44335</v>
          </cell>
          <cell r="B69">
            <v>51400</v>
          </cell>
          <cell r="C69">
            <v>52100</v>
          </cell>
          <cell r="D69">
            <v>49500</v>
          </cell>
          <cell r="E69">
            <v>47750</v>
          </cell>
          <cell r="F69">
            <v>51400</v>
          </cell>
          <cell r="G69" t="str">
            <v>-</v>
          </cell>
          <cell r="H69">
            <v>48500</v>
          </cell>
          <cell r="I69" t="str">
            <v>-</v>
          </cell>
          <cell r="J69">
            <v>50200</v>
          </cell>
          <cell r="K69" t="str">
            <v>-</v>
          </cell>
          <cell r="L69">
            <v>51700</v>
          </cell>
          <cell r="M69">
            <v>50100</v>
          </cell>
          <cell r="N69">
            <v>49300</v>
          </cell>
          <cell r="O69" t="str">
            <v>-</v>
          </cell>
          <cell r="P69">
            <v>46700</v>
          </cell>
          <cell r="Q69">
            <v>46200</v>
          </cell>
          <cell r="R69">
            <v>47300</v>
          </cell>
          <cell r="S69" t="str">
            <v>-</v>
          </cell>
          <cell r="T69" t="str">
            <v>-</v>
          </cell>
          <cell r="U69" t="str">
            <v>-</v>
          </cell>
          <cell r="V69">
            <v>51300</v>
          </cell>
          <cell r="W69" t="str">
            <v>-</v>
          </cell>
        </row>
        <row r="70">
          <cell r="A70">
            <v>44336</v>
          </cell>
          <cell r="B70">
            <v>50700</v>
          </cell>
          <cell r="C70">
            <v>52200</v>
          </cell>
          <cell r="D70">
            <v>49300</v>
          </cell>
          <cell r="E70">
            <v>47700</v>
          </cell>
          <cell r="F70">
            <v>51100</v>
          </cell>
          <cell r="G70" t="str">
            <v>-</v>
          </cell>
          <cell r="H70">
            <v>48500</v>
          </cell>
          <cell r="I70" t="str">
            <v>-</v>
          </cell>
          <cell r="J70">
            <v>50200</v>
          </cell>
          <cell r="K70" t="str">
            <v>-</v>
          </cell>
          <cell r="L70">
            <v>51700</v>
          </cell>
          <cell r="M70">
            <v>49800</v>
          </cell>
          <cell r="N70">
            <v>49200</v>
          </cell>
          <cell r="O70" t="str">
            <v>-</v>
          </cell>
          <cell r="P70">
            <v>46600</v>
          </cell>
          <cell r="Q70">
            <v>46300</v>
          </cell>
          <cell r="R70">
            <v>46800</v>
          </cell>
          <cell r="S70" t="str">
            <v>-</v>
          </cell>
          <cell r="T70" t="str">
            <v>-</v>
          </cell>
          <cell r="U70" t="str">
            <v>-</v>
          </cell>
          <cell r="V70">
            <v>50900</v>
          </cell>
          <cell r="W70" t="str">
            <v>-</v>
          </cell>
        </row>
        <row r="71">
          <cell r="A71">
            <v>44337</v>
          </cell>
          <cell r="B71">
            <v>50200</v>
          </cell>
          <cell r="C71">
            <v>51800</v>
          </cell>
          <cell r="D71">
            <v>48700</v>
          </cell>
          <cell r="E71">
            <v>47000</v>
          </cell>
          <cell r="F71">
            <v>50900</v>
          </cell>
          <cell r="G71" t="str">
            <v>-</v>
          </cell>
          <cell r="H71">
            <v>48500</v>
          </cell>
          <cell r="I71" t="str">
            <v>-</v>
          </cell>
          <cell r="J71">
            <v>50000</v>
          </cell>
          <cell r="K71" t="str">
            <v>-</v>
          </cell>
          <cell r="L71">
            <v>51000</v>
          </cell>
          <cell r="M71">
            <v>49300</v>
          </cell>
          <cell r="N71">
            <v>48300</v>
          </cell>
          <cell r="O71" t="str">
            <v>-</v>
          </cell>
          <cell r="P71">
            <v>45700</v>
          </cell>
          <cell r="Q71">
            <v>45500</v>
          </cell>
          <cell r="R71">
            <v>46300</v>
          </cell>
          <cell r="S71" t="str">
            <v>-</v>
          </cell>
          <cell r="T71" t="str">
            <v>-</v>
          </cell>
          <cell r="U71" t="str">
            <v>-</v>
          </cell>
          <cell r="V71">
            <v>50600</v>
          </cell>
          <cell r="W71" t="str">
            <v>-</v>
          </cell>
        </row>
        <row r="72">
          <cell r="A72">
            <v>44338</v>
          </cell>
          <cell r="B72">
            <v>49900</v>
          </cell>
          <cell r="C72">
            <v>51800</v>
          </cell>
          <cell r="D72">
            <v>49300</v>
          </cell>
          <cell r="E72">
            <v>47700</v>
          </cell>
          <cell r="F72">
            <v>50900</v>
          </cell>
          <cell r="G72" t="str">
            <v>-</v>
          </cell>
          <cell r="H72">
            <v>48500</v>
          </cell>
          <cell r="I72" t="str">
            <v>-</v>
          </cell>
          <cell r="J72">
            <v>49700</v>
          </cell>
          <cell r="K72" t="str">
            <v>-</v>
          </cell>
          <cell r="L72">
            <v>51100</v>
          </cell>
          <cell r="M72">
            <v>48800</v>
          </cell>
          <cell r="N72">
            <v>48600</v>
          </cell>
          <cell r="O72" t="str">
            <v>-</v>
          </cell>
          <cell r="P72">
            <v>46200</v>
          </cell>
          <cell r="Q72">
            <v>45600</v>
          </cell>
          <cell r="R72">
            <v>46900</v>
          </cell>
          <cell r="S72" t="str">
            <v>-</v>
          </cell>
          <cell r="T72" t="str">
            <v>-</v>
          </cell>
          <cell r="U72" t="str">
            <v>-</v>
          </cell>
          <cell r="V72">
            <v>50500</v>
          </cell>
          <cell r="W72" t="str">
            <v>-</v>
          </cell>
        </row>
        <row r="73">
          <cell r="A73">
            <v>44339</v>
          </cell>
          <cell r="B73" t="str">
            <v>H</v>
          </cell>
          <cell r="C73" t="str">
            <v>H</v>
          </cell>
          <cell r="D73" t="str">
            <v>H</v>
          </cell>
          <cell r="E73" t="str">
            <v>H</v>
          </cell>
          <cell r="F73" t="str">
            <v>H</v>
          </cell>
          <cell r="G73" t="str">
            <v>H</v>
          </cell>
          <cell r="H73" t="str">
            <v>H</v>
          </cell>
          <cell r="I73" t="str">
            <v>H</v>
          </cell>
          <cell r="J73" t="str">
            <v>H</v>
          </cell>
          <cell r="K73" t="str">
            <v>H</v>
          </cell>
          <cell r="L73" t="str">
            <v>H</v>
          </cell>
          <cell r="M73" t="str">
            <v>H</v>
          </cell>
          <cell r="N73" t="str">
            <v>H</v>
          </cell>
          <cell r="O73" t="str">
            <v>H</v>
          </cell>
          <cell r="P73" t="str">
            <v>H</v>
          </cell>
          <cell r="Q73" t="str">
            <v>H</v>
          </cell>
          <cell r="R73" t="str">
            <v>H</v>
          </cell>
          <cell r="S73" t="str">
            <v>H</v>
          </cell>
          <cell r="T73" t="str">
            <v>H</v>
          </cell>
          <cell r="U73" t="str">
            <v>H</v>
          </cell>
          <cell r="V73" t="str">
            <v>H</v>
          </cell>
          <cell r="W73" t="str">
            <v>H</v>
          </cell>
        </row>
        <row r="74">
          <cell r="A74">
            <v>44340</v>
          </cell>
          <cell r="B74">
            <v>49900</v>
          </cell>
          <cell r="C74">
            <v>51500</v>
          </cell>
          <cell r="D74">
            <v>49000</v>
          </cell>
          <cell r="E74">
            <v>47000</v>
          </cell>
          <cell r="F74">
            <v>50900</v>
          </cell>
          <cell r="G74" t="str">
            <v>-</v>
          </cell>
          <cell r="H74">
            <v>48000</v>
          </cell>
          <cell r="I74" t="str">
            <v>-</v>
          </cell>
          <cell r="J74">
            <v>49700</v>
          </cell>
          <cell r="K74" t="str">
            <v>-</v>
          </cell>
          <cell r="L74">
            <v>50800</v>
          </cell>
          <cell r="M74">
            <v>48800</v>
          </cell>
          <cell r="N74">
            <v>48300</v>
          </cell>
          <cell r="O74" t="str">
            <v>-</v>
          </cell>
          <cell r="P74">
            <v>45600</v>
          </cell>
          <cell r="Q74">
            <v>45400</v>
          </cell>
          <cell r="R74">
            <v>45800</v>
          </cell>
          <cell r="S74" t="str">
            <v>-</v>
          </cell>
          <cell r="T74" t="str">
            <v>-</v>
          </cell>
          <cell r="U74" t="str">
            <v>-</v>
          </cell>
          <cell r="V74">
            <v>49800</v>
          </cell>
          <cell r="W74" t="str">
            <v>-</v>
          </cell>
        </row>
        <row r="75">
          <cell r="A75">
            <v>44341</v>
          </cell>
          <cell r="B75">
            <v>49700</v>
          </cell>
          <cell r="C75">
            <v>51200</v>
          </cell>
          <cell r="D75">
            <v>48400</v>
          </cell>
          <cell r="E75">
            <v>46750</v>
          </cell>
          <cell r="F75">
            <v>50400</v>
          </cell>
          <cell r="G75" t="str">
            <v>-</v>
          </cell>
          <cell r="H75">
            <v>47500</v>
          </cell>
          <cell r="I75" t="str">
            <v>-</v>
          </cell>
          <cell r="J75">
            <v>49700</v>
          </cell>
          <cell r="K75" t="str">
            <v>-</v>
          </cell>
          <cell r="L75">
            <v>50500</v>
          </cell>
          <cell r="M75">
            <v>48800</v>
          </cell>
          <cell r="N75">
            <v>47500</v>
          </cell>
          <cell r="O75" t="str">
            <v>-</v>
          </cell>
          <cell r="P75">
            <v>45600</v>
          </cell>
          <cell r="Q75">
            <v>45200</v>
          </cell>
          <cell r="R75">
            <v>45800</v>
          </cell>
          <cell r="S75" t="str">
            <v>-</v>
          </cell>
          <cell r="T75" t="str">
            <v>-</v>
          </cell>
          <cell r="U75" t="str">
            <v>-</v>
          </cell>
          <cell r="V75">
            <v>49700</v>
          </cell>
          <cell r="W75" t="str">
            <v>-</v>
          </cell>
        </row>
        <row r="76">
          <cell r="A76">
            <v>44342</v>
          </cell>
          <cell r="B76">
            <v>48800</v>
          </cell>
          <cell r="C76">
            <v>51000</v>
          </cell>
          <cell r="D76">
            <v>47500</v>
          </cell>
          <cell r="E76">
            <v>45750</v>
          </cell>
          <cell r="F76">
            <v>50100</v>
          </cell>
          <cell r="G76" t="str">
            <v>-</v>
          </cell>
          <cell r="H76">
            <v>47000</v>
          </cell>
          <cell r="I76" t="str">
            <v>-</v>
          </cell>
          <cell r="J76">
            <v>48800</v>
          </cell>
          <cell r="K76" t="str">
            <v>-</v>
          </cell>
          <cell r="L76">
            <v>49900</v>
          </cell>
          <cell r="M76">
            <v>47900</v>
          </cell>
          <cell r="N76">
            <v>47100</v>
          </cell>
          <cell r="O76" t="str">
            <v>-</v>
          </cell>
          <cell r="P76">
            <v>44700</v>
          </cell>
          <cell r="Q76">
            <v>44900</v>
          </cell>
          <cell r="R76">
            <v>45500</v>
          </cell>
          <cell r="S76" t="str">
            <v>-</v>
          </cell>
          <cell r="T76" t="str">
            <v>-</v>
          </cell>
          <cell r="U76" t="str">
            <v>-</v>
          </cell>
          <cell r="V76">
            <v>49000</v>
          </cell>
          <cell r="W76" t="str">
            <v>-</v>
          </cell>
        </row>
        <row r="77">
          <cell r="A77">
            <v>44343</v>
          </cell>
          <cell r="B77">
            <v>48500</v>
          </cell>
          <cell r="C77">
            <v>51000</v>
          </cell>
          <cell r="D77">
            <v>47200</v>
          </cell>
          <cell r="E77">
            <v>45500</v>
          </cell>
          <cell r="F77">
            <v>49500</v>
          </cell>
          <cell r="G77" t="str">
            <v>-</v>
          </cell>
          <cell r="H77">
            <v>47000</v>
          </cell>
          <cell r="I77" t="str">
            <v>-</v>
          </cell>
          <cell r="J77">
            <v>48700</v>
          </cell>
          <cell r="K77" t="str">
            <v>-</v>
          </cell>
          <cell r="L77">
            <v>49500</v>
          </cell>
          <cell r="M77">
            <v>47600</v>
          </cell>
          <cell r="N77">
            <v>46500</v>
          </cell>
          <cell r="O77" t="str">
            <v>-</v>
          </cell>
          <cell r="P77">
            <v>44400</v>
          </cell>
          <cell r="Q77">
            <v>44300</v>
          </cell>
          <cell r="R77">
            <v>45400</v>
          </cell>
          <cell r="S77" t="str">
            <v>-</v>
          </cell>
          <cell r="T77" t="str">
            <v>-</v>
          </cell>
          <cell r="U77" t="str">
            <v>-</v>
          </cell>
          <cell r="V77">
            <v>48700</v>
          </cell>
          <cell r="W77" t="str">
            <v>-</v>
          </cell>
        </row>
        <row r="78">
          <cell r="A78">
            <v>44344</v>
          </cell>
          <cell r="B78">
            <v>48600</v>
          </cell>
          <cell r="C78">
            <v>50800</v>
          </cell>
          <cell r="D78">
            <v>47600</v>
          </cell>
          <cell r="E78">
            <v>45750</v>
          </cell>
          <cell r="F78">
            <v>48800</v>
          </cell>
          <cell r="G78" t="str">
            <v>-</v>
          </cell>
          <cell r="H78">
            <v>47200</v>
          </cell>
          <cell r="I78" t="str">
            <v>-</v>
          </cell>
          <cell r="J78">
            <v>48700</v>
          </cell>
          <cell r="K78" t="str">
            <v>-</v>
          </cell>
          <cell r="L78">
            <v>50000</v>
          </cell>
          <cell r="M78">
            <v>47600</v>
          </cell>
          <cell r="N78">
            <v>46900</v>
          </cell>
          <cell r="O78" t="str">
            <v>-</v>
          </cell>
          <cell r="P78">
            <v>45200</v>
          </cell>
          <cell r="Q78">
            <v>44700</v>
          </cell>
          <cell r="R78">
            <v>45500</v>
          </cell>
          <cell r="S78" t="str">
            <v>-</v>
          </cell>
          <cell r="T78" t="str">
            <v>-</v>
          </cell>
          <cell r="U78" t="str">
            <v>-</v>
          </cell>
          <cell r="V78">
            <v>48700</v>
          </cell>
          <cell r="W78" t="str">
            <v>-</v>
          </cell>
        </row>
        <row r="79">
          <cell r="A79">
            <v>44345</v>
          </cell>
          <cell r="B79">
            <v>48500</v>
          </cell>
          <cell r="C79">
            <v>50800</v>
          </cell>
          <cell r="D79">
            <v>47500</v>
          </cell>
          <cell r="E79">
            <v>45500</v>
          </cell>
          <cell r="F79">
            <v>48700</v>
          </cell>
          <cell r="G79" t="str">
            <v>-</v>
          </cell>
          <cell r="H79">
            <v>47500</v>
          </cell>
          <cell r="I79" t="str">
            <v>-</v>
          </cell>
          <cell r="J79">
            <v>48700</v>
          </cell>
          <cell r="K79" t="str">
            <v>-</v>
          </cell>
          <cell r="L79">
            <v>49700</v>
          </cell>
          <cell r="M79">
            <v>47800</v>
          </cell>
          <cell r="N79">
            <v>46800</v>
          </cell>
          <cell r="O79" t="str">
            <v>-</v>
          </cell>
          <cell r="P79">
            <v>45300</v>
          </cell>
          <cell r="Q79">
            <v>44700</v>
          </cell>
          <cell r="R79">
            <v>45200</v>
          </cell>
          <cell r="S79" t="str">
            <v>-</v>
          </cell>
          <cell r="T79" t="str">
            <v>-</v>
          </cell>
          <cell r="U79" t="str">
            <v>-</v>
          </cell>
          <cell r="V79">
            <v>48600</v>
          </cell>
          <cell r="W79" t="str">
            <v>-</v>
          </cell>
        </row>
        <row r="80">
          <cell r="A80">
            <v>44346</v>
          </cell>
          <cell r="B80" t="str">
            <v>H</v>
          </cell>
          <cell r="C80" t="str">
            <v>H</v>
          </cell>
          <cell r="D80" t="str">
            <v>H</v>
          </cell>
          <cell r="E80" t="str">
            <v>H</v>
          </cell>
          <cell r="F80" t="str">
            <v>H</v>
          </cell>
          <cell r="G80" t="str">
            <v>H</v>
          </cell>
          <cell r="H80" t="str">
            <v>H</v>
          </cell>
          <cell r="I80" t="str">
            <v>H</v>
          </cell>
          <cell r="J80" t="str">
            <v>H</v>
          </cell>
          <cell r="K80" t="str">
            <v>H</v>
          </cell>
          <cell r="L80" t="str">
            <v>H</v>
          </cell>
          <cell r="M80" t="str">
            <v>H</v>
          </cell>
          <cell r="N80" t="str">
            <v>H</v>
          </cell>
          <cell r="O80" t="str">
            <v>H</v>
          </cell>
          <cell r="P80" t="str">
            <v>H</v>
          </cell>
          <cell r="Q80" t="str">
            <v>H</v>
          </cell>
          <cell r="R80" t="str">
            <v>H</v>
          </cell>
          <cell r="S80" t="str">
            <v>H</v>
          </cell>
          <cell r="T80" t="str">
            <v>H</v>
          </cell>
          <cell r="U80" t="str">
            <v>H</v>
          </cell>
          <cell r="V80" t="str">
            <v>H</v>
          </cell>
          <cell r="W80" t="str">
            <v>H</v>
          </cell>
        </row>
        <row r="81">
          <cell r="A81">
            <v>44347</v>
          </cell>
          <cell r="B81">
            <v>48600</v>
          </cell>
          <cell r="C81">
            <v>50800</v>
          </cell>
          <cell r="D81">
            <v>47600</v>
          </cell>
          <cell r="E81">
            <v>45700</v>
          </cell>
          <cell r="F81">
            <v>48700</v>
          </cell>
          <cell r="G81" t="str">
            <v>-</v>
          </cell>
          <cell r="H81">
            <v>47500</v>
          </cell>
          <cell r="I81" t="str">
            <v>-</v>
          </cell>
          <cell r="J81">
            <v>48700</v>
          </cell>
          <cell r="K81" t="str">
            <v>-</v>
          </cell>
          <cell r="L81">
            <v>49800</v>
          </cell>
          <cell r="M81">
            <v>47800</v>
          </cell>
          <cell r="N81">
            <v>47000</v>
          </cell>
          <cell r="O81" t="str">
            <v>-</v>
          </cell>
          <cell r="P81">
            <v>45100</v>
          </cell>
          <cell r="Q81">
            <v>44900</v>
          </cell>
          <cell r="R81">
            <v>45300</v>
          </cell>
          <cell r="S81" t="str">
            <v>-</v>
          </cell>
          <cell r="T81" t="str">
            <v>-</v>
          </cell>
          <cell r="U81" t="str">
            <v>-</v>
          </cell>
          <cell r="V81">
            <v>48700</v>
          </cell>
          <cell r="W81" t="str">
            <v>-</v>
          </cell>
        </row>
        <row r="82">
          <cell r="A82">
            <v>44348</v>
          </cell>
          <cell r="B82">
            <v>48700</v>
          </cell>
          <cell r="C82">
            <v>50800</v>
          </cell>
          <cell r="D82">
            <v>47800</v>
          </cell>
          <cell r="E82">
            <v>46100</v>
          </cell>
          <cell r="F82">
            <v>48700</v>
          </cell>
          <cell r="G82" t="str">
            <v>-</v>
          </cell>
          <cell r="H82">
            <v>48000</v>
          </cell>
          <cell r="I82" t="str">
            <v>-</v>
          </cell>
          <cell r="J82">
            <v>48700</v>
          </cell>
          <cell r="K82" t="str">
            <v>-</v>
          </cell>
          <cell r="L82">
            <v>50300</v>
          </cell>
          <cell r="M82">
            <v>47800</v>
          </cell>
          <cell r="N82">
            <v>47600</v>
          </cell>
          <cell r="O82" t="str">
            <v>-</v>
          </cell>
          <cell r="P82">
            <v>45600</v>
          </cell>
          <cell r="Q82">
            <v>45300</v>
          </cell>
          <cell r="R82">
            <v>45500</v>
          </cell>
          <cell r="S82" t="str">
            <v>-</v>
          </cell>
          <cell r="T82" t="str">
            <v>-</v>
          </cell>
          <cell r="U82" t="str">
            <v>-</v>
          </cell>
          <cell r="V82">
            <v>48800</v>
          </cell>
          <cell r="W82" t="str">
            <v>-</v>
          </cell>
        </row>
        <row r="83">
          <cell r="A83">
            <v>44349</v>
          </cell>
          <cell r="B83">
            <v>48900</v>
          </cell>
          <cell r="C83">
            <v>50800</v>
          </cell>
          <cell r="D83">
            <v>48500</v>
          </cell>
          <cell r="E83">
            <v>46500</v>
          </cell>
          <cell r="F83">
            <v>48700</v>
          </cell>
          <cell r="G83" t="str">
            <v>-</v>
          </cell>
          <cell r="H83">
            <v>48500</v>
          </cell>
          <cell r="I83" t="str">
            <v>-</v>
          </cell>
          <cell r="J83">
            <v>48700</v>
          </cell>
          <cell r="K83" t="str">
            <v>-</v>
          </cell>
          <cell r="L83">
            <v>50800</v>
          </cell>
          <cell r="M83">
            <v>47800</v>
          </cell>
          <cell r="N83">
            <v>48050</v>
          </cell>
          <cell r="O83" t="str">
            <v>-</v>
          </cell>
          <cell r="P83">
            <v>46500</v>
          </cell>
          <cell r="Q83">
            <v>46200</v>
          </cell>
          <cell r="R83">
            <v>46600</v>
          </cell>
          <cell r="S83" t="str">
            <v>-</v>
          </cell>
          <cell r="T83" t="str">
            <v>-</v>
          </cell>
          <cell r="U83" t="str">
            <v>-</v>
          </cell>
          <cell r="V83">
            <v>49100</v>
          </cell>
          <cell r="W83" t="str">
            <v>-</v>
          </cell>
        </row>
        <row r="84">
          <cell r="A84">
            <v>44350</v>
          </cell>
          <cell r="B84">
            <v>49300</v>
          </cell>
          <cell r="C84">
            <v>50800</v>
          </cell>
          <cell r="D84">
            <v>48900</v>
          </cell>
          <cell r="E84">
            <v>47000</v>
          </cell>
          <cell r="F84">
            <v>49000</v>
          </cell>
          <cell r="G84" t="str">
            <v>-</v>
          </cell>
          <cell r="H84">
            <v>49000</v>
          </cell>
          <cell r="I84" t="str">
            <v>-</v>
          </cell>
          <cell r="J84">
            <v>48700</v>
          </cell>
          <cell r="K84" t="str">
            <v>-</v>
          </cell>
          <cell r="L84">
            <v>51500</v>
          </cell>
          <cell r="M84">
            <v>47800</v>
          </cell>
          <cell r="N84">
            <v>48600</v>
          </cell>
          <cell r="O84" t="str">
            <v>-</v>
          </cell>
          <cell r="P84">
            <v>47000</v>
          </cell>
          <cell r="Q84">
            <v>46600</v>
          </cell>
          <cell r="R84">
            <v>47100</v>
          </cell>
          <cell r="S84" t="str">
            <v>-</v>
          </cell>
          <cell r="T84" t="str">
            <v>-</v>
          </cell>
          <cell r="U84" t="str">
            <v>-</v>
          </cell>
          <cell r="V84">
            <v>49400</v>
          </cell>
          <cell r="W84" t="str">
            <v>-</v>
          </cell>
        </row>
        <row r="85">
          <cell r="A85">
            <v>44351</v>
          </cell>
          <cell r="B85">
            <v>49400</v>
          </cell>
          <cell r="C85">
            <v>51000</v>
          </cell>
          <cell r="D85">
            <v>49600</v>
          </cell>
          <cell r="E85">
            <v>47800</v>
          </cell>
          <cell r="F85">
            <v>49200</v>
          </cell>
          <cell r="G85" t="str">
            <v>-</v>
          </cell>
          <cell r="H85">
            <v>49000</v>
          </cell>
          <cell r="I85" t="str">
            <v>-</v>
          </cell>
          <cell r="J85">
            <v>48800</v>
          </cell>
          <cell r="K85" t="str">
            <v>-</v>
          </cell>
          <cell r="L85">
            <v>51900</v>
          </cell>
          <cell r="M85">
            <v>48000</v>
          </cell>
          <cell r="N85">
            <v>49200</v>
          </cell>
          <cell r="O85" t="str">
            <v>-</v>
          </cell>
          <cell r="P85">
            <v>47000</v>
          </cell>
          <cell r="Q85">
            <v>46700</v>
          </cell>
          <cell r="R85">
            <v>47400</v>
          </cell>
          <cell r="S85" t="str">
            <v>-</v>
          </cell>
          <cell r="T85" t="str">
            <v>-</v>
          </cell>
          <cell r="U85" t="str">
            <v>-</v>
          </cell>
          <cell r="V85">
            <v>49600</v>
          </cell>
          <cell r="W85" t="str">
            <v>-</v>
          </cell>
        </row>
        <row r="86">
          <cell r="A86">
            <v>44352</v>
          </cell>
          <cell r="B86">
            <v>49600</v>
          </cell>
          <cell r="C86">
            <v>51300</v>
          </cell>
          <cell r="D86">
            <v>50300</v>
          </cell>
          <cell r="E86">
            <v>48000</v>
          </cell>
          <cell r="F86">
            <v>49200</v>
          </cell>
          <cell r="G86" t="str">
            <v>-</v>
          </cell>
          <cell r="H86">
            <v>48700</v>
          </cell>
          <cell r="I86" t="str">
            <v>-</v>
          </cell>
          <cell r="J86">
            <v>48900</v>
          </cell>
          <cell r="K86" t="str">
            <v>-</v>
          </cell>
          <cell r="L86">
            <v>52200</v>
          </cell>
          <cell r="M86">
            <v>48200</v>
          </cell>
          <cell r="N86">
            <v>49250</v>
          </cell>
          <cell r="O86" t="str">
            <v>-</v>
          </cell>
          <cell r="P86">
            <v>46800</v>
          </cell>
          <cell r="Q86">
            <v>46800</v>
          </cell>
          <cell r="R86">
            <v>47000</v>
          </cell>
          <cell r="S86" t="str">
            <v>-</v>
          </cell>
          <cell r="T86" t="str">
            <v>-</v>
          </cell>
          <cell r="U86" t="str">
            <v>-</v>
          </cell>
          <cell r="V86">
            <v>49800</v>
          </cell>
          <cell r="W86" t="str">
            <v>-</v>
          </cell>
        </row>
        <row r="87">
          <cell r="A87">
            <v>44353</v>
          </cell>
          <cell r="B87" t="str">
            <v>H</v>
          </cell>
          <cell r="C87" t="str">
            <v>H</v>
          </cell>
          <cell r="D87" t="str">
            <v>H</v>
          </cell>
          <cell r="E87" t="str">
            <v>H</v>
          </cell>
          <cell r="F87" t="str">
            <v>H</v>
          </cell>
          <cell r="G87" t="str">
            <v>H</v>
          </cell>
          <cell r="H87" t="str">
            <v>H</v>
          </cell>
          <cell r="I87" t="str">
            <v>H</v>
          </cell>
          <cell r="J87" t="str">
            <v>H</v>
          </cell>
          <cell r="K87" t="str">
            <v>H</v>
          </cell>
          <cell r="L87" t="str">
            <v>H</v>
          </cell>
          <cell r="M87" t="str">
            <v>H</v>
          </cell>
          <cell r="N87" t="str">
            <v>H</v>
          </cell>
          <cell r="O87" t="str">
            <v>H</v>
          </cell>
          <cell r="P87" t="str">
            <v>H</v>
          </cell>
          <cell r="Q87" t="str">
            <v>H</v>
          </cell>
          <cell r="R87" t="str">
            <v>H</v>
          </cell>
          <cell r="S87" t="str">
            <v>H</v>
          </cell>
          <cell r="T87" t="str">
            <v>H</v>
          </cell>
          <cell r="U87" t="str">
            <v>H</v>
          </cell>
          <cell r="V87" t="str">
            <v>H</v>
          </cell>
          <cell r="W87" t="str">
            <v>H</v>
          </cell>
        </row>
        <row r="88">
          <cell r="A88">
            <v>44354</v>
          </cell>
          <cell r="B88">
            <v>49600</v>
          </cell>
          <cell r="C88">
            <v>51300</v>
          </cell>
          <cell r="D88">
            <v>50000</v>
          </cell>
          <cell r="E88">
            <v>47500</v>
          </cell>
          <cell r="F88">
            <v>49100</v>
          </cell>
          <cell r="G88" t="str">
            <v>-</v>
          </cell>
          <cell r="H88">
            <v>48000</v>
          </cell>
          <cell r="I88" t="str">
            <v>-</v>
          </cell>
          <cell r="J88">
            <v>48900</v>
          </cell>
          <cell r="K88" t="str">
            <v>-</v>
          </cell>
          <cell r="L88">
            <v>52100</v>
          </cell>
          <cell r="M88">
            <v>48200</v>
          </cell>
          <cell r="N88">
            <v>49000</v>
          </cell>
          <cell r="O88" t="str">
            <v>-</v>
          </cell>
          <cell r="P88">
            <v>46600</v>
          </cell>
          <cell r="Q88">
            <v>46600</v>
          </cell>
          <cell r="R88">
            <v>46600</v>
          </cell>
          <cell r="S88" t="str">
            <v>-</v>
          </cell>
          <cell r="T88" t="str">
            <v>-</v>
          </cell>
          <cell r="U88" t="str">
            <v>-</v>
          </cell>
          <cell r="V88">
            <v>49800</v>
          </cell>
          <cell r="W88" t="str">
            <v>-</v>
          </cell>
        </row>
        <row r="89">
          <cell r="A89">
            <v>44355</v>
          </cell>
          <cell r="B89">
            <v>49300</v>
          </cell>
          <cell r="C89">
            <v>51200</v>
          </cell>
          <cell r="D89">
            <v>49900</v>
          </cell>
          <cell r="E89">
            <v>47500</v>
          </cell>
          <cell r="F89">
            <v>49000</v>
          </cell>
          <cell r="G89" t="str">
            <v>-</v>
          </cell>
          <cell r="H89">
            <v>47500</v>
          </cell>
          <cell r="I89" t="str">
            <v>-</v>
          </cell>
          <cell r="J89">
            <v>48800</v>
          </cell>
          <cell r="K89" t="str">
            <v>-</v>
          </cell>
          <cell r="L89">
            <v>51800</v>
          </cell>
          <cell r="M89">
            <v>47600</v>
          </cell>
          <cell r="N89">
            <v>49000</v>
          </cell>
          <cell r="O89" t="str">
            <v>-</v>
          </cell>
          <cell r="P89">
            <v>46400</v>
          </cell>
          <cell r="Q89">
            <v>46000</v>
          </cell>
          <cell r="R89">
            <v>46450</v>
          </cell>
          <cell r="S89" t="str">
            <v>-</v>
          </cell>
          <cell r="T89" t="str">
            <v>-</v>
          </cell>
          <cell r="U89" t="str">
            <v>-</v>
          </cell>
          <cell r="V89">
            <v>49600</v>
          </cell>
          <cell r="W89" t="str">
            <v>-</v>
          </cell>
        </row>
        <row r="90">
          <cell r="A90">
            <v>44356</v>
          </cell>
          <cell r="B90">
            <v>49100</v>
          </cell>
          <cell r="C90">
            <v>51100</v>
          </cell>
          <cell r="D90">
            <v>49500</v>
          </cell>
          <cell r="E90">
            <v>47000</v>
          </cell>
          <cell r="F90">
            <v>48700</v>
          </cell>
          <cell r="G90" t="str">
            <v>-</v>
          </cell>
          <cell r="H90">
            <v>47500</v>
          </cell>
          <cell r="I90" t="str">
            <v>-</v>
          </cell>
          <cell r="J90">
            <v>48200</v>
          </cell>
          <cell r="K90" t="str">
            <v>-</v>
          </cell>
          <cell r="L90">
            <v>51600</v>
          </cell>
          <cell r="M90">
            <v>47300</v>
          </cell>
          <cell r="N90">
            <v>48500</v>
          </cell>
          <cell r="O90" t="str">
            <v>-</v>
          </cell>
          <cell r="P90">
            <v>46000</v>
          </cell>
          <cell r="Q90">
            <v>46000</v>
          </cell>
          <cell r="R90">
            <v>46500</v>
          </cell>
          <cell r="S90" t="str">
            <v>-</v>
          </cell>
          <cell r="T90" t="str">
            <v>-</v>
          </cell>
          <cell r="U90" t="str">
            <v>-</v>
          </cell>
          <cell r="V90">
            <v>49300</v>
          </cell>
          <cell r="W90" t="str">
            <v>-</v>
          </cell>
        </row>
        <row r="91">
          <cell r="A91">
            <v>44357</v>
          </cell>
          <cell r="B91">
            <v>49200</v>
          </cell>
          <cell r="C91">
            <v>51200</v>
          </cell>
          <cell r="D91">
            <v>49700</v>
          </cell>
          <cell r="E91">
            <v>47250</v>
          </cell>
          <cell r="F91">
            <v>48400</v>
          </cell>
          <cell r="G91" t="str">
            <v>-</v>
          </cell>
          <cell r="H91">
            <v>47500</v>
          </cell>
          <cell r="I91" t="str">
            <v>-</v>
          </cell>
          <cell r="J91">
            <v>48200</v>
          </cell>
          <cell r="K91" t="str">
            <v>-</v>
          </cell>
          <cell r="L91">
            <v>51800</v>
          </cell>
          <cell r="M91">
            <v>47300</v>
          </cell>
          <cell r="N91">
            <v>48800</v>
          </cell>
          <cell r="O91" t="str">
            <v>-</v>
          </cell>
          <cell r="P91">
            <v>46400</v>
          </cell>
          <cell r="Q91">
            <v>46100</v>
          </cell>
          <cell r="R91">
            <v>46500</v>
          </cell>
          <cell r="S91" t="str">
            <v>-</v>
          </cell>
          <cell r="T91" t="str">
            <v>-</v>
          </cell>
          <cell r="U91" t="str">
            <v>-</v>
          </cell>
          <cell r="V91">
            <v>49100</v>
          </cell>
          <cell r="W91" t="str">
            <v>-</v>
          </cell>
        </row>
        <row r="92">
          <cell r="A92">
            <v>44358</v>
          </cell>
          <cell r="B92">
            <v>49500</v>
          </cell>
          <cell r="C92">
            <v>51700</v>
          </cell>
          <cell r="D92">
            <v>49800</v>
          </cell>
          <cell r="E92">
            <v>47250</v>
          </cell>
          <cell r="F92">
            <v>48400</v>
          </cell>
          <cell r="G92" t="str">
            <v>-</v>
          </cell>
          <cell r="H92">
            <v>48000</v>
          </cell>
          <cell r="I92" t="str">
            <v>-</v>
          </cell>
          <cell r="J92">
            <v>48300</v>
          </cell>
          <cell r="K92" t="str">
            <v>-</v>
          </cell>
          <cell r="L92">
            <v>52100</v>
          </cell>
          <cell r="M92">
            <v>47500</v>
          </cell>
          <cell r="N92">
            <v>49200</v>
          </cell>
          <cell r="O92" t="str">
            <v>-</v>
          </cell>
          <cell r="P92">
            <v>46900</v>
          </cell>
          <cell r="Q92">
            <v>46600</v>
          </cell>
          <cell r="R92">
            <v>46700</v>
          </cell>
          <cell r="S92" t="str">
            <v>-</v>
          </cell>
          <cell r="T92" t="str">
            <v>-</v>
          </cell>
          <cell r="U92" t="str">
            <v>-</v>
          </cell>
          <cell r="V92">
            <v>48800</v>
          </cell>
          <cell r="W92" t="str">
            <v>-</v>
          </cell>
        </row>
        <row r="93">
          <cell r="A93">
            <v>44359</v>
          </cell>
          <cell r="B93">
            <v>49500</v>
          </cell>
          <cell r="C93">
            <v>51700</v>
          </cell>
          <cell r="D93">
            <v>49800</v>
          </cell>
          <cell r="E93">
            <v>47250</v>
          </cell>
          <cell r="F93">
            <v>48400</v>
          </cell>
          <cell r="G93" t="str">
            <v>-</v>
          </cell>
          <cell r="H93">
            <v>48500</v>
          </cell>
          <cell r="I93" t="str">
            <v>-</v>
          </cell>
          <cell r="J93">
            <v>48300</v>
          </cell>
          <cell r="K93" t="str">
            <v>-</v>
          </cell>
          <cell r="L93">
            <v>51900</v>
          </cell>
          <cell r="M93">
            <v>47500</v>
          </cell>
          <cell r="N93">
            <v>49100</v>
          </cell>
          <cell r="O93" t="str">
            <v>-</v>
          </cell>
          <cell r="P93">
            <v>46500</v>
          </cell>
          <cell r="Q93">
            <v>46600</v>
          </cell>
          <cell r="R93">
            <v>46600</v>
          </cell>
          <cell r="S93" t="str">
            <v>-</v>
          </cell>
          <cell r="T93" t="str">
            <v>-</v>
          </cell>
          <cell r="U93" t="str">
            <v>-</v>
          </cell>
          <cell r="V93">
            <v>48800</v>
          </cell>
          <cell r="W93" t="str">
            <v>-</v>
          </cell>
        </row>
        <row r="94">
          <cell r="A94">
            <v>44360</v>
          </cell>
          <cell r="B94" t="str">
            <v>H</v>
          </cell>
          <cell r="C94" t="str">
            <v>H</v>
          </cell>
          <cell r="D94" t="str">
            <v>H</v>
          </cell>
          <cell r="E94" t="str">
            <v>H</v>
          </cell>
          <cell r="F94" t="str">
            <v>H</v>
          </cell>
          <cell r="G94" t="str">
            <v>H</v>
          </cell>
          <cell r="H94" t="str">
            <v>H</v>
          </cell>
          <cell r="I94" t="str">
            <v>H</v>
          </cell>
          <cell r="J94" t="str">
            <v>H</v>
          </cell>
          <cell r="K94" t="str">
            <v>H</v>
          </cell>
          <cell r="L94" t="str">
            <v>H</v>
          </cell>
          <cell r="M94" t="str">
            <v>H</v>
          </cell>
          <cell r="N94" t="str">
            <v>H</v>
          </cell>
          <cell r="O94" t="str">
            <v>H</v>
          </cell>
          <cell r="P94" t="str">
            <v>H</v>
          </cell>
          <cell r="Q94" t="str">
            <v>H</v>
          </cell>
          <cell r="R94" t="str">
            <v>H</v>
          </cell>
          <cell r="S94" t="str">
            <v>H</v>
          </cell>
          <cell r="T94" t="str">
            <v>H</v>
          </cell>
          <cell r="U94" t="str">
            <v>H</v>
          </cell>
          <cell r="V94" t="str">
            <v>H</v>
          </cell>
          <cell r="W94" t="str">
            <v>H</v>
          </cell>
        </row>
        <row r="95">
          <cell r="A95">
            <v>44361</v>
          </cell>
          <cell r="B95">
            <v>49300</v>
          </cell>
          <cell r="C95">
            <v>51500</v>
          </cell>
          <cell r="D95">
            <v>49100</v>
          </cell>
          <cell r="E95">
            <v>47000</v>
          </cell>
          <cell r="F95">
            <v>48400</v>
          </cell>
          <cell r="G95" t="str">
            <v>-</v>
          </cell>
          <cell r="H95">
            <v>48000</v>
          </cell>
          <cell r="I95" t="str">
            <v>-</v>
          </cell>
          <cell r="J95">
            <v>48300</v>
          </cell>
          <cell r="K95" t="str">
            <v>-</v>
          </cell>
          <cell r="L95">
            <v>51600</v>
          </cell>
          <cell r="M95">
            <v>47500</v>
          </cell>
          <cell r="N95">
            <v>48600</v>
          </cell>
          <cell r="O95" t="str">
            <v>-</v>
          </cell>
          <cell r="P95">
            <v>46000</v>
          </cell>
          <cell r="Q95">
            <v>46200</v>
          </cell>
          <cell r="R95">
            <v>46500</v>
          </cell>
          <cell r="S95" t="str">
            <v>-</v>
          </cell>
          <cell r="T95" t="str">
            <v>-</v>
          </cell>
          <cell r="U95" t="str">
            <v>-</v>
          </cell>
          <cell r="V95">
            <v>49100</v>
          </cell>
          <cell r="W95" t="str">
            <v>-</v>
          </cell>
        </row>
        <row r="96">
          <cell r="A96">
            <v>44362</v>
          </cell>
          <cell r="B96">
            <v>49200</v>
          </cell>
          <cell r="C96">
            <v>51300</v>
          </cell>
          <cell r="D96">
            <v>49100</v>
          </cell>
          <cell r="E96">
            <v>46750</v>
          </cell>
          <cell r="F96">
            <v>48400</v>
          </cell>
          <cell r="G96" t="str">
            <v>-</v>
          </cell>
          <cell r="H96">
            <v>47500</v>
          </cell>
          <cell r="I96" t="str">
            <v>-</v>
          </cell>
          <cell r="J96">
            <v>48300</v>
          </cell>
          <cell r="K96" t="str">
            <v>-</v>
          </cell>
          <cell r="L96">
            <v>51500</v>
          </cell>
          <cell r="M96">
            <v>47500</v>
          </cell>
          <cell r="N96">
            <v>48400</v>
          </cell>
          <cell r="O96" t="str">
            <v>-</v>
          </cell>
          <cell r="P96">
            <v>46300</v>
          </cell>
          <cell r="Q96">
            <v>46200</v>
          </cell>
          <cell r="R96">
            <v>46400</v>
          </cell>
          <cell r="S96" t="str">
            <v>-</v>
          </cell>
          <cell r="T96" t="str">
            <v>-</v>
          </cell>
          <cell r="U96" t="str">
            <v>-</v>
          </cell>
          <cell r="V96">
            <v>49100</v>
          </cell>
          <cell r="W96" t="str">
            <v>-</v>
          </cell>
        </row>
        <row r="97">
          <cell r="A97">
            <v>44363</v>
          </cell>
          <cell r="B97">
            <v>49200</v>
          </cell>
          <cell r="C97">
            <v>51200</v>
          </cell>
          <cell r="D97">
            <v>49000</v>
          </cell>
          <cell r="E97">
            <v>46000</v>
          </cell>
          <cell r="F97">
            <v>48300</v>
          </cell>
          <cell r="G97" t="str">
            <v>-</v>
          </cell>
          <cell r="H97">
            <v>47500</v>
          </cell>
          <cell r="I97" t="str">
            <v>-</v>
          </cell>
          <cell r="J97">
            <v>47800</v>
          </cell>
          <cell r="K97" t="str">
            <v>-</v>
          </cell>
          <cell r="L97">
            <v>51300</v>
          </cell>
          <cell r="M97">
            <v>47500</v>
          </cell>
          <cell r="N97">
            <v>47900</v>
          </cell>
          <cell r="O97" t="str">
            <v>-</v>
          </cell>
          <cell r="P97">
            <v>45600</v>
          </cell>
          <cell r="Q97">
            <v>46000</v>
          </cell>
          <cell r="R97">
            <v>46000</v>
          </cell>
          <cell r="S97" t="str">
            <v>-</v>
          </cell>
          <cell r="T97" t="str">
            <v>-</v>
          </cell>
          <cell r="U97" t="str">
            <v>-</v>
          </cell>
          <cell r="V97">
            <v>49100</v>
          </cell>
          <cell r="W97" t="str">
            <v>-</v>
          </cell>
        </row>
        <row r="98">
          <cell r="A98">
            <v>44364</v>
          </cell>
          <cell r="B98">
            <v>48800</v>
          </cell>
          <cell r="C98">
            <v>50800</v>
          </cell>
          <cell r="D98">
            <v>48900</v>
          </cell>
          <cell r="E98">
            <v>45500</v>
          </cell>
          <cell r="F98">
            <v>48100</v>
          </cell>
          <cell r="G98" t="str">
            <v>-</v>
          </cell>
          <cell r="H98">
            <v>47000</v>
          </cell>
          <cell r="I98" t="str">
            <v>-</v>
          </cell>
          <cell r="J98">
            <v>47700</v>
          </cell>
          <cell r="K98" t="str">
            <v>-</v>
          </cell>
          <cell r="L98">
            <v>50900</v>
          </cell>
          <cell r="M98">
            <v>47000</v>
          </cell>
          <cell r="N98">
            <v>47500</v>
          </cell>
          <cell r="O98" t="str">
            <v>-</v>
          </cell>
          <cell r="P98">
            <v>45550</v>
          </cell>
          <cell r="Q98">
            <v>45600</v>
          </cell>
          <cell r="R98">
            <v>45700</v>
          </cell>
          <cell r="S98" t="str">
            <v>-</v>
          </cell>
          <cell r="T98" t="str">
            <v>-</v>
          </cell>
          <cell r="U98" t="str">
            <v>-</v>
          </cell>
          <cell r="V98">
            <v>49000</v>
          </cell>
          <cell r="W98" t="str">
            <v>-</v>
          </cell>
        </row>
        <row r="99">
          <cell r="A99">
            <v>44365</v>
          </cell>
          <cell r="B99">
            <v>48400</v>
          </cell>
          <cell r="C99">
            <v>50800</v>
          </cell>
          <cell r="D99">
            <v>48200</v>
          </cell>
          <cell r="E99">
            <v>45200</v>
          </cell>
          <cell r="F99">
            <v>47900</v>
          </cell>
          <cell r="G99" t="str">
            <v>-</v>
          </cell>
          <cell r="H99">
            <v>46800</v>
          </cell>
          <cell r="I99" t="str">
            <v>-</v>
          </cell>
          <cell r="J99">
            <v>47700</v>
          </cell>
          <cell r="K99" t="str">
            <v>-</v>
          </cell>
          <cell r="L99">
            <v>50400</v>
          </cell>
          <cell r="M99">
            <v>46800</v>
          </cell>
          <cell r="N99">
            <v>47100</v>
          </cell>
          <cell r="O99" t="str">
            <v>-</v>
          </cell>
          <cell r="P99">
            <v>45500</v>
          </cell>
          <cell r="Q99">
            <v>45600</v>
          </cell>
          <cell r="R99">
            <v>45500</v>
          </cell>
          <cell r="S99" t="str">
            <v>-</v>
          </cell>
          <cell r="T99" t="str">
            <v>-</v>
          </cell>
          <cell r="U99" t="str">
            <v>-</v>
          </cell>
          <cell r="V99">
            <v>48800</v>
          </cell>
          <cell r="W99" t="str">
            <v>-</v>
          </cell>
        </row>
        <row r="100">
          <cell r="A100">
            <v>44366</v>
          </cell>
          <cell r="B100">
            <v>48400</v>
          </cell>
          <cell r="C100">
            <v>51000</v>
          </cell>
          <cell r="D100">
            <v>48200</v>
          </cell>
          <cell r="E100">
            <v>45750</v>
          </cell>
          <cell r="F100">
            <v>47700</v>
          </cell>
          <cell r="G100" t="str">
            <v>-</v>
          </cell>
          <cell r="H100">
            <v>46800</v>
          </cell>
          <cell r="I100" t="str">
            <v>-</v>
          </cell>
          <cell r="J100">
            <v>47600</v>
          </cell>
          <cell r="K100" t="str">
            <v>-</v>
          </cell>
          <cell r="L100">
            <v>50500</v>
          </cell>
          <cell r="M100">
            <v>46500</v>
          </cell>
          <cell r="N100">
            <v>47300</v>
          </cell>
          <cell r="O100" t="str">
            <v>-</v>
          </cell>
          <cell r="P100">
            <v>45500</v>
          </cell>
          <cell r="Q100">
            <v>45700</v>
          </cell>
          <cell r="R100">
            <v>45800</v>
          </cell>
          <cell r="S100" t="str">
            <v>-</v>
          </cell>
          <cell r="T100" t="str">
            <v>-</v>
          </cell>
          <cell r="U100" t="str">
            <v>-</v>
          </cell>
          <cell r="V100">
            <v>48600</v>
          </cell>
          <cell r="W100" t="str">
            <v>-</v>
          </cell>
        </row>
        <row r="101">
          <cell r="A101">
            <v>44367</v>
          </cell>
          <cell r="B101" t="str">
            <v>H</v>
          </cell>
          <cell r="C101" t="str">
            <v>H</v>
          </cell>
          <cell r="D101" t="str">
            <v>H</v>
          </cell>
          <cell r="E101" t="str">
            <v>H</v>
          </cell>
          <cell r="F101" t="str">
            <v>H</v>
          </cell>
          <cell r="G101" t="str">
            <v>H</v>
          </cell>
          <cell r="H101" t="str">
            <v>H</v>
          </cell>
          <cell r="I101" t="str">
            <v>H</v>
          </cell>
          <cell r="J101" t="str">
            <v>H</v>
          </cell>
          <cell r="K101" t="str">
            <v>H</v>
          </cell>
          <cell r="L101" t="str">
            <v>H</v>
          </cell>
          <cell r="M101" t="str">
            <v>H</v>
          </cell>
          <cell r="N101" t="str">
            <v>H</v>
          </cell>
          <cell r="O101" t="str">
            <v>H</v>
          </cell>
          <cell r="P101" t="str">
            <v>H</v>
          </cell>
          <cell r="Q101" t="str">
            <v>H</v>
          </cell>
          <cell r="R101" t="str">
            <v>H</v>
          </cell>
          <cell r="S101" t="str">
            <v>H</v>
          </cell>
          <cell r="T101" t="str">
            <v>H</v>
          </cell>
          <cell r="U101" t="str">
            <v>H</v>
          </cell>
          <cell r="V101" t="str">
            <v>H</v>
          </cell>
          <cell r="W101" t="str">
            <v>H</v>
          </cell>
        </row>
        <row r="102">
          <cell r="A102">
            <v>44368</v>
          </cell>
          <cell r="B102">
            <v>48300</v>
          </cell>
          <cell r="C102">
            <v>50600</v>
          </cell>
          <cell r="D102">
            <v>48400</v>
          </cell>
          <cell r="E102">
            <v>45250</v>
          </cell>
          <cell r="F102">
            <v>47600</v>
          </cell>
          <cell r="G102" t="str">
            <v>-</v>
          </cell>
          <cell r="H102">
            <v>46800</v>
          </cell>
          <cell r="I102" t="str">
            <v>-</v>
          </cell>
          <cell r="J102">
            <v>47200</v>
          </cell>
          <cell r="K102" t="str">
            <v>-</v>
          </cell>
          <cell r="L102">
            <v>50200</v>
          </cell>
          <cell r="M102">
            <v>46200</v>
          </cell>
          <cell r="N102">
            <v>46700</v>
          </cell>
          <cell r="O102" t="str">
            <v>-</v>
          </cell>
          <cell r="P102">
            <v>45400</v>
          </cell>
          <cell r="Q102">
            <v>45300</v>
          </cell>
          <cell r="R102">
            <v>45450</v>
          </cell>
          <cell r="S102" t="str">
            <v>-</v>
          </cell>
          <cell r="T102" t="str">
            <v>-</v>
          </cell>
          <cell r="U102" t="str">
            <v>-</v>
          </cell>
          <cell r="V102">
            <v>48400</v>
          </cell>
          <cell r="W102" t="str">
            <v>-</v>
          </cell>
        </row>
        <row r="103">
          <cell r="A103">
            <v>44369</v>
          </cell>
          <cell r="B103">
            <v>48100</v>
          </cell>
          <cell r="C103">
            <v>50000</v>
          </cell>
          <cell r="D103">
            <v>47800</v>
          </cell>
          <cell r="E103">
            <v>44500</v>
          </cell>
          <cell r="F103">
            <v>47500</v>
          </cell>
          <cell r="G103" t="str">
            <v>-</v>
          </cell>
          <cell r="H103">
            <v>46800</v>
          </cell>
          <cell r="I103" t="str">
            <v>-</v>
          </cell>
          <cell r="J103">
            <v>47100</v>
          </cell>
          <cell r="K103" t="str">
            <v>-</v>
          </cell>
          <cell r="L103">
            <v>49800</v>
          </cell>
          <cell r="M103">
            <v>46000</v>
          </cell>
          <cell r="N103">
            <v>46700</v>
          </cell>
          <cell r="O103" t="str">
            <v>-</v>
          </cell>
          <cell r="P103">
            <v>44600</v>
          </cell>
          <cell r="Q103">
            <v>45000</v>
          </cell>
          <cell r="R103">
            <v>45500</v>
          </cell>
          <cell r="S103" t="str">
            <v>-</v>
          </cell>
          <cell r="T103" t="str">
            <v>-</v>
          </cell>
          <cell r="U103" t="str">
            <v>-</v>
          </cell>
          <cell r="V103">
            <v>48400</v>
          </cell>
          <cell r="W103" t="str">
            <v>-</v>
          </cell>
        </row>
        <row r="104">
          <cell r="A104">
            <v>44370</v>
          </cell>
          <cell r="B104">
            <v>47800</v>
          </cell>
          <cell r="C104">
            <v>50000</v>
          </cell>
          <cell r="D104">
            <v>47600</v>
          </cell>
          <cell r="E104">
            <v>44500</v>
          </cell>
          <cell r="F104">
            <v>47500</v>
          </cell>
          <cell r="G104" t="str">
            <v>-</v>
          </cell>
          <cell r="H104">
            <v>46500</v>
          </cell>
          <cell r="I104" t="str">
            <v>-</v>
          </cell>
          <cell r="J104">
            <v>47000</v>
          </cell>
          <cell r="K104" t="str">
            <v>-</v>
          </cell>
          <cell r="L104">
            <v>49400</v>
          </cell>
          <cell r="M104">
            <v>45700</v>
          </cell>
          <cell r="N104">
            <v>46500</v>
          </cell>
          <cell r="O104" t="str">
            <v>-</v>
          </cell>
          <cell r="P104">
            <v>44400</v>
          </cell>
          <cell r="Q104">
            <v>44600</v>
          </cell>
          <cell r="R104">
            <v>44700</v>
          </cell>
          <cell r="S104" t="str">
            <v>-</v>
          </cell>
          <cell r="T104" t="str">
            <v>-</v>
          </cell>
          <cell r="U104" t="str">
            <v>-</v>
          </cell>
          <cell r="V104">
            <v>48100</v>
          </cell>
          <cell r="W104" t="str">
            <v>-</v>
          </cell>
        </row>
        <row r="105">
          <cell r="A105">
            <v>44371</v>
          </cell>
          <cell r="B105">
            <v>47800</v>
          </cell>
          <cell r="C105">
            <v>49500</v>
          </cell>
          <cell r="D105">
            <v>47500</v>
          </cell>
          <cell r="E105">
            <v>44500</v>
          </cell>
          <cell r="F105">
            <v>47200</v>
          </cell>
          <cell r="G105" t="str">
            <v>-</v>
          </cell>
          <cell r="H105">
            <v>46500</v>
          </cell>
          <cell r="I105" t="str">
            <v>-</v>
          </cell>
          <cell r="J105">
            <v>46700</v>
          </cell>
          <cell r="K105" t="str">
            <v>-</v>
          </cell>
          <cell r="L105">
            <v>49200</v>
          </cell>
          <cell r="M105">
            <v>45500</v>
          </cell>
          <cell r="N105">
            <v>46600</v>
          </cell>
          <cell r="O105" t="str">
            <v>-</v>
          </cell>
          <cell r="P105">
            <v>44200</v>
          </cell>
          <cell r="Q105">
            <v>44500</v>
          </cell>
          <cell r="R105">
            <v>44600</v>
          </cell>
          <cell r="S105" t="str">
            <v>-</v>
          </cell>
          <cell r="T105" t="str">
            <v>-</v>
          </cell>
          <cell r="U105" t="str">
            <v>-</v>
          </cell>
          <cell r="V105">
            <v>48100</v>
          </cell>
          <cell r="W105" t="str">
            <v>-</v>
          </cell>
        </row>
        <row r="106">
          <cell r="A106">
            <v>44372</v>
          </cell>
          <cell r="B106">
            <v>47700</v>
          </cell>
          <cell r="C106">
            <v>49300</v>
          </cell>
          <cell r="D106">
            <v>47000</v>
          </cell>
          <cell r="E106">
            <v>44000</v>
          </cell>
          <cell r="F106">
            <v>46800</v>
          </cell>
          <cell r="G106" t="str">
            <v>-</v>
          </cell>
          <cell r="H106">
            <v>46200</v>
          </cell>
          <cell r="I106" t="str">
            <v>-</v>
          </cell>
          <cell r="J106">
            <v>46600</v>
          </cell>
          <cell r="K106" t="str">
            <v>-</v>
          </cell>
          <cell r="L106">
            <v>49000</v>
          </cell>
          <cell r="M106">
            <v>45400</v>
          </cell>
          <cell r="N106">
            <v>46100</v>
          </cell>
          <cell r="O106" t="str">
            <v>-</v>
          </cell>
          <cell r="P106">
            <v>44000</v>
          </cell>
          <cell r="Q106">
            <v>44300</v>
          </cell>
          <cell r="R106">
            <v>44400</v>
          </cell>
          <cell r="S106" t="str">
            <v>-</v>
          </cell>
          <cell r="T106" t="str">
            <v>-</v>
          </cell>
          <cell r="U106" t="str">
            <v>-</v>
          </cell>
          <cell r="V106">
            <v>48000</v>
          </cell>
          <cell r="W106" t="str">
            <v>-</v>
          </cell>
        </row>
        <row r="107">
          <cell r="A107">
            <v>44373</v>
          </cell>
          <cell r="B107">
            <v>47500</v>
          </cell>
          <cell r="C107">
            <v>49100</v>
          </cell>
          <cell r="D107">
            <v>47000</v>
          </cell>
          <cell r="E107">
            <v>44000</v>
          </cell>
          <cell r="F107">
            <v>46700</v>
          </cell>
          <cell r="G107" t="str">
            <v>-</v>
          </cell>
          <cell r="H107">
            <v>46000</v>
          </cell>
          <cell r="I107" t="str">
            <v>-</v>
          </cell>
          <cell r="J107">
            <v>46500</v>
          </cell>
          <cell r="K107" t="str">
            <v>-</v>
          </cell>
          <cell r="L107">
            <v>48700</v>
          </cell>
          <cell r="M107">
            <v>45400</v>
          </cell>
          <cell r="N107">
            <v>46100</v>
          </cell>
          <cell r="O107" t="str">
            <v>-</v>
          </cell>
          <cell r="P107">
            <v>43800</v>
          </cell>
          <cell r="Q107">
            <v>44100</v>
          </cell>
          <cell r="R107">
            <v>44200</v>
          </cell>
          <cell r="S107" t="str">
            <v>-</v>
          </cell>
          <cell r="T107" t="str">
            <v>-</v>
          </cell>
          <cell r="U107" t="str">
            <v>-</v>
          </cell>
          <cell r="V107">
            <v>47900</v>
          </cell>
          <cell r="W107" t="str">
            <v>-</v>
          </cell>
        </row>
        <row r="108">
          <cell r="A108">
            <v>44374</v>
          </cell>
          <cell r="B108" t="str">
            <v>H</v>
          </cell>
          <cell r="C108" t="str">
            <v>H</v>
          </cell>
          <cell r="D108" t="str">
            <v>H</v>
          </cell>
          <cell r="E108" t="str">
            <v>H</v>
          </cell>
          <cell r="F108" t="str">
            <v>H</v>
          </cell>
          <cell r="G108" t="str">
            <v>H</v>
          </cell>
          <cell r="H108" t="str">
            <v>H</v>
          </cell>
          <cell r="I108" t="str">
            <v>H</v>
          </cell>
          <cell r="J108" t="str">
            <v>H</v>
          </cell>
          <cell r="K108" t="str">
            <v>H</v>
          </cell>
          <cell r="L108" t="str">
            <v>H</v>
          </cell>
          <cell r="M108" t="str">
            <v>H</v>
          </cell>
          <cell r="N108" t="str">
            <v>H</v>
          </cell>
          <cell r="O108" t="str">
            <v>H</v>
          </cell>
          <cell r="P108" t="str">
            <v>H</v>
          </cell>
          <cell r="Q108" t="str">
            <v>H</v>
          </cell>
          <cell r="R108" t="str">
            <v>H</v>
          </cell>
          <cell r="S108" t="str">
            <v>H</v>
          </cell>
          <cell r="T108" t="str">
            <v>H</v>
          </cell>
          <cell r="U108" t="str">
            <v>H</v>
          </cell>
          <cell r="V108" t="str">
            <v>H</v>
          </cell>
          <cell r="W108" t="str">
            <v>H</v>
          </cell>
        </row>
        <row r="109">
          <cell r="A109">
            <v>44375</v>
          </cell>
          <cell r="B109">
            <v>47300</v>
          </cell>
          <cell r="C109">
            <v>49000</v>
          </cell>
          <cell r="D109">
            <v>46800</v>
          </cell>
          <cell r="E109">
            <v>43750</v>
          </cell>
          <cell r="F109">
            <v>46400</v>
          </cell>
          <cell r="G109" t="str">
            <v>-</v>
          </cell>
          <cell r="H109">
            <v>46000</v>
          </cell>
          <cell r="I109" t="str">
            <v>-</v>
          </cell>
          <cell r="J109">
            <v>46400</v>
          </cell>
          <cell r="K109" t="str">
            <v>-</v>
          </cell>
          <cell r="L109">
            <v>48400</v>
          </cell>
          <cell r="M109">
            <v>45300</v>
          </cell>
          <cell r="N109">
            <v>46000</v>
          </cell>
          <cell r="O109" t="str">
            <v>-</v>
          </cell>
          <cell r="P109">
            <v>43650</v>
          </cell>
          <cell r="Q109">
            <v>43800</v>
          </cell>
          <cell r="R109">
            <v>44200</v>
          </cell>
          <cell r="S109" t="str">
            <v>-</v>
          </cell>
          <cell r="T109" t="str">
            <v>-</v>
          </cell>
          <cell r="U109" t="str">
            <v>-</v>
          </cell>
          <cell r="V109">
            <v>47500</v>
          </cell>
          <cell r="W109" t="str">
            <v>-</v>
          </cell>
        </row>
        <row r="110">
          <cell r="A110">
            <v>44376</v>
          </cell>
          <cell r="B110">
            <v>47000</v>
          </cell>
          <cell r="C110">
            <v>48500</v>
          </cell>
          <cell r="D110">
            <v>46400</v>
          </cell>
          <cell r="E110">
            <v>43700</v>
          </cell>
          <cell r="F110">
            <v>46300</v>
          </cell>
          <cell r="G110" t="str">
            <v>-</v>
          </cell>
          <cell r="H110">
            <v>45500</v>
          </cell>
          <cell r="I110" t="str">
            <v>-</v>
          </cell>
          <cell r="J110">
            <v>46300</v>
          </cell>
          <cell r="K110" t="str">
            <v>-</v>
          </cell>
          <cell r="L110">
            <v>47900</v>
          </cell>
          <cell r="M110">
            <v>45200</v>
          </cell>
          <cell r="N110">
            <v>45400</v>
          </cell>
          <cell r="O110" t="str">
            <v>-</v>
          </cell>
          <cell r="P110">
            <v>43200</v>
          </cell>
          <cell r="Q110">
            <v>43500</v>
          </cell>
          <cell r="R110">
            <v>44100</v>
          </cell>
          <cell r="S110" t="str">
            <v>-</v>
          </cell>
          <cell r="T110" t="str">
            <v>-</v>
          </cell>
          <cell r="U110" t="str">
            <v>-</v>
          </cell>
          <cell r="V110">
            <v>47300</v>
          </cell>
          <cell r="W110" t="str">
            <v>-</v>
          </cell>
        </row>
        <row r="111">
          <cell r="A111">
            <v>44377</v>
          </cell>
          <cell r="B111">
            <v>46800</v>
          </cell>
          <cell r="C111">
            <v>48300</v>
          </cell>
          <cell r="D111">
            <v>46500</v>
          </cell>
          <cell r="E111">
            <v>43750</v>
          </cell>
          <cell r="F111">
            <v>45800</v>
          </cell>
          <cell r="G111" t="str">
            <v>-</v>
          </cell>
          <cell r="H111">
            <v>45500</v>
          </cell>
          <cell r="I111" t="str">
            <v>-</v>
          </cell>
          <cell r="J111">
            <v>46100</v>
          </cell>
          <cell r="K111" t="str">
            <v>-</v>
          </cell>
          <cell r="L111">
            <v>47600</v>
          </cell>
          <cell r="M111">
            <v>45200</v>
          </cell>
          <cell r="N111">
            <v>45700</v>
          </cell>
          <cell r="O111" t="str">
            <v>-</v>
          </cell>
          <cell r="P111">
            <v>43500</v>
          </cell>
          <cell r="Q111">
            <v>43600</v>
          </cell>
          <cell r="R111">
            <v>44300</v>
          </cell>
          <cell r="S111" t="str">
            <v>-</v>
          </cell>
          <cell r="T111" t="str">
            <v>-</v>
          </cell>
          <cell r="U111" t="str">
            <v>-</v>
          </cell>
          <cell r="V111">
            <v>47000</v>
          </cell>
          <cell r="W111" t="str">
            <v>-</v>
          </cell>
        </row>
        <row r="112">
          <cell r="A112">
            <v>44378</v>
          </cell>
          <cell r="B112">
            <v>46600</v>
          </cell>
          <cell r="C112">
            <v>48000</v>
          </cell>
          <cell r="D112">
            <v>46400</v>
          </cell>
          <cell r="E112">
            <v>43500</v>
          </cell>
          <cell r="F112">
            <v>45700</v>
          </cell>
          <cell r="G112" t="str">
            <v>-</v>
          </cell>
          <cell r="H112">
            <v>45500</v>
          </cell>
          <cell r="I112" t="str">
            <v>-</v>
          </cell>
          <cell r="J112">
            <v>45800</v>
          </cell>
          <cell r="K112" t="str">
            <v>-</v>
          </cell>
          <cell r="L112">
            <v>47300</v>
          </cell>
          <cell r="M112">
            <v>45200</v>
          </cell>
          <cell r="N112">
            <v>45400</v>
          </cell>
          <cell r="O112" t="str">
            <v>-</v>
          </cell>
          <cell r="P112">
            <v>43300</v>
          </cell>
          <cell r="Q112">
            <v>43300</v>
          </cell>
          <cell r="R112">
            <v>44100</v>
          </cell>
          <cell r="S112" t="str">
            <v>-</v>
          </cell>
          <cell r="T112" t="str">
            <v>-</v>
          </cell>
          <cell r="U112" t="str">
            <v>-</v>
          </cell>
          <cell r="V112">
            <v>46800</v>
          </cell>
          <cell r="W112" t="str">
            <v>-</v>
          </cell>
        </row>
        <row r="113">
          <cell r="A113">
            <v>44379</v>
          </cell>
          <cell r="B113">
            <v>46600</v>
          </cell>
          <cell r="C113">
            <v>47800</v>
          </cell>
          <cell r="D113">
            <v>46400</v>
          </cell>
          <cell r="E113">
            <v>43200</v>
          </cell>
          <cell r="F113">
            <v>45700</v>
          </cell>
          <cell r="G113" t="str">
            <v>-</v>
          </cell>
          <cell r="H113">
            <v>45200</v>
          </cell>
          <cell r="I113" t="str">
            <v>-</v>
          </cell>
          <cell r="J113">
            <v>45700</v>
          </cell>
          <cell r="K113" t="str">
            <v>-</v>
          </cell>
          <cell r="L113">
            <v>47200</v>
          </cell>
          <cell r="M113">
            <v>45200</v>
          </cell>
          <cell r="N113">
            <v>45400</v>
          </cell>
          <cell r="O113" t="str">
            <v>-</v>
          </cell>
          <cell r="P113">
            <v>43100</v>
          </cell>
          <cell r="Q113">
            <v>43200</v>
          </cell>
          <cell r="R113">
            <v>43900</v>
          </cell>
          <cell r="S113" t="str">
            <v>-</v>
          </cell>
          <cell r="T113" t="str">
            <v>-</v>
          </cell>
          <cell r="U113" t="str">
            <v>-</v>
          </cell>
          <cell r="V113">
            <v>46800</v>
          </cell>
          <cell r="W113" t="str">
            <v>-</v>
          </cell>
        </row>
        <row r="114">
          <cell r="A114">
            <v>44380</v>
          </cell>
          <cell r="B114">
            <v>46600</v>
          </cell>
          <cell r="C114">
            <v>47500</v>
          </cell>
          <cell r="D114">
            <v>46200</v>
          </cell>
          <cell r="E114">
            <v>43200</v>
          </cell>
          <cell r="F114">
            <v>45500</v>
          </cell>
          <cell r="G114" t="str">
            <v>-</v>
          </cell>
          <cell r="H114">
            <v>45000</v>
          </cell>
          <cell r="I114" t="str">
            <v>-</v>
          </cell>
          <cell r="J114">
            <v>45600</v>
          </cell>
          <cell r="K114" t="str">
            <v>-</v>
          </cell>
          <cell r="L114">
            <v>47400</v>
          </cell>
          <cell r="M114">
            <v>45200</v>
          </cell>
          <cell r="N114">
            <v>45400</v>
          </cell>
          <cell r="O114" t="str">
            <v>-</v>
          </cell>
          <cell r="P114">
            <v>43100</v>
          </cell>
          <cell r="Q114">
            <v>43200</v>
          </cell>
          <cell r="R114">
            <v>43900</v>
          </cell>
          <cell r="S114" t="str">
            <v>-</v>
          </cell>
          <cell r="T114" t="str">
            <v>-</v>
          </cell>
          <cell r="U114" t="str">
            <v>-</v>
          </cell>
          <cell r="V114">
            <v>46800</v>
          </cell>
          <cell r="W114" t="str">
            <v>-</v>
          </cell>
        </row>
        <row r="115">
          <cell r="A115">
            <v>44381</v>
          </cell>
          <cell r="B115" t="str">
            <v>H</v>
          </cell>
          <cell r="C115" t="str">
            <v>H</v>
          </cell>
          <cell r="D115" t="str">
            <v>H</v>
          </cell>
          <cell r="E115" t="str">
            <v>H</v>
          </cell>
          <cell r="F115" t="str">
            <v>H</v>
          </cell>
          <cell r="G115" t="str">
            <v>H</v>
          </cell>
          <cell r="H115" t="str">
            <v>H</v>
          </cell>
          <cell r="I115" t="str">
            <v>H</v>
          </cell>
          <cell r="J115" t="str">
            <v>H</v>
          </cell>
          <cell r="K115" t="str">
            <v>H</v>
          </cell>
          <cell r="L115" t="str">
            <v>H</v>
          </cell>
          <cell r="M115" t="str">
            <v>H</v>
          </cell>
          <cell r="N115" t="str">
            <v>H</v>
          </cell>
          <cell r="O115" t="str">
            <v>H</v>
          </cell>
          <cell r="P115" t="str">
            <v>H</v>
          </cell>
          <cell r="Q115" t="str">
            <v>H</v>
          </cell>
          <cell r="R115" t="str">
            <v>H</v>
          </cell>
          <cell r="S115" t="str">
            <v>H</v>
          </cell>
          <cell r="T115" t="str">
            <v>H</v>
          </cell>
          <cell r="U115" t="str">
            <v>H</v>
          </cell>
          <cell r="V115" t="str">
            <v>H</v>
          </cell>
          <cell r="W115" t="str">
            <v>H</v>
          </cell>
        </row>
        <row r="116">
          <cell r="A116">
            <v>44382</v>
          </cell>
          <cell r="B116">
            <v>46700</v>
          </cell>
          <cell r="C116">
            <v>47300</v>
          </cell>
          <cell r="D116">
            <v>46200</v>
          </cell>
          <cell r="E116">
            <v>43250</v>
          </cell>
          <cell r="F116">
            <v>45500</v>
          </cell>
          <cell r="G116" t="str">
            <v>-</v>
          </cell>
          <cell r="H116">
            <v>45000</v>
          </cell>
          <cell r="I116" t="str">
            <v>-</v>
          </cell>
          <cell r="J116">
            <v>45600</v>
          </cell>
          <cell r="K116" t="str">
            <v>-</v>
          </cell>
          <cell r="L116">
            <v>47800</v>
          </cell>
          <cell r="M116">
            <v>45200</v>
          </cell>
          <cell r="N116">
            <v>45500</v>
          </cell>
          <cell r="O116" t="str">
            <v>-</v>
          </cell>
          <cell r="P116">
            <v>43150</v>
          </cell>
          <cell r="Q116">
            <v>43300</v>
          </cell>
          <cell r="R116">
            <v>43900</v>
          </cell>
          <cell r="S116" t="str">
            <v>-</v>
          </cell>
          <cell r="T116" t="str">
            <v>-</v>
          </cell>
          <cell r="U116" t="str">
            <v>-</v>
          </cell>
          <cell r="V116">
            <v>46600</v>
          </cell>
          <cell r="W116" t="str">
            <v>-</v>
          </cell>
        </row>
        <row r="117">
          <cell r="A117">
            <v>44383</v>
          </cell>
          <cell r="B117">
            <v>46600</v>
          </cell>
          <cell r="C117">
            <v>47000</v>
          </cell>
          <cell r="D117">
            <v>46100</v>
          </cell>
          <cell r="E117">
            <v>42750</v>
          </cell>
          <cell r="F117">
            <v>45400</v>
          </cell>
          <cell r="G117" t="str">
            <v>-</v>
          </cell>
          <cell r="H117">
            <v>45000</v>
          </cell>
          <cell r="I117" t="str">
            <v>-</v>
          </cell>
          <cell r="J117">
            <v>45600</v>
          </cell>
          <cell r="K117" t="str">
            <v>-</v>
          </cell>
          <cell r="L117">
            <v>47800</v>
          </cell>
          <cell r="M117">
            <v>45200</v>
          </cell>
          <cell r="N117">
            <v>45100</v>
          </cell>
          <cell r="O117" t="str">
            <v>-</v>
          </cell>
          <cell r="P117">
            <v>43000</v>
          </cell>
          <cell r="Q117">
            <v>43200</v>
          </cell>
          <cell r="R117">
            <v>43700</v>
          </cell>
          <cell r="S117" t="str">
            <v>-</v>
          </cell>
          <cell r="T117" t="str">
            <v>-</v>
          </cell>
          <cell r="U117" t="str">
            <v>-</v>
          </cell>
          <cell r="V117">
            <v>46200</v>
          </cell>
          <cell r="W117" t="str">
            <v>-</v>
          </cell>
        </row>
        <row r="118">
          <cell r="A118">
            <v>44384</v>
          </cell>
          <cell r="B118">
            <v>46400</v>
          </cell>
          <cell r="C118">
            <v>47000</v>
          </cell>
          <cell r="D118">
            <v>46100</v>
          </cell>
          <cell r="E118">
            <v>42750</v>
          </cell>
          <cell r="F118">
            <v>45400</v>
          </cell>
          <cell r="G118" t="str">
            <v>-</v>
          </cell>
          <cell r="H118">
            <v>45000</v>
          </cell>
          <cell r="I118" t="str">
            <v>-</v>
          </cell>
          <cell r="J118">
            <v>45700</v>
          </cell>
          <cell r="K118" t="str">
            <v>-</v>
          </cell>
          <cell r="L118">
            <v>48000</v>
          </cell>
          <cell r="M118">
            <v>45400</v>
          </cell>
          <cell r="N118">
            <v>45100</v>
          </cell>
          <cell r="O118" t="str">
            <v>-</v>
          </cell>
          <cell r="P118">
            <v>43000</v>
          </cell>
          <cell r="Q118">
            <v>43100</v>
          </cell>
          <cell r="R118">
            <v>43500</v>
          </cell>
          <cell r="S118" t="str">
            <v>-</v>
          </cell>
          <cell r="T118" t="str">
            <v>-</v>
          </cell>
          <cell r="U118" t="str">
            <v>-</v>
          </cell>
          <cell r="V118">
            <v>46000</v>
          </cell>
          <cell r="W118" t="str">
            <v>-</v>
          </cell>
        </row>
        <row r="119">
          <cell r="A119">
            <v>44385</v>
          </cell>
          <cell r="B119">
            <v>46500</v>
          </cell>
          <cell r="C119">
            <v>47000</v>
          </cell>
          <cell r="D119">
            <v>46000</v>
          </cell>
          <cell r="E119">
            <v>42750</v>
          </cell>
          <cell r="F119">
            <v>45400</v>
          </cell>
          <cell r="G119" t="str">
            <v>-</v>
          </cell>
          <cell r="H119">
            <v>44800</v>
          </cell>
          <cell r="I119" t="str">
            <v>-</v>
          </cell>
          <cell r="J119">
            <v>45700</v>
          </cell>
          <cell r="K119" t="str">
            <v>-</v>
          </cell>
          <cell r="L119">
            <v>48100</v>
          </cell>
          <cell r="M119">
            <v>45700</v>
          </cell>
          <cell r="N119">
            <v>45100</v>
          </cell>
          <cell r="O119" t="str">
            <v>-</v>
          </cell>
          <cell r="P119">
            <v>42800</v>
          </cell>
          <cell r="Q119">
            <v>43000</v>
          </cell>
          <cell r="R119">
            <v>43500</v>
          </cell>
          <cell r="S119" t="str">
            <v>-</v>
          </cell>
          <cell r="T119" t="str">
            <v>-</v>
          </cell>
          <cell r="U119" t="str">
            <v>-</v>
          </cell>
          <cell r="V119">
            <v>46000</v>
          </cell>
          <cell r="W119" t="str">
            <v>-</v>
          </cell>
        </row>
        <row r="120">
          <cell r="A120">
            <v>44386</v>
          </cell>
          <cell r="B120">
            <v>46500</v>
          </cell>
          <cell r="C120">
            <v>47000</v>
          </cell>
          <cell r="D120">
            <v>46100</v>
          </cell>
          <cell r="E120">
            <v>42750</v>
          </cell>
          <cell r="F120">
            <v>45400</v>
          </cell>
          <cell r="G120" t="str">
            <v>-</v>
          </cell>
          <cell r="H120">
            <v>44500</v>
          </cell>
          <cell r="I120" t="str">
            <v>-</v>
          </cell>
          <cell r="J120">
            <v>45700</v>
          </cell>
          <cell r="K120" t="str">
            <v>-</v>
          </cell>
          <cell r="L120">
            <v>48200</v>
          </cell>
          <cell r="M120">
            <v>46100</v>
          </cell>
          <cell r="N120">
            <v>45200</v>
          </cell>
          <cell r="O120" t="str">
            <v>-</v>
          </cell>
          <cell r="P120">
            <v>42700</v>
          </cell>
          <cell r="Q120">
            <v>43000</v>
          </cell>
          <cell r="R120">
            <v>43300</v>
          </cell>
          <cell r="S120" t="str">
            <v>-</v>
          </cell>
          <cell r="T120" t="str">
            <v>-</v>
          </cell>
          <cell r="U120" t="str">
            <v>-</v>
          </cell>
          <cell r="V120">
            <v>46000</v>
          </cell>
          <cell r="W120" t="str">
            <v>-</v>
          </cell>
        </row>
        <row r="121">
          <cell r="A121">
            <v>44387</v>
          </cell>
          <cell r="B121">
            <v>46900</v>
          </cell>
          <cell r="C121">
            <v>47700</v>
          </cell>
          <cell r="D121">
            <v>46300</v>
          </cell>
          <cell r="E121">
            <v>43150</v>
          </cell>
          <cell r="F121">
            <v>45500</v>
          </cell>
          <cell r="G121" t="str">
            <v>-</v>
          </cell>
          <cell r="H121">
            <v>45300</v>
          </cell>
          <cell r="I121" t="str">
            <v>-</v>
          </cell>
          <cell r="J121">
            <v>45900</v>
          </cell>
          <cell r="K121" t="str">
            <v>-</v>
          </cell>
          <cell r="L121">
            <v>48800</v>
          </cell>
          <cell r="M121">
            <v>46400</v>
          </cell>
          <cell r="N121">
            <v>45700</v>
          </cell>
          <cell r="O121" t="str">
            <v>-</v>
          </cell>
          <cell r="P121">
            <v>43400</v>
          </cell>
          <cell r="Q121">
            <v>43500</v>
          </cell>
          <cell r="R121">
            <v>43700</v>
          </cell>
          <cell r="S121" t="str">
            <v>-</v>
          </cell>
          <cell r="T121" t="str">
            <v>-</v>
          </cell>
          <cell r="U121" t="str">
            <v>-</v>
          </cell>
          <cell r="V121">
            <v>46000</v>
          </cell>
          <cell r="W121" t="str">
            <v>-</v>
          </cell>
        </row>
        <row r="122">
          <cell r="A122">
            <v>44388</v>
          </cell>
          <cell r="B122" t="str">
            <v>H</v>
          </cell>
          <cell r="C122" t="str">
            <v>H</v>
          </cell>
          <cell r="D122" t="str">
            <v>H</v>
          </cell>
          <cell r="E122" t="str">
            <v>H</v>
          </cell>
          <cell r="F122" t="str">
            <v>H</v>
          </cell>
          <cell r="G122" t="str">
            <v>H</v>
          </cell>
          <cell r="H122" t="str">
            <v>H</v>
          </cell>
          <cell r="I122" t="str">
            <v>H</v>
          </cell>
          <cell r="J122" t="str">
            <v>H</v>
          </cell>
          <cell r="K122" t="str">
            <v>H</v>
          </cell>
          <cell r="L122" t="str">
            <v>H</v>
          </cell>
          <cell r="M122" t="str">
            <v>H</v>
          </cell>
          <cell r="N122" t="str">
            <v>H</v>
          </cell>
          <cell r="O122" t="str">
            <v>H</v>
          </cell>
          <cell r="P122" t="str">
            <v>H</v>
          </cell>
          <cell r="Q122" t="str">
            <v>H</v>
          </cell>
          <cell r="R122" t="str">
            <v>H</v>
          </cell>
          <cell r="S122" t="str">
            <v>H</v>
          </cell>
          <cell r="T122" t="str">
            <v>H</v>
          </cell>
          <cell r="U122" t="str">
            <v>H</v>
          </cell>
          <cell r="V122" t="str">
            <v>H</v>
          </cell>
          <cell r="W122" t="str">
            <v>H</v>
          </cell>
        </row>
        <row r="123">
          <cell r="A123">
            <v>44389</v>
          </cell>
          <cell r="B123">
            <v>47500</v>
          </cell>
          <cell r="C123">
            <v>48300</v>
          </cell>
          <cell r="D123">
            <v>46400</v>
          </cell>
          <cell r="E123">
            <v>43750</v>
          </cell>
          <cell r="F123">
            <v>46300</v>
          </cell>
          <cell r="G123" t="str">
            <v>-</v>
          </cell>
          <cell r="H123">
            <v>46000</v>
          </cell>
          <cell r="I123" t="str">
            <v>-</v>
          </cell>
          <cell r="J123">
            <v>46400</v>
          </cell>
          <cell r="K123" t="str">
            <v>-</v>
          </cell>
          <cell r="L123">
            <v>49300</v>
          </cell>
          <cell r="M123">
            <v>46900</v>
          </cell>
          <cell r="N123">
            <v>45700</v>
          </cell>
          <cell r="O123" t="str">
            <v>-</v>
          </cell>
          <cell r="P123">
            <v>44200</v>
          </cell>
          <cell r="Q123">
            <v>44100</v>
          </cell>
          <cell r="R123">
            <v>44100</v>
          </cell>
          <cell r="S123" t="str">
            <v>-</v>
          </cell>
          <cell r="T123" t="str">
            <v>-</v>
          </cell>
          <cell r="U123" t="str">
            <v>-</v>
          </cell>
          <cell r="V123">
            <v>46500</v>
          </cell>
          <cell r="W123" t="str">
            <v>-</v>
          </cell>
        </row>
        <row r="124">
          <cell r="A124">
            <v>44390</v>
          </cell>
          <cell r="B124">
            <v>47300</v>
          </cell>
          <cell r="C124">
            <v>48300</v>
          </cell>
          <cell r="D124">
            <v>46200</v>
          </cell>
          <cell r="E124">
            <v>43400</v>
          </cell>
          <cell r="F124">
            <v>46300</v>
          </cell>
          <cell r="G124" t="str">
            <v>-</v>
          </cell>
          <cell r="H124">
            <v>46000</v>
          </cell>
          <cell r="I124" t="str">
            <v>-</v>
          </cell>
          <cell r="J124">
            <v>46400</v>
          </cell>
          <cell r="K124" t="str">
            <v>-</v>
          </cell>
          <cell r="L124">
            <v>48800</v>
          </cell>
          <cell r="M124">
            <v>47500</v>
          </cell>
          <cell r="N124">
            <v>45100</v>
          </cell>
          <cell r="O124" t="str">
            <v>-</v>
          </cell>
          <cell r="P124">
            <v>43900</v>
          </cell>
          <cell r="Q124">
            <v>43900</v>
          </cell>
          <cell r="R124">
            <v>44000</v>
          </cell>
          <cell r="S124" t="str">
            <v>-</v>
          </cell>
          <cell r="T124" t="str">
            <v>-</v>
          </cell>
          <cell r="U124" t="str">
            <v>-</v>
          </cell>
          <cell r="V124">
            <v>46500</v>
          </cell>
          <cell r="W124" t="str">
            <v>-</v>
          </cell>
        </row>
        <row r="125">
          <cell r="A125">
            <v>44391</v>
          </cell>
          <cell r="B125">
            <v>47200</v>
          </cell>
          <cell r="C125">
            <v>48000</v>
          </cell>
          <cell r="D125">
            <v>45800</v>
          </cell>
          <cell r="E125">
            <v>43300</v>
          </cell>
          <cell r="F125">
            <v>46000</v>
          </cell>
          <cell r="G125" t="str">
            <v>-</v>
          </cell>
          <cell r="H125">
            <v>45500</v>
          </cell>
          <cell r="I125" t="str">
            <v>-</v>
          </cell>
          <cell r="J125">
            <v>46300</v>
          </cell>
          <cell r="K125" t="str">
            <v>-</v>
          </cell>
          <cell r="L125">
            <v>48200</v>
          </cell>
          <cell r="M125">
            <v>47500</v>
          </cell>
          <cell r="N125">
            <v>44800</v>
          </cell>
          <cell r="O125" t="str">
            <v>-</v>
          </cell>
          <cell r="P125">
            <v>43100</v>
          </cell>
          <cell r="Q125">
            <v>43500</v>
          </cell>
          <cell r="R125">
            <v>43300</v>
          </cell>
          <cell r="S125" t="str">
            <v>-</v>
          </cell>
          <cell r="T125" t="str">
            <v>-</v>
          </cell>
          <cell r="U125" t="str">
            <v>-</v>
          </cell>
          <cell r="V125">
            <v>46400</v>
          </cell>
          <cell r="W125" t="str">
            <v>-</v>
          </cell>
        </row>
        <row r="126">
          <cell r="A126">
            <v>44392</v>
          </cell>
          <cell r="B126">
            <v>47200</v>
          </cell>
          <cell r="C126">
            <v>47900</v>
          </cell>
          <cell r="D126">
            <v>45600</v>
          </cell>
          <cell r="E126">
            <v>43300</v>
          </cell>
          <cell r="F126">
            <v>46000</v>
          </cell>
          <cell r="G126" t="str">
            <v>-</v>
          </cell>
          <cell r="H126">
            <v>45500</v>
          </cell>
          <cell r="I126" t="str">
            <v>-</v>
          </cell>
          <cell r="J126">
            <v>46200</v>
          </cell>
          <cell r="K126" t="str">
            <v>-</v>
          </cell>
          <cell r="L126">
            <v>48200</v>
          </cell>
          <cell r="M126">
            <v>47500</v>
          </cell>
          <cell r="N126">
            <v>44500</v>
          </cell>
          <cell r="O126" t="str">
            <v>-</v>
          </cell>
          <cell r="P126">
            <v>43200</v>
          </cell>
          <cell r="Q126">
            <v>43800</v>
          </cell>
          <cell r="R126">
            <v>43650</v>
          </cell>
          <cell r="S126" t="str">
            <v>-</v>
          </cell>
          <cell r="T126" t="str">
            <v>-</v>
          </cell>
          <cell r="U126" t="str">
            <v>-</v>
          </cell>
          <cell r="V126">
            <v>46200</v>
          </cell>
          <cell r="W126" t="str">
            <v>-</v>
          </cell>
        </row>
        <row r="127">
          <cell r="A127">
            <v>44393</v>
          </cell>
          <cell r="B127">
            <v>47200</v>
          </cell>
          <cell r="C127">
            <v>47900</v>
          </cell>
          <cell r="D127">
            <v>45500</v>
          </cell>
          <cell r="E127">
            <v>43200</v>
          </cell>
          <cell r="F127">
            <v>46000</v>
          </cell>
          <cell r="G127" t="str">
            <v>-</v>
          </cell>
          <cell r="H127">
            <v>45500</v>
          </cell>
          <cell r="I127" t="str">
            <v>-</v>
          </cell>
          <cell r="J127">
            <v>46000</v>
          </cell>
          <cell r="K127" t="str">
            <v>-</v>
          </cell>
          <cell r="L127">
            <v>47700</v>
          </cell>
          <cell r="M127">
            <v>47200</v>
          </cell>
          <cell r="N127">
            <v>44200</v>
          </cell>
          <cell r="O127" t="str">
            <v>-</v>
          </cell>
          <cell r="P127">
            <v>43300</v>
          </cell>
          <cell r="Q127">
            <v>43800</v>
          </cell>
          <cell r="R127">
            <v>43650</v>
          </cell>
          <cell r="S127" t="str">
            <v>-</v>
          </cell>
          <cell r="T127" t="str">
            <v>-</v>
          </cell>
          <cell r="U127" t="str">
            <v>-</v>
          </cell>
          <cell r="V127">
            <v>46000</v>
          </cell>
          <cell r="W127" t="str">
            <v>-</v>
          </cell>
        </row>
        <row r="128">
          <cell r="A128">
            <v>44394</v>
          </cell>
          <cell r="B128">
            <v>47500</v>
          </cell>
          <cell r="C128">
            <v>47500</v>
          </cell>
          <cell r="D128">
            <v>46000</v>
          </cell>
          <cell r="E128">
            <v>43500</v>
          </cell>
          <cell r="F128">
            <v>46000</v>
          </cell>
          <cell r="G128" t="str">
            <v>-</v>
          </cell>
          <cell r="H128">
            <v>46500</v>
          </cell>
          <cell r="I128" t="str">
            <v>-</v>
          </cell>
          <cell r="J128">
            <v>46200</v>
          </cell>
          <cell r="K128" t="str">
            <v>-</v>
          </cell>
          <cell r="L128">
            <v>48300</v>
          </cell>
          <cell r="M128">
            <v>47200</v>
          </cell>
          <cell r="N128">
            <v>44500</v>
          </cell>
          <cell r="O128" t="str">
            <v>-</v>
          </cell>
          <cell r="P128">
            <v>43800</v>
          </cell>
          <cell r="Q128">
            <v>44100</v>
          </cell>
          <cell r="R128">
            <v>44100</v>
          </cell>
          <cell r="S128" t="str">
            <v>-</v>
          </cell>
          <cell r="T128" t="str">
            <v>-</v>
          </cell>
          <cell r="U128" t="str">
            <v>-</v>
          </cell>
          <cell r="V128">
            <v>46000</v>
          </cell>
          <cell r="W128" t="str">
            <v>-</v>
          </cell>
        </row>
        <row r="129">
          <cell r="A129">
            <v>44395</v>
          </cell>
          <cell r="B129" t="str">
            <v>H</v>
          </cell>
          <cell r="C129" t="str">
            <v>H</v>
          </cell>
          <cell r="D129" t="str">
            <v>H</v>
          </cell>
          <cell r="E129" t="str">
            <v>H</v>
          </cell>
          <cell r="F129" t="str">
            <v>H</v>
          </cell>
          <cell r="G129" t="str">
            <v>H</v>
          </cell>
          <cell r="H129" t="str">
            <v>H</v>
          </cell>
          <cell r="I129" t="str">
            <v>H</v>
          </cell>
          <cell r="J129" t="str">
            <v>H</v>
          </cell>
          <cell r="K129" t="str">
            <v>H</v>
          </cell>
          <cell r="L129" t="str">
            <v>H</v>
          </cell>
          <cell r="M129" t="str">
            <v>H</v>
          </cell>
          <cell r="N129" t="str">
            <v>H</v>
          </cell>
          <cell r="O129" t="str">
            <v>H</v>
          </cell>
          <cell r="P129" t="str">
            <v>H</v>
          </cell>
          <cell r="Q129" t="str">
            <v>H</v>
          </cell>
          <cell r="R129" t="str">
            <v>H</v>
          </cell>
          <cell r="S129" t="str">
            <v>H</v>
          </cell>
          <cell r="T129" t="str">
            <v>H</v>
          </cell>
          <cell r="U129" t="str">
            <v>H</v>
          </cell>
          <cell r="V129" t="str">
            <v>H</v>
          </cell>
          <cell r="W129" t="str">
            <v>H</v>
          </cell>
        </row>
        <row r="130">
          <cell r="A130">
            <v>44396</v>
          </cell>
          <cell r="B130">
            <v>47800</v>
          </cell>
          <cell r="C130">
            <v>47500</v>
          </cell>
          <cell r="D130">
            <v>46100</v>
          </cell>
          <cell r="E130">
            <v>44100</v>
          </cell>
          <cell r="F130">
            <v>46000</v>
          </cell>
          <cell r="G130" t="str">
            <v>-</v>
          </cell>
          <cell r="H130">
            <v>46500</v>
          </cell>
          <cell r="I130" t="str">
            <v>-</v>
          </cell>
          <cell r="J130">
            <v>46500</v>
          </cell>
          <cell r="K130" t="str">
            <v>-</v>
          </cell>
          <cell r="L130">
            <v>48600</v>
          </cell>
          <cell r="M130">
            <v>47200</v>
          </cell>
          <cell r="N130">
            <v>44700</v>
          </cell>
          <cell r="O130" t="str">
            <v>-</v>
          </cell>
          <cell r="P130">
            <v>44000</v>
          </cell>
          <cell r="Q130">
            <v>44300</v>
          </cell>
          <cell r="R130">
            <v>44000</v>
          </cell>
          <cell r="S130" t="str">
            <v>-</v>
          </cell>
          <cell r="T130" t="str">
            <v>-</v>
          </cell>
          <cell r="U130" t="str">
            <v>-</v>
          </cell>
          <cell r="V130">
            <v>46000</v>
          </cell>
          <cell r="W130" t="str">
            <v>-</v>
          </cell>
        </row>
        <row r="131">
          <cell r="A131">
            <v>44397</v>
          </cell>
          <cell r="B131">
            <v>48500</v>
          </cell>
          <cell r="C131">
            <v>47200</v>
          </cell>
          <cell r="D131">
            <v>46300</v>
          </cell>
          <cell r="E131">
            <v>44300</v>
          </cell>
          <cell r="F131">
            <v>46300</v>
          </cell>
          <cell r="G131" t="str">
            <v>-</v>
          </cell>
          <cell r="H131">
            <v>47000</v>
          </cell>
          <cell r="I131" t="str">
            <v>-</v>
          </cell>
          <cell r="J131">
            <v>47200</v>
          </cell>
          <cell r="K131" t="str">
            <v>-</v>
          </cell>
          <cell r="L131">
            <v>49200</v>
          </cell>
          <cell r="M131">
            <v>47700</v>
          </cell>
          <cell r="N131">
            <v>45500</v>
          </cell>
          <cell r="O131" t="str">
            <v>-</v>
          </cell>
          <cell r="P131">
            <v>44400</v>
          </cell>
          <cell r="Q131">
            <v>44700</v>
          </cell>
          <cell r="R131">
            <v>44750</v>
          </cell>
          <cell r="S131" t="str">
            <v>-</v>
          </cell>
          <cell r="T131" t="str">
            <v>-</v>
          </cell>
          <cell r="U131" t="str">
            <v>-</v>
          </cell>
          <cell r="V131">
            <v>46300</v>
          </cell>
          <cell r="W131" t="str">
            <v>-</v>
          </cell>
        </row>
        <row r="132">
          <cell r="A132">
            <v>44398</v>
          </cell>
          <cell r="B132">
            <v>48600</v>
          </cell>
          <cell r="C132">
            <v>47200</v>
          </cell>
          <cell r="D132">
            <v>46300</v>
          </cell>
          <cell r="E132">
            <v>44500</v>
          </cell>
          <cell r="F132">
            <v>46300</v>
          </cell>
          <cell r="G132" t="str">
            <v>-</v>
          </cell>
          <cell r="H132">
            <v>47000</v>
          </cell>
          <cell r="I132" t="str">
            <v>-</v>
          </cell>
          <cell r="J132">
            <v>47200</v>
          </cell>
          <cell r="K132" t="str">
            <v>-</v>
          </cell>
          <cell r="L132">
            <v>49800</v>
          </cell>
          <cell r="M132">
            <v>47700</v>
          </cell>
          <cell r="N132">
            <v>45500</v>
          </cell>
          <cell r="O132" t="str">
            <v>-</v>
          </cell>
          <cell r="P132">
            <v>44500</v>
          </cell>
          <cell r="Q132">
            <v>45000</v>
          </cell>
          <cell r="R132">
            <v>44900</v>
          </cell>
          <cell r="S132" t="str">
            <v>-</v>
          </cell>
          <cell r="T132" t="str">
            <v>-</v>
          </cell>
          <cell r="U132" t="str">
            <v>-</v>
          </cell>
          <cell r="V132">
            <v>46300</v>
          </cell>
          <cell r="W132" t="str">
            <v>-</v>
          </cell>
        </row>
        <row r="133">
          <cell r="A133">
            <v>44399</v>
          </cell>
          <cell r="B133">
            <v>48900</v>
          </cell>
          <cell r="C133">
            <v>47200</v>
          </cell>
          <cell r="D133">
            <v>46300</v>
          </cell>
          <cell r="E133">
            <v>44700</v>
          </cell>
          <cell r="F133">
            <v>46700</v>
          </cell>
          <cell r="G133" t="str">
            <v>-</v>
          </cell>
          <cell r="H133">
            <v>47000</v>
          </cell>
          <cell r="I133" t="str">
            <v>-</v>
          </cell>
          <cell r="J133">
            <v>47200</v>
          </cell>
          <cell r="K133" t="str">
            <v>-</v>
          </cell>
          <cell r="L133">
            <v>49900</v>
          </cell>
          <cell r="M133">
            <v>47700</v>
          </cell>
          <cell r="N133">
            <v>45900</v>
          </cell>
          <cell r="O133" t="str">
            <v>-</v>
          </cell>
          <cell r="P133">
            <v>44600</v>
          </cell>
          <cell r="Q133">
            <v>44700</v>
          </cell>
          <cell r="R133">
            <v>44900</v>
          </cell>
          <cell r="S133" t="str">
            <v>-</v>
          </cell>
          <cell r="T133" t="str">
            <v>-</v>
          </cell>
          <cell r="U133" t="str">
            <v>-</v>
          </cell>
          <cell r="V133">
            <v>46300</v>
          </cell>
          <cell r="W133" t="str">
            <v>-</v>
          </cell>
        </row>
        <row r="134">
          <cell r="A134">
            <v>44400</v>
          </cell>
          <cell r="B134">
            <v>48800</v>
          </cell>
          <cell r="C134">
            <v>47200</v>
          </cell>
          <cell r="D134">
            <v>46200</v>
          </cell>
          <cell r="E134">
            <v>44250</v>
          </cell>
          <cell r="F134">
            <v>46700</v>
          </cell>
          <cell r="G134" t="str">
            <v>-</v>
          </cell>
          <cell r="H134">
            <v>47000</v>
          </cell>
          <cell r="I134" t="str">
            <v>-</v>
          </cell>
          <cell r="J134">
            <v>47200</v>
          </cell>
          <cell r="K134" t="str">
            <v>-</v>
          </cell>
          <cell r="L134">
            <v>49800</v>
          </cell>
          <cell r="M134">
            <v>47700</v>
          </cell>
          <cell r="N134">
            <v>45800</v>
          </cell>
          <cell r="O134" t="str">
            <v>-</v>
          </cell>
          <cell r="P134">
            <v>44500</v>
          </cell>
          <cell r="Q134">
            <v>44700</v>
          </cell>
          <cell r="R134">
            <v>44500</v>
          </cell>
          <cell r="S134" t="str">
            <v>-</v>
          </cell>
          <cell r="T134" t="str">
            <v>-</v>
          </cell>
          <cell r="U134" t="str">
            <v>-</v>
          </cell>
          <cell r="V134">
            <v>46300</v>
          </cell>
          <cell r="W134" t="str">
            <v>-</v>
          </cell>
        </row>
        <row r="135">
          <cell r="A135">
            <v>44401</v>
          </cell>
          <cell r="B135">
            <v>48800</v>
          </cell>
          <cell r="C135">
            <v>47000</v>
          </cell>
          <cell r="D135">
            <v>46700</v>
          </cell>
          <cell r="E135">
            <v>44000</v>
          </cell>
          <cell r="F135">
            <v>46700</v>
          </cell>
          <cell r="G135" t="str">
            <v>-</v>
          </cell>
          <cell r="H135">
            <v>46500</v>
          </cell>
          <cell r="I135" t="str">
            <v>-</v>
          </cell>
          <cell r="J135">
            <v>47200</v>
          </cell>
          <cell r="K135" t="str">
            <v>-</v>
          </cell>
          <cell r="L135">
            <v>50000</v>
          </cell>
          <cell r="M135">
            <v>47700</v>
          </cell>
          <cell r="N135">
            <v>45500</v>
          </cell>
          <cell r="O135" t="str">
            <v>-</v>
          </cell>
          <cell r="P135">
            <v>44300</v>
          </cell>
          <cell r="Q135">
            <v>44700</v>
          </cell>
          <cell r="R135">
            <v>44500</v>
          </cell>
          <cell r="S135" t="str">
            <v>-</v>
          </cell>
          <cell r="T135" t="str">
            <v>-</v>
          </cell>
          <cell r="U135" t="str">
            <v>-</v>
          </cell>
          <cell r="V135">
            <v>46300</v>
          </cell>
          <cell r="W135" t="str">
            <v>-</v>
          </cell>
        </row>
        <row r="136">
          <cell r="A136">
            <v>44402</v>
          </cell>
          <cell r="B136" t="str">
            <v>H</v>
          </cell>
          <cell r="C136" t="str">
            <v>H</v>
          </cell>
          <cell r="D136" t="str">
            <v>H</v>
          </cell>
          <cell r="E136" t="str">
            <v>H</v>
          </cell>
          <cell r="F136" t="str">
            <v>H</v>
          </cell>
          <cell r="G136" t="str">
            <v>H</v>
          </cell>
          <cell r="H136" t="str">
            <v>H</v>
          </cell>
          <cell r="I136" t="str">
            <v>H</v>
          </cell>
          <cell r="J136" t="str">
            <v>H</v>
          </cell>
          <cell r="K136" t="str">
            <v>H</v>
          </cell>
          <cell r="L136" t="str">
            <v>H</v>
          </cell>
          <cell r="M136" t="str">
            <v>H</v>
          </cell>
          <cell r="N136" t="str">
            <v>H</v>
          </cell>
          <cell r="O136" t="str">
            <v>H</v>
          </cell>
          <cell r="P136" t="str">
            <v>H</v>
          </cell>
          <cell r="Q136" t="str">
            <v>H</v>
          </cell>
          <cell r="R136" t="str">
            <v>H</v>
          </cell>
          <cell r="S136" t="str">
            <v>H</v>
          </cell>
          <cell r="T136" t="str">
            <v>H</v>
          </cell>
          <cell r="U136" t="str">
            <v>H</v>
          </cell>
          <cell r="V136" t="str">
            <v>H</v>
          </cell>
          <cell r="W136" t="str">
            <v>H</v>
          </cell>
        </row>
        <row r="137">
          <cell r="A137">
            <v>44403</v>
          </cell>
          <cell r="B137">
            <v>48900</v>
          </cell>
          <cell r="C137">
            <v>47000</v>
          </cell>
          <cell r="D137">
            <v>46800</v>
          </cell>
          <cell r="E137">
            <v>44250</v>
          </cell>
          <cell r="F137">
            <v>46700</v>
          </cell>
          <cell r="G137" t="str">
            <v>-</v>
          </cell>
          <cell r="H137">
            <v>46500</v>
          </cell>
          <cell r="I137" t="str">
            <v>-</v>
          </cell>
          <cell r="J137">
            <v>47300</v>
          </cell>
          <cell r="K137" t="str">
            <v>-</v>
          </cell>
          <cell r="L137">
            <v>50100</v>
          </cell>
          <cell r="M137">
            <v>47900</v>
          </cell>
          <cell r="N137">
            <v>45700</v>
          </cell>
          <cell r="O137" t="str">
            <v>-</v>
          </cell>
          <cell r="P137">
            <v>44450</v>
          </cell>
          <cell r="Q137">
            <v>44600</v>
          </cell>
          <cell r="R137">
            <v>44750</v>
          </cell>
          <cell r="S137" t="str">
            <v>-</v>
          </cell>
          <cell r="T137" t="str">
            <v>-</v>
          </cell>
          <cell r="U137" t="str">
            <v>-</v>
          </cell>
          <cell r="V137">
            <v>46200</v>
          </cell>
          <cell r="W137" t="str">
            <v>-</v>
          </cell>
        </row>
        <row r="138">
          <cell r="A138">
            <v>44404</v>
          </cell>
          <cell r="B138">
            <v>48900</v>
          </cell>
          <cell r="C138">
            <v>46800</v>
          </cell>
          <cell r="D138">
            <v>46700</v>
          </cell>
          <cell r="E138">
            <v>44500</v>
          </cell>
          <cell r="F138">
            <v>46700</v>
          </cell>
          <cell r="G138" t="str">
            <v>-</v>
          </cell>
          <cell r="H138">
            <v>46300</v>
          </cell>
          <cell r="I138" t="str">
            <v>-</v>
          </cell>
          <cell r="J138">
            <v>47400</v>
          </cell>
          <cell r="K138" t="str">
            <v>-</v>
          </cell>
          <cell r="L138">
            <v>49800</v>
          </cell>
          <cell r="M138">
            <v>48300</v>
          </cell>
          <cell r="N138">
            <v>45800</v>
          </cell>
          <cell r="O138" t="str">
            <v>-</v>
          </cell>
          <cell r="P138">
            <v>44400</v>
          </cell>
          <cell r="Q138">
            <v>44500</v>
          </cell>
          <cell r="R138">
            <v>44500</v>
          </cell>
          <cell r="S138" t="str">
            <v>-</v>
          </cell>
          <cell r="T138" t="str">
            <v>-</v>
          </cell>
          <cell r="U138" t="str">
            <v>-</v>
          </cell>
          <cell r="V138">
            <v>46200</v>
          </cell>
          <cell r="W138" t="str">
            <v>-</v>
          </cell>
        </row>
        <row r="139">
          <cell r="A139">
            <v>44405</v>
          </cell>
          <cell r="B139">
            <v>49000</v>
          </cell>
          <cell r="C139">
            <v>47000</v>
          </cell>
          <cell r="D139">
            <v>47000</v>
          </cell>
          <cell r="E139">
            <v>44500</v>
          </cell>
          <cell r="F139">
            <v>47100</v>
          </cell>
          <cell r="G139" t="str">
            <v>-</v>
          </cell>
          <cell r="H139">
            <v>46500</v>
          </cell>
          <cell r="I139" t="str">
            <v>-</v>
          </cell>
          <cell r="J139">
            <v>47600</v>
          </cell>
          <cell r="K139" t="str">
            <v>-</v>
          </cell>
          <cell r="L139">
            <v>49900</v>
          </cell>
          <cell r="M139">
            <v>48500</v>
          </cell>
          <cell r="N139">
            <v>45800</v>
          </cell>
          <cell r="O139" t="str">
            <v>-</v>
          </cell>
          <cell r="P139">
            <v>44500</v>
          </cell>
          <cell r="Q139">
            <v>44500</v>
          </cell>
          <cell r="R139">
            <v>44750</v>
          </cell>
          <cell r="S139" t="str">
            <v>-</v>
          </cell>
          <cell r="T139" t="str">
            <v>-</v>
          </cell>
          <cell r="U139" t="str">
            <v>-</v>
          </cell>
          <cell r="V139">
            <v>46300</v>
          </cell>
          <cell r="W139" t="str">
            <v>-</v>
          </cell>
        </row>
        <row r="140">
          <cell r="A140">
            <v>44406</v>
          </cell>
          <cell r="B140">
            <v>49400</v>
          </cell>
          <cell r="C140">
            <v>47000</v>
          </cell>
          <cell r="D140">
            <v>47500</v>
          </cell>
          <cell r="E140">
            <v>45000</v>
          </cell>
          <cell r="F140">
            <v>47200</v>
          </cell>
          <cell r="G140" t="str">
            <v>-</v>
          </cell>
          <cell r="H140">
            <v>47000</v>
          </cell>
          <cell r="I140" t="str">
            <v>-</v>
          </cell>
          <cell r="J140">
            <v>48200</v>
          </cell>
          <cell r="K140" t="str">
            <v>-</v>
          </cell>
          <cell r="L140">
            <v>50200</v>
          </cell>
          <cell r="M140">
            <v>48700</v>
          </cell>
          <cell r="N140">
            <v>46500</v>
          </cell>
          <cell r="O140" t="str">
            <v>-</v>
          </cell>
          <cell r="P140">
            <v>45000</v>
          </cell>
          <cell r="Q140">
            <v>45100</v>
          </cell>
          <cell r="R140">
            <v>45300</v>
          </cell>
          <cell r="S140" t="str">
            <v>-</v>
          </cell>
          <cell r="T140" t="str">
            <v>-</v>
          </cell>
          <cell r="U140" t="str">
            <v>-</v>
          </cell>
          <cell r="V140">
            <v>46700</v>
          </cell>
          <cell r="W140" t="str">
            <v>-</v>
          </cell>
        </row>
        <row r="141">
          <cell r="A141">
            <v>44407</v>
          </cell>
          <cell r="B141">
            <v>49400</v>
          </cell>
          <cell r="C141">
            <v>47200</v>
          </cell>
          <cell r="D141">
            <v>47300</v>
          </cell>
          <cell r="E141">
            <v>45000</v>
          </cell>
          <cell r="F141">
            <v>47700</v>
          </cell>
          <cell r="G141" t="str">
            <v>-</v>
          </cell>
          <cell r="H141">
            <v>47000</v>
          </cell>
          <cell r="I141" t="str">
            <v>-</v>
          </cell>
          <cell r="J141">
            <v>48200</v>
          </cell>
          <cell r="K141" t="str">
            <v>-</v>
          </cell>
          <cell r="L141">
            <v>50200</v>
          </cell>
          <cell r="M141">
            <v>48700</v>
          </cell>
          <cell r="N141">
            <v>46500</v>
          </cell>
          <cell r="O141" t="str">
            <v>-</v>
          </cell>
          <cell r="P141">
            <v>44800</v>
          </cell>
          <cell r="Q141">
            <v>45000</v>
          </cell>
          <cell r="R141">
            <v>45200</v>
          </cell>
          <cell r="S141" t="str">
            <v>-</v>
          </cell>
          <cell r="T141" t="str">
            <v>-</v>
          </cell>
          <cell r="U141" t="str">
            <v>-</v>
          </cell>
          <cell r="V141">
            <v>46700</v>
          </cell>
          <cell r="W141" t="str">
            <v>-</v>
          </cell>
        </row>
        <row r="142">
          <cell r="A142">
            <v>44408</v>
          </cell>
          <cell r="B142">
            <v>49700</v>
          </cell>
          <cell r="C142">
            <v>47500</v>
          </cell>
          <cell r="D142">
            <v>47600</v>
          </cell>
          <cell r="E142">
            <v>45800</v>
          </cell>
          <cell r="F142">
            <v>47800</v>
          </cell>
          <cell r="G142" t="str">
            <v>-</v>
          </cell>
          <cell r="H142">
            <v>47300</v>
          </cell>
          <cell r="I142" t="str">
            <v>-</v>
          </cell>
          <cell r="J142">
            <v>48300</v>
          </cell>
          <cell r="K142" t="str">
            <v>-</v>
          </cell>
          <cell r="L142">
            <v>50500</v>
          </cell>
          <cell r="M142">
            <v>48900</v>
          </cell>
          <cell r="N142">
            <v>46800</v>
          </cell>
          <cell r="O142" t="str">
            <v>-</v>
          </cell>
          <cell r="P142">
            <v>45450</v>
          </cell>
          <cell r="Q142">
            <v>45200</v>
          </cell>
          <cell r="R142">
            <v>45300</v>
          </cell>
          <cell r="S142" t="str">
            <v>-</v>
          </cell>
          <cell r="T142" t="str">
            <v>-</v>
          </cell>
          <cell r="U142" t="str">
            <v>-</v>
          </cell>
          <cell r="V142">
            <v>46800</v>
          </cell>
          <cell r="W142" t="str">
            <v>-</v>
          </cell>
        </row>
        <row r="143">
          <cell r="A143">
            <v>44409</v>
          </cell>
          <cell r="B143" t="str">
            <v>H</v>
          </cell>
          <cell r="C143" t="str">
            <v>H</v>
          </cell>
          <cell r="D143" t="str">
            <v>H</v>
          </cell>
          <cell r="E143" t="str">
            <v>H</v>
          </cell>
          <cell r="F143" t="str">
            <v>H</v>
          </cell>
          <cell r="G143" t="str">
            <v>H</v>
          </cell>
          <cell r="H143" t="str">
            <v>H</v>
          </cell>
          <cell r="I143" t="str">
            <v>H</v>
          </cell>
          <cell r="J143" t="str">
            <v>H</v>
          </cell>
          <cell r="K143" t="str">
            <v>H</v>
          </cell>
          <cell r="L143" t="str">
            <v>H</v>
          </cell>
          <cell r="M143" t="str">
            <v>H</v>
          </cell>
          <cell r="N143" t="str">
            <v>H</v>
          </cell>
          <cell r="O143" t="str">
            <v>H</v>
          </cell>
          <cell r="P143" t="str">
            <v>H</v>
          </cell>
          <cell r="Q143" t="str">
            <v>H</v>
          </cell>
          <cell r="R143" t="str">
            <v>H</v>
          </cell>
          <cell r="S143" t="str">
            <v>H</v>
          </cell>
          <cell r="T143" t="str">
            <v>H</v>
          </cell>
          <cell r="U143" t="str">
            <v>H</v>
          </cell>
          <cell r="V143" t="str">
            <v>H</v>
          </cell>
          <cell r="W143" t="str">
            <v>H</v>
          </cell>
        </row>
        <row r="144">
          <cell r="A144">
            <v>44410</v>
          </cell>
          <cell r="B144">
            <v>49800</v>
          </cell>
          <cell r="C144">
            <v>47700</v>
          </cell>
          <cell r="D144">
            <v>47800</v>
          </cell>
          <cell r="E144">
            <v>45800</v>
          </cell>
          <cell r="F144">
            <v>47800</v>
          </cell>
          <cell r="G144" t="str">
            <v>-</v>
          </cell>
          <cell r="H144">
            <v>47500</v>
          </cell>
          <cell r="I144" t="str">
            <v>-</v>
          </cell>
          <cell r="J144">
            <v>48400</v>
          </cell>
          <cell r="K144" t="str">
            <v>-</v>
          </cell>
          <cell r="L144">
            <v>50600</v>
          </cell>
          <cell r="M144">
            <v>49200</v>
          </cell>
          <cell r="N144">
            <v>47000</v>
          </cell>
          <cell r="O144" t="str">
            <v>-</v>
          </cell>
          <cell r="P144">
            <v>45450</v>
          </cell>
          <cell r="Q144">
            <v>45400</v>
          </cell>
          <cell r="R144">
            <v>45650</v>
          </cell>
          <cell r="S144" t="str">
            <v>-</v>
          </cell>
          <cell r="T144" t="str">
            <v>-</v>
          </cell>
          <cell r="U144" t="str">
            <v>-</v>
          </cell>
          <cell r="V144">
            <v>47200</v>
          </cell>
          <cell r="W144" t="str">
            <v>-</v>
          </cell>
        </row>
        <row r="145">
          <cell r="A145">
            <v>44411</v>
          </cell>
          <cell r="B145">
            <v>49700</v>
          </cell>
          <cell r="C145">
            <v>47700</v>
          </cell>
          <cell r="D145">
            <v>47400</v>
          </cell>
          <cell r="E145">
            <v>45500</v>
          </cell>
          <cell r="F145">
            <v>47800</v>
          </cell>
          <cell r="G145" t="str">
            <v>-</v>
          </cell>
          <cell r="H145">
            <v>47300</v>
          </cell>
          <cell r="I145" t="str">
            <v>-</v>
          </cell>
          <cell r="J145">
            <v>48300</v>
          </cell>
          <cell r="K145" t="str">
            <v>-</v>
          </cell>
          <cell r="L145">
            <v>50300</v>
          </cell>
          <cell r="M145">
            <v>49300</v>
          </cell>
          <cell r="N145">
            <v>47000</v>
          </cell>
          <cell r="O145" t="str">
            <v>-</v>
          </cell>
          <cell r="P145">
            <v>45200</v>
          </cell>
          <cell r="Q145">
            <v>45400</v>
          </cell>
          <cell r="R145">
            <v>45600</v>
          </cell>
          <cell r="S145" t="str">
            <v>-</v>
          </cell>
          <cell r="T145" t="str">
            <v>-</v>
          </cell>
          <cell r="U145" t="str">
            <v>-</v>
          </cell>
          <cell r="V145">
            <v>47500</v>
          </cell>
          <cell r="W145" t="str">
            <v>-</v>
          </cell>
        </row>
        <row r="146">
          <cell r="A146">
            <v>44412</v>
          </cell>
          <cell r="B146">
            <v>49900</v>
          </cell>
          <cell r="C146">
            <v>47700</v>
          </cell>
          <cell r="D146">
            <v>47600</v>
          </cell>
          <cell r="E146">
            <v>45500</v>
          </cell>
          <cell r="F146">
            <v>47800</v>
          </cell>
          <cell r="G146" t="str">
            <v>-</v>
          </cell>
          <cell r="H146">
            <v>47500</v>
          </cell>
          <cell r="I146" t="str">
            <v>-</v>
          </cell>
          <cell r="J146">
            <v>48500</v>
          </cell>
          <cell r="K146" t="str">
            <v>-</v>
          </cell>
          <cell r="L146">
            <v>50400</v>
          </cell>
          <cell r="M146">
            <v>49600</v>
          </cell>
          <cell r="N146">
            <v>47200</v>
          </cell>
          <cell r="O146" t="str">
            <v>-</v>
          </cell>
          <cell r="P146">
            <v>45100</v>
          </cell>
          <cell r="Q146">
            <v>45500</v>
          </cell>
          <cell r="R146">
            <v>45750</v>
          </cell>
          <cell r="S146" t="str">
            <v>-</v>
          </cell>
          <cell r="T146" t="str">
            <v>-</v>
          </cell>
          <cell r="U146" t="str">
            <v>-</v>
          </cell>
          <cell r="V146">
            <v>47600</v>
          </cell>
          <cell r="W146" t="str">
            <v>-</v>
          </cell>
        </row>
        <row r="147">
          <cell r="A147">
            <v>44413</v>
          </cell>
          <cell r="B147">
            <v>49800</v>
          </cell>
          <cell r="C147">
            <v>47500</v>
          </cell>
          <cell r="D147">
            <v>47600</v>
          </cell>
          <cell r="E147">
            <v>45500</v>
          </cell>
          <cell r="F147">
            <v>47900</v>
          </cell>
          <cell r="G147" t="str">
            <v>-</v>
          </cell>
          <cell r="H147">
            <v>47300</v>
          </cell>
          <cell r="I147" t="str">
            <v>-</v>
          </cell>
          <cell r="J147">
            <v>48500</v>
          </cell>
          <cell r="K147" t="str">
            <v>-</v>
          </cell>
          <cell r="L147">
            <v>50400</v>
          </cell>
          <cell r="M147">
            <v>49600</v>
          </cell>
          <cell r="N147">
            <v>47200</v>
          </cell>
          <cell r="O147" t="str">
            <v>-</v>
          </cell>
          <cell r="P147">
            <v>45000</v>
          </cell>
          <cell r="Q147">
            <v>45400</v>
          </cell>
          <cell r="R147">
            <v>45600</v>
          </cell>
          <cell r="S147" t="str">
            <v>-</v>
          </cell>
          <cell r="T147" t="str">
            <v>-</v>
          </cell>
          <cell r="U147" t="str">
            <v>-</v>
          </cell>
          <cell r="V147">
            <v>47700</v>
          </cell>
          <cell r="W147" t="str">
            <v>-</v>
          </cell>
        </row>
        <row r="148">
          <cell r="A148">
            <v>44414</v>
          </cell>
          <cell r="B148">
            <v>49700</v>
          </cell>
          <cell r="C148">
            <v>47500</v>
          </cell>
          <cell r="D148">
            <v>47300</v>
          </cell>
          <cell r="E148">
            <v>45300</v>
          </cell>
          <cell r="F148">
            <v>47900</v>
          </cell>
          <cell r="G148" t="str">
            <v>-</v>
          </cell>
          <cell r="H148">
            <v>47000</v>
          </cell>
          <cell r="I148" t="str">
            <v>-</v>
          </cell>
          <cell r="J148">
            <v>48500</v>
          </cell>
          <cell r="K148" t="str">
            <v>-</v>
          </cell>
          <cell r="L148">
            <v>49900</v>
          </cell>
          <cell r="M148">
            <v>49600</v>
          </cell>
          <cell r="N148">
            <v>46900</v>
          </cell>
          <cell r="O148" t="str">
            <v>-</v>
          </cell>
          <cell r="P148">
            <v>44900</v>
          </cell>
          <cell r="Q148">
            <v>45100</v>
          </cell>
          <cell r="R148">
            <v>45300</v>
          </cell>
          <cell r="S148" t="str">
            <v>-</v>
          </cell>
          <cell r="T148" t="str">
            <v>-</v>
          </cell>
          <cell r="U148" t="str">
            <v>-</v>
          </cell>
          <cell r="V148">
            <v>47700</v>
          </cell>
          <cell r="W148" t="str">
            <v>-</v>
          </cell>
        </row>
        <row r="149">
          <cell r="A149">
            <v>44415</v>
          </cell>
          <cell r="B149">
            <v>49600</v>
          </cell>
          <cell r="C149">
            <v>47300</v>
          </cell>
          <cell r="D149">
            <v>47300</v>
          </cell>
          <cell r="E149">
            <v>45000</v>
          </cell>
          <cell r="F149">
            <v>47800</v>
          </cell>
          <cell r="G149" t="str">
            <v>-</v>
          </cell>
          <cell r="H149">
            <v>47000</v>
          </cell>
          <cell r="I149" t="str">
            <v>-</v>
          </cell>
          <cell r="J149">
            <v>48500</v>
          </cell>
          <cell r="K149" t="str">
            <v>-</v>
          </cell>
          <cell r="L149">
            <v>49600</v>
          </cell>
          <cell r="M149">
            <v>49600</v>
          </cell>
          <cell r="N149">
            <v>46700</v>
          </cell>
          <cell r="O149" t="str">
            <v>-</v>
          </cell>
          <cell r="P149">
            <v>44800</v>
          </cell>
          <cell r="Q149">
            <v>44900</v>
          </cell>
          <cell r="R149">
            <v>45300</v>
          </cell>
          <cell r="S149" t="str">
            <v>-</v>
          </cell>
          <cell r="T149" t="str">
            <v>-</v>
          </cell>
          <cell r="U149" t="str">
            <v>-</v>
          </cell>
          <cell r="V149">
            <v>47800</v>
          </cell>
          <cell r="W149" t="str">
            <v>-</v>
          </cell>
        </row>
        <row r="150">
          <cell r="A150">
            <v>44416</v>
          </cell>
          <cell r="B150" t="str">
            <v>H</v>
          </cell>
          <cell r="C150" t="str">
            <v>H</v>
          </cell>
          <cell r="D150" t="str">
            <v>H</v>
          </cell>
          <cell r="E150" t="str">
            <v>H</v>
          </cell>
          <cell r="F150" t="str">
            <v>H</v>
          </cell>
          <cell r="G150" t="str">
            <v>H</v>
          </cell>
          <cell r="H150" t="str">
            <v>H</v>
          </cell>
          <cell r="I150" t="str">
            <v>H</v>
          </cell>
          <cell r="J150" t="str">
            <v>H</v>
          </cell>
          <cell r="K150" t="str">
            <v>H</v>
          </cell>
          <cell r="L150" t="str">
            <v>H</v>
          </cell>
          <cell r="M150" t="str">
            <v>H</v>
          </cell>
          <cell r="N150" t="str">
            <v>H</v>
          </cell>
          <cell r="O150" t="str">
            <v>H</v>
          </cell>
          <cell r="P150" t="str">
            <v>H</v>
          </cell>
          <cell r="Q150" t="str">
            <v>H</v>
          </cell>
          <cell r="R150" t="str">
            <v>H</v>
          </cell>
          <cell r="S150" t="str">
            <v>H</v>
          </cell>
          <cell r="T150" t="str">
            <v>H</v>
          </cell>
          <cell r="U150" t="str">
            <v>H</v>
          </cell>
          <cell r="V150" t="str">
            <v>H</v>
          </cell>
          <cell r="W150" t="str">
            <v>H</v>
          </cell>
        </row>
        <row r="151">
          <cell r="A151">
            <v>44417</v>
          </cell>
          <cell r="B151">
            <v>49600</v>
          </cell>
          <cell r="C151">
            <v>47000</v>
          </cell>
          <cell r="D151">
            <v>47300</v>
          </cell>
          <cell r="E151">
            <v>45000</v>
          </cell>
          <cell r="F151">
            <v>47800</v>
          </cell>
          <cell r="G151" t="str">
            <v>-</v>
          </cell>
          <cell r="H151">
            <v>47300</v>
          </cell>
          <cell r="I151" t="str">
            <v>-</v>
          </cell>
          <cell r="J151">
            <v>48100</v>
          </cell>
          <cell r="K151" t="str">
            <v>-</v>
          </cell>
          <cell r="L151">
            <v>49400</v>
          </cell>
          <cell r="M151">
            <v>49200</v>
          </cell>
          <cell r="N151">
            <v>46400</v>
          </cell>
          <cell r="O151" t="str">
            <v>-</v>
          </cell>
          <cell r="P151">
            <v>44800</v>
          </cell>
          <cell r="Q151">
            <v>44700</v>
          </cell>
          <cell r="R151">
            <v>44900</v>
          </cell>
          <cell r="S151" t="str">
            <v>-</v>
          </cell>
          <cell r="T151" t="str">
            <v>-</v>
          </cell>
          <cell r="U151" t="str">
            <v>-</v>
          </cell>
          <cell r="V151">
            <v>47700</v>
          </cell>
          <cell r="W151" t="str">
            <v>-</v>
          </cell>
        </row>
        <row r="152">
          <cell r="A152">
            <v>44418</v>
          </cell>
          <cell r="B152">
            <v>49400</v>
          </cell>
          <cell r="C152">
            <v>47000</v>
          </cell>
          <cell r="D152">
            <v>47500</v>
          </cell>
          <cell r="E152">
            <v>44800</v>
          </cell>
          <cell r="F152">
            <v>47800</v>
          </cell>
          <cell r="G152" t="str">
            <v>-</v>
          </cell>
          <cell r="H152">
            <v>46500</v>
          </cell>
          <cell r="I152" t="str">
            <v>-</v>
          </cell>
          <cell r="J152">
            <v>48300</v>
          </cell>
          <cell r="K152" t="str">
            <v>-</v>
          </cell>
          <cell r="L152">
            <v>49300</v>
          </cell>
          <cell r="M152">
            <v>49400</v>
          </cell>
          <cell r="N152">
            <v>46300</v>
          </cell>
          <cell r="O152" t="str">
            <v>-</v>
          </cell>
          <cell r="P152">
            <v>44650</v>
          </cell>
          <cell r="Q152">
            <v>44600</v>
          </cell>
          <cell r="R152">
            <v>44900</v>
          </cell>
          <cell r="S152" t="str">
            <v>-</v>
          </cell>
          <cell r="T152" t="str">
            <v>-</v>
          </cell>
          <cell r="U152" t="str">
            <v>-</v>
          </cell>
          <cell r="V152">
            <v>47500</v>
          </cell>
          <cell r="W152" t="str">
            <v>-</v>
          </cell>
        </row>
        <row r="153">
          <cell r="A153">
            <v>44419</v>
          </cell>
          <cell r="B153">
            <v>49700</v>
          </cell>
          <cell r="C153">
            <v>47000</v>
          </cell>
          <cell r="D153">
            <v>47800</v>
          </cell>
          <cell r="E153">
            <v>45000</v>
          </cell>
          <cell r="F153">
            <v>47700</v>
          </cell>
          <cell r="G153" t="str">
            <v>-</v>
          </cell>
          <cell r="H153">
            <v>46800</v>
          </cell>
          <cell r="I153" t="str">
            <v>-</v>
          </cell>
          <cell r="J153">
            <v>48600</v>
          </cell>
          <cell r="K153" t="str">
            <v>-</v>
          </cell>
          <cell r="L153">
            <v>49700</v>
          </cell>
          <cell r="M153">
            <v>49600</v>
          </cell>
          <cell r="N153">
            <v>46650</v>
          </cell>
          <cell r="O153" t="str">
            <v>-</v>
          </cell>
          <cell r="P153">
            <v>45250</v>
          </cell>
          <cell r="Q153">
            <v>45200</v>
          </cell>
          <cell r="R153">
            <v>45300</v>
          </cell>
          <cell r="S153" t="str">
            <v>-</v>
          </cell>
          <cell r="T153" t="str">
            <v>-</v>
          </cell>
          <cell r="U153" t="str">
            <v>-</v>
          </cell>
          <cell r="V153">
            <v>47500</v>
          </cell>
          <cell r="W153" t="str">
            <v>-</v>
          </cell>
        </row>
        <row r="154">
          <cell r="A154">
            <v>44420</v>
          </cell>
          <cell r="B154">
            <v>49900</v>
          </cell>
          <cell r="C154">
            <v>47000</v>
          </cell>
          <cell r="D154">
            <v>48000</v>
          </cell>
          <cell r="E154">
            <v>45300</v>
          </cell>
          <cell r="F154">
            <v>47700</v>
          </cell>
          <cell r="G154" t="str">
            <v>-</v>
          </cell>
          <cell r="H154">
            <v>47000</v>
          </cell>
          <cell r="I154" t="str">
            <v>-</v>
          </cell>
          <cell r="J154">
            <v>48600</v>
          </cell>
          <cell r="K154" t="str">
            <v>-</v>
          </cell>
          <cell r="L154">
            <v>49900</v>
          </cell>
          <cell r="M154">
            <v>49600</v>
          </cell>
          <cell r="N154">
            <v>46700</v>
          </cell>
          <cell r="O154" t="str">
            <v>-</v>
          </cell>
          <cell r="P154">
            <v>45600</v>
          </cell>
          <cell r="Q154">
            <v>45400</v>
          </cell>
          <cell r="R154">
            <v>45750</v>
          </cell>
          <cell r="S154" t="str">
            <v>-</v>
          </cell>
          <cell r="T154" t="str">
            <v>-</v>
          </cell>
          <cell r="U154" t="str">
            <v>-</v>
          </cell>
          <cell r="V154">
            <v>47500</v>
          </cell>
          <cell r="W154" t="str">
            <v>-</v>
          </cell>
        </row>
        <row r="155">
          <cell r="A155">
            <v>44421</v>
          </cell>
          <cell r="B155">
            <v>49900</v>
          </cell>
          <cell r="C155">
            <v>47200</v>
          </cell>
          <cell r="D155">
            <v>48200</v>
          </cell>
          <cell r="E155">
            <v>45300</v>
          </cell>
          <cell r="F155">
            <v>47700</v>
          </cell>
          <cell r="G155" t="str">
            <v>-</v>
          </cell>
          <cell r="H155">
            <v>47000</v>
          </cell>
          <cell r="I155" t="str">
            <v>-</v>
          </cell>
          <cell r="J155">
            <v>48600</v>
          </cell>
          <cell r="K155" t="str">
            <v>-</v>
          </cell>
          <cell r="L155">
            <v>50000</v>
          </cell>
          <cell r="M155">
            <v>49600</v>
          </cell>
          <cell r="N155">
            <v>46700</v>
          </cell>
          <cell r="O155" t="str">
            <v>-</v>
          </cell>
          <cell r="P155">
            <v>45350</v>
          </cell>
          <cell r="Q155">
            <v>45600</v>
          </cell>
          <cell r="R155">
            <v>45750</v>
          </cell>
          <cell r="S155" t="str">
            <v>-</v>
          </cell>
          <cell r="T155" t="str">
            <v>-</v>
          </cell>
          <cell r="U155" t="str">
            <v>-</v>
          </cell>
          <cell r="V155">
            <v>47500</v>
          </cell>
          <cell r="W155" t="str">
            <v>-</v>
          </cell>
        </row>
        <row r="156">
          <cell r="A156">
            <v>44422</v>
          </cell>
          <cell r="B156">
            <v>50100</v>
          </cell>
          <cell r="C156">
            <v>47200</v>
          </cell>
          <cell r="D156">
            <v>48200</v>
          </cell>
          <cell r="E156">
            <v>45500</v>
          </cell>
          <cell r="F156">
            <v>47700</v>
          </cell>
          <cell r="G156" t="str">
            <v>-</v>
          </cell>
          <cell r="H156">
            <v>47000</v>
          </cell>
          <cell r="I156" t="str">
            <v>-</v>
          </cell>
          <cell r="J156">
            <v>48600</v>
          </cell>
          <cell r="K156" t="str">
            <v>-</v>
          </cell>
          <cell r="L156">
            <v>50300</v>
          </cell>
          <cell r="M156">
            <v>49600</v>
          </cell>
          <cell r="N156">
            <v>47000</v>
          </cell>
          <cell r="O156" t="str">
            <v>-</v>
          </cell>
          <cell r="P156">
            <v>45500</v>
          </cell>
          <cell r="Q156">
            <v>45600</v>
          </cell>
          <cell r="R156">
            <v>45750</v>
          </cell>
          <cell r="S156" t="str">
            <v>-</v>
          </cell>
          <cell r="T156" t="str">
            <v>-</v>
          </cell>
          <cell r="U156" t="str">
            <v>-</v>
          </cell>
          <cell r="V156">
            <v>47500</v>
          </cell>
          <cell r="W156" t="str">
            <v>-</v>
          </cell>
        </row>
        <row r="157">
          <cell r="A157">
            <v>44423</v>
          </cell>
          <cell r="B157" t="str">
            <v>H</v>
          </cell>
          <cell r="C157" t="str">
            <v>H</v>
          </cell>
          <cell r="D157" t="str">
            <v>H</v>
          </cell>
          <cell r="E157" t="str">
            <v>H</v>
          </cell>
          <cell r="F157" t="str">
            <v>H</v>
          </cell>
          <cell r="G157" t="str">
            <v>H</v>
          </cell>
          <cell r="H157" t="str">
            <v>H</v>
          </cell>
          <cell r="I157" t="str">
            <v>H</v>
          </cell>
          <cell r="J157" t="str">
            <v>H</v>
          </cell>
          <cell r="K157" t="str">
            <v>H</v>
          </cell>
          <cell r="L157" t="str">
            <v>H</v>
          </cell>
          <cell r="M157" t="str">
            <v>H</v>
          </cell>
          <cell r="N157" t="str">
            <v>H</v>
          </cell>
          <cell r="O157" t="str">
            <v>H</v>
          </cell>
          <cell r="P157" t="str">
            <v>H</v>
          </cell>
          <cell r="Q157" t="str">
            <v>H</v>
          </cell>
          <cell r="R157" t="str">
            <v>H</v>
          </cell>
          <cell r="S157" t="str">
            <v>H</v>
          </cell>
          <cell r="T157" t="str">
            <v>H</v>
          </cell>
          <cell r="U157" t="str">
            <v>H</v>
          </cell>
          <cell r="V157" t="str">
            <v>H</v>
          </cell>
          <cell r="W157" t="str">
            <v>H</v>
          </cell>
        </row>
        <row r="158">
          <cell r="A158">
            <v>44424</v>
          </cell>
          <cell r="B158">
            <v>50200</v>
          </cell>
          <cell r="C158">
            <v>47300</v>
          </cell>
          <cell r="D158">
            <v>48400</v>
          </cell>
          <cell r="E158">
            <v>45700</v>
          </cell>
          <cell r="F158">
            <v>47700</v>
          </cell>
          <cell r="G158" t="str">
            <v>-</v>
          </cell>
          <cell r="H158">
            <v>47500</v>
          </cell>
          <cell r="I158" t="str">
            <v>-</v>
          </cell>
          <cell r="J158">
            <v>49200</v>
          </cell>
          <cell r="K158" t="str">
            <v>-</v>
          </cell>
          <cell r="L158">
            <v>50500</v>
          </cell>
          <cell r="M158">
            <v>50200</v>
          </cell>
          <cell r="N158">
            <v>47200</v>
          </cell>
          <cell r="O158" t="str">
            <v>-</v>
          </cell>
          <cell r="P158">
            <v>45600</v>
          </cell>
          <cell r="Q158">
            <v>45700</v>
          </cell>
          <cell r="R158">
            <v>45750</v>
          </cell>
          <cell r="S158" t="str">
            <v>-</v>
          </cell>
          <cell r="T158" t="str">
            <v>-</v>
          </cell>
          <cell r="U158" t="str">
            <v>-</v>
          </cell>
          <cell r="V158">
            <v>47300</v>
          </cell>
          <cell r="W158" t="str">
            <v>-</v>
          </cell>
        </row>
        <row r="159">
          <cell r="A159">
            <v>44425</v>
          </cell>
          <cell r="B159">
            <v>50200</v>
          </cell>
          <cell r="C159">
            <v>47500</v>
          </cell>
          <cell r="D159">
            <v>48400</v>
          </cell>
          <cell r="E159">
            <v>45800</v>
          </cell>
          <cell r="F159">
            <v>47700</v>
          </cell>
          <cell r="G159" t="str">
            <v>-</v>
          </cell>
          <cell r="H159">
            <v>47500</v>
          </cell>
          <cell r="I159" t="str">
            <v>-</v>
          </cell>
          <cell r="J159">
            <v>49200</v>
          </cell>
          <cell r="K159" t="str">
            <v>-</v>
          </cell>
          <cell r="L159">
            <v>50500</v>
          </cell>
          <cell r="M159">
            <v>50300</v>
          </cell>
          <cell r="N159">
            <v>47300</v>
          </cell>
          <cell r="O159" t="str">
            <v>-</v>
          </cell>
          <cell r="P159">
            <v>45800</v>
          </cell>
          <cell r="Q159">
            <v>45800</v>
          </cell>
          <cell r="R159">
            <v>45750</v>
          </cell>
          <cell r="S159" t="str">
            <v>-</v>
          </cell>
          <cell r="T159" t="str">
            <v>-</v>
          </cell>
          <cell r="U159" t="str">
            <v>-</v>
          </cell>
          <cell r="V159">
            <v>47200</v>
          </cell>
          <cell r="W159" t="str">
            <v>-</v>
          </cell>
        </row>
        <row r="160">
          <cell r="A160">
            <v>44426</v>
          </cell>
          <cell r="B160">
            <v>50100</v>
          </cell>
          <cell r="C160">
            <v>47500</v>
          </cell>
          <cell r="D160">
            <v>48100</v>
          </cell>
          <cell r="E160">
            <v>45500</v>
          </cell>
          <cell r="F160">
            <v>47700</v>
          </cell>
          <cell r="G160" t="str">
            <v>-</v>
          </cell>
          <cell r="H160">
            <v>47300</v>
          </cell>
          <cell r="I160" t="str">
            <v>-</v>
          </cell>
          <cell r="J160">
            <v>49100</v>
          </cell>
          <cell r="K160" t="str">
            <v>-</v>
          </cell>
          <cell r="L160">
            <v>50300</v>
          </cell>
          <cell r="M160">
            <v>50300</v>
          </cell>
          <cell r="N160">
            <v>47100</v>
          </cell>
          <cell r="O160" t="str">
            <v>-</v>
          </cell>
          <cell r="P160">
            <v>45800</v>
          </cell>
          <cell r="Q160">
            <v>45700</v>
          </cell>
          <cell r="R160">
            <v>45750</v>
          </cell>
          <cell r="S160" t="str">
            <v>-</v>
          </cell>
          <cell r="T160" t="str">
            <v>-</v>
          </cell>
          <cell r="U160" t="str">
            <v>-</v>
          </cell>
          <cell r="V160">
            <v>47200</v>
          </cell>
          <cell r="W160" t="str">
            <v>-</v>
          </cell>
        </row>
        <row r="161">
          <cell r="A161">
            <v>44427</v>
          </cell>
          <cell r="B161">
            <v>50100</v>
          </cell>
          <cell r="C161">
            <v>47500</v>
          </cell>
          <cell r="D161">
            <v>48100</v>
          </cell>
          <cell r="E161">
            <v>45300</v>
          </cell>
          <cell r="F161">
            <v>47700</v>
          </cell>
          <cell r="G161" t="str">
            <v>-</v>
          </cell>
          <cell r="H161">
            <v>47000</v>
          </cell>
          <cell r="I161" t="str">
            <v>-</v>
          </cell>
          <cell r="J161">
            <v>49100</v>
          </cell>
          <cell r="K161" t="str">
            <v>-</v>
          </cell>
          <cell r="L161">
            <v>50200</v>
          </cell>
          <cell r="M161">
            <v>50300</v>
          </cell>
          <cell r="N161">
            <v>47250</v>
          </cell>
          <cell r="O161" t="str">
            <v>-</v>
          </cell>
          <cell r="P161">
            <v>45600</v>
          </cell>
          <cell r="Q161">
            <v>45700</v>
          </cell>
          <cell r="R161">
            <v>45750</v>
          </cell>
          <cell r="S161" t="str">
            <v>-</v>
          </cell>
          <cell r="T161" t="str">
            <v>-</v>
          </cell>
          <cell r="U161" t="str">
            <v>-</v>
          </cell>
          <cell r="V161">
            <v>47200</v>
          </cell>
          <cell r="W161" t="str">
            <v>-</v>
          </cell>
        </row>
        <row r="162">
          <cell r="A162">
            <v>44428</v>
          </cell>
          <cell r="B162">
            <v>49900</v>
          </cell>
          <cell r="C162">
            <v>47500</v>
          </cell>
          <cell r="D162">
            <v>48100</v>
          </cell>
          <cell r="E162">
            <v>45200</v>
          </cell>
          <cell r="F162">
            <v>47600</v>
          </cell>
          <cell r="G162" t="str">
            <v>-</v>
          </cell>
          <cell r="H162">
            <v>47000</v>
          </cell>
          <cell r="I162" t="str">
            <v>-</v>
          </cell>
          <cell r="J162">
            <v>49100</v>
          </cell>
          <cell r="K162" t="str">
            <v>-</v>
          </cell>
          <cell r="L162">
            <v>50100</v>
          </cell>
          <cell r="M162">
            <v>50000</v>
          </cell>
          <cell r="N162">
            <v>47200</v>
          </cell>
          <cell r="O162" t="str">
            <v>-</v>
          </cell>
          <cell r="P162">
            <v>45550</v>
          </cell>
          <cell r="Q162">
            <v>45600</v>
          </cell>
          <cell r="R162">
            <v>45700</v>
          </cell>
          <cell r="S162">
            <v>48700</v>
          </cell>
          <cell r="T162">
            <v>48200</v>
          </cell>
          <cell r="U162">
            <v>47000</v>
          </cell>
          <cell r="V162">
            <v>47200</v>
          </cell>
          <cell r="W162">
            <v>50000</v>
          </cell>
        </row>
        <row r="163">
          <cell r="A163">
            <v>44429</v>
          </cell>
          <cell r="B163">
            <v>49800</v>
          </cell>
          <cell r="C163">
            <v>47300</v>
          </cell>
          <cell r="D163">
            <v>47800</v>
          </cell>
          <cell r="E163">
            <v>45000</v>
          </cell>
          <cell r="F163">
            <v>47400</v>
          </cell>
          <cell r="G163" t="str">
            <v>-</v>
          </cell>
          <cell r="H163">
            <v>47000</v>
          </cell>
          <cell r="I163" t="str">
            <v>-</v>
          </cell>
          <cell r="J163">
            <v>48900</v>
          </cell>
          <cell r="K163" t="str">
            <v>-</v>
          </cell>
          <cell r="L163">
            <v>49700</v>
          </cell>
          <cell r="M163">
            <v>49800</v>
          </cell>
          <cell r="N163">
            <v>47000</v>
          </cell>
          <cell r="O163" t="str">
            <v>-</v>
          </cell>
          <cell r="P163">
            <v>45200</v>
          </cell>
          <cell r="Q163">
            <v>45500</v>
          </cell>
          <cell r="R163">
            <v>45500</v>
          </cell>
          <cell r="S163">
            <v>48500</v>
          </cell>
          <cell r="T163">
            <v>47700</v>
          </cell>
          <cell r="U163">
            <v>47500</v>
          </cell>
          <cell r="V163">
            <v>47100</v>
          </cell>
          <cell r="W163">
            <v>49900</v>
          </cell>
        </row>
        <row r="164">
          <cell r="A164">
            <v>44430</v>
          </cell>
          <cell r="B164" t="str">
            <v>H</v>
          </cell>
          <cell r="C164" t="str">
            <v>H</v>
          </cell>
          <cell r="D164" t="str">
            <v>H</v>
          </cell>
          <cell r="E164" t="str">
            <v>H</v>
          </cell>
          <cell r="F164" t="str">
            <v>H</v>
          </cell>
          <cell r="G164" t="str">
            <v>H</v>
          </cell>
          <cell r="H164" t="str">
            <v>H</v>
          </cell>
          <cell r="I164" t="str">
            <v>H</v>
          </cell>
          <cell r="J164" t="str">
            <v>H</v>
          </cell>
          <cell r="K164" t="str">
            <v>H</v>
          </cell>
          <cell r="L164" t="str">
            <v>H</v>
          </cell>
          <cell r="M164" t="str">
            <v>H</v>
          </cell>
          <cell r="N164" t="str">
            <v>H</v>
          </cell>
          <cell r="O164" t="str">
            <v>H</v>
          </cell>
          <cell r="P164" t="str">
            <v>H</v>
          </cell>
          <cell r="Q164" t="str">
            <v>H</v>
          </cell>
          <cell r="R164" t="str">
            <v>H</v>
          </cell>
          <cell r="S164" t="str">
            <v>H</v>
          </cell>
          <cell r="T164" t="str">
            <v>H</v>
          </cell>
          <cell r="U164" t="str">
            <v>H</v>
          </cell>
          <cell r="V164" t="str">
            <v>H</v>
          </cell>
          <cell r="W164" t="str">
            <v>H</v>
          </cell>
        </row>
        <row r="165">
          <cell r="A165">
            <v>44431</v>
          </cell>
          <cell r="B165">
            <v>49700</v>
          </cell>
          <cell r="C165">
            <v>47000</v>
          </cell>
          <cell r="D165">
            <v>47800</v>
          </cell>
          <cell r="E165">
            <v>44500</v>
          </cell>
          <cell r="F165">
            <v>47300</v>
          </cell>
          <cell r="G165" t="str">
            <v>-</v>
          </cell>
          <cell r="H165">
            <v>46500</v>
          </cell>
          <cell r="I165" t="str">
            <v>-</v>
          </cell>
          <cell r="J165">
            <v>48700</v>
          </cell>
          <cell r="K165" t="str">
            <v>-</v>
          </cell>
          <cell r="L165">
            <v>49400</v>
          </cell>
          <cell r="M165">
            <v>49400</v>
          </cell>
          <cell r="N165">
            <v>46600</v>
          </cell>
          <cell r="O165" t="str">
            <v>-</v>
          </cell>
          <cell r="P165">
            <v>44850</v>
          </cell>
          <cell r="Q165">
            <v>45300</v>
          </cell>
          <cell r="R165">
            <v>45300</v>
          </cell>
          <cell r="S165">
            <v>47950</v>
          </cell>
          <cell r="T165">
            <v>47500</v>
          </cell>
          <cell r="U165">
            <v>47500</v>
          </cell>
          <cell r="V165">
            <v>47000</v>
          </cell>
          <cell r="W165">
            <v>49700</v>
          </cell>
        </row>
        <row r="166">
          <cell r="A166">
            <v>44432</v>
          </cell>
          <cell r="B166">
            <v>49600</v>
          </cell>
          <cell r="C166">
            <v>47000</v>
          </cell>
          <cell r="D166">
            <v>47600</v>
          </cell>
          <cell r="E166">
            <v>44500</v>
          </cell>
          <cell r="F166">
            <v>47000</v>
          </cell>
          <cell r="G166" t="str">
            <v>-</v>
          </cell>
          <cell r="H166">
            <v>46500</v>
          </cell>
          <cell r="I166" t="str">
            <v>-</v>
          </cell>
          <cell r="J166">
            <v>48700</v>
          </cell>
          <cell r="K166" t="str">
            <v>-</v>
          </cell>
          <cell r="L166">
            <v>49400</v>
          </cell>
          <cell r="M166">
            <v>49000</v>
          </cell>
          <cell r="N166">
            <v>46500</v>
          </cell>
          <cell r="O166" t="str">
            <v>-</v>
          </cell>
          <cell r="P166">
            <v>44650</v>
          </cell>
          <cell r="Q166">
            <v>44800</v>
          </cell>
          <cell r="R166">
            <v>45300</v>
          </cell>
          <cell r="S166">
            <v>48000</v>
          </cell>
          <cell r="T166">
            <v>47000</v>
          </cell>
          <cell r="U166">
            <v>47000</v>
          </cell>
          <cell r="V166">
            <v>46800</v>
          </cell>
          <cell r="W166">
            <v>49600</v>
          </cell>
        </row>
        <row r="167">
          <cell r="A167">
            <v>44433</v>
          </cell>
          <cell r="B167">
            <v>49700</v>
          </cell>
          <cell r="C167">
            <v>47000</v>
          </cell>
          <cell r="D167">
            <v>47600</v>
          </cell>
          <cell r="E167">
            <v>44700</v>
          </cell>
          <cell r="F167">
            <v>47000</v>
          </cell>
          <cell r="G167" t="str">
            <v>-</v>
          </cell>
          <cell r="H167">
            <v>46500</v>
          </cell>
          <cell r="I167" t="str">
            <v>-</v>
          </cell>
          <cell r="J167">
            <v>48800</v>
          </cell>
          <cell r="K167" t="str">
            <v>-</v>
          </cell>
          <cell r="L167">
            <v>49400</v>
          </cell>
          <cell r="M167">
            <v>49000</v>
          </cell>
          <cell r="N167">
            <v>46500</v>
          </cell>
          <cell r="O167" t="str">
            <v>-</v>
          </cell>
          <cell r="P167">
            <v>44650</v>
          </cell>
          <cell r="Q167">
            <v>44800</v>
          </cell>
          <cell r="R167">
            <v>45300</v>
          </cell>
          <cell r="S167">
            <v>48000</v>
          </cell>
          <cell r="T167">
            <v>47200</v>
          </cell>
          <cell r="U167">
            <v>47000</v>
          </cell>
          <cell r="V167">
            <v>46800</v>
          </cell>
          <cell r="W167">
            <v>49600</v>
          </cell>
        </row>
        <row r="168">
          <cell r="A168">
            <v>44434</v>
          </cell>
          <cell r="B168">
            <v>49700</v>
          </cell>
          <cell r="C168">
            <v>46800</v>
          </cell>
          <cell r="D168">
            <v>47200</v>
          </cell>
          <cell r="E168">
            <v>44250</v>
          </cell>
          <cell r="F168">
            <v>47000</v>
          </cell>
          <cell r="G168" t="str">
            <v>-</v>
          </cell>
          <cell r="H168">
            <v>46500</v>
          </cell>
          <cell r="I168" t="str">
            <v>-</v>
          </cell>
          <cell r="J168">
            <v>48700</v>
          </cell>
          <cell r="K168" t="str">
            <v>-</v>
          </cell>
          <cell r="L168">
            <v>49200</v>
          </cell>
          <cell r="M168">
            <v>49200</v>
          </cell>
          <cell r="N168">
            <v>46300</v>
          </cell>
          <cell r="O168" t="str">
            <v>-</v>
          </cell>
          <cell r="P168">
            <v>44200</v>
          </cell>
          <cell r="Q168">
            <v>44400</v>
          </cell>
          <cell r="R168">
            <v>44900</v>
          </cell>
          <cell r="S168">
            <v>47700</v>
          </cell>
          <cell r="T168">
            <v>47000</v>
          </cell>
          <cell r="U168">
            <v>46700</v>
          </cell>
          <cell r="V168">
            <v>46800</v>
          </cell>
          <cell r="W168">
            <v>49300</v>
          </cell>
        </row>
        <row r="169">
          <cell r="A169">
            <v>44435</v>
          </cell>
          <cell r="B169">
            <v>49500</v>
          </cell>
          <cell r="C169">
            <v>46800</v>
          </cell>
          <cell r="D169">
            <v>47000</v>
          </cell>
          <cell r="E169">
            <v>43850</v>
          </cell>
          <cell r="F169">
            <v>46700</v>
          </cell>
          <cell r="G169" t="str">
            <v>-</v>
          </cell>
          <cell r="H169">
            <v>46500</v>
          </cell>
          <cell r="I169" t="str">
            <v>-</v>
          </cell>
          <cell r="J169">
            <v>48600</v>
          </cell>
          <cell r="K169" t="str">
            <v>-</v>
          </cell>
          <cell r="L169">
            <v>48800</v>
          </cell>
          <cell r="M169">
            <v>49100</v>
          </cell>
          <cell r="N169">
            <v>46100</v>
          </cell>
          <cell r="O169" t="str">
            <v>-</v>
          </cell>
          <cell r="P169">
            <v>43800</v>
          </cell>
          <cell r="Q169">
            <v>44200</v>
          </cell>
          <cell r="R169">
            <v>44500</v>
          </cell>
          <cell r="S169">
            <v>47300</v>
          </cell>
          <cell r="T169">
            <v>46800</v>
          </cell>
          <cell r="U169">
            <v>45500</v>
          </cell>
          <cell r="V169">
            <v>46600</v>
          </cell>
          <cell r="W169">
            <v>49100</v>
          </cell>
        </row>
        <row r="170">
          <cell r="A170">
            <v>44436</v>
          </cell>
          <cell r="B170">
            <v>49500</v>
          </cell>
          <cell r="C170">
            <v>46800</v>
          </cell>
          <cell r="D170">
            <v>47000</v>
          </cell>
          <cell r="E170">
            <v>43750</v>
          </cell>
          <cell r="F170">
            <v>46500</v>
          </cell>
          <cell r="G170" t="str">
            <v>-</v>
          </cell>
          <cell r="H170">
            <v>46500</v>
          </cell>
          <cell r="I170" t="str">
            <v>-</v>
          </cell>
          <cell r="J170">
            <v>48400</v>
          </cell>
          <cell r="K170" t="str">
            <v>-</v>
          </cell>
          <cell r="L170">
            <v>48700</v>
          </cell>
          <cell r="M170">
            <v>48800</v>
          </cell>
          <cell r="N170">
            <v>46000</v>
          </cell>
          <cell r="O170" t="str">
            <v>-</v>
          </cell>
          <cell r="P170">
            <v>43700</v>
          </cell>
          <cell r="Q170">
            <v>44300</v>
          </cell>
          <cell r="R170">
            <v>44300</v>
          </cell>
          <cell r="S170">
            <v>47000</v>
          </cell>
          <cell r="T170">
            <v>46800</v>
          </cell>
          <cell r="U170">
            <v>45200</v>
          </cell>
          <cell r="V170">
            <v>46300</v>
          </cell>
          <cell r="W170">
            <v>48900</v>
          </cell>
        </row>
        <row r="171">
          <cell r="A171">
            <v>44437</v>
          </cell>
          <cell r="B171" t="str">
            <v>H</v>
          </cell>
          <cell r="C171" t="str">
            <v>H</v>
          </cell>
          <cell r="D171" t="str">
            <v>H</v>
          </cell>
          <cell r="E171" t="str">
            <v>H</v>
          </cell>
          <cell r="F171" t="str">
            <v>H</v>
          </cell>
          <cell r="G171" t="str">
            <v>H</v>
          </cell>
          <cell r="H171" t="str">
            <v>H</v>
          </cell>
          <cell r="I171" t="str">
            <v>H</v>
          </cell>
          <cell r="J171" t="str">
            <v>H</v>
          </cell>
          <cell r="K171" t="str">
            <v>H</v>
          </cell>
          <cell r="L171" t="str">
            <v>H</v>
          </cell>
          <cell r="M171" t="str">
            <v>H</v>
          </cell>
          <cell r="N171" t="str">
            <v>H</v>
          </cell>
          <cell r="O171" t="str">
            <v>H</v>
          </cell>
          <cell r="P171" t="str">
            <v>H</v>
          </cell>
          <cell r="Q171" t="str">
            <v>H</v>
          </cell>
          <cell r="R171" t="str">
            <v>H</v>
          </cell>
          <cell r="S171" t="str">
            <v>H</v>
          </cell>
          <cell r="T171" t="str">
            <v>H</v>
          </cell>
          <cell r="U171" t="str">
            <v>H</v>
          </cell>
          <cell r="V171" t="str">
            <v>H</v>
          </cell>
          <cell r="W171" t="str">
            <v>H</v>
          </cell>
        </row>
        <row r="172">
          <cell r="A172">
            <v>44438</v>
          </cell>
          <cell r="B172" t="str">
            <v>-</v>
          </cell>
          <cell r="C172">
            <v>46800</v>
          </cell>
          <cell r="D172">
            <v>47000</v>
          </cell>
          <cell r="E172">
            <v>43500</v>
          </cell>
          <cell r="F172">
            <v>46500</v>
          </cell>
          <cell r="G172" t="str">
            <v>-</v>
          </cell>
          <cell r="H172">
            <v>46000</v>
          </cell>
          <cell r="I172" t="str">
            <v>-</v>
          </cell>
          <cell r="J172">
            <v>48300</v>
          </cell>
          <cell r="K172" t="str">
            <v>-</v>
          </cell>
          <cell r="L172">
            <v>49000</v>
          </cell>
          <cell r="M172">
            <v>48800</v>
          </cell>
          <cell r="N172">
            <v>46000</v>
          </cell>
          <cell r="O172" t="str">
            <v>-</v>
          </cell>
          <cell r="P172">
            <v>43800</v>
          </cell>
          <cell r="Q172">
            <v>44200</v>
          </cell>
          <cell r="R172">
            <v>44200</v>
          </cell>
          <cell r="S172">
            <v>46800</v>
          </cell>
          <cell r="T172">
            <v>46600</v>
          </cell>
          <cell r="U172">
            <v>45200</v>
          </cell>
          <cell r="V172">
            <v>45900</v>
          </cell>
          <cell r="W172">
            <v>48300</v>
          </cell>
        </row>
        <row r="173">
          <cell r="A173">
            <v>44439</v>
          </cell>
          <cell r="B173">
            <v>49500</v>
          </cell>
          <cell r="C173">
            <v>47000</v>
          </cell>
          <cell r="D173">
            <v>46900</v>
          </cell>
          <cell r="E173">
            <v>43500</v>
          </cell>
          <cell r="F173">
            <v>46500</v>
          </cell>
          <cell r="G173" t="str">
            <v>-</v>
          </cell>
          <cell r="H173">
            <v>46000</v>
          </cell>
          <cell r="I173" t="str">
            <v>-</v>
          </cell>
          <cell r="J173">
            <v>48200</v>
          </cell>
          <cell r="K173" t="str">
            <v>-</v>
          </cell>
          <cell r="L173">
            <v>49000</v>
          </cell>
          <cell r="M173">
            <v>48400</v>
          </cell>
          <cell r="N173">
            <v>46200</v>
          </cell>
          <cell r="O173" t="str">
            <v>-</v>
          </cell>
          <cell r="P173">
            <v>44000</v>
          </cell>
          <cell r="Q173">
            <v>44400</v>
          </cell>
          <cell r="R173">
            <v>44300</v>
          </cell>
          <cell r="S173">
            <v>46800</v>
          </cell>
          <cell r="T173">
            <v>46600</v>
          </cell>
          <cell r="U173">
            <v>45200</v>
          </cell>
          <cell r="V173">
            <v>45800</v>
          </cell>
          <cell r="W173">
            <v>48300</v>
          </cell>
        </row>
        <row r="174">
          <cell r="A174">
            <v>44440</v>
          </cell>
          <cell r="B174">
            <v>49900</v>
          </cell>
          <cell r="C174">
            <v>47000</v>
          </cell>
          <cell r="D174">
            <v>47300</v>
          </cell>
          <cell r="E174">
            <v>44000</v>
          </cell>
          <cell r="F174">
            <v>46400</v>
          </cell>
          <cell r="G174" t="str">
            <v>-</v>
          </cell>
          <cell r="H174">
            <v>46500</v>
          </cell>
          <cell r="I174" t="str">
            <v>-</v>
          </cell>
          <cell r="J174">
            <v>48200</v>
          </cell>
          <cell r="K174" t="str">
            <v>-</v>
          </cell>
          <cell r="L174">
            <v>49300</v>
          </cell>
          <cell r="M174">
            <v>48100</v>
          </cell>
          <cell r="N174">
            <v>46500</v>
          </cell>
          <cell r="O174" t="str">
            <v>-</v>
          </cell>
          <cell r="P174">
            <v>44600</v>
          </cell>
          <cell r="Q174">
            <v>44700</v>
          </cell>
          <cell r="R174">
            <v>44600</v>
          </cell>
          <cell r="S174">
            <v>46900</v>
          </cell>
          <cell r="T174">
            <v>47000</v>
          </cell>
          <cell r="U174">
            <v>45800</v>
          </cell>
          <cell r="V174">
            <v>45900</v>
          </cell>
          <cell r="W174">
            <v>48300</v>
          </cell>
        </row>
        <row r="175">
          <cell r="A175">
            <v>44441</v>
          </cell>
          <cell r="B175">
            <v>50000</v>
          </cell>
          <cell r="C175">
            <v>47200</v>
          </cell>
          <cell r="D175">
            <v>47000</v>
          </cell>
          <cell r="E175">
            <v>43800</v>
          </cell>
          <cell r="F175">
            <v>46400</v>
          </cell>
          <cell r="G175" t="str">
            <v>-</v>
          </cell>
          <cell r="H175">
            <v>46500</v>
          </cell>
          <cell r="I175" t="str">
            <v>-</v>
          </cell>
          <cell r="J175">
            <v>48000</v>
          </cell>
          <cell r="K175" t="str">
            <v>-</v>
          </cell>
          <cell r="L175">
            <v>49200</v>
          </cell>
          <cell r="M175">
            <v>47900</v>
          </cell>
          <cell r="N175">
            <v>46500</v>
          </cell>
          <cell r="O175" t="str">
            <v>-</v>
          </cell>
          <cell r="P175">
            <v>44300</v>
          </cell>
          <cell r="Q175">
            <v>44700</v>
          </cell>
          <cell r="R175">
            <v>44500</v>
          </cell>
          <cell r="S175">
            <v>46600</v>
          </cell>
          <cell r="T175">
            <v>47000</v>
          </cell>
          <cell r="U175">
            <v>45800</v>
          </cell>
          <cell r="V175">
            <v>45900</v>
          </cell>
          <cell r="W175">
            <v>48000</v>
          </cell>
        </row>
        <row r="176">
          <cell r="A176">
            <v>44442</v>
          </cell>
          <cell r="B176">
            <v>49700</v>
          </cell>
          <cell r="C176">
            <v>47000</v>
          </cell>
          <cell r="D176">
            <v>47300</v>
          </cell>
          <cell r="E176">
            <v>43800</v>
          </cell>
          <cell r="F176">
            <v>46400</v>
          </cell>
          <cell r="G176" t="str">
            <v>-</v>
          </cell>
          <cell r="H176">
            <v>46000</v>
          </cell>
          <cell r="I176" t="str">
            <v>-</v>
          </cell>
          <cell r="J176">
            <v>48000</v>
          </cell>
          <cell r="K176" t="str">
            <v>-</v>
          </cell>
          <cell r="L176">
            <v>49200</v>
          </cell>
          <cell r="M176">
            <v>47600</v>
          </cell>
          <cell r="N176">
            <v>46300</v>
          </cell>
          <cell r="O176" t="str">
            <v>-</v>
          </cell>
          <cell r="P176">
            <v>44400</v>
          </cell>
          <cell r="Q176">
            <v>44700</v>
          </cell>
          <cell r="R176">
            <v>44300</v>
          </cell>
          <cell r="S176">
            <v>46500</v>
          </cell>
          <cell r="T176">
            <v>47000</v>
          </cell>
          <cell r="U176">
            <v>45800</v>
          </cell>
          <cell r="V176">
            <v>46100</v>
          </cell>
          <cell r="W176">
            <v>48000</v>
          </cell>
        </row>
        <row r="177">
          <cell r="A177">
            <v>44443</v>
          </cell>
          <cell r="B177">
            <v>49500</v>
          </cell>
          <cell r="C177">
            <v>47000</v>
          </cell>
          <cell r="D177">
            <v>47600</v>
          </cell>
          <cell r="E177">
            <v>43750</v>
          </cell>
          <cell r="F177">
            <v>46300</v>
          </cell>
          <cell r="G177" t="str">
            <v>-</v>
          </cell>
          <cell r="H177">
            <v>46000</v>
          </cell>
          <cell r="I177" t="str">
            <v>-</v>
          </cell>
          <cell r="J177">
            <v>47400</v>
          </cell>
          <cell r="K177" t="str">
            <v>-</v>
          </cell>
          <cell r="L177">
            <v>49200</v>
          </cell>
          <cell r="M177">
            <v>47400</v>
          </cell>
          <cell r="N177">
            <v>46200</v>
          </cell>
          <cell r="O177" t="str">
            <v>-</v>
          </cell>
          <cell r="P177">
            <v>44200</v>
          </cell>
          <cell r="Q177">
            <v>44400</v>
          </cell>
          <cell r="R177">
            <v>44100</v>
          </cell>
          <cell r="S177">
            <v>46300</v>
          </cell>
          <cell r="T177">
            <v>46800</v>
          </cell>
          <cell r="U177">
            <v>45800</v>
          </cell>
          <cell r="V177">
            <v>46100</v>
          </cell>
          <cell r="W177">
            <v>47900</v>
          </cell>
        </row>
        <row r="178">
          <cell r="A178">
            <v>44444</v>
          </cell>
          <cell r="B178" t="str">
            <v>H</v>
          </cell>
          <cell r="C178" t="str">
            <v>H</v>
          </cell>
          <cell r="D178" t="str">
            <v>H</v>
          </cell>
          <cell r="E178" t="str">
            <v>H</v>
          </cell>
          <cell r="F178" t="str">
            <v>H</v>
          </cell>
          <cell r="G178" t="str">
            <v>H</v>
          </cell>
          <cell r="H178" t="str">
            <v>H</v>
          </cell>
          <cell r="I178" t="str">
            <v>H</v>
          </cell>
          <cell r="J178" t="str">
            <v>H</v>
          </cell>
          <cell r="K178" t="str">
            <v>H</v>
          </cell>
          <cell r="L178" t="str">
            <v>H</v>
          </cell>
          <cell r="M178" t="str">
            <v>H</v>
          </cell>
          <cell r="N178" t="str">
            <v>H</v>
          </cell>
          <cell r="O178" t="str">
            <v>H</v>
          </cell>
          <cell r="P178" t="str">
            <v>H</v>
          </cell>
          <cell r="Q178" t="str">
            <v>H</v>
          </cell>
          <cell r="R178" t="str">
            <v>H</v>
          </cell>
          <cell r="S178" t="str">
            <v>H</v>
          </cell>
          <cell r="T178" t="str">
            <v>H</v>
          </cell>
          <cell r="U178" t="str">
            <v>H</v>
          </cell>
          <cell r="V178" t="str">
            <v>H</v>
          </cell>
          <cell r="W178" t="str">
            <v>H</v>
          </cell>
        </row>
        <row r="179">
          <cell r="A179">
            <v>44445</v>
          </cell>
          <cell r="B179">
            <v>49200</v>
          </cell>
          <cell r="C179">
            <v>47000</v>
          </cell>
          <cell r="D179">
            <v>47400</v>
          </cell>
          <cell r="E179">
            <v>43500</v>
          </cell>
          <cell r="F179">
            <v>46300</v>
          </cell>
          <cell r="G179" t="str">
            <v>-</v>
          </cell>
          <cell r="H179">
            <v>46000</v>
          </cell>
          <cell r="I179" t="str">
            <v>-</v>
          </cell>
          <cell r="J179">
            <v>47200</v>
          </cell>
          <cell r="K179" t="str">
            <v>-</v>
          </cell>
          <cell r="L179">
            <v>49100</v>
          </cell>
          <cell r="M179">
            <v>47400</v>
          </cell>
          <cell r="N179">
            <v>45900</v>
          </cell>
          <cell r="O179" t="str">
            <v>-</v>
          </cell>
          <cell r="P179">
            <v>43800</v>
          </cell>
          <cell r="Q179">
            <v>44200</v>
          </cell>
          <cell r="R179">
            <v>44000</v>
          </cell>
          <cell r="S179">
            <v>46000</v>
          </cell>
          <cell r="T179">
            <v>46500</v>
          </cell>
          <cell r="U179">
            <v>45800</v>
          </cell>
          <cell r="V179">
            <v>46100</v>
          </cell>
          <cell r="W179">
            <v>47900</v>
          </cell>
        </row>
        <row r="180">
          <cell r="A180">
            <v>44446</v>
          </cell>
          <cell r="B180">
            <v>48900</v>
          </cell>
          <cell r="C180">
            <v>47000</v>
          </cell>
          <cell r="D180">
            <v>47200</v>
          </cell>
          <cell r="E180">
            <v>43250</v>
          </cell>
          <cell r="F180">
            <v>46200</v>
          </cell>
          <cell r="G180" t="str">
            <v>-</v>
          </cell>
          <cell r="H180">
            <v>45500</v>
          </cell>
          <cell r="I180" t="str">
            <v>-</v>
          </cell>
          <cell r="J180">
            <v>47000</v>
          </cell>
          <cell r="K180" t="str">
            <v>-</v>
          </cell>
          <cell r="L180">
            <v>48900</v>
          </cell>
          <cell r="M180">
            <v>46900</v>
          </cell>
          <cell r="N180">
            <v>45700</v>
          </cell>
          <cell r="O180" t="str">
            <v>-</v>
          </cell>
          <cell r="P180">
            <v>43700</v>
          </cell>
          <cell r="Q180">
            <v>44100</v>
          </cell>
          <cell r="R180">
            <v>43650</v>
          </cell>
          <cell r="S180">
            <v>46000</v>
          </cell>
          <cell r="T180">
            <v>46500</v>
          </cell>
          <cell r="U180">
            <v>45800</v>
          </cell>
          <cell r="V180">
            <v>46000</v>
          </cell>
          <cell r="W180">
            <v>47700</v>
          </cell>
        </row>
        <row r="181">
          <cell r="A181">
            <v>44447</v>
          </cell>
          <cell r="B181">
            <v>48200</v>
          </cell>
          <cell r="C181">
            <v>47000</v>
          </cell>
          <cell r="D181">
            <v>47100</v>
          </cell>
          <cell r="E181">
            <v>43100</v>
          </cell>
          <cell r="F181">
            <v>45800</v>
          </cell>
          <cell r="G181" t="str">
            <v>-</v>
          </cell>
          <cell r="H181">
            <v>45500</v>
          </cell>
          <cell r="I181" t="str">
            <v>-</v>
          </cell>
          <cell r="J181">
            <v>46700</v>
          </cell>
          <cell r="K181" t="str">
            <v>-</v>
          </cell>
          <cell r="L181">
            <v>48500</v>
          </cell>
          <cell r="M181">
            <v>46100</v>
          </cell>
          <cell r="N181">
            <v>45400</v>
          </cell>
          <cell r="O181" t="str">
            <v>-</v>
          </cell>
          <cell r="P181">
            <v>43400</v>
          </cell>
          <cell r="Q181">
            <v>43900</v>
          </cell>
          <cell r="R181">
            <v>43650</v>
          </cell>
          <cell r="S181">
            <v>45800</v>
          </cell>
          <cell r="T181">
            <v>46100</v>
          </cell>
          <cell r="U181">
            <v>45800</v>
          </cell>
          <cell r="V181">
            <v>46000</v>
          </cell>
          <cell r="W181">
            <v>47700</v>
          </cell>
        </row>
        <row r="182">
          <cell r="A182">
            <v>44448</v>
          </cell>
          <cell r="B182">
            <v>47600</v>
          </cell>
          <cell r="C182">
            <v>46800</v>
          </cell>
          <cell r="D182">
            <v>47100</v>
          </cell>
          <cell r="E182">
            <v>43250</v>
          </cell>
          <cell r="F182">
            <v>45700</v>
          </cell>
          <cell r="G182" t="str">
            <v>-</v>
          </cell>
          <cell r="H182">
            <v>45500</v>
          </cell>
          <cell r="I182" t="str">
            <v>-</v>
          </cell>
          <cell r="J182">
            <v>45800</v>
          </cell>
          <cell r="K182" t="str">
            <v>-</v>
          </cell>
          <cell r="L182">
            <v>48600</v>
          </cell>
          <cell r="M182">
            <v>45700</v>
          </cell>
          <cell r="N182">
            <v>45400</v>
          </cell>
          <cell r="O182" t="str">
            <v>-</v>
          </cell>
          <cell r="P182">
            <v>43800</v>
          </cell>
          <cell r="Q182">
            <v>44100</v>
          </cell>
          <cell r="R182">
            <v>43650</v>
          </cell>
          <cell r="S182">
            <v>46000</v>
          </cell>
          <cell r="T182">
            <v>46200</v>
          </cell>
          <cell r="U182">
            <v>45600</v>
          </cell>
          <cell r="V182">
            <v>46000</v>
          </cell>
          <cell r="W182">
            <v>47700</v>
          </cell>
        </row>
        <row r="183">
          <cell r="A183">
            <v>44449</v>
          </cell>
          <cell r="B183">
            <v>47800</v>
          </cell>
          <cell r="C183">
            <v>46800</v>
          </cell>
          <cell r="D183">
            <v>47400</v>
          </cell>
          <cell r="E183">
            <v>43600</v>
          </cell>
          <cell r="F183">
            <v>45700</v>
          </cell>
          <cell r="G183" t="str">
            <v>-</v>
          </cell>
          <cell r="H183">
            <v>45500</v>
          </cell>
          <cell r="I183" t="str">
            <v>-</v>
          </cell>
          <cell r="J183">
            <v>45900</v>
          </cell>
          <cell r="K183" t="str">
            <v>-</v>
          </cell>
          <cell r="L183">
            <v>49000</v>
          </cell>
          <cell r="M183" t="str">
            <v>-</v>
          </cell>
          <cell r="N183">
            <v>46000</v>
          </cell>
          <cell r="O183" t="str">
            <v>-</v>
          </cell>
          <cell r="P183">
            <v>44300</v>
          </cell>
          <cell r="Q183">
            <v>44500</v>
          </cell>
          <cell r="R183">
            <v>44200</v>
          </cell>
          <cell r="S183">
            <v>46300</v>
          </cell>
          <cell r="T183">
            <v>46700</v>
          </cell>
          <cell r="U183">
            <v>45700</v>
          </cell>
          <cell r="V183">
            <v>46200</v>
          </cell>
          <cell r="W183">
            <v>47900</v>
          </cell>
        </row>
        <row r="184">
          <cell r="A184">
            <v>44450</v>
          </cell>
          <cell r="B184">
            <v>47900</v>
          </cell>
          <cell r="C184">
            <v>47000</v>
          </cell>
          <cell r="D184">
            <v>47000</v>
          </cell>
          <cell r="E184">
            <v>43700</v>
          </cell>
          <cell r="F184">
            <v>45900</v>
          </cell>
          <cell r="G184" t="str">
            <v>-</v>
          </cell>
          <cell r="H184">
            <v>46200</v>
          </cell>
          <cell r="I184" t="str">
            <v>-</v>
          </cell>
          <cell r="J184">
            <v>45900</v>
          </cell>
          <cell r="K184" t="str">
            <v>-</v>
          </cell>
          <cell r="L184">
            <v>49000</v>
          </cell>
          <cell r="M184">
            <v>45700</v>
          </cell>
          <cell r="N184">
            <v>45800</v>
          </cell>
          <cell r="O184" t="str">
            <v>-</v>
          </cell>
          <cell r="P184">
            <v>44200</v>
          </cell>
          <cell r="Q184">
            <v>44500</v>
          </cell>
          <cell r="R184">
            <v>44400</v>
          </cell>
          <cell r="S184">
            <v>46300</v>
          </cell>
          <cell r="T184">
            <v>46700</v>
          </cell>
          <cell r="U184">
            <v>45800</v>
          </cell>
          <cell r="V184">
            <v>46400</v>
          </cell>
          <cell r="W184">
            <v>48400</v>
          </cell>
        </row>
        <row r="185">
          <cell r="A185">
            <v>44451</v>
          </cell>
          <cell r="B185" t="str">
            <v>H</v>
          </cell>
          <cell r="C185" t="str">
            <v>H</v>
          </cell>
          <cell r="D185" t="str">
            <v>H</v>
          </cell>
          <cell r="E185" t="str">
            <v>H</v>
          </cell>
          <cell r="F185" t="str">
            <v>H</v>
          </cell>
          <cell r="G185" t="str">
            <v>H</v>
          </cell>
          <cell r="H185" t="str">
            <v>H</v>
          </cell>
          <cell r="I185" t="str">
            <v>H</v>
          </cell>
          <cell r="J185" t="str">
            <v>H</v>
          </cell>
          <cell r="K185" t="str">
            <v>H</v>
          </cell>
          <cell r="L185" t="str">
            <v>H</v>
          </cell>
          <cell r="M185" t="str">
            <v>H</v>
          </cell>
          <cell r="N185" t="str">
            <v>H</v>
          </cell>
          <cell r="O185" t="str">
            <v>H</v>
          </cell>
          <cell r="P185" t="str">
            <v>H</v>
          </cell>
          <cell r="Q185" t="str">
            <v>H</v>
          </cell>
          <cell r="R185" t="str">
            <v>H</v>
          </cell>
          <cell r="S185" t="str">
            <v>H</v>
          </cell>
          <cell r="T185" t="str">
            <v>H</v>
          </cell>
          <cell r="U185" t="str">
            <v>H</v>
          </cell>
          <cell r="V185" t="str">
            <v>H</v>
          </cell>
          <cell r="W185" t="str">
            <v>H</v>
          </cell>
        </row>
        <row r="186">
          <cell r="A186">
            <v>44452</v>
          </cell>
          <cell r="B186">
            <v>47500</v>
          </cell>
          <cell r="C186">
            <v>47200</v>
          </cell>
          <cell r="D186">
            <v>47000</v>
          </cell>
          <cell r="E186">
            <v>44200</v>
          </cell>
          <cell r="F186">
            <v>45900</v>
          </cell>
          <cell r="G186" t="str">
            <v>-</v>
          </cell>
          <cell r="H186">
            <v>45500</v>
          </cell>
          <cell r="I186" t="str">
            <v>-</v>
          </cell>
          <cell r="J186">
            <v>45900</v>
          </cell>
          <cell r="K186" t="str">
            <v>-</v>
          </cell>
          <cell r="L186">
            <v>49000</v>
          </cell>
          <cell r="M186">
            <v>45700</v>
          </cell>
          <cell r="N186">
            <v>45500</v>
          </cell>
          <cell r="O186" t="str">
            <v>-</v>
          </cell>
          <cell r="P186">
            <v>44000</v>
          </cell>
          <cell r="Q186">
            <v>44200</v>
          </cell>
          <cell r="R186">
            <v>44200</v>
          </cell>
          <cell r="S186">
            <v>46800</v>
          </cell>
          <cell r="T186">
            <v>46500</v>
          </cell>
          <cell r="U186">
            <v>46000</v>
          </cell>
          <cell r="V186">
            <v>46300</v>
          </cell>
          <cell r="W186">
            <v>48400</v>
          </cell>
        </row>
        <row r="187">
          <cell r="A187">
            <v>44453</v>
          </cell>
          <cell r="B187">
            <v>47200</v>
          </cell>
          <cell r="C187">
            <v>47200</v>
          </cell>
          <cell r="D187">
            <v>47400</v>
          </cell>
          <cell r="E187">
            <v>44500</v>
          </cell>
          <cell r="F187">
            <v>46000</v>
          </cell>
          <cell r="G187" t="str">
            <v>-</v>
          </cell>
          <cell r="H187">
            <v>46000</v>
          </cell>
          <cell r="I187" t="str">
            <v>-</v>
          </cell>
          <cell r="J187">
            <v>45800</v>
          </cell>
          <cell r="K187" t="str">
            <v>-</v>
          </cell>
          <cell r="L187">
            <v>49200</v>
          </cell>
          <cell r="M187">
            <v>45700</v>
          </cell>
          <cell r="N187">
            <v>46000</v>
          </cell>
          <cell r="O187" t="str">
            <v>-</v>
          </cell>
          <cell r="P187">
            <v>44200</v>
          </cell>
          <cell r="Q187">
            <v>44400</v>
          </cell>
          <cell r="R187">
            <v>44200</v>
          </cell>
          <cell r="S187">
            <v>47000</v>
          </cell>
          <cell r="T187">
            <v>46500</v>
          </cell>
          <cell r="U187">
            <v>46200</v>
          </cell>
          <cell r="V187">
            <v>46600</v>
          </cell>
          <cell r="W187">
            <v>48600</v>
          </cell>
        </row>
        <row r="188">
          <cell r="A188">
            <v>44454</v>
          </cell>
          <cell r="B188">
            <v>47200</v>
          </cell>
          <cell r="C188">
            <v>47600</v>
          </cell>
          <cell r="D188">
            <v>47400</v>
          </cell>
          <cell r="E188">
            <v>44500</v>
          </cell>
          <cell r="F188">
            <v>46200</v>
          </cell>
          <cell r="G188" t="str">
            <v>-</v>
          </cell>
          <cell r="H188">
            <v>46200</v>
          </cell>
          <cell r="I188" t="str">
            <v>-</v>
          </cell>
          <cell r="J188">
            <v>45800</v>
          </cell>
          <cell r="K188" t="str">
            <v>-</v>
          </cell>
          <cell r="L188">
            <v>49200</v>
          </cell>
          <cell r="M188">
            <v>45700</v>
          </cell>
          <cell r="N188">
            <v>45800</v>
          </cell>
          <cell r="O188" t="str">
            <v>-</v>
          </cell>
          <cell r="P188">
            <v>44400</v>
          </cell>
          <cell r="Q188">
            <v>44400</v>
          </cell>
          <cell r="R188">
            <v>44300</v>
          </cell>
          <cell r="S188">
            <v>47000</v>
          </cell>
          <cell r="T188">
            <v>46500</v>
          </cell>
          <cell r="U188">
            <v>46400</v>
          </cell>
          <cell r="V188">
            <v>46900</v>
          </cell>
          <cell r="W188">
            <v>48700</v>
          </cell>
        </row>
        <row r="189">
          <cell r="A189">
            <v>44455</v>
          </cell>
          <cell r="B189">
            <v>47100</v>
          </cell>
          <cell r="C189">
            <v>48000</v>
          </cell>
          <cell r="D189">
            <v>47200</v>
          </cell>
          <cell r="E189">
            <v>44500</v>
          </cell>
          <cell r="F189">
            <v>46200</v>
          </cell>
          <cell r="G189" t="str">
            <v>-</v>
          </cell>
          <cell r="H189">
            <v>46000</v>
          </cell>
          <cell r="I189" t="str">
            <v>-</v>
          </cell>
          <cell r="J189">
            <v>45700</v>
          </cell>
          <cell r="K189" t="str">
            <v>-</v>
          </cell>
          <cell r="L189">
            <v>49000</v>
          </cell>
          <cell r="M189">
            <v>45700</v>
          </cell>
          <cell r="N189">
            <v>45700</v>
          </cell>
          <cell r="O189" t="str">
            <v>-</v>
          </cell>
          <cell r="P189">
            <v>44100</v>
          </cell>
          <cell r="Q189">
            <v>44100</v>
          </cell>
          <cell r="R189">
            <v>44400</v>
          </cell>
          <cell r="S189">
            <v>47000</v>
          </cell>
          <cell r="T189">
            <v>46400</v>
          </cell>
          <cell r="U189">
            <v>46500</v>
          </cell>
          <cell r="V189">
            <v>46900</v>
          </cell>
          <cell r="W189">
            <v>48700</v>
          </cell>
        </row>
        <row r="190">
          <cell r="A190">
            <v>44456</v>
          </cell>
          <cell r="B190">
            <v>47000</v>
          </cell>
          <cell r="C190">
            <v>48000</v>
          </cell>
          <cell r="D190">
            <v>47200</v>
          </cell>
          <cell r="E190">
            <v>44800</v>
          </cell>
          <cell r="F190">
            <v>46200</v>
          </cell>
          <cell r="G190" t="str">
            <v>-</v>
          </cell>
          <cell r="H190">
            <v>46000</v>
          </cell>
          <cell r="I190" t="str">
            <v>-</v>
          </cell>
          <cell r="J190">
            <v>46000</v>
          </cell>
          <cell r="K190" t="str">
            <v>-</v>
          </cell>
          <cell r="L190">
            <v>49200</v>
          </cell>
          <cell r="M190">
            <v>45700</v>
          </cell>
          <cell r="N190">
            <v>45700</v>
          </cell>
          <cell r="O190" t="str">
            <v>-</v>
          </cell>
          <cell r="P190">
            <v>44100</v>
          </cell>
          <cell r="Q190">
            <v>44300</v>
          </cell>
          <cell r="R190">
            <v>44200</v>
          </cell>
          <cell r="S190">
            <v>47500</v>
          </cell>
          <cell r="T190">
            <v>46400</v>
          </cell>
          <cell r="U190">
            <v>46000</v>
          </cell>
          <cell r="V190">
            <v>46900</v>
          </cell>
          <cell r="W190">
            <v>48800</v>
          </cell>
        </row>
        <row r="191">
          <cell r="A191">
            <v>44457</v>
          </cell>
          <cell r="B191">
            <v>47000</v>
          </cell>
          <cell r="C191">
            <v>48500</v>
          </cell>
          <cell r="D191">
            <v>47200</v>
          </cell>
          <cell r="E191">
            <v>44800</v>
          </cell>
          <cell r="F191">
            <v>46700</v>
          </cell>
          <cell r="G191" t="str">
            <v>-</v>
          </cell>
          <cell r="H191">
            <v>46000</v>
          </cell>
          <cell r="I191" t="str">
            <v>-</v>
          </cell>
          <cell r="J191">
            <v>46000</v>
          </cell>
          <cell r="K191" t="str">
            <v>-</v>
          </cell>
          <cell r="L191">
            <v>49200</v>
          </cell>
          <cell r="M191">
            <v>45700</v>
          </cell>
          <cell r="N191">
            <v>45700</v>
          </cell>
          <cell r="O191" t="str">
            <v>-</v>
          </cell>
          <cell r="P191">
            <v>43900</v>
          </cell>
          <cell r="Q191">
            <v>44400</v>
          </cell>
          <cell r="R191">
            <v>44200</v>
          </cell>
          <cell r="S191">
            <v>47500</v>
          </cell>
          <cell r="T191">
            <v>46600</v>
          </cell>
          <cell r="U191">
            <v>46000</v>
          </cell>
          <cell r="V191">
            <v>47100</v>
          </cell>
          <cell r="W191">
            <v>48800</v>
          </cell>
        </row>
        <row r="192">
          <cell r="A192">
            <v>44458</v>
          </cell>
          <cell r="B192" t="str">
            <v>H</v>
          </cell>
          <cell r="C192" t="str">
            <v>H</v>
          </cell>
          <cell r="D192" t="str">
            <v>H</v>
          </cell>
          <cell r="E192" t="str">
            <v>H</v>
          </cell>
          <cell r="F192" t="str">
            <v>H</v>
          </cell>
          <cell r="G192" t="str">
            <v>H</v>
          </cell>
          <cell r="H192" t="str">
            <v>H</v>
          </cell>
          <cell r="I192" t="str">
            <v>H</v>
          </cell>
          <cell r="J192" t="str">
            <v>H</v>
          </cell>
          <cell r="K192" t="str">
            <v>H</v>
          </cell>
          <cell r="L192" t="str">
            <v>H</v>
          </cell>
          <cell r="M192" t="str">
            <v>H</v>
          </cell>
          <cell r="N192" t="str">
            <v>H</v>
          </cell>
          <cell r="O192" t="str">
            <v>H</v>
          </cell>
          <cell r="P192" t="str">
            <v>H</v>
          </cell>
          <cell r="Q192" t="str">
            <v>H</v>
          </cell>
          <cell r="R192" t="str">
            <v>H</v>
          </cell>
          <cell r="S192" t="str">
            <v>H</v>
          </cell>
          <cell r="T192" t="str">
            <v>H</v>
          </cell>
          <cell r="U192" t="str">
            <v>H</v>
          </cell>
          <cell r="V192" t="str">
            <v>H</v>
          </cell>
          <cell r="W192" t="str">
            <v>H</v>
          </cell>
        </row>
        <row r="193">
          <cell r="A193">
            <v>44459</v>
          </cell>
          <cell r="B193">
            <v>47000</v>
          </cell>
          <cell r="C193">
            <v>48700</v>
          </cell>
          <cell r="D193">
            <v>47400</v>
          </cell>
          <cell r="E193">
            <v>45000</v>
          </cell>
          <cell r="F193">
            <v>46700</v>
          </cell>
          <cell r="G193" t="str">
            <v>-</v>
          </cell>
          <cell r="H193">
            <v>46000</v>
          </cell>
          <cell r="I193" t="str">
            <v>-</v>
          </cell>
          <cell r="J193">
            <v>46000</v>
          </cell>
          <cell r="K193" t="str">
            <v>-</v>
          </cell>
          <cell r="L193">
            <v>49200</v>
          </cell>
          <cell r="M193">
            <v>45700</v>
          </cell>
          <cell r="N193">
            <v>46000</v>
          </cell>
          <cell r="O193" t="str">
            <v>-</v>
          </cell>
          <cell r="P193">
            <v>44700</v>
          </cell>
          <cell r="Q193">
            <v>45000</v>
          </cell>
          <cell r="R193">
            <v>44300</v>
          </cell>
          <cell r="S193">
            <v>47700</v>
          </cell>
          <cell r="T193">
            <v>47100</v>
          </cell>
          <cell r="U193">
            <v>46500</v>
          </cell>
          <cell r="V193">
            <v>47500</v>
          </cell>
          <cell r="W193">
            <v>49200</v>
          </cell>
        </row>
        <row r="194">
          <cell r="A194">
            <v>44460</v>
          </cell>
          <cell r="B194">
            <v>47200</v>
          </cell>
          <cell r="C194">
            <v>48700</v>
          </cell>
          <cell r="D194">
            <v>47800</v>
          </cell>
          <cell r="E194">
            <v>44800</v>
          </cell>
          <cell r="F194">
            <v>46700</v>
          </cell>
          <cell r="G194" t="str">
            <v>-</v>
          </cell>
          <cell r="H194">
            <v>46000</v>
          </cell>
          <cell r="I194" t="str">
            <v>-</v>
          </cell>
          <cell r="J194">
            <v>46400</v>
          </cell>
          <cell r="K194" t="str">
            <v>-</v>
          </cell>
          <cell r="L194">
            <v>49100</v>
          </cell>
          <cell r="M194">
            <v>46000</v>
          </cell>
          <cell r="N194">
            <v>46300</v>
          </cell>
          <cell r="O194" t="str">
            <v>-</v>
          </cell>
          <cell r="P194">
            <v>45000</v>
          </cell>
          <cell r="Q194">
            <v>45100</v>
          </cell>
          <cell r="R194">
            <v>44300</v>
          </cell>
          <cell r="S194">
            <v>47700</v>
          </cell>
          <cell r="T194">
            <v>47300</v>
          </cell>
          <cell r="U194">
            <v>46400</v>
          </cell>
          <cell r="V194">
            <v>47500</v>
          </cell>
          <cell r="W194">
            <v>49300</v>
          </cell>
        </row>
        <row r="195">
          <cell r="A195">
            <v>44461</v>
          </cell>
          <cell r="B195">
            <v>47200</v>
          </cell>
          <cell r="C195">
            <v>48700</v>
          </cell>
          <cell r="D195">
            <v>47600</v>
          </cell>
          <cell r="E195">
            <v>44500</v>
          </cell>
          <cell r="F195">
            <v>46700</v>
          </cell>
          <cell r="G195" t="str">
            <v>-</v>
          </cell>
          <cell r="H195">
            <v>46000</v>
          </cell>
          <cell r="I195" t="str">
            <v>-</v>
          </cell>
          <cell r="J195">
            <v>46400</v>
          </cell>
          <cell r="K195" t="str">
            <v>-</v>
          </cell>
          <cell r="L195">
            <v>49100</v>
          </cell>
          <cell r="M195">
            <v>46500</v>
          </cell>
          <cell r="N195">
            <v>46300</v>
          </cell>
          <cell r="O195" t="str">
            <v>-</v>
          </cell>
          <cell r="P195">
            <v>44850</v>
          </cell>
          <cell r="Q195">
            <v>45000</v>
          </cell>
          <cell r="R195">
            <v>44500</v>
          </cell>
          <cell r="S195">
            <v>47500</v>
          </cell>
          <cell r="T195">
            <v>47400</v>
          </cell>
          <cell r="U195">
            <v>46500</v>
          </cell>
          <cell r="V195">
            <v>47500</v>
          </cell>
          <cell r="W195">
            <v>49300</v>
          </cell>
        </row>
        <row r="196">
          <cell r="A196">
            <v>44462</v>
          </cell>
          <cell r="B196">
            <v>47000</v>
          </cell>
          <cell r="C196">
            <v>48500</v>
          </cell>
          <cell r="D196">
            <v>47800</v>
          </cell>
          <cell r="E196">
            <v>44300</v>
          </cell>
          <cell r="F196">
            <v>46700</v>
          </cell>
          <cell r="G196" t="str">
            <v>-</v>
          </cell>
          <cell r="H196">
            <v>45500</v>
          </cell>
          <cell r="I196" t="str">
            <v>-</v>
          </cell>
          <cell r="J196">
            <v>46300</v>
          </cell>
          <cell r="K196" t="str">
            <v>-</v>
          </cell>
          <cell r="L196">
            <v>48800</v>
          </cell>
          <cell r="M196">
            <v>46500</v>
          </cell>
          <cell r="N196">
            <v>46100</v>
          </cell>
          <cell r="O196" t="str">
            <v>-</v>
          </cell>
          <cell r="P196">
            <v>44500</v>
          </cell>
          <cell r="Q196">
            <v>44500</v>
          </cell>
          <cell r="R196">
            <v>44400</v>
          </cell>
          <cell r="S196">
            <v>47300</v>
          </cell>
          <cell r="T196">
            <v>47000</v>
          </cell>
          <cell r="U196">
            <v>46400</v>
          </cell>
          <cell r="V196">
            <v>47500</v>
          </cell>
          <cell r="W196">
            <v>49300</v>
          </cell>
        </row>
        <row r="197">
          <cell r="A197">
            <v>44463</v>
          </cell>
          <cell r="B197">
            <v>46800</v>
          </cell>
          <cell r="C197">
            <v>48700</v>
          </cell>
          <cell r="D197">
            <v>48000</v>
          </cell>
          <cell r="E197">
            <v>44700</v>
          </cell>
          <cell r="F197">
            <v>46700</v>
          </cell>
          <cell r="G197" t="str">
            <v>-</v>
          </cell>
          <cell r="H197">
            <v>45500</v>
          </cell>
          <cell r="I197" t="str">
            <v>-</v>
          </cell>
          <cell r="J197">
            <v>46100</v>
          </cell>
          <cell r="K197" t="str">
            <v>-</v>
          </cell>
          <cell r="L197">
            <v>48900</v>
          </cell>
          <cell r="M197">
            <v>46500</v>
          </cell>
          <cell r="N197">
            <v>46300</v>
          </cell>
          <cell r="O197" t="str">
            <v>-</v>
          </cell>
          <cell r="P197">
            <v>44700</v>
          </cell>
          <cell r="Q197">
            <v>44700</v>
          </cell>
          <cell r="R197">
            <v>44400</v>
          </cell>
          <cell r="S197">
            <v>47600</v>
          </cell>
          <cell r="T197">
            <v>47100</v>
          </cell>
          <cell r="U197">
            <v>46000</v>
          </cell>
          <cell r="V197">
            <v>47500</v>
          </cell>
          <cell r="W197">
            <v>49300</v>
          </cell>
        </row>
        <row r="198">
          <cell r="A198">
            <v>44464</v>
          </cell>
          <cell r="B198">
            <v>46800</v>
          </cell>
          <cell r="C198">
            <v>48750</v>
          </cell>
          <cell r="D198">
            <v>47800</v>
          </cell>
          <cell r="E198">
            <v>44500</v>
          </cell>
          <cell r="F198">
            <v>46700</v>
          </cell>
          <cell r="G198" t="str">
            <v>-</v>
          </cell>
          <cell r="H198">
            <v>45500</v>
          </cell>
          <cell r="I198" t="str">
            <v>-</v>
          </cell>
          <cell r="J198">
            <v>46000</v>
          </cell>
          <cell r="K198" t="str">
            <v>-</v>
          </cell>
          <cell r="L198">
            <v>48800</v>
          </cell>
          <cell r="M198">
            <v>46200</v>
          </cell>
          <cell r="N198">
            <v>46300</v>
          </cell>
          <cell r="O198" t="str">
            <v>-</v>
          </cell>
          <cell r="P198">
            <v>44700</v>
          </cell>
          <cell r="Q198">
            <v>44700</v>
          </cell>
          <cell r="R198">
            <v>44300</v>
          </cell>
          <cell r="S198">
            <v>47400</v>
          </cell>
          <cell r="T198">
            <v>47100</v>
          </cell>
          <cell r="U198">
            <v>46000</v>
          </cell>
          <cell r="V198">
            <v>47500</v>
          </cell>
          <cell r="W198">
            <v>49300</v>
          </cell>
        </row>
        <row r="199">
          <cell r="A199">
            <v>44465</v>
          </cell>
          <cell r="B199" t="str">
            <v>H</v>
          </cell>
          <cell r="C199" t="str">
            <v>H</v>
          </cell>
          <cell r="D199" t="str">
            <v>H</v>
          </cell>
          <cell r="E199" t="str">
            <v>H</v>
          </cell>
          <cell r="F199" t="str">
            <v>H</v>
          </cell>
          <cell r="G199" t="str">
            <v>H</v>
          </cell>
          <cell r="H199" t="str">
            <v>H</v>
          </cell>
          <cell r="I199" t="str">
            <v>H</v>
          </cell>
          <cell r="J199" t="str">
            <v>H</v>
          </cell>
          <cell r="K199" t="str">
            <v>H</v>
          </cell>
          <cell r="L199" t="str">
            <v>H</v>
          </cell>
          <cell r="M199" t="str">
            <v>H</v>
          </cell>
          <cell r="N199" t="str">
            <v>H</v>
          </cell>
          <cell r="O199" t="str">
            <v>H</v>
          </cell>
          <cell r="P199" t="str">
            <v>H</v>
          </cell>
          <cell r="Q199" t="str">
            <v>H</v>
          </cell>
          <cell r="R199" t="str">
            <v>H</v>
          </cell>
          <cell r="S199" t="str">
            <v>H</v>
          </cell>
          <cell r="T199" t="str">
            <v>H</v>
          </cell>
          <cell r="U199" t="str">
            <v>H</v>
          </cell>
          <cell r="V199" t="str">
            <v>H</v>
          </cell>
          <cell r="W199" t="str">
            <v>H</v>
          </cell>
        </row>
        <row r="200">
          <cell r="A200">
            <v>44466</v>
          </cell>
          <cell r="B200">
            <v>46600</v>
          </cell>
          <cell r="C200">
            <v>48800</v>
          </cell>
          <cell r="D200">
            <v>48000</v>
          </cell>
          <cell r="E200">
            <v>44800</v>
          </cell>
          <cell r="F200">
            <v>46700</v>
          </cell>
          <cell r="G200" t="str">
            <v>-</v>
          </cell>
          <cell r="H200">
            <v>45500</v>
          </cell>
          <cell r="I200" t="str">
            <v>-</v>
          </cell>
          <cell r="J200">
            <v>45900</v>
          </cell>
          <cell r="K200" t="str">
            <v>-</v>
          </cell>
          <cell r="L200">
            <v>49000</v>
          </cell>
          <cell r="M200">
            <v>46200</v>
          </cell>
          <cell r="N200">
            <v>46500</v>
          </cell>
          <cell r="O200" t="str">
            <v>-</v>
          </cell>
          <cell r="P200">
            <v>44600</v>
          </cell>
          <cell r="Q200">
            <v>44700</v>
          </cell>
          <cell r="R200">
            <v>44400</v>
          </cell>
          <cell r="S200">
            <v>47800</v>
          </cell>
          <cell r="T200">
            <v>47100</v>
          </cell>
          <cell r="U200">
            <v>46400</v>
          </cell>
          <cell r="V200">
            <v>47500</v>
          </cell>
          <cell r="W200">
            <v>49500</v>
          </cell>
        </row>
        <row r="201">
          <cell r="A201">
            <v>44467</v>
          </cell>
          <cell r="B201">
            <v>46900</v>
          </cell>
          <cell r="C201">
            <v>48800</v>
          </cell>
          <cell r="D201">
            <v>48500</v>
          </cell>
          <cell r="E201">
            <v>45200</v>
          </cell>
          <cell r="F201">
            <v>46600</v>
          </cell>
          <cell r="G201" t="str">
            <v>-</v>
          </cell>
          <cell r="H201">
            <v>46000</v>
          </cell>
          <cell r="I201" t="str">
            <v>-</v>
          </cell>
          <cell r="J201">
            <v>46100</v>
          </cell>
          <cell r="K201" t="str">
            <v>-</v>
          </cell>
          <cell r="L201">
            <v>49100</v>
          </cell>
          <cell r="M201">
            <v>46200</v>
          </cell>
          <cell r="N201">
            <v>46800</v>
          </cell>
          <cell r="O201" t="str">
            <v>-</v>
          </cell>
          <cell r="P201">
            <v>45200</v>
          </cell>
          <cell r="Q201">
            <v>45200</v>
          </cell>
          <cell r="R201">
            <v>44800</v>
          </cell>
          <cell r="S201">
            <v>48000</v>
          </cell>
          <cell r="T201">
            <v>47600</v>
          </cell>
          <cell r="U201">
            <v>46600</v>
          </cell>
          <cell r="V201">
            <v>47800</v>
          </cell>
          <cell r="W201">
            <v>49700</v>
          </cell>
        </row>
        <row r="202">
          <cell r="A202">
            <v>44468</v>
          </cell>
          <cell r="B202">
            <v>47500</v>
          </cell>
          <cell r="C202">
            <v>49000</v>
          </cell>
          <cell r="D202">
            <v>48800</v>
          </cell>
          <cell r="E202">
            <v>45500</v>
          </cell>
          <cell r="F202">
            <v>47200</v>
          </cell>
          <cell r="G202" t="str">
            <v>-</v>
          </cell>
          <cell r="H202">
            <v>46500</v>
          </cell>
          <cell r="I202" t="str">
            <v>-</v>
          </cell>
          <cell r="J202">
            <v>47700</v>
          </cell>
          <cell r="K202" t="str">
            <v>-</v>
          </cell>
          <cell r="L202">
            <v>49400</v>
          </cell>
          <cell r="M202">
            <v>46600</v>
          </cell>
          <cell r="N202">
            <v>47300</v>
          </cell>
          <cell r="O202" t="str">
            <v>-</v>
          </cell>
          <cell r="P202">
            <v>45600</v>
          </cell>
          <cell r="Q202">
            <v>45700</v>
          </cell>
          <cell r="R202">
            <v>45000</v>
          </cell>
          <cell r="S202">
            <v>48600</v>
          </cell>
          <cell r="T202">
            <v>48200</v>
          </cell>
          <cell r="U202">
            <v>47200</v>
          </cell>
          <cell r="V202">
            <v>48500</v>
          </cell>
          <cell r="W202">
            <v>50300</v>
          </cell>
        </row>
        <row r="203">
          <cell r="A203">
            <v>44469</v>
          </cell>
          <cell r="B203">
            <v>48800</v>
          </cell>
          <cell r="C203">
            <v>50000</v>
          </cell>
          <cell r="D203">
            <v>49300</v>
          </cell>
          <cell r="E203">
            <v>47500</v>
          </cell>
          <cell r="F203">
            <v>48200</v>
          </cell>
          <cell r="G203" t="str">
            <v>-</v>
          </cell>
          <cell r="H203">
            <v>48500</v>
          </cell>
          <cell r="I203" t="str">
            <v>-</v>
          </cell>
          <cell r="J203">
            <v>49400</v>
          </cell>
          <cell r="K203" t="str">
            <v>-</v>
          </cell>
          <cell r="L203">
            <v>50800</v>
          </cell>
          <cell r="M203">
            <v>47900</v>
          </cell>
          <cell r="N203">
            <v>48200</v>
          </cell>
          <cell r="O203" t="str">
            <v>-</v>
          </cell>
          <cell r="P203">
            <v>48000</v>
          </cell>
          <cell r="Q203">
            <v>47700</v>
          </cell>
          <cell r="R203">
            <v>47000</v>
          </cell>
          <cell r="S203">
            <v>50500</v>
          </cell>
          <cell r="T203">
            <v>49900</v>
          </cell>
          <cell r="U203">
            <v>48600</v>
          </cell>
          <cell r="V203">
            <v>49600</v>
          </cell>
          <cell r="W203">
            <v>51300</v>
          </cell>
        </row>
        <row r="204">
          <cell r="A204">
            <v>44470</v>
          </cell>
          <cell r="B204">
            <v>49900</v>
          </cell>
          <cell r="C204">
            <v>52000</v>
          </cell>
          <cell r="D204">
            <v>51200</v>
          </cell>
          <cell r="E204">
            <v>49700</v>
          </cell>
          <cell r="F204">
            <v>50500</v>
          </cell>
          <cell r="G204" t="str">
            <v>-</v>
          </cell>
          <cell r="H204">
            <v>50500</v>
          </cell>
          <cell r="I204" t="str">
            <v>-</v>
          </cell>
          <cell r="J204">
            <v>50300</v>
          </cell>
          <cell r="K204" t="str">
            <v>-</v>
          </cell>
          <cell r="L204">
            <v>52600</v>
          </cell>
          <cell r="M204">
            <v>49300</v>
          </cell>
          <cell r="N204">
            <v>50000</v>
          </cell>
          <cell r="O204" t="str">
            <v>-</v>
          </cell>
          <cell r="P204">
            <v>49200</v>
          </cell>
          <cell r="Q204">
            <v>49800</v>
          </cell>
          <cell r="R204">
            <v>48700</v>
          </cell>
          <cell r="S204">
            <v>52500</v>
          </cell>
          <cell r="T204">
            <v>51500</v>
          </cell>
          <cell r="U204">
            <v>50200</v>
          </cell>
          <cell r="V204">
            <v>50900</v>
          </cell>
          <cell r="W204">
            <v>52600</v>
          </cell>
        </row>
        <row r="205">
          <cell r="A205">
            <v>44471</v>
          </cell>
          <cell r="B205" t="str">
            <v>H</v>
          </cell>
          <cell r="C205" t="str">
            <v>H</v>
          </cell>
          <cell r="D205" t="str">
            <v>H</v>
          </cell>
          <cell r="E205" t="str">
            <v>H</v>
          </cell>
          <cell r="F205" t="str">
            <v>H</v>
          </cell>
          <cell r="G205" t="str">
            <v>H</v>
          </cell>
          <cell r="H205" t="str">
            <v>H</v>
          </cell>
          <cell r="I205" t="str">
            <v>H</v>
          </cell>
          <cell r="J205" t="str">
            <v>H</v>
          </cell>
          <cell r="K205" t="str">
            <v>H</v>
          </cell>
          <cell r="L205" t="str">
            <v>H</v>
          </cell>
          <cell r="M205" t="str">
            <v>H</v>
          </cell>
          <cell r="N205" t="str">
            <v>H</v>
          </cell>
          <cell r="O205" t="str">
            <v>H</v>
          </cell>
          <cell r="P205" t="str">
            <v>H</v>
          </cell>
          <cell r="Q205" t="str">
            <v>H</v>
          </cell>
          <cell r="R205" t="str">
            <v>H</v>
          </cell>
          <cell r="S205" t="str">
            <v>H</v>
          </cell>
          <cell r="T205" t="str">
            <v>H</v>
          </cell>
          <cell r="U205" t="str">
            <v>H</v>
          </cell>
          <cell r="V205" t="str">
            <v>H</v>
          </cell>
          <cell r="W205" t="str">
            <v>H</v>
          </cell>
        </row>
        <row r="206">
          <cell r="A206">
            <v>44472</v>
          </cell>
          <cell r="B206" t="str">
            <v>H</v>
          </cell>
          <cell r="C206" t="str">
            <v>H</v>
          </cell>
          <cell r="D206" t="str">
            <v>H</v>
          </cell>
          <cell r="E206" t="str">
            <v>H</v>
          </cell>
          <cell r="F206" t="str">
            <v>H</v>
          </cell>
          <cell r="G206" t="str">
            <v>H</v>
          </cell>
          <cell r="H206" t="str">
            <v>H</v>
          </cell>
          <cell r="I206" t="str">
            <v>H</v>
          </cell>
          <cell r="J206" t="str">
            <v>H</v>
          </cell>
          <cell r="K206" t="str">
            <v>H</v>
          </cell>
          <cell r="L206" t="str">
            <v>H</v>
          </cell>
          <cell r="M206" t="str">
            <v>H</v>
          </cell>
          <cell r="N206" t="str">
            <v>H</v>
          </cell>
          <cell r="O206" t="str">
            <v>H</v>
          </cell>
          <cell r="P206" t="str">
            <v>H</v>
          </cell>
          <cell r="Q206" t="str">
            <v>H</v>
          </cell>
          <cell r="R206" t="str">
            <v>H</v>
          </cell>
          <cell r="S206" t="str">
            <v>H</v>
          </cell>
          <cell r="T206" t="str">
            <v>H</v>
          </cell>
          <cell r="U206" t="str">
            <v>H</v>
          </cell>
          <cell r="V206" t="str">
            <v>H</v>
          </cell>
          <cell r="W206" t="str">
            <v>H</v>
          </cell>
        </row>
        <row r="207">
          <cell r="A207">
            <v>44473</v>
          </cell>
          <cell r="B207">
            <v>51200</v>
          </cell>
          <cell r="C207">
            <v>54000</v>
          </cell>
          <cell r="D207">
            <v>52500</v>
          </cell>
          <cell r="E207">
            <v>50200</v>
          </cell>
          <cell r="F207" t="str">
            <v>-</v>
          </cell>
          <cell r="G207" t="str">
            <v>-</v>
          </cell>
          <cell r="H207">
            <v>51000</v>
          </cell>
          <cell r="I207" t="str">
            <v>-</v>
          </cell>
          <cell r="J207">
            <v>50300</v>
          </cell>
          <cell r="K207" t="str">
            <v>-</v>
          </cell>
          <cell r="L207">
            <v>53200</v>
          </cell>
          <cell r="M207">
            <v>49800</v>
          </cell>
          <cell r="N207">
            <v>50600</v>
          </cell>
          <cell r="O207" t="str">
            <v>-</v>
          </cell>
          <cell r="P207">
            <v>49600</v>
          </cell>
          <cell r="Q207">
            <v>49800</v>
          </cell>
          <cell r="R207">
            <v>49000</v>
          </cell>
          <cell r="S207">
            <v>52800</v>
          </cell>
          <cell r="T207">
            <v>52100</v>
          </cell>
          <cell r="U207">
            <v>50800</v>
          </cell>
          <cell r="V207">
            <v>51700</v>
          </cell>
          <cell r="W207">
            <v>53200</v>
          </cell>
        </row>
        <row r="208">
          <cell r="A208">
            <v>44474</v>
          </cell>
          <cell r="B208">
            <v>51400</v>
          </cell>
          <cell r="C208">
            <v>55200</v>
          </cell>
          <cell r="D208">
            <v>52800</v>
          </cell>
          <cell r="E208">
            <v>50200</v>
          </cell>
          <cell r="F208">
            <v>54500</v>
          </cell>
          <cell r="G208" t="str">
            <v>-</v>
          </cell>
          <cell r="H208">
            <v>51500</v>
          </cell>
          <cell r="I208" t="str">
            <v>-</v>
          </cell>
          <cell r="J208">
            <v>50300</v>
          </cell>
          <cell r="K208" t="str">
            <v>-</v>
          </cell>
          <cell r="L208">
            <v>53700</v>
          </cell>
          <cell r="M208">
            <v>50500</v>
          </cell>
          <cell r="N208">
            <v>51000</v>
          </cell>
          <cell r="O208" t="str">
            <v>-</v>
          </cell>
          <cell r="P208">
            <v>49600</v>
          </cell>
          <cell r="Q208">
            <v>49700</v>
          </cell>
          <cell r="R208">
            <v>49700</v>
          </cell>
          <cell r="S208">
            <v>52800</v>
          </cell>
          <cell r="T208">
            <v>52300</v>
          </cell>
          <cell r="U208">
            <v>51500</v>
          </cell>
          <cell r="V208">
            <v>53900</v>
          </cell>
          <cell r="W208">
            <v>55500</v>
          </cell>
        </row>
        <row r="209">
          <cell r="A209">
            <v>44475</v>
          </cell>
          <cell r="B209">
            <v>51900</v>
          </cell>
          <cell r="C209">
            <v>55000</v>
          </cell>
          <cell r="D209">
            <v>52600</v>
          </cell>
          <cell r="E209">
            <v>49700</v>
          </cell>
          <cell r="F209">
            <v>55000</v>
          </cell>
          <cell r="G209" t="str">
            <v>-</v>
          </cell>
          <cell r="H209">
            <v>51500</v>
          </cell>
          <cell r="I209" t="str">
            <v>-</v>
          </cell>
          <cell r="J209">
            <v>50300</v>
          </cell>
          <cell r="K209" t="str">
            <v>-</v>
          </cell>
          <cell r="L209">
            <v>53600</v>
          </cell>
          <cell r="M209">
            <v>50500</v>
          </cell>
          <cell r="N209">
            <v>51100</v>
          </cell>
          <cell r="O209" t="str">
            <v>-</v>
          </cell>
          <cell r="P209">
            <v>49200</v>
          </cell>
          <cell r="Q209">
            <v>49800</v>
          </cell>
          <cell r="R209">
            <v>49700</v>
          </cell>
          <cell r="S209">
            <v>52200</v>
          </cell>
          <cell r="T209">
            <v>52300</v>
          </cell>
          <cell r="U209">
            <v>51800</v>
          </cell>
          <cell r="V209">
            <v>54300</v>
          </cell>
          <cell r="W209">
            <v>56100</v>
          </cell>
        </row>
        <row r="210">
          <cell r="A210">
            <v>44476</v>
          </cell>
          <cell r="B210">
            <v>51900</v>
          </cell>
          <cell r="C210">
            <v>55000</v>
          </cell>
          <cell r="D210">
            <v>52600</v>
          </cell>
          <cell r="E210">
            <v>49500</v>
          </cell>
          <cell r="F210">
            <v>55000</v>
          </cell>
          <cell r="G210" t="str">
            <v>-</v>
          </cell>
          <cell r="H210">
            <v>51000</v>
          </cell>
          <cell r="I210" t="str">
            <v>-</v>
          </cell>
          <cell r="J210">
            <v>50300</v>
          </cell>
          <cell r="K210" t="str">
            <v>-</v>
          </cell>
          <cell r="L210">
            <v>53400</v>
          </cell>
          <cell r="M210">
            <v>50500</v>
          </cell>
          <cell r="N210">
            <v>51100</v>
          </cell>
          <cell r="O210" t="str">
            <v>-</v>
          </cell>
          <cell r="P210">
            <v>49000</v>
          </cell>
          <cell r="Q210">
            <v>49200</v>
          </cell>
          <cell r="R210">
            <v>49150</v>
          </cell>
          <cell r="S210">
            <v>52000</v>
          </cell>
          <cell r="T210">
            <v>52200</v>
          </cell>
          <cell r="U210">
            <v>51800</v>
          </cell>
          <cell r="V210">
            <v>54300</v>
          </cell>
          <cell r="W210">
            <v>56100</v>
          </cell>
        </row>
        <row r="211">
          <cell r="A211">
            <v>44477</v>
          </cell>
          <cell r="B211">
            <v>51300</v>
          </cell>
          <cell r="C211">
            <v>54700</v>
          </cell>
          <cell r="D211">
            <v>51800</v>
          </cell>
          <cell r="E211">
            <v>48900</v>
          </cell>
          <cell r="F211">
            <v>53800</v>
          </cell>
          <cell r="G211" t="str">
            <v>-</v>
          </cell>
          <cell r="H211">
            <v>51000</v>
          </cell>
          <cell r="I211" t="str">
            <v>-</v>
          </cell>
          <cell r="J211">
            <v>50300</v>
          </cell>
          <cell r="K211" t="str">
            <v>-</v>
          </cell>
          <cell r="L211">
            <v>52700</v>
          </cell>
          <cell r="M211">
            <v>50500</v>
          </cell>
          <cell r="N211">
            <v>50200</v>
          </cell>
          <cell r="O211" t="str">
            <v>-</v>
          </cell>
          <cell r="P211">
            <v>48400</v>
          </cell>
          <cell r="Q211">
            <v>48500</v>
          </cell>
          <cell r="R211">
            <v>48300</v>
          </cell>
          <cell r="S211">
            <v>51500</v>
          </cell>
          <cell r="T211">
            <v>51400</v>
          </cell>
          <cell r="U211">
            <v>51300</v>
          </cell>
          <cell r="V211">
            <v>54100</v>
          </cell>
          <cell r="W211">
            <v>56000</v>
          </cell>
        </row>
        <row r="212">
          <cell r="A212">
            <v>44478</v>
          </cell>
          <cell r="B212">
            <v>51500</v>
          </cell>
          <cell r="C212">
            <v>54800</v>
          </cell>
          <cell r="D212">
            <v>52700</v>
          </cell>
          <cell r="E212">
            <v>49200</v>
          </cell>
          <cell r="F212">
            <v>53300</v>
          </cell>
          <cell r="G212" t="str">
            <v>-</v>
          </cell>
          <cell r="H212">
            <v>51000</v>
          </cell>
          <cell r="I212" t="str">
            <v>-</v>
          </cell>
          <cell r="J212">
            <v>50300</v>
          </cell>
          <cell r="K212" t="str">
            <v>-</v>
          </cell>
          <cell r="L212">
            <v>52800</v>
          </cell>
          <cell r="M212">
            <v>50700</v>
          </cell>
          <cell r="N212">
            <v>50600</v>
          </cell>
          <cell r="O212" t="str">
            <v>-</v>
          </cell>
          <cell r="P212">
            <v>48600</v>
          </cell>
          <cell r="Q212">
            <v>48800</v>
          </cell>
          <cell r="R212">
            <v>48300</v>
          </cell>
          <cell r="S212">
            <v>51700</v>
          </cell>
          <cell r="T212">
            <v>51400</v>
          </cell>
          <cell r="U212">
            <v>51300</v>
          </cell>
          <cell r="V212">
            <v>53900</v>
          </cell>
          <cell r="W212">
            <v>55800</v>
          </cell>
        </row>
        <row r="213">
          <cell r="A213">
            <v>44479</v>
          </cell>
          <cell r="B213" t="str">
            <v>H</v>
          </cell>
          <cell r="C213" t="str">
            <v>H</v>
          </cell>
          <cell r="D213" t="str">
            <v>H</v>
          </cell>
          <cell r="E213" t="str">
            <v>H</v>
          </cell>
          <cell r="F213" t="str">
            <v>H</v>
          </cell>
          <cell r="G213" t="str">
            <v>H</v>
          </cell>
          <cell r="H213" t="str">
            <v>H</v>
          </cell>
          <cell r="I213" t="str">
            <v>H</v>
          </cell>
          <cell r="J213" t="str">
            <v>H</v>
          </cell>
          <cell r="K213" t="str">
            <v>H</v>
          </cell>
          <cell r="L213" t="str">
            <v>H</v>
          </cell>
          <cell r="M213" t="str">
            <v>H</v>
          </cell>
          <cell r="N213" t="str">
            <v>H</v>
          </cell>
          <cell r="O213" t="str">
            <v>H</v>
          </cell>
          <cell r="P213" t="str">
            <v>H</v>
          </cell>
          <cell r="Q213" t="str">
            <v>H</v>
          </cell>
          <cell r="R213" t="str">
            <v>H</v>
          </cell>
          <cell r="S213" t="str">
            <v>H</v>
          </cell>
          <cell r="T213" t="str">
            <v>H</v>
          </cell>
          <cell r="U213" t="str">
            <v>H</v>
          </cell>
          <cell r="V213" t="str">
            <v>H</v>
          </cell>
          <cell r="W213" t="str">
            <v>H</v>
          </cell>
        </row>
        <row r="214">
          <cell r="A214">
            <v>44480</v>
          </cell>
          <cell r="B214">
            <v>54000</v>
          </cell>
          <cell r="C214">
            <v>55500</v>
          </cell>
          <cell r="D214">
            <v>54600</v>
          </cell>
          <cell r="E214">
            <v>51000</v>
          </cell>
          <cell r="F214">
            <v>54300</v>
          </cell>
          <cell r="G214" t="str">
            <v>-</v>
          </cell>
          <cell r="H214">
            <v>53000</v>
          </cell>
          <cell r="I214" t="str">
            <v>-</v>
          </cell>
          <cell r="J214">
            <v>52600</v>
          </cell>
          <cell r="K214" t="str">
            <v>-</v>
          </cell>
          <cell r="L214">
            <v>54200</v>
          </cell>
          <cell r="M214">
            <v>52200</v>
          </cell>
          <cell r="N214">
            <v>53400</v>
          </cell>
          <cell r="O214" t="str">
            <v>-</v>
          </cell>
          <cell r="P214">
            <v>51000</v>
          </cell>
          <cell r="Q214">
            <v>51800</v>
          </cell>
          <cell r="R214">
            <v>50900</v>
          </cell>
          <cell r="S214">
            <v>53500</v>
          </cell>
          <cell r="T214">
            <v>53300</v>
          </cell>
          <cell r="U214">
            <v>52300</v>
          </cell>
          <cell r="V214">
            <v>54800</v>
          </cell>
          <cell r="W214">
            <v>57200</v>
          </cell>
        </row>
        <row r="215">
          <cell r="A215">
            <v>44481</v>
          </cell>
          <cell r="B215">
            <v>54400</v>
          </cell>
          <cell r="C215">
            <v>56000</v>
          </cell>
          <cell r="D215">
            <v>55000</v>
          </cell>
          <cell r="E215">
            <v>51000</v>
          </cell>
          <cell r="F215">
            <v>55300</v>
          </cell>
          <cell r="G215" t="str">
            <v>-</v>
          </cell>
          <cell r="H215">
            <v>53700</v>
          </cell>
          <cell r="I215" t="str">
            <v>-</v>
          </cell>
          <cell r="J215">
            <v>53300</v>
          </cell>
          <cell r="K215" t="str">
            <v>-</v>
          </cell>
          <cell r="L215">
            <v>54500</v>
          </cell>
          <cell r="M215">
            <v>53900</v>
          </cell>
          <cell r="N215">
            <v>53400</v>
          </cell>
          <cell r="O215" t="str">
            <v>-</v>
          </cell>
          <cell r="P215">
            <v>52000</v>
          </cell>
          <cell r="Q215">
            <v>52200</v>
          </cell>
          <cell r="R215">
            <v>51500</v>
          </cell>
          <cell r="S215">
            <v>53500</v>
          </cell>
          <cell r="T215">
            <v>54300</v>
          </cell>
          <cell r="U215">
            <v>53600</v>
          </cell>
          <cell r="V215">
            <v>55200</v>
          </cell>
          <cell r="W215">
            <v>58000</v>
          </cell>
        </row>
        <row r="216">
          <cell r="A216">
            <v>44482</v>
          </cell>
          <cell r="B216">
            <v>54400</v>
          </cell>
          <cell r="C216">
            <v>56500</v>
          </cell>
          <cell r="D216">
            <v>54600</v>
          </cell>
          <cell r="E216" t="str">
            <v>-</v>
          </cell>
          <cell r="F216">
            <v>55300</v>
          </cell>
          <cell r="G216" t="str">
            <v>-</v>
          </cell>
          <cell r="H216">
            <v>53500</v>
          </cell>
          <cell r="I216" t="str">
            <v>-</v>
          </cell>
          <cell r="J216">
            <v>53300</v>
          </cell>
          <cell r="K216" t="str">
            <v>-</v>
          </cell>
          <cell r="L216">
            <v>54300</v>
          </cell>
          <cell r="M216">
            <v>54100</v>
          </cell>
          <cell r="N216">
            <v>53200</v>
          </cell>
          <cell r="O216" t="str">
            <v>-</v>
          </cell>
          <cell r="P216">
            <v>51300</v>
          </cell>
          <cell r="Q216">
            <v>52100</v>
          </cell>
          <cell r="R216">
            <v>51300</v>
          </cell>
          <cell r="S216" t="str">
            <v>-</v>
          </cell>
          <cell r="T216">
            <v>54300</v>
          </cell>
          <cell r="U216">
            <v>54300</v>
          </cell>
          <cell r="V216">
            <v>55200</v>
          </cell>
          <cell r="W216">
            <v>57800</v>
          </cell>
        </row>
        <row r="217">
          <cell r="A217">
            <v>44483</v>
          </cell>
          <cell r="B217">
            <v>54400</v>
          </cell>
          <cell r="C217" t="str">
            <v>-</v>
          </cell>
          <cell r="D217">
            <v>55200</v>
          </cell>
          <cell r="E217" t="str">
            <v>-</v>
          </cell>
          <cell r="F217">
            <v>55300</v>
          </cell>
          <cell r="G217" t="str">
            <v>-</v>
          </cell>
          <cell r="H217">
            <v>53500</v>
          </cell>
          <cell r="I217" t="str">
            <v>-</v>
          </cell>
          <cell r="J217">
            <v>53700</v>
          </cell>
          <cell r="K217" t="str">
            <v>-</v>
          </cell>
          <cell r="L217">
            <v>54400</v>
          </cell>
          <cell r="M217">
            <v>54300</v>
          </cell>
          <cell r="N217">
            <v>53800</v>
          </cell>
          <cell r="O217" t="str">
            <v>-</v>
          </cell>
          <cell r="P217">
            <v>51300</v>
          </cell>
          <cell r="Q217">
            <v>51900</v>
          </cell>
          <cell r="R217" t="str">
            <v>-</v>
          </cell>
          <cell r="S217" t="str">
            <v>-</v>
          </cell>
          <cell r="T217">
            <v>54300</v>
          </cell>
          <cell r="U217" t="str">
            <v>-</v>
          </cell>
          <cell r="V217">
            <v>55200</v>
          </cell>
          <cell r="W217" t="str">
            <v>-</v>
          </cell>
        </row>
        <row r="218">
          <cell r="A218">
            <v>44484</v>
          </cell>
          <cell r="B218" t="str">
            <v>H</v>
          </cell>
          <cell r="C218" t="str">
            <v>H</v>
          </cell>
          <cell r="D218" t="str">
            <v>H</v>
          </cell>
          <cell r="E218" t="str">
            <v>H</v>
          </cell>
          <cell r="F218" t="str">
            <v>H</v>
          </cell>
          <cell r="G218" t="str">
            <v>H</v>
          </cell>
          <cell r="H218" t="str">
            <v>H</v>
          </cell>
          <cell r="I218" t="str">
            <v>H</v>
          </cell>
          <cell r="J218" t="str">
            <v>H</v>
          </cell>
          <cell r="K218" t="str">
            <v>H</v>
          </cell>
          <cell r="L218" t="str">
            <v>H</v>
          </cell>
          <cell r="M218" t="str">
            <v>H</v>
          </cell>
          <cell r="N218" t="str">
            <v>H</v>
          </cell>
          <cell r="O218" t="str">
            <v>H</v>
          </cell>
          <cell r="P218" t="str">
            <v>H</v>
          </cell>
          <cell r="Q218" t="str">
            <v>H</v>
          </cell>
          <cell r="R218" t="str">
            <v>H</v>
          </cell>
          <cell r="S218" t="str">
            <v>H</v>
          </cell>
          <cell r="T218" t="str">
            <v>H</v>
          </cell>
          <cell r="U218" t="str">
            <v>H</v>
          </cell>
          <cell r="V218" t="str">
            <v>H</v>
          </cell>
          <cell r="W218" t="str">
            <v>H</v>
          </cell>
        </row>
        <row r="219">
          <cell r="A219">
            <v>44485</v>
          </cell>
          <cell r="B219">
            <v>55200</v>
          </cell>
          <cell r="C219">
            <v>57000</v>
          </cell>
          <cell r="D219">
            <v>56500</v>
          </cell>
          <cell r="E219">
            <v>51500</v>
          </cell>
          <cell r="F219">
            <v>55300</v>
          </cell>
          <cell r="G219" t="str">
            <v>-</v>
          </cell>
          <cell r="H219">
            <v>54000</v>
          </cell>
          <cell r="I219" t="str">
            <v>-</v>
          </cell>
          <cell r="J219">
            <v>53700</v>
          </cell>
          <cell r="K219" t="str">
            <v>-</v>
          </cell>
          <cell r="L219">
            <v>54600</v>
          </cell>
          <cell r="M219">
            <v>54500</v>
          </cell>
          <cell r="N219">
            <v>54800</v>
          </cell>
          <cell r="O219" t="str">
            <v>-</v>
          </cell>
          <cell r="P219">
            <v>52000</v>
          </cell>
          <cell r="Q219">
            <v>52500</v>
          </cell>
          <cell r="R219">
            <v>51700</v>
          </cell>
          <cell r="S219">
            <v>54200</v>
          </cell>
          <cell r="T219">
            <v>54800</v>
          </cell>
          <cell r="U219">
            <v>55300</v>
          </cell>
          <cell r="V219">
            <v>55200</v>
          </cell>
          <cell r="W219" t="str">
            <v>-</v>
          </cell>
        </row>
        <row r="220">
          <cell r="A220">
            <v>44486</v>
          </cell>
          <cell r="B220" t="str">
            <v>H</v>
          </cell>
          <cell r="C220" t="str">
            <v>H</v>
          </cell>
          <cell r="D220" t="str">
            <v>H</v>
          </cell>
          <cell r="E220" t="str">
            <v>H</v>
          </cell>
          <cell r="F220" t="str">
            <v>H</v>
          </cell>
          <cell r="G220" t="str">
            <v>H</v>
          </cell>
          <cell r="H220" t="str">
            <v>H</v>
          </cell>
          <cell r="I220" t="str">
            <v>H</v>
          </cell>
          <cell r="J220" t="str">
            <v>H</v>
          </cell>
          <cell r="K220" t="str">
            <v>H</v>
          </cell>
          <cell r="L220" t="str">
            <v>H</v>
          </cell>
          <cell r="M220" t="str">
            <v>H</v>
          </cell>
          <cell r="N220" t="str">
            <v>H</v>
          </cell>
          <cell r="O220" t="str">
            <v>H</v>
          </cell>
          <cell r="P220" t="str">
            <v>H</v>
          </cell>
          <cell r="Q220" t="str">
            <v>H</v>
          </cell>
          <cell r="R220" t="str">
            <v>H</v>
          </cell>
          <cell r="S220" t="str">
            <v>H</v>
          </cell>
          <cell r="T220" t="str">
            <v>H</v>
          </cell>
          <cell r="U220" t="str">
            <v>H</v>
          </cell>
          <cell r="V220" t="str">
            <v>H</v>
          </cell>
          <cell r="W220" t="str">
            <v>H</v>
          </cell>
        </row>
        <row r="221">
          <cell r="A221">
            <v>44487</v>
          </cell>
          <cell r="B221">
            <v>55200</v>
          </cell>
          <cell r="C221">
            <v>57500</v>
          </cell>
          <cell r="D221">
            <v>56500</v>
          </cell>
          <cell r="E221">
            <v>51500</v>
          </cell>
          <cell r="F221">
            <v>55300</v>
          </cell>
          <cell r="G221" t="str">
            <v>-</v>
          </cell>
          <cell r="H221">
            <v>54000</v>
          </cell>
          <cell r="I221" t="str">
            <v>-</v>
          </cell>
          <cell r="J221">
            <v>53600</v>
          </cell>
          <cell r="K221" t="str">
            <v>-</v>
          </cell>
          <cell r="L221">
            <v>54400</v>
          </cell>
          <cell r="M221">
            <v>54500</v>
          </cell>
          <cell r="N221">
            <v>54000</v>
          </cell>
          <cell r="O221" t="str">
            <v>-</v>
          </cell>
          <cell r="P221">
            <v>51800</v>
          </cell>
          <cell r="Q221">
            <v>52500</v>
          </cell>
          <cell r="R221">
            <v>51700</v>
          </cell>
          <cell r="S221">
            <v>54200</v>
          </cell>
          <cell r="T221">
            <v>54800</v>
          </cell>
          <cell r="U221">
            <v>55300</v>
          </cell>
          <cell r="V221">
            <v>55600</v>
          </cell>
          <cell r="W221">
            <v>58100</v>
          </cell>
        </row>
        <row r="222">
          <cell r="A222">
            <v>44488</v>
          </cell>
          <cell r="B222">
            <v>55200</v>
          </cell>
          <cell r="C222">
            <v>57300</v>
          </cell>
          <cell r="D222">
            <v>56500</v>
          </cell>
          <cell r="E222">
            <v>51700</v>
          </cell>
          <cell r="F222">
            <v>55200</v>
          </cell>
          <cell r="G222" t="str">
            <v>-</v>
          </cell>
          <cell r="H222">
            <v>54000</v>
          </cell>
          <cell r="I222" t="str">
            <v>-</v>
          </cell>
          <cell r="J222">
            <v>53600</v>
          </cell>
          <cell r="K222" t="str">
            <v>-</v>
          </cell>
          <cell r="L222">
            <v>54600</v>
          </cell>
          <cell r="M222">
            <v>54500</v>
          </cell>
          <cell r="N222">
            <v>54200</v>
          </cell>
          <cell r="O222" t="str">
            <v>-</v>
          </cell>
          <cell r="P222">
            <v>51300</v>
          </cell>
          <cell r="Q222">
            <v>51900</v>
          </cell>
          <cell r="R222">
            <v>51300</v>
          </cell>
          <cell r="S222">
            <v>54300</v>
          </cell>
          <cell r="T222">
            <v>54400</v>
          </cell>
          <cell r="U222">
            <v>54800</v>
          </cell>
          <cell r="V222">
            <v>55300</v>
          </cell>
          <cell r="W222">
            <v>57900</v>
          </cell>
        </row>
        <row r="223">
          <cell r="A223">
            <v>44489</v>
          </cell>
          <cell r="B223">
            <v>55100</v>
          </cell>
          <cell r="C223">
            <v>57300</v>
          </cell>
          <cell r="D223">
            <v>55500</v>
          </cell>
          <cell r="E223">
            <v>51700</v>
          </cell>
          <cell r="F223">
            <v>55000</v>
          </cell>
          <cell r="G223" t="str">
            <v>-</v>
          </cell>
          <cell r="H223">
            <v>53500</v>
          </cell>
          <cell r="I223" t="str">
            <v>-</v>
          </cell>
          <cell r="J223">
            <v>53500</v>
          </cell>
          <cell r="K223" t="str">
            <v>-</v>
          </cell>
          <cell r="L223">
            <v>54400</v>
          </cell>
          <cell r="M223">
            <v>53500</v>
          </cell>
          <cell r="N223">
            <v>54000</v>
          </cell>
          <cell r="O223" t="str">
            <v>-</v>
          </cell>
          <cell r="P223">
            <v>50600</v>
          </cell>
          <cell r="Q223">
            <v>51400</v>
          </cell>
          <cell r="R223">
            <v>50850</v>
          </cell>
          <cell r="S223">
            <v>54300</v>
          </cell>
          <cell r="T223">
            <v>53800</v>
          </cell>
          <cell r="U223">
            <v>53800</v>
          </cell>
          <cell r="V223">
            <v>55300</v>
          </cell>
          <cell r="W223">
            <v>57900</v>
          </cell>
        </row>
        <row r="224">
          <cell r="A224">
            <v>44490</v>
          </cell>
          <cell r="B224">
            <v>54900</v>
          </cell>
          <cell r="C224">
            <v>57100</v>
          </cell>
          <cell r="D224">
            <v>55500</v>
          </cell>
          <cell r="E224">
            <v>51500</v>
          </cell>
          <cell r="F224">
            <v>54800</v>
          </cell>
          <cell r="G224" t="str">
            <v>-</v>
          </cell>
          <cell r="H224">
            <v>53500</v>
          </cell>
          <cell r="I224" t="str">
            <v>-</v>
          </cell>
          <cell r="J224">
            <v>53400</v>
          </cell>
          <cell r="K224" t="str">
            <v>-</v>
          </cell>
          <cell r="L224">
            <v>54400</v>
          </cell>
          <cell r="M224">
            <v>53700</v>
          </cell>
          <cell r="N224">
            <v>53500</v>
          </cell>
          <cell r="O224" t="str">
            <v>-</v>
          </cell>
          <cell r="P224">
            <v>50500</v>
          </cell>
          <cell r="Q224">
            <v>50800</v>
          </cell>
          <cell r="R224">
            <v>50700</v>
          </cell>
          <cell r="S224">
            <v>54300</v>
          </cell>
          <cell r="T224">
            <v>53300</v>
          </cell>
          <cell r="U224">
            <v>52100</v>
          </cell>
          <cell r="V224">
            <v>55100</v>
          </cell>
          <cell r="W224">
            <v>57700</v>
          </cell>
        </row>
        <row r="225">
          <cell r="A225">
            <v>44491</v>
          </cell>
          <cell r="B225">
            <v>54200</v>
          </cell>
          <cell r="C225">
            <v>56700</v>
          </cell>
          <cell r="D225">
            <v>55100</v>
          </cell>
          <cell r="E225">
            <v>51200</v>
          </cell>
          <cell r="F225">
            <v>54300</v>
          </cell>
          <cell r="G225" t="str">
            <v>-</v>
          </cell>
          <cell r="H225">
            <v>52500</v>
          </cell>
          <cell r="I225" t="str">
            <v>-</v>
          </cell>
          <cell r="J225">
            <v>53200</v>
          </cell>
          <cell r="K225" t="str">
            <v>-</v>
          </cell>
          <cell r="L225">
            <v>54000</v>
          </cell>
          <cell r="M225">
            <v>53700</v>
          </cell>
          <cell r="N225">
            <v>52900</v>
          </cell>
          <cell r="O225" t="str">
            <v>-</v>
          </cell>
          <cell r="P225">
            <v>49600</v>
          </cell>
          <cell r="Q225">
            <v>50800</v>
          </cell>
          <cell r="R225">
            <v>50000</v>
          </cell>
          <cell r="S225">
            <v>54000</v>
          </cell>
          <cell r="T225">
            <v>52600</v>
          </cell>
          <cell r="U225">
            <v>52300</v>
          </cell>
          <cell r="V225">
            <v>54400</v>
          </cell>
          <cell r="W225">
            <v>57000</v>
          </cell>
        </row>
        <row r="226">
          <cell r="A226">
            <v>44492</v>
          </cell>
          <cell r="B226">
            <v>54100</v>
          </cell>
          <cell r="C226">
            <v>56200</v>
          </cell>
          <cell r="D226">
            <v>55000</v>
          </cell>
          <cell r="E226">
            <v>50500</v>
          </cell>
          <cell r="F226">
            <v>53900</v>
          </cell>
          <cell r="G226" t="str">
            <v>-</v>
          </cell>
          <cell r="H226">
            <v>52000</v>
          </cell>
          <cell r="I226" t="str">
            <v>-</v>
          </cell>
          <cell r="J226">
            <v>52200</v>
          </cell>
          <cell r="K226" t="str">
            <v>-</v>
          </cell>
          <cell r="L226">
            <v>53700</v>
          </cell>
          <cell r="M226">
            <v>53400</v>
          </cell>
          <cell r="N226">
            <v>52000</v>
          </cell>
          <cell r="O226" t="str">
            <v>-</v>
          </cell>
          <cell r="P226">
            <v>49500</v>
          </cell>
          <cell r="Q226">
            <v>50000</v>
          </cell>
          <cell r="R226">
            <v>50000</v>
          </cell>
          <cell r="S226">
            <v>53200</v>
          </cell>
          <cell r="T226">
            <v>52400</v>
          </cell>
          <cell r="U226">
            <v>51800</v>
          </cell>
          <cell r="V226">
            <v>54000</v>
          </cell>
          <cell r="W226">
            <v>56800</v>
          </cell>
        </row>
        <row r="227">
          <cell r="A227">
            <v>44493</v>
          </cell>
          <cell r="B227" t="str">
            <v>H</v>
          </cell>
          <cell r="C227" t="str">
            <v>H</v>
          </cell>
          <cell r="D227" t="str">
            <v>H</v>
          </cell>
          <cell r="E227" t="str">
            <v>H</v>
          </cell>
          <cell r="F227" t="str">
            <v>H</v>
          </cell>
          <cell r="G227" t="str">
            <v>H</v>
          </cell>
          <cell r="H227" t="str">
            <v>H</v>
          </cell>
          <cell r="I227" t="str">
            <v>H</v>
          </cell>
          <cell r="J227" t="str">
            <v>H</v>
          </cell>
          <cell r="K227" t="str">
            <v>H</v>
          </cell>
          <cell r="L227" t="str">
            <v>H</v>
          </cell>
          <cell r="M227" t="str">
            <v>H</v>
          </cell>
          <cell r="N227" t="str">
            <v>H</v>
          </cell>
          <cell r="O227" t="str">
            <v>H</v>
          </cell>
          <cell r="P227" t="str">
            <v>H</v>
          </cell>
          <cell r="Q227" t="str">
            <v>H</v>
          </cell>
          <cell r="R227" t="str">
            <v>H</v>
          </cell>
          <cell r="S227" t="str">
            <v>H</v>
          </cell>
          <cell r="T227" t="str">
            <v>H</v>
          </cell>
          <cell r="U227" t="str">
            <v>H</v>
          </cell>
          <cell r="V227" t="str">
            <v>H</v>
          </cell>
          <cell r="W227" t="str">
            <v>H</v>
          </cell>
        </row>
        <row r="228">
          <cell r="A228">
            <v>44494</v>
          </cell>
          <cell r="B228">
            <v>53900</v>
          </cell>
          <cell r="C228">
            <v>55800</v>
          </cell>
          <cell r="D228">
            <v>53800</v>
          </cell>
          <cell r="E228">
            <v>49500</v>
          </cell>
          <cell r="F228">
            <v>53100</v>
          </cell>
          <cell r="G228" t="str">
            <v>-</v>
          </cell>
          <cell r="H228">
            <v>51500</v>
          </cell>
          <cell r="I228" t="str">
            <v>-</v>
          </cell>
          <cell r="J228">
            <v>51700</v>
          </cell>
          <cell r="K228" t="str">
            <v>-</v>
          </cell>
          <cell r="L228">
            <v>53000</v>
          </cell>
          <cell r="M228">
            <v>52800</v>
          </cell>
          <cell r="N228">
            <v>51500</v>
          </cell>
          <cell r="O228" t="str">
            <v>-</v>
          </cell>
          <cell r="P228">
            <v>49800</v>
          </cell>
          <cell r="Q228">
            <v>50000</v>
          </cell>
          <cell r="R228">
            <v>49400</v>
          </cell>
          <cell r="S228">
            <v>52000</v>
          </cell>
          <cell r="T228">
            <v>52200</v>
          </cell>
          <cell r="U228">
            <v>51300</v>
          </cell>
          <cell r="V228">
            <v>53400</v>
          </cell>
          <cell r="W228">
            <v>56400</v>
          </cell>
        </row>
        <row r="229">
          <cell r="A229">
            <v>44495</v>
          </cell>
          <cell r="B229">
            <v>53500</v>
          </cell>
          <cell r="C229">
            <v>55300</v>
          </cell>
          <cell r="D229">
            <v>53500</v>
          </cell>
          <cell r="E229">
            <v>48800</v>
          </cell>
          <cell r="F229">
            <v>52800</v>
          </cell>
          <cell r="G229" t="str">
            <v>-</v>
          </cell>
          <cell r="H229">
            <v>51300</v>
          </cell>
          <cell r="I229" t="str">
            <v>-</v>
          </cell>
          <cell r="J229">
            <v>51700</v>
          </cell>
          <cell r="K229" t="str">
            <v>-</v>
          </cell>
          <cell r="L229">
            <v>52700</v>
          </cell>
          <cell r="M229">
            <v>52400</v>
          </cell>
          <cell r="N229">
            <v>51000</v>
          </cell>
          <cell r="O229" t="str">
            <v>-</v>
          </cell>
          <cell r="P229">
            <v>49200</v>
          </cell>
          <cell r="Q229">
            <v>49500</v>
          </cell>
          <cell r="R229">
            <v>49000</v>
          </cell>
          <cell r="S229">
            <v>51300</v>
          </cell>
          <cell r="T229">
            <v>52200</v>
          </cell>
          <cell r="U229">
            <v>50300</v>
          </cell>
          <cell r="V229">
            <v>53200</v>
          </cell>
          <cell r="W229">
            <v>55900</v>
          </cell>
        </row>
        <row r="230">
          <cell r="A230">
            <v>44496</v>
          </cell>
          <cell r="B230">
            <v>53300</v>
          </cell>
          <cell r="C230">
            <v>54500</v>
          </cell>
          <cell r="D230">
            <v>53700</v>
          </cell>
          <cell r="E230">
            <v>49900</v>
          </cell>
          <cell r="F230">
            <v>51600</v>
          </cell>
          <cell r="G230" t="str">
            <v>-</v>
          </cell>
          <cell r="H230">
            <v>51000</v>
          </cell>
          <cell r="I230" t="str">
            <v>-</v>
          </cell>
          <cell r="J230">
            <v>52100</v>
          </cell>
          <cell r="K230" t="str">
            <v>-</v>
          </cell>
          <cell r="L230">
            <v>52900</v>
          </cell>
          <cell r="M230">
            <v>52400</v>
          </cell>
          <cell r="N230">
            <v>51400</v>
          </cell>
          <cell r="O230" t="str">
            <v>-</v>
          </cell>
          <cell r="P230">
            <v>49500</v>
          </cell>
          <cell r="Q230">
            <v>49800</v>
          </cell>
          <cell r="R230">
            <v>49000</v>
          </cell>
          <cell r="S230">
            <v>52300</v>
          </cell>
          <cell r="T230">
            <v>52200</v>
          </cell>
          <cell r="U230">
            <v>50300</v>
          </cell>
          <cell r="V230">
            <v>53200</v>
          </cell>
          <cell r="W230">
            <v>55600</v>
          </cell>
        </row>
        <row r="231">
          <cell r="A231">
            <v>44497</v>
          </cell>
          <cell r="B231">
            <v>53200</v>
          </cell>
          <cell r="C231">
            <v>54300</v>
          </cell>
          <cell r="D231">
            <v>53400</v>
          </cell>
          <cell r="E231">
            <v>49900</v>
          </cell>
          <cell r="F231">
            <v>51800</v>
          </cell>
          <cell r="G231" t="str">
            <v>-</v>
          </cell>
          <cell r="H231">
            <v>51500</v>
          </cell>
          <cell r="I231" t="str">
            <v>-</v>
          </cell>
          <cell r="J231">
            <v>52200</v>
          </cell>
          <cell r="K231" t="str">
            <v>-</v>
          </cell>
          <cell r="L231">
            <v>52600</v>
          </cell>
          <cell r="M231">
            <v>52400</v>
          </cell>
          <cell r="N231">
            <v>51400</v>
          </cell>
          <cell r="O231" t="str">
            <v>-</v>
          </cell>
          <cell r="P231">
            <v>49500</v>
          </cell>
          <cell r="Q231">
            <v>50000</v>
          </cell>
          <cell r="R231">
            <v>49500</v>
          </cell>
          <cell r="S231">
            <v>52300</v>
          </cell>
          <cell r="T231">
            <v>52500</v>
          </cell>
          <cell r="U231">
            <v>50800</v>
          </cell>
          <cell r="V231">
            <v>53200</v>
          </cell>
          <cell r="W231">
            <v>55600</v>
          </cell>
        </row>
        <row r="232">
          <cell r="A232">
            <v>44498</v>
          </cell>
          <cell r="B232">
            <v>53100</v>
          </cell>
          <cell r="C232">
            <v>54100</v>
          </cell>
          <cell r="D232">
            <v>53400</v>
          </cell>
          <cell r="E232">
            <v>50000</v>
          </cell>
          <cell r="F232">
            <v>51800</v>
          </cell>
          <cell r="G232" t="str">
            <v>-</v>
          </cell>
          <cell r="H232">
            <v>51200</v>
          </cell>
          <cell r="I232" t="str">
            <v>-</v>
          </cell>
          <cell r="J232">
            <v>52200</v>
          </cell>
          <cell r="K232" t="str">
            <v>-</v>
          </cell>
          <cell r="L232">
            <v>53200</v>
          </cell>
          <cell r="M232">
            <v>52400</v>
          </cell>
          <cell r="N232">
            <v>51500</v>
          </cell>
          <cell r="O232" t="str">
            <v>-</v>
          </cell>
          <cell r="P232">
            <v>49500</v>
          </cell>
          <cell r="Q232">
            <v>50100</v>
          </cell>
          <cell r="R232">
            <v>49500</v>
          </cell>
          <cell r="S232">
            <v>52400</v>
          </cell>
          <cell r="T232">
            <v>52700</v>
          </cell>
          <cell r="U232">
            <v>50800</v>
          </cell>
          <cell r="V232">
            <v>52900</v>
          </cell>
          <cell r="W232">
            <v>55600</v>
          </cell>
        </row>
        <row r="233">
          <cell r="A233">
            <v>44499</v>
          </cell>
          <cell r="B233">
            <v>53100</v>
          </cell>
          <cell r="C233">
            <v>54100</v>
          </cell>
          <cell r="D233">
            <v>53200</v>
          </cell>
          <cell r="E233">
            <v>50000</v>
          </cell>
          <cell r="F233">
            <v>51900</v>
          </cell>
          <cell r="G233" t="str">
            <v>-</v>
          </cell>
          <cell r="H233">
            <v>51000</v>
          </cell>
          <cell r="I233" t="str">
            <v>-</v>
          </cell>
          <cell r="J233">
            <v>52600</v>
          </cell>
          <cell r="K233" t="str">
            <v>-</v>
          </cell>
          <cell r="L233">
            <v>53100</v>
          </cell>
          <cell r="M233">
            <v>52800</v>
          </cell>
          <cell r="N233">
            <v>51400</v>
          </cell>
          <cell r="O233" t="str">
            <v>-</v>
          </cell>
          <cell r="P233">
            <v>49400</v>
          </cell>
          <cell r="Q233">
            <v>50000</v>
          </cell>
          <cell r="R233">
            <v>49300</v>
          </cell>
          <cell r="S233">
            <v>52400</v>
          </cell>
          <cell r="T233">
            <v>52700</v>
          </cell>
          <cell r="U233">
            <v>50800</v>
          </cell>
          <cell r="V233">
            <v>52900</v>
          </cell>
          <cell r="W233">
            <v>55600</v>
          </cell>
        </row>
        <row r="234">
          <cell r="A234">
            <v>44500</v>
          </cell>
          <cell r="B234" t="str">
            <v>H</v>
          </cell>
          <cell r="C234" t="str">
            <v>H</v>
          </cell>
          <cell r="D234" t="str">
            <v>H</v>
          </cell>
          <cell r="E234" t="str">
            <v>H</v>
          </cell>
          <cell r="F234" t="str">
            <v>H</v>
          </cell>
          <cell r="G234" t="str">
            <v>H</v>
          </cell>
          <cell r="H234" t="str">
            <v>H</v>
          </cell>
          <cell r="I234" t="str">
            <v>H</v>
          </cell>
          <cell r="J234" t="str">
            <v>H</v>
          </cell>
          <cell r="K234" t="str">
            <v>H</v>
          </cell>
          <cell r="L234" t="str">
            <v>H</v>
          </cell>
          <cell r="M234" t="str">
            <v>H</v>
          </cell>
          <cell r="N234" t="str">
            <v>H</v>
          </cell>
          <cell r="O234" t="str">
            <v>H</v>
          </cell>
          <cell r="P234" t="str">
            <v>H</v>
          </cell>
          <cell r="Q234" t="str">
            <v>H</v>
          </cell>
          <cell r="R234" t="str">
            <v>H</v>
          </cell>
          <cell r="S234" t="str">
            <v>H</v>
          </cell>
          <cell r="T234" t="str">
            <v>H</v>
          </cell>
          <cell r="U234" t="str">
            <v>H</v>
          </cell>
          <cell r="V234" t="str">
            <v>H</v>
          </cell>
          <cell r="W234" t="str">
            <v>H</v>
          </cell>
        </row>
        <row r="235">
          <cell r="A235">
            <v>44501</v>
          </cell>
          <cell r="B235">
            <v>52900</v>
          </cell>
          <cell r="C235">
            <v>54000</v>
          </cell>
          <cell r="D235">
            <v>53500</v>
          </cell>
          <cell r="E235">
            <v>49800</v>
          </cell>
          <cell r="F235">
            <v>52000</v>
          </cell>
          <cell r="G235" t="str">
            <v>-</v>
          </cell>
          <cell r="H235">
            <v>51000</v>
          </cell>
          <cell r="I235" t="str">
            <v>-</v>
          </cell>
          <cell r="J235">
            <v>52600</v>
          </cell>
          <cell r="K235" t="str">
            <v>-</v>
          </cell>
          <cell r="L235">
            <v>53300</v>
          </cell>
          <cell r="M235">
            <v>52800</v>
          </cell>
          <cell r="N235">
            <v>51100</v>
          </cell>
          <cell r="O235" t="str">
            <v>-</v>
          </cell>
          <cell r="P235">
            <v>49400</v>
          </cell>
          <cell r="Q235">
            <v>50000</v>
          </cell>
          <cell r="R235">
            <v>49200</v>
          </cell>
          <cell r="S235">
            <v>52000</v>
          </cell>
          <cell r="T235">
            <v>52700</v>
          </cell>
          <cell r="U235">
            <v>50800</v>
          </cell>
          <cell r="V235">
            <v>52400</v>
          </cell>
          <cell r="W235">
            <v>55200</v>
          </cell>
        </row>
        <row r="236">
          <cell r="A236">
            <v>44502</v>
          </cell>
          <cell r="B236">
            <v>52900</v>
          </cell>
          <cell r="C236">
            <v>54300</v>
          </cell>
          <cell r="D236">
            <v>53500</v>
          </cell>
          <cell r="E236">
            <v>49500</v>
          </cell>
          <cell r="F236">
            <v>52400</v>
          </cell>
          <cell r="G236" t="str">
            <v>-</v>
          </cell>
          <cell r="H236">
            <v>51000</v>
          </cell>
          <cell r="I236" t="str">
            <v>-</v>
          </cell>
          <cell r="J236">
            <v>52600</v>
          </cell>
          <cell r="K236" t="str">
            <v>-</v>
          </cell>
          <cell r="L236">
            <v>53200</v>
          </cell>
          <cell r="M236">
            <v>52800</v>
          </cell>
          <cell r="N236">
            <v>51000</v>
          </cell>
          <cell r="O236" t="str">
            <v>-</v>
          </cell>
          <cell r="P236">
            <v>49400</v>
          </cell>
          <cell r="Q236">
            <v>50000</v>
          </cell>
          <cell r="R236">
            <v>49300</v>
          </cell>
          <cell r="S236">
            <v>52000</v>
          </cell>
          <cell r="T236">
            <v>52700</v>
          </cell>
          <cell r="U236">
            <v>50800</v>
          </cell>
          <cell r="V236">
            <v>52100</v>
          </cell>
          <cell r="W236">
            <v>54800</v>
          </cell>
        </row>
        <row r="237">
          <cell r="A237">
            <v>44503</v>
          </cell>
          <cell r="B237">
            <v>53100</v>
          </cell>
          <cell r="C237">
            <v>54300</v>
          </cell>
          <cell r="D237">
            <v>53300</v>
          </cell>
          <cell r="E237">
            <v>49300</v>
          </cell>
          <cell r="F237">
            <v>52400</v>
          </cell>
          <cell r="G237" t="str">
            <v>-</v>
          </cell>
          <cell r="H237">
            <v>50500</v>
          </cell>
          <cell r="I237" t="str">
            <v>-</v>
          </cell>
          <cell r="J237">
            <v>52600</v>
          </cell>
          <cell r="K237" t="str">
            <v>-</v>
          </cell>
          <cell r="L237">
            <v>52800</v>
          </cell>
          <cell r="M237">
            <v>52700</v>
          </cell>
          <cell r="N237">
            <v>50500</v>
          </cell>
          <cell r="O237" t="str">
            <v>-</v>
          </cell>
          <cell r="P237">
            <v>49100</v>
          </cell>
          <cell r="Q237">
            <v>49900</v>
          </cell>
          <cell r="R237">
            <v>49300</v>
          </cell>
          <cell r="S237">
            <v>51800</v>
          </cell>
          <cell r="T237">
            <v>52700</v>
          </cell>
          <cell r="U237">
            <v>50600</v>
          </cell>
          <cell r="V237">
            <v>52100</v>
          </cell>
          <cell r="W237">
            <v>54800</v>
          </cell>
        </row>
        <row r="238">
          <cell r="A238">
            <v>44504</v>
          </cell>
          <cell r="B238" t="str">
            <v>H</v>
          </cell>
          <cell r="C238" t="str">
            <v>H</v>
          </cell>
          <cell r="D238" t="str">
            <v>H</v>
          </cell>
          <cell r="E238" t="str">
            <v>H</v>
          </cell>
          <cell r="F238" t="str">
            <v>H</v>
          </cell>
          <cell r="G238" t="str">
            <v>H</v>
          </cell>
          <cell r="H238" t="str">
            <v>H</v>
          </cell>
          <cell r="I238" t="str">
            <v>H</v>
          </cell>
          <cell r="J238" t="str">
            <v>H</v>
          </cell>
          <cell r="K238" t="str">
            <v>H</v>
          </cell>
          <cell r="L238" t="str">
            <v>H</v>
          </cell>
          <cell r="M238" t="str">
            <v>H</v>
          </cell>
          <cell r="N238" t="str">
            <v>H</v>
          </cell>
          <cell r="O238" t="str">
            <v>H</v>
          </cell>
          <cell r="P238" t="str">
            <v>H</v>
          </cell>
          <cell r="Q238" t="str">
            <v>H</v>
          </cell>
          <cell r="R238" t="str">
            <v>H</v>
          </cell>
          <cell r="S238" t="str">
            <v>H</v>
          </cell>
          <cell r="T238" t="str">
            <v>H</v>
          </cell>
          <cell r="U238" t="str">
            <v>H</v>
          </cell>
          <cell r="V238" t="str">
            <v>H</v>
          </cell>
          <cell r="W238" t="str">
            <v>H</v>
          </cell>
        </row>
        <row r="239">
          <cell r="A239">
            <v>44505</v>
          </cell>
          <cell r="B239" t="str">
            <v>H</v>
          </cell>
          <cell r="C239" t="str">
            <v>H</v>
          </cell>
          <cell r="D239" t="str">
            <v>H</v>
          </cell>
          <cell r="E239" t="str">
            <v>H</v>
          </cell>
          <cell r="F239" t="str">
            <v>H</v>
          </cell>
          <cell r="G239" t="str">
            <v>H</v>
          </cell>
          <cell r="H239" t="str">
            <v>H</v>
          </cell>
          <cell r="I239" t="str">
            <v>H</v>
          </cell>
          <cell r="J239" t="str">
            <v>H</v>
          </cell>
          <cell r="K239" t="str">
            <v>H</v>
          </cell>
          <cell r="L239" t="str">
            <v>H</v>
          </cell>
          <cell r="M239" t="str">
            <v>H</v>
          </cell>
          <cell r="N239" t="str">
            <v>H</v>
          </cell>
          <cell r="O239" t="str">
            <v>H</v>
          </cell>
          <cell r="P239" t="str">
            <v>H</v>
          </cell>
          <cell r="Q239" t="str">
            <v>H</v>
          </cell>
          <cell r="R239" t="str">
            <v>H</v>
          </cell>
          <cell r="S239" t="str">
            <v>H</v>
          </cell>
          <cell r="T239" t="str">
            <v>H</v>
          </cell>
          <cell r="U239" t="str">
            <v>H</v>
          </cell>
          <cell r="V239" t="str">
            <v>H</v>
          </cell>
          <cell r="W239" t="str">
            <v>H</v>
          </cell>
        </row>
        <row r="240">
          <cell r="A240">
            <v>44506</v>
          </cell>
          <cell r="B240" t="str">
            <v>-</v>
          </cell>
          <cell r="C240">
            <v>54300</v>
          </cell>
          <cell r="D240">
            <v>52400</v>
          </cell>
          <cell r="E240">
            <v>49000</v>
          </cell>
          <cell r="F240">
            <v>52300</v>
          </cell>
          <cell r="G240" t="str">
            <v>-</v>
          </cell>
          <cell r="H240">
            <v>51000</v>
          </cell>
          <cell r="I240" t="str">
            <v>-</v>
          </cell>
          <cell r="J240">
            <v>51700</v>
          </cell>
          <cell r="K240" t="str">
            <v>-</v>
          </cell>
          <cell r="L240">
            <v>52700</v>
          </cell>
          <cell r="M240">
            <v>52600</v>
          </cell>
          <cell r="N240">
            <v>50400</v>
          </cell>
          <cell r="O240" t="str">
            <v>-</v>
          </cell>
          <cell r="P240">
            <v>48700</v>
          </cell>
          <cell r="Q240">
            <v>49900</v>
          </cell>
          <cell r="R240">
            <v>48900</v>
          </cell>
          <cell r="S240">
            <v>51500</v>
          </cell>
          <cell r="T240">
            <v>52700</v>
          </cell>
          <cell r="U240">
            <v>50300</v>
          </cell>
          <cell r="V240">
            <v>52400</v>
          </cell>
          <cell r="W240">
            <v>54800</v>
          </cell>
        </row>
        <row r="241">
          <cell r="A241">
            <v>44507</v>
          </cell>
          <cell r="B241" t="str">
            <v>H</v>
          </cell>
          <cell r="C241" t="str">
            <v>H</v>
          </cell>
          <cell r="D241" t="str">
            <v>H</v>
          </cell>
          <cell r="E241" t="str">
            <v>H</v>
          </cell>
          <cell r="F241" t="str">
            <v>H</v>
          </cell>
          <cell r="G241" t="str">
            <v>H</v>
          </cell>
          <cell r="H241" t="str">
            <v>H</v>
          </cell>
          <cell r="I241" t="str">
            <v>H</v>
          </cell>
          <cell r="J241" t="str">
            <v>H</v>
          </cell>
          <cell r="K241" t="str">
            <v>H</v>
          </cell>
          <cell r="L241" t="str">
            <v>H</v>
          </cell>
          <cell r="M241" t="str">
            <v>H</v>
          </cell>
          <cell r="N241" t="str">
            <v>H</v>
          </cell>
          <cell r="O241" t="str">
            <v>H</v>
          </cell>
          <cell r="P241" t="str">
            <v>H</v>
          </cell>
          <cell r="Q241" t="str">
            <v>H</v>
          </cell>
          <cell r="R241" t="str">
            <v>H</v>
          </cell>
          <cell r="S241" t="str">
            <v>H</v>
          </cell>
          <cell r="T241" t="str">
            <v>H</v>
          </cell>
          <cell r="U241" t="str">
            <v>H</v>
          </cell>
          <cell r="V241" t="str">
            <v>H</v>
          </cell>
          <cell r="W241" t="str">
            <v>H</v>
          </cell>
        </row>
        <row r="242">
          <cell r="A242">
            <v>44508</v>
          </cell>
          <cell r="B242" t="str">
            <v>-</v>
          </cell>
          <cell r="C242" t="str">
            <v>-</v>
          </cell>
          <cell r="D242">
            <v>52000</v>
          </cell>
          <cell r="E242">
            <v>48500</v>
          </cell>
          <cell r="F242">
            <v>52000</v>
          </cell>
          <cell r="G242" t="str">
            <v>-</v>
          </cell>
          <cell r="H242">
            <v>50500</v>
          </cell>
          <cell r="I242" t="str">
            <v>-</v>
          </cell>
          <cell r="J242">
            <v>51200</v>
          </cell>
          <cell r="K242" t="str">
            <v>-</v>
          </cell>
          <cell r="L242">
            <v>52400</v>
          </cell>
          <cell r="M242">
            <v>51600</v>
          </cell>
          <cell r="N242">
            <v>49800</v>
          </cell>
          <cell r="O242" t="str">
            <v>-</v>
          </cell>
          <cell r="P242">
            <v>48600</v>
          </cell>
          <cell r="Q242">
            <v>49500</v>
          </cell>
          <cell r="R242">
            <v>48600</v>
          </cell>
          <cell r="S242">
            <v>51000</v>
          </cell>
          <cell r="T242">
            <v>52700</v>
          </cell>
          <cell r="U242">
            <v>50000</v>
          </cell>
          <cell r="V242">
            <v>52400</v>
          </cell>
          <cell r="W242">
            <v>54800</v>
          </cell>
        </row>
        <row r="243">
          <cell r="A243">
            <v>44509</v>
          </cell>
          <cell r="B243">
            <v>53100</v>
          </cell>
          <cell r="C243" t="str">
            <v>-</v>
          </cell>
          <cell r="D243">
            <v>52000</v>
          </cell>
          <cell r="E243">
            <v>47500</v>
          </cell>
          <cell r="F243">
            <v>51800</v>
          </cell>
          <cell r="G243" t="str">
            <v>-</v>
          </cell>
          <cell r="H243">
            <v>49500</v>
          </cell>
          <cell r="I243" t="str">
            <v>-</v>
          </cell>
          <cell r="J243">
            <v>50800</v>
          </cell>
          <cell r="K243" t="str">
            <v>-</v>
          </cell>
          <cell r="L243">
            <v>51900</v>
          </cell>
          <cell r="M243">
            <v>50900</v>
          </cell>
          <cell r="N243">
            <v>48800</v>
          </cell>
          <cell r="O243" t="str">
            <v>-</v>
          </cell>
          <cell r="P243">
            <v>47800</v>
          </cell>
          <cell r="Q243">
            <v>48700</v>
          </cell>
          <cell r="R243">
            <v>48100</v>
          </cell>
          <cell r="S243">
            <v>50200</v>
          </cell>
          <cell r="T243">
            <v>52400</v>
          </cell>
          <cell r="U243" t="str">
            <v>-</v>
          </cell>
          <cell r="V243">
            <v>52200</v>
          </cell>
          <cell r="W243">
            <v>54400</v>
          </cell>
        </row>
        <row r="244">
          <cell r="A244">
            <v>44510</v>
          </cell>
          <cell r="B244">
            <v>52200</v>
          </cell>
          <cell r="C244">
            <v>53500</v>
          </cell>
          <cell r="D244">
            <v>51000</v>
          </cell>
          <cell r="E244">
            <v>47500</v>
          </cell>
          <cell r="F244">
            <v>51400</v>
          </cell>
          <cell r="G244" t="str">
            <v>-</v>
          </cell>
          <cell r="H244">
            <v>49500</v>
          </cell>
          <cell r="I244" t="str">
            <v>-</v>
          </cell>
          <cell r="J244">
            <v>51100</v>
          </cell>
          <cell r="K244" t="str">
            <v>-</v>
          </cell>
          <cell r="L244">
            <v>51000</v>
          </cell>
          <cell r="M244">
            <v>51200</v>
          </cell>
          <cell r="N244">
            <v>48800</v>
          </cell>
          <cell r="O244" t="str">
            <v>-</v>
          </cell>
          <cell r="P244">
            <v>47300</v>
          </cell>
          <cell r="Q244">
            <v>47800</v>
          </cell>
          <cell r="R244">
            <v>47700</v>
          </cell>
          <cell r="S244">
            <v>50200</v>
          </cell>
          <cell r="T244">
            <v>51900</v>
          </cell>
          <cell r="U244">
            <v>49000</v>
          </cell>
          <cell r="V244">
            <v>51700</v>
          </cell>
          <cell r="W244">
            <v>54400</v>
          </cell>
        </row>
        <row r="245">
          <cell r="A245">
            <v>44511</v>
          </cell>
          <cell r="B245">
            <v>51700</v>
          </cell>
          <cell r="C245">
            <v>53300</v>
          </cell>
          <cell r="D245">
            <v>51000</v>
          </cell>
          <cell r="E245">
            <v>46800</v>
          </cell>
          <cell r="F245">
            <v>51100</v>
          </cell>
          <cell r="G245" t="str">
            <v>-</v>
          </cell>
          <cell r="H245">
            <v>49000</v>
          </cell>
          <cell r="I245" t="str">
            <v>-</v>
          </cell>
          <cell r="J245">
            <v>51100</v>
          </cell>
          <cell r="K245" t="str">
            <v>-</v>
          </cell>
          <cell r="L245">
            <v>50700</v>
          </cell>
          <cell r="M245">
            <v>51200</v>
          </cell>
          <cell r="N245">
            <v>48300</v>
          </cell>
          <cell r="O245" t="str">
            <v>-</v>
          </cell>
          <cell r="P245">
            <v>47000</v>
          </cell>
          <cell r="Q245">
            <v>47800</v>
          </cell>
          <cell r="R245">
            <v>47500</v>
          </cell>
          <cell r="S245">
            <v>49500</v>
          </cell>
          <cell r="T245" t="str">
            <v>-</v>
          </cell>
          <cell r="U245" t="str">
            <v>-</v>
          </cell>
          <cell r="V245">
            <v>51300</v>
          </cell>
          <cell r="W245">
            <v>54200</v>
          </cell>
        </row>
        <row r="246">
          <cell r="A246">
            <v>44512</v>
          </cell>
          <cell r="B246">
            <v>51200</v>
          </cell>
          <cell r="C246">
            <v>53000</v>
          </cell>
          <cell r="D246">
            <v>50300</v>
          </cell>
          <cell r="E246">
            <v>47000</v>
          </cell>
          <cell r="F246">
            <v>51100</v>
          </cell>
          <cell r="G246" t="str">
            <v>-</v>
          </cell>
          <cell r="H246">
            <v>49000</v>
          </cell>
          <cell r="I246" t="str">
            <v>-</v>
          </cell>
          <cell r="J246">
            <v>51100</v>
          </cell>
          <cell r="K246" t="str">
            <v>-</v>
          </cell>
          <cell r="L246">
            <v>50600</v>
          </cell>
          <cell r="M246">
            <v>51200</v>
          </cell>
          <cell r="N246">
            <v>48200</v>
          </cell>
          <cell r="O246" t="str">
            <v>-</v>
          </cell>
          <cell r="P246">
            <v>46700</v>
          </cell>
          <cell r="Q246">
            <v>47400</v>
          </cell>
          <cell r="R246">
            <v>47300</v>
          </cell>
          <cell r="S246">
            <v>49700</v>
          </cell>
          <cell r="T246">
            <v>51900</v>
          </cell>
          <cell r="U246">
            <v>48500</v>
          </cell>
          <cell r="V246">
            <v>51100</v>
          </cell>
          <cell r="W246">
            <v>54000</v>
          </cell>
        </row>
        <row r="247">
          <cell r="A247">
            <v>44513</v>
          </cell>
          <cell r="B247">
            <v>51200</v>
          </cell>
          <cell r="C247">
            <v>53000</v>
          </cell>
          <cell r="D247">
            <v>50300</v>
          </cell>
          <cell r="E247">
            <v>46700</v>
          </cell>
          <cell r="F247">
            <v>51100</v>
          </cell>
          <cell r="G247" t="str">
            <v>-</v>
          </cell>
          <cell r="H247">
            <v>48500</v>
          </cell>
          <cell r="I247" t="str">
            <v>-</v>
          </cell>
          <cell r="J247">
            <v>51100</v>
          </cell>
          <cell r="K247" t="str">
            <v>-</v>
          </cell>
          <cell r="L247">
            <v>50800</v>
          </cell>
          <cell r="M247">
            <v>51200</v>
          </cell>
          <cell r="N247">
            <v>47800</v>
          </cell>
          <cell r="O247" t="str">
            <v>-</v>
          </cell>
          <cell r="P247">
            <v>46300</v>
          </cell>
          <cell r="Q247">
            <v>47200</v>
          </cell>
          <cell r="R247">
            <v>47200</v>
          </cell>
          <cell r="S247">
            <v>49300</v>
          </cell>
          <cell r="T247">
            <v>51200</v>
          </cell>
          <cell r="U247">
            <v>48400</v>
          </cell>
          <cell r="V247">
            <v>51100</v>
          </cell>
          <cell r="W247">
            <v>54000</v>
          </cell>
        </row>
        <row r="248">
          <cell r="A248">
            <v>44514</v>
          </cell>
          <cell r="B248" t="str">
            <v>H</v>
          </cell>
          <cell r="C248" t="str">
            <v>H</v>
          </cell>
          <cell r="D248" t="str">
            <v>H</v>
          </cell>
          <cell r="E248" t="str">
            <v>H</v>
          </cell>
          <cell r="F248" t="str">
            <v>H</v>
          </cell>
          <cell r="G248" t="str">
            <v>H</v>
          </cell>
          <cell r="H248" t="str">
            <v>H</v>
          </cell>
          <cell r="I248" t="str">
            <v>H</v>
          </cell>
          <cell r="J248" t="str">
            <v>H</v>
          </cell>
          <cell r="K248" t="str">
            <v>H</v>
          </cell>
          <cell r="L248" t="str">
            <v>H</v>
          </cell>
          <cell r="M248" t="str">
            <v>H</v>
          </cell>
          <cell r="N248" t="str">
            <v>H</v>
          </cell>
          <cell r="O248" t="str">
            <v>H</v>
          </cell>
          <cell r="P248" t="str">
            <v>H</v>
          </cell>
          <cell r="Q248" t="str">
            <v>H</v>
          </cell>
          <cell r="R248" t="str">
            <v>H</v>
          </cell>
          <cell r="S248" t="str">
            <v>H</v>
          </cell>
          <cell r="T248" t="str">
            <v>H</v>
          </cell>
          <cell r="U248" t="str">
            <v>H</v>
          </cell>
          <cell r="V248" t="str">
            <v>H</v>
          </cell>
          <cell r="W248" t="str">
            <v>H</v>
          </cell>
        </row>
        <row r="249">
          <cell r="A249">
            <v>44515</v>
          </cell>
          <cell r="B249">
            <v>50700</v>
          </cell>
          <cell r="C249">
            <v>51500</v>
          </cell>
          <cell r="D249" t="str">
            <v>-</v>
          </cell>
          <cell r="E249">
            <v>45500</v>
          </cell>
          <cell r="F249">
            <v>50000</v>
          </cell>
          <cell r="G249" t="str">
            <v>-</v>
          </cell>
          <cell r="H249">
            <v>48000</v>
          </cell>
          <cell r="I249" t="str">
            <v>-</v>
          </cell>
          <cell r="J249">
            <v>50100</v>
          </cell>
          <cell r="K249" t="str">
            <v>-</v>
          </cell>
          <cell r="L249">
            <v>49900</v>
          </cell>
          <cell r="M249">
            <v>50200</v>
          </cell>
          <cell r="N249">
            <v>46700</v>
          </cell>
          <cell r="O249" t="str">
            <v>-</v>
          </cell>
          <cell r="P249">
            <v>45200</v>
          </cell>
          <cell r="Q249">
            <v>46200</v>
          </cell>
          <cell r="R249">
            <v>46600</v>
          </cell>
          <cell r="S249">
            <v>48200</v>
          </cell>
          <cell r="T249">
            <v>50500</v>
          </cell>
          <cell r="U249">
            <v>47800</v>
          </cell>
          <cell r="V249">
            <v>50700</v>
          </cell>
          <cell r="W249">
            <v>53000</v>
          </cell>
        </row>
        <row r="250">
          <cell r="A250">
            <v>44516</v>
          </cell>
          <cell r="B250">
            <v>50700</v>
          </cell>
          <cell r="C250">
            <v>51000</v>
          </cell>
          <cell r="D250">
            <v>48200</v>
          </cell>
          <cell r="E250">
            <v>45100</v>
          </cell>
          <cell r="F250">
            <v>49700</v>
          </cell>
          <cell r="G250" t="str">
            <v>-</v>
          </cell>
          <cell r="H250">
            <v>47500</v>
          </cell>
          <cell r="I250" t="str">
            <v>-</v>
          </cell>
          <cell r="J250">
            <v>50100</v>
          </cell>
          <cell r="K250" t="str">
            <v>-</v>
          </cell>
          <cell r="L250">
            <v>48900</v>
          </cell>
          <cell r="M250">
            <v>49700</v>
          </cell>
          <cell r="N250">
            <v>46500</v>
          </cell>
          <cell r="O250" t="str">
            <v>-</v>
          </cell>
          <cell r="P250">
            <v>44700</v>
          </cell>
          <cell r="Q250">
            <v>45700</v>
          </cell>
          <cell r="R250">
            <v>45400</v>
          </cell>
          <cell r="S250">
            <v>47800</v>
          </cell>
          <cell r="T250">
            <v>49500</v>
          </cell>
          <cell r="U250">
            <v>47500</v>
          </cell>
          <cell r="V250">
            <v>50300</v>
          </cell>
          <cell r="W250">
            <v>53000</v>
          </cell>
        </row>
        <row r="251">
          <cell r="A251">
            <v>44517</v>
          </cell>
          <cell r="B251">
            <v>50700</v>
          </cell>
          <cell r="C251">
            <v>50700</v>
          </cell>
          <cell r="D251">
            <v>48200</v>
          </cell>
          <cell r="E251">
            <v>45600</v>
          </cell>
          <cell r="F251">
            <v>49700</v>
          </cell>
          <cell r="G251" t="str">
            <v>-</v>
          </cell>
          <cell r="H251">
            <v>47500</v>
          </cell>
          <cell r="I251" t="str">
            <v>-</v>
          </cell>
          <cell r="J251">
            <v>50100</v>
          </cell>
          <cell r="K251" t="str">
            <v>-</v>
          </cell>
          <cell r="L251">
            <v>48800</v>
          </cell>
          <cell r="M251">
            <v>49700</v>
          </cell>
          <cell r="N251">
            <v>46600</v>
          </cell>
          <cell r="O251" t="str">
            <v>-</v>
          </cell>
          <cell r="P251">
            <v>45300</v>
          </cell>
          <cell r="Q251">
            <v>45700</v>
          </cell>
          <cell r="R251">
            <v>45500</v>
          </cell>
          <cell r="S251">
            <v>48300</v>
          </cell>
          <cell r="T251">
            <v>49500</v>
          </cell>
          <cell r="U251">
            <v>47500</v>
          </cell>
          <cell r="V251">
            <v>50300</v>
          </cell>
          <cell r="W251">
            <v>53000</v>
          </cell>
        </row>
        <row r="252">
          <cell r="A252">
            <v>44518</v>
          </cell>
          <cell r="B252">
            <v>51000</v>
          </cell>
          <cell r="C252">
            <v>50700</v>
          </cell>
          <cell r="D252">
            <v>48000</v>
          </cell>
          <cell r="E252">
            <v>45600</v>
          </cell>
          <cell r="F252">
            <v>49700</v>
          </cell>
          <cell r="G252" t="str">
            <v>-</v>
          </cell>
          <cell r="H252">
            <v>48000</v>
          </cell>
          <cell r="I252" t="str">
            <v>-</v>
          </cell>
          <cell r="J252">
            <v>50600</v>
          </cell>
          <cell r="K252" t="str">
            <v>-</v>
          </cell>
          <cell r="L252">
            <v>49300</v>
          </cell>
          <cell r="M252">
            <v>49900</v>
          </cell>
          <cell r="N252">
            <v>46800</v>
          </cell>
          <cell r="O252" t="str">
            <v>-</v>
          </cell>
          <cell r="P252">
            <v>45500</v>
          </cell>
          <cell r="Q252">
            <v>45700</v>
          </cell>
          <cell r="R252">
            <v>45700</v>
          </cell>
          <cell r="S252">
            <v>48300</v>
          </cell>
          <cell r="T252">
            <v>49200</v>
          </cell>
          <cell r="U252">
            <v>48100</v>
          </cell>
          <cell r="V252">
            <v>50000</v>
          </cell>
          <cell r="W252">
            <v>53000</v>
          </cell>
        </row>
        <row r="253">
          <cell r="A253">
            <v>44519</v>
          </cell>
          <cell r="B253">
            <v>51000</v>
          </cell>
          <cell r="C253">
            <v>50500</v>
          </cell>
          <cell r="D253">
            <v>48500</v>
          </cell>
          <cell r="E253">
            <v>45500</v>
          </cell>
          <cell r="F253">
            <v>49700</v>
          </cell>
          <cell r="G253" t="str">
            <v>-</v>
          </cell>
          <cell r="H253">
            <v>47500</v>
          </cell>
          <cell r="I253" t="str">
            <v>-</v>
          </cell>
          <cell r="J253">
            <v>50600</v>
          </cell>
          <cell r="K253" t="str">
            <v>-</v>
          </cell>
          <cell r="L253">
            <v>49500</v>
          </cell>
          <cell r="M253">
            <v>49900</v>
          </cell>
          <cell r="N253">
            <v>46700</v>
          </cell>
          <cell r="O253" t="str">
            <v>-</v>
          </cell>
          <cell r="P253">
            <v>45500</v>
          </cell>
          <cell r="Q253">
            <v>45800</v>
          </cell>
          <cell r="R253">
            <v>45700</v>
          </cell>
          <cell r="S253">
            <v>48300</v>
          </cell>
          <cell r="T253">
            <v>49200</v>
          </cell>
          <cell r="U253">
            <v>48100</v>
          </cell>
          <cell r="V253">
            <v>50000</v>
          </cell>
          <cell r="W253">
            <v>53000</v>
          </cell>
        </row>
        <row r="254">
          <cell r="A254">
            <v>44520</v>
          </cell>
          <cell r="B254">
            <v>51200</v>
          </cell>
          <cell r="C254">
            <v>50500</v>
          </cell>
          <cell r="D254">
            <v>48700</v>
          </cell>
          <cell r="E254">
            <v>45800</v>
          </cell>
          <cell r="F254">
            <v>49700</v>
          </cell>
          <cell r="G254" t="str">
            <v>-</v>
          </cell>
          <cell r="H254">
            <v>48000</v>
          </cell>
          <cell r="I254" t="str">
            <v>-</v>
          </cell>
          <cell r="J254">
            <v>50600</v>
          </cell>
          <cell r="K254" t="str">
            <v>-</v>
          </cell>
          <cell r="L254">
            <v>49700</v>
          </cell>
          <cell r="M254">
            <v>49900</v>
          </cell>
          <cell r="N254">
            <v>47000</v>
          </cell>
          <cell r="O254" t="str">
            <v>-</v>
          </cell>
          <cell r="P254">
            <v>45900</v>
          </cell>
          <cell r="Q254">
            <v>46000</v>
          </cell>
          <cell r="R254">
            <v>45700</v>
          </cell>
          <cell r="S254">
            <v>48500</v>
          </cell>
          <cell r="T254">
            <v>49300</v>
          </cell>
          <cell r="U254">
            <v>48100</v>
          </cell>
          <cell r="V254">
            <v>50000</v>
          </cell>
          <cell r="W254">
            <v>53000</v>
          </cell>
        </row>
        <row r="255">
          <cell r="A255">
            <v>44521</v>
          </cell>
          <cell r="B255" t="str">
            <v>H</v>
          </cell>
          <cell r="C255" t="str">
            <v>H</v>
          </cell>
          <cell r="D255" t="str">
            <v>H</v>
          </cell>
          <cell r="E255" t="str">
            <v>H</v>
          </cell>
          <cell r="F255" t="str">
            <v>H</v>
          </cell>
          <cell r="G255" t="str">
            <v>H</v>
          </cell>
          <cell r="H255" t="str">
            <v>H</v>
          </cell>
          <cell r="I255" t="str">
            <v>H</v>
          </cell>
          <cell r="J255" t="str">
            <v>H</v>
          </cell>
          <cell r="K255" t="str">
            <v>H</v>
          </cell>
          <cell r="L255" t="str">
            <v>H</v>
          </cell>
          <cell r="M255" t="str">
            <v>H</v>
          </cell>
          <cell r="N255" t="str">
            <v>H</v>
          </cell>
          <cell r="O255" t="str">
            <v>H</v>
          </cell>
          <cell r="P255" t="str">
            <v>H</v>
          </cell>
          <cell r="Q255" t="str">
            <v>H</v>
          </cell>
          <cell r="R255" t="str">
            <v>H</v>
          </cell>
          <cell r="S255" t="str">
            <v>H</v>
          </cell>
          <cell r="T255" t="str">
            <v>H</v>
          </cell>
          <cell r="U255" t="str">
            <v>H</v>
          </cell>
          <cell r="V255" t="str">
            <v>H</v>
          </cell>
          <cell r="W255" t="str">
            <v>H</v>
          </cell>
        </row>
        <row r="256">
          <cell r="A256">
            <v>44522</v>
          </cell>
          <cell r="B256">
            <v>51000</v>
          </cell>
          <cell r="C256">
            <v>50000</v>
          </cell>
          <cell r="D256">
            <v>48200</v>
          </cell>
          <cell r="E256">
            <v>45400</v>
          </cell>
          <cell r="F256">
            <v>49600</v>
          </cell>
          <cell r="G256" t="str">
            <v>-</v>
          </cell>
          <cell r="H256">
            <v>47500</v>
          </cell>
          <cell r="I256" t="str">
            <v>-</v>
          </cell>
          <cell r="J256">
            <v>50500</v>
          </cell>
          <cell r="K256" t="str">
            <v>-</v>
          </cell>
          <cell r="L256">
            <v>49400</v>
          </cell>
          <cell r="M256">
            <v>49900</v>
          </cell>
          <cell r="N256">
            <v>46300</v>
          </cell>
          <cell r="O256" t="str">
            <v>-</v>
          </cell>
          <cell r="P256">
            <v>45000</v>
          </cell>
          <cell r="Q256">
            <v>45500</v>
          </cell>
          <cell r="R256">
            <v>45500</v>
          </cell>
          <cell r="S256">
            <v>48100</v>
          </cell>
          <cell r="T256">
            <v>48300</v>
          </cell>
          <cell r="U256">
            <v>47800</v>
          </cell>
          <cell r="V256">
            <v>49500</v>
          </cell>
          <cell r="W256">
            <v>51700</v>
          </cell>
        </row>
        <row r="257">
          <cell r="A257">
            <v>44523</v>
          </cell>
          <cell r="B257">
            <v>50800</v>
          </cell>
          <cell r="C257">
            <v>49500</v>
          </cell>
          <cell r="D257">
            <v>48000</v>
          </cell>
          <cell r="E257">
            <v>45000</v>
          </cell>
          <cell r="F257">
            <v>49500</v>
          </cell>
          <cell r="G257" t="str">
            <v>-</v>
          </cell>
          <cell r="H257">
            <v>47000</v>
          </cell>
          <cell r="I257" t="str">
            <v>-</v>
          </cell>
          <cell r="J257">
            <v>49200</v>
          </cell>
          <cell r="K257" t="str">
            <v>-</v>
          </cell>
          <cell r="L257">
            <v>48700</v>
          </cell>
          <cell r="M257">
            <v>48900</v>
          </cell>
          <cell r="N257">
            <v>45900</v>
          </cell>
          <cell r="O257" t="str">
            <v>-</v>
          </cell>
          <cell r="P257">
            <v>44200</v>
          </cell>
          <cell r="Q257">
            <v>44900</v>
          </cell>
          <cell r="R257">
            <v>45000</v>
          </cell>
          <cell r="S257">
            <v>47700</v>
          </cell>
          <cell r="T257">
            <v>47300</v>
          </cell>
          <cell r="U257">
            <v>47300</v>
          </cell>
          <cell r="V257">
            <v>49200</v>
          </cell>
          <cell r="W257">
            <v>51500</v>
          </cell>
        </row>
        <row r="258">
          <cell r="A258">
            <v>44524</v>
          </cell>
          <cell r="B258">
            <v>50800</v>
          </cell>
          <cell r="C258">
            <v>49000</v>
          </cell>
          <cell r="D258">
            <v>48000</v>
          </cell>
          <cell r="E258">
            <v>45400</v>
          </cell>
          <cell r="F258">
            <v>49000</v>
          </cell>
          <cell r="G258" t="str">
            <v>-</v>
          </cell>
          <cell r="H258">
            <v>47000</v>
          </cell>
          <cell r="I258" t="str">
            <v>-</v>
          </cell>
          <cell r="J258">
            <v>49200</v>
          </cell>
          <cell r="K258" t="str">
            <v>-</v>
          </cell>
          <cell r="L258">
            <v>48800</v>
          </cell>
          <cell r="M258">
            <v>48900</v>
          </cell>
          <cell r="N258">
            <v>46100</v>
          </cell>
          <cell r="O258" t="str">
            <v>-</v>
          </cell>
          <cell r="P258">
            <v>44600</v>
          </cell>
          <cell r="Q258">
            <v>44900</v>
          </cell>
          <cell r="R258">
            <v>44700</v>
          </cell>
          <cell r="S258">
            <v>48200</v>
          </cell>
          <cell r="T258">
            <v>47300</v>
          </cell>
          <cell r="U258">
            <v>47300</v>
          </cell>
          <cell r="V258">
            <v>49000</v>
          </cell>
          <cell r="W258">
            <v>51400</v>
          </cell>
        </row>
        <row r="259">
          <cell r="A259">
            <v>44525</v>
          </cell>
          <cell r="B259">
            <v>50600</v>
          </cell>
          <cell r="C259">
            <v>49000</v>
          </cell>
          <cell r="D259">
            <v>48000</v>
          </cell>
          <cell r="E259">
            <v>45000</v>
          </cell>
          <cell r="F259">
            <v>49000</v>
          </cell>
          <cell r="G259" t="str">
            <v>-</v>
          </cell>
          <cell r="H259">
            <v>46500</v>
          </cell>
          <cell r="I259" t="str">
            <v>-</v>
          </cell>
          <cell r="J259">
            <v>49200</v>
          </cell>
          <cell r="K259" t="str">
            <v>-</v>
          </cell>
          <cell r="L259">
            <v>48600</v>
          </cell>
          <cell r="M259">
            <v>48900</v>
          </cell>
          <cell r="N259">
            <v>45400</v>
          </cell>
          <cell r="O259" t="str">
            <v>-</v>
          </cell>
          <cell r="P259">
            <v>44000</v>
          </cell>
          <cell r="Q259">
            <v>44500</v>
          </cell>
          <cell r="R259">
            <v>44700</v>
          </cell>
          <cell r="S259">
            <v>47700</v>
          </cell>
          <cell r="T259">
            <v>47300</v>
          </cell>
          <cell r="U259">
            <v>46800</v>
          </cell>
          <cell r="V259">
            <v>48600</v>
          </cell>
          <cell r="W259">
            <v>51000</v>
          </cell>
        </row>
        <row r="260">
          <cell r="A260">
            <v>44526</v>
          </cell>
          <cell r="B260">
            <v>50600</v>
          </cell>
          <cell r="C260">
            <v>49000</v>
          </cell>
          <cell r="D260">
            <v>48200</v>
          </cell>
          <cell r="E260">
            <v>45300</v>
          </cell>
          <cell r="F260">
            <v>48500</v>
          </cell>
          <cell r="G260" t="str">
            <v>-</v>
          </cell>
          <cell r="H260">
            <v>47000</v>
          </cell>
          <cell r="I260" t="str">
            <v>-</v>
          </cell>
          <cell r="J260">
            <v>48700</v>
          </cell>
          <cell r="K260" t="str">
            <v>-</v>
          </cell>
          <cell r="L260">
            <v>48900</v>
          </cell>
          <cell r="M260">
            <v>48800</v>
          </cell>
          <cell r="N260">
            <v>45800</v>
          </cell>
          <cell r="O260" t="str">
            <v>-</v>
          </cell>
          <cell r="P260">
            <v>44600</v>
          </cell>
          <cell r="Q260">
            <v>45000</v>
          </cell>
          <cell r="R260">
            <v>44700</v>
          </cell>
          <cell r="S260">
            <v>47700</v>
          </cell>
          <cell r="T260">
            <v>47400</v>
          </cell>
          <cell r="U260">
            <v>47300</v>
          </cell>
          <cell r="V260">
            <v>48600</v>
          </cell>
          <cell r="W260">
            <v>51000</v>
          </cell>
        </row>
        <row r="261">
          <cell r="A261">
            <v>44527</v>
          </cell>
          <cell r="B261">
            <v>50300</v>
          </cell>
          <cell r="C261">
            <v>48500</v>
          </cell>
          <cell r="D261">
            <v>48200</v>
          </cell>
          <cell r="E261">
            <v>45100</v>
          </cell>
          <cell r="F261">
            <v>48500</v>
          </cell>
          <cell r="G261" t="str">
            <v>-</v>
          </cell>
          <cell r="H261">
            <v>47000</v>
          </cell>
          <cell r="I261" t="str">
            <v>-</v>
          </cell>
          <cell r="J261">
            <v>48700</v>
          </cell>
          <cell r="K261" t="str">
            <v>-</v>
          </cell>
          <cell r="L261">
            <v>49000</v>
          </cell>
          <cell r="M261">
            <v>48900</v>
          </cell>
          <cell r="N261">
            <v>45700</v>
          </cell>
          <cell r="O261" t="str">
            <v>-</v>
          </cell>
          <cell r="P261">
            <v>44500</v>
          </cell>
          <cell r="Q261">
            <v>45000</v>
          </cell>
          <cell r="R261">
            <v>44600</v>
          </cell>
          <cell r="S261">
            <v>47500</v>
          </cell>
          <cell r="T261">
            <v>47400</v>
          </cell>
          <cell r="U261">
            <v>47000</v>
          </cell>
          <cell r="V261">
            <v>48600</v>
          </cell>
          <cell r="W261">
            <v>51000</v>
          </cell>
        </row>
        <row r="262">
          <cell r="A262">
            <v>44528</v>
          </cell>
          <cell r="B262" t="str">
            <v>H</v>
          </cell>
          <cell r="C262" t="str">
            <v>H</v>
          </cell>
          <cell r="D262" t="str">
            <v>H</v>
          </cell>
          <cell r="E262" t="str">
            <v>H</v>
          </cell>
          <cell r="F262" t="str">
            <v>H</v>
          </cell>
          <cell r="G262" t="str">
            <v>H</v>
          </cell>
          <cell r="H262" t="str">
            <v>H</v>
          </cell>
          <cell r="I262" t="str">
            <v>H</v>
          </cell>
          <cell r="J262" t="str">
            <v>H</v>
          </cell>
          <cell r="K262" t="str">
            <v>H</v>
          </cell>
          <cell r="L262" t="str">
            <v>H</v>
          </cell>
          <cell r="M262" t="str">
            <v>H</v>
          </cell>
          <cell r="N262" t="str">
            <v>H</v>
          </cell>
          <cell r="O262" t="str">
            <v>H</v>
          </cell>
          <cell r="P262" t="str">
            <v>H</v>
          </cell>
          <cell r="Q262" t="str">
            <v>H</v>
          </cell>
          <cell r="R262" t="str">
            <v>H</v>
          </cell>
          <cell r="S262" t="str">
            <v>H</v>
          </cell>
          <cell r="T262" t="str">
            <v>H</v>
          </cell>
          <cell r="U262" t="str">
            <v>H</v>
          </cell>
          <cell r="V262" t="str">
            <v>H</v>
          </cell>
          <cell r="W262" t="str">
            <v>H</v>
          </cell>
        </row>
        <row r="263">
          <cell r="A263">
            <v>44529</v>
          </cell>
          <cell r="B263">
            <v>50300</v>
          </cell>
          <cell r="C263">
            <v>48300</v>
          </cell>
          <cell r="D263">
            <v>48300</v>
          </cell>
          <cell r="E263">
            <v>45200</v>
          </cell>
          <cell r="F263">
            <v>48300</v>
          </cell>
          <cell r="G263" t="str">
            <v>-</v>
          </cell>
          <cell r="H263">
            <v>47000</v>
          </cell>
          <cell r="I263" t="str">
            <v>-</v>
          </cell>
          <cell r="J263">
            <v>48700</v>
          </cell>
          <cell r="K263" t="str">
            <v>-</v>
          </cell>
          <cell r="L263">
            <v>49100</v>
          </cell>
          <cell r="M263">
            <v>48900</v>
          </cell>
          <cell r="N263">
            <v>46000</v>
          </cell>
          <cell r="O263" t="str">
            <v>-</v>
          </cell>
          <cell r="P263">
            <v>44400</v>
          </cell>
          <cell r="Q263">
            <v>45000</v>
          </cell>
          <cell r="R263">
            <v>44700</v>
          </cell>
          <cell r="S263">
            <v>47700</v>
          </cell>
          <cell r="T263">
            <v>47400</v>
          </cell>
          <cell r="U263">
            <v>47200</v>
          </cell>
          <cell r="V263">
            <v>48300</v>
          </cell>
          <cell r="W263">
            <v>50300</v>
          </cell>
        </row>
        <row r="264">
          <cell r="A264">
            <v>44530</v>
          </cell>
          <cell r="B264">
            <v>50300</v>
          </cell>
          <cell r="C264">
            <v>48000</v>
          </cell>
          <cell r="D264">
            <v>49200</v>
          </cell>
          <cell r="E264">
            <v>45500</v>
          </cell>
          <cell r="F264">
            <v>48300</v>
          </cell>
          <cell r="G264" t="str">
            <v>-</v>
          </cell>
          <cell r="H264">
            <v>47500</v>
          </cell>
          <cell r="I264" t="str">
            <v>-</v>
          </cell>
          <cell r="J264">
            <v>48700</v>
          </cell>
          <cell r="K264" t="str">
            <v>-</v>
          </cell>
          <cell r="L264">
            <v>49400</v>
          </cell>
          <cell r="M264">
            <v>48900</v>
          </cell>
          <cell r="N264">
            <v>46800</v>
          </cell>
          <cell r="O264" t="str">
            <v>-</v>
          </cell>
          <cell r="P264">
            <v>45000</v>
          </cell>
          <cell r="Q264">
            <v>45400</v>
          </cell>
          <cell r="R264">
            <v>44700</v>
          </cell>
          <cell r="S264">
            <v>48000</v>
          </cell>
          <cell r="T264">
            <v>47500</v>
          </cell>
          <cell r="U264">
            <v>47200</v>
          </cell>
          <cell r="V264">
            <v>48300</v>
          </cell>
          <cell r="W264">
            <v>50300</v>
          </cell>
        </row>
        <row r="265">
          <cell r="A265">
            <v>44531</v>
          </cell>
          <cell r="B265">
            <v>50300</v>
          </cell>
          <cell r="C265">
            <v>48000</v>
          </cell>
          <cell r="D265">
            <v>49200</v>
          </cell>
          <cell r="E265">
            <v>45500</v>
          </cell>
          <cell r="F265">
            <v>48300</v>
          </cell>
          <cell r="G265" t="str">
            <v>-</v>
          </cell>
          <cell r="H265">
            <v>47000</v>
          </cell>
          <cell r="I265" t="str">
            <v>-</v>
          </cell>
          <cell r="J265">
            <v>48700</v>
          </cell>
          <cell r="K265" t="str">
            <v>-</v>
          </cell>
          <cell r="L265">
            <v>49700</v>
          </cell>
          <cell r="M265">
            <v>49100</v>
          </cell>
          <cell r="N265">
            <v>46600</v>
          </cell>
          <cell r="O265" t="str">
            <v>-</v>
          </cell>
          <cell r="P265">
            <v>45000</v>
          </cell>
          <cell r="Q265">
            <v>45200</v>
          </cell>
          <cell r="R265">
            <v>44600</v>
          </cell>
          <cell r="S265">
            <v>48000</v>
          </cell>
          <cell r="T265">
            <v>47500</v>
          </cell>
          <cell r="U265" t="str">
            <v>-</v>
          </cell>
          <cell r="V265">
            <v>48100</v>
          </cell>
          <cell r="W265">
            <v>50300</v>
          </cell>
        </row>
        <row r="266">
          <cell r="A266">
            <v>44532</v>
          </cell>
          <cell r="B266">
            <v>50300</v>
          </cell>
          <cell r="C266">
            <v>48000</v>
          </cell>
          <cell r="D266">
            <v>49200</v>
          </cell>
          <cell r="E266">
            <v>45300</v>
          </cell>
          <cell r="F266">
            <v>48300</v>
          </cell>
          <cell r="G266" t="str">
            <v>-</v>
          </cell>
          <cell r="H266">
            <v>47000</v>
          </cell>
          <cell r="I266" t="str">
            <v>-</v>
          </cell>
          <cell r="J266">
            <v>48700</v>
          </cell>
          <cell r="K266" t="str">
            <v>-</v>
          </cell>
          <cell r="L266">
            <v>49800</v>
          </cell>
          <cell r="M266">
            <v>49100</v>
          </cell>
          <cell r="N266">
            <v>46300</v>
          </cell>
          <cell r="O266" t="str">
            <v>-</v>
          </cell>
          <cell r="P266">
            <v>44500</v>
          </cell>
          <cell r="Q266">
            <v>45200</v>
          </cell>
          <cell r="R266">
            <v>44500</v>
          </cell>
          <cell r="S266">
            <v>48000</v>
          </cell>
          <cell r="T266">
            <v>47600</v>
          </cell>
          <cell r="U266">
            <v>46800</v>
          </cell>
          <cell r="V266">
            <v>48100</v>
          </cell>
          <cell r="W266">
            <v>50300</v>
          </cell>
        </row>
        <row r="267">
          <cell r="A267">
            <v>44533</v>
          </cell>
          <cell r="B267">
            <v>50300</v>
          </cell>
          <cell r="C267">
            <v>47500</v>
          </cell>
          <cell r="D267">
            <v>48500</v>
          </cell>
          <cell r="E267">
            <v>45000</v>
          </cell>
          <cell r="F267">
            <v>48000</v>
          </cell>
          <cell r="G267" t="str">
            <v>-</v>
          </cell>
          <cell r="H267">
            <v>47000</v>
          </cell>
          <cell r="I267" t="str">
            <v>-</v>
          </cell>
          <cell r="J267">
            <v>48100</v>
          </cell>
          <cell r="K267" t="str">
            <v>-</v>
          </cell>
          <cell r="L267">
            <v>49400</v>
          </cell>
          <cell r="M267">
            <v>48600</v>
          </cell>
          <cell r="N267">
            <v>45400</v>
          </cell>
          <cell r="O267" t="str">
            <v>-</v>
          </cell>
          <cell r="P267">
            <v>43800</v>
          </cell>
          <cell r="Q267">
            <v>44500</v>
          </cell>
          <cell r="R267">
            <v>44300</v>
          </cell>
          <cell r="S267">
            <v>47700</v>
          </cell>
          <cell r="T267">
            <v>47100</v>
          </cell>
          <cell r="U267">
            <v>46600</v>
          </cell>
          <cell r="V267">
            <v>48100</v>
          </cell>
          <cell r="W267">
            <v>50300</v>
          </cell>
        </row>
        <row r="268">
          <cell r="A268">
            <v>44534</v>
          </cell>
          <cell r="B268">
            <v>49600</v>
          </cell>
          <cell r="C268">
            <v>47500</v>
          </cell>
          <cell r="D268">
            <v>47800</v>
          </cell>
          <cell r="E268">
            <v>44500</v>
          </cell>
          <cell r="F268">
            <v>47300</v>
          </cell>
          <cell r="G268" t="str">
            <v>-</v>
          </cell>
          <cell r="H268">
            <v>46500</v>
          </cell>
          <cell r="I268" t="str">
            <v>-</v>
          </cell>
          <cell r="J268">
            <v>47000</v>
          </cell>
          <cell r="K268" t="str">
            <v>-</v>
          </cell>
          <cell r="L268">
            <v>48800</v>
          </cell>
          <cell r="M268">
            <v>47900</v>
          </cell>
          <cell r="N268">
            <v>45250</v>
          </cell>
          <cell r="O268" t="str">
            <v>-</v>
          </cell>
          <cell r="P268">
            <v>43400</v>
          </cell>
          <cell r="Q268">
            <v>44000</v>
          </cell>
          <cell r="R268">
            <v>43800</v>
          </cell>
          <cell r="S268">
            <v>47200</v>
          </cell>
          <cell r="T268">
            <v>46400</v>
          </cell>
          <cell r="U268">
            <v>46300</v>
          </cell>
          <cell r="V268">
            <v>47700</v>
          </cell>
          <cell r="W268">
            <v>50100</v>
          </cell>
        </row>
        <row r="269">
          <cell r="A269">
            <v>44535</v>
          </cell>
          <cell r="B269" t="str">
            <v>H</v>
          </cell>
          <cell r="C269" t="str">
            <v>H</v>
          </cell>
          <cell r="D269" t="str">
            <v>H</v>
          </cell>
          <cell r="E269" t="str">
            <v>H</v>
          </cell>
          <cell r="F269" t="str">
            <v>H</v>
          </cell>
          <cell r="G269" t="str">
            <v>H</v>
          </cell>
          <cell r="H269" t="str">
            <v>H</v>
          </cell>
          <cell r="I269" t="str">
            <v>H</v>
          </cell>
          <cell r="J269" t="str">
            <v>H</v>
          </cell>
          <cell r="K269" t="str">
            <v>H</v>
          </cell>
          <cell r="L269" t="str">
            <v>H</v>
          </cell>
          <cell r="M269" t="str">
            <v>H</v>
          </cell>
          <cell r="N269" t="str">
            <v>H</v>
          </cell>
          <cell r="O269" t="str">
            <v>H</v>
          </cell>
          <cell r="P269" t="str">
            <v>H</v>
          </cell>
          <cell r="Q269" t="str">
            <v>H</v>
          </cell>
          <cell r="R269" t="str">
            <v>H</v>
          </cell>
          <cell r="S269" t="str">
            <v>H</v>
          </cell>
          <cell r="T269" t="str">
            <v>H</v>
          </cell>
          <cell r="U269" t="str">
            <v>H</v>
          </cell>
          <cell r="V269" t="str">
            <v>H</v>
          </cell>
          <cell r="W269" t="str">
            <v>H</v>
          </cell>
        </row>
        <row r="270">
          <cell r="A270">
            <v>44536</v>
          </cell>
          <cell r="B270">
            <v>49200</v>
          </cell>
          <cell r="C270">
            <v>47000</v>
          </cell>
          <cell r="D270">
            <v>47400</v>
          </cell>
          <cell r="E270">
            <v>44000</v>
          </cell>
          <cell r="F270">
            <v>46800</v>
          </cell>
          <cell r="G270" t="str">
            <v>-</v>
          </cell>
          <cell r="H270">
            <v>46500</v>
          </cell>
          <cell r="I270" t="str">
            <v>-</v>
          </cell>
          <cell r="J270">
            <v>47000</v>
          </cell>
          <cell r="K270" t="str">
            <v>-</v>
          </cell>
          <cell r="L270">
            <v>48400</v>
          </cell>
          <cell r="M270">
            <v>47900</v>
          </cell>
          <cell r="N270">
            <v>44800</v>
          </cell>
          <cell r="O270" t="str">
            <v>-</v>
          </cell>
          <cell r="P270">
            <v>43100</v>
          </cell>
          <cell r="Q270">
            <v>43400</v>
          </cell>
          <cell r="R270">
            <v>43500</v>
          </cell>
          <cell r="S270">
            <v>46600</v>
          </cell>
          <cell r="T270">
            <v>46100</v>
          </cell>
          <cell r="U270" t="str">
            <v>-</v>
          </cell>
          <cell r="V270">
            <v>47300</v>
          </cell>
          <cell r="W270">
            <v>49600</v>
          </cell>
        </row>
        <row r="271">
          <cell r="A271">
            <v>44537</v>
          </cell>
          <cell r="B271">
            <v>48500</v>
          </cell>
          <cell r="C271">
            <v>46500</v>
          </cell>
          <cell r="D271">
            <v>47400</v>
          </cell>
          <cell r="E271">
            <v>44300</v>
          </cell>
          <cell r="F271">
            <v>46800</v>
          </cell>
          <cell r="G271" t="str">
            <v>-</v>
          </cell>
          <cell r="H271">
            <v>46500</v>
          </cell>
          <cell r="I271" t="str">
            <v>-</v>
          </cell>
          <cell r="J271">
            <v>47000</v>
          </cell>
          <cell r="K271" t="str">
            <v>-</v>
          </cell>
          <cell r="L271">
            <v>48400</v>
          </cell>
          <cell r="M271">
            <v>47900</v>
          </cell>
          <cell r="N271">
            <v>45200</v>
          </cell>
          <cell r="O271" t="str">
            <v>-</v>
          </cell>
          <cell r="P271">
            <v>43400</v>
          </cell>
          <cell r="Q271">
            <v>43700</v>
          </cell>
          <cell r="R271">
            <v>43750</v>
          </cell>
          <cell r="S271">
            <v>47000</v>
          </cell>
          <cell r="T271">
            <v>46100</v>
          </cell>
          <cell r="U271">
            <v>45800</v>
          </cell>
          <cell r="V271">
            <v>47300</v>
          </cell>
          <cell r="W271">
            <v>49600</v>
          </cell>
        </row>
        <row r="272">
          <cell r="A272">
            <v>44538</v>
          </cell>
          <cell r="B272">
            <v>48900</v>
          </cell>
          <cell r="C272">
            <v>47000</v>
          </cell>
          <cell r="D272">
            <v>47400</v>
          </cell>
          <cell r="E272">
            <v>44500</v>
          </cell>
          <cell r="F272">
            <v>47000</v>
          </cell>
          <cell r="G272" t="str">
            <v>-</v>
          </cell>
          <cell r="H272">
            <v>47000</v>
          </cell>
          <cell r="I272" t="str">
            <v>-</v>
          </cell>
          <cell r="J272">
            <v>47200</v>
          </cell>
          <cell r="K272" t="str">
            <v>-</v>
          </cell>
          <cell r="L272">
            <v>48600</v>
          </cell>
          <cell r="M272">
            <v>48300</v>
          </cell>
          <cell r="N272">
            <v>45600</v>
          </cell>
          <cell r="O272" t="str">
            <v>-</v>
          </cell>
          <cell r="P272">
            <v>43900</v>
          </cell>
          <cell r="Q272">
            <v>44800</v>
          </cell>
          <cell r="R272">
            <v>43700</v>
          </cell>
          <cell r="S272">
            <v>47300</v>
          </cell>
          <cell r="T272">
            <v>46400</v>
          </cell>
          <cell r="U272">
            <v>46000</v>
          </cell>
          <cell r="V272">
            <v>47300</v>
          </cell>
          <cell r="W272">
            <v>49600</v>
          </cell>
        </row>
        <row r="273">
          <cell r="A273">
            <v>44539</v>
          </cell>
          <cell r="B273">
            <v>49400</v>
          </cell>
          <cell r="C273">
            <v>47700</v>
          </cell>
          <cell r="D273">
            <v>47700</v>
          </cell>
          <cell r="E273">
            <v>45200</v>
          </cell>
          <cell r="F273">
            <v>47700</v>
          </cell>
          <cell r="G273" t="str">
            <v>-</v>
          </cell>
          <cell r="H273">
            <v>47500</v>
          </cell>
          <cell r="I273" t="str">
            <v>-</v>
          </cell>
          <cell r="J273">
            <v>47800</v>
          </cell>
          <cell r="K273" t="str">
            <v>-</v>
          </cell>
          <cell r="L273">
            <v>49200</v>
          </cell>
          <cell r="M273">
            <v>48900</v>
          </cell>
          <cell r="N273">
            <v>46000</v>
          </cell>
          <cell r="O273" t="str">
            <v>-</v>
          </cell>
          <cell r="P273">
            <v>45000</v>
          </cell>
          <cell r="Q273">
            <v>45300</v>
          </cell>
          <cell r="R273">
            <v>44400</v>
          </cell>
          <cell r="S273">
            <v>48000</v>
          </cell>
          <cell r="T273">
            <v>46900</v>
          </cell>
          <cell r="U273">
            <v>46600</v>
          </cell>
          <cell r="V273">
            <v>47500</v>
          </cell>
          <cell r="W273">
            <v>49600</v>
          </cell>
        </row>
        <row r="274">
          <cell r="A274">
            <v>44540</v>
          </cell>
          <cell r="B274">
            <v>49400</v>
          </cell>
          <cell r="C274">
            <v>48000</v>
          </cell>
          <cell r="D274">
            <v>47700</v>
          </cell>
          <cell r="E274">
            <v>44800</v>
          </cell>
          <cell r="F274">
            <v>48200</v>
          </cell>
          <cell r="G274" t="str">
            <v>-</v>
          </cell>
          <cell r="H274">
            <v>47500</v>
          </cell>
          <cell r="I274" t="str">
            <v>-</v>
          </cell>
          <cell r="J274">
            <v>47900</v>
          </cell>
          <cell r="K274" t="str">
            <v>-</v>
          </cell>
          <cell r="L274">
            <v>49200</v>
          </cell>
          <cell r="M274">
            <v>49300</v>
          </cell>
          <cell r="N274">
            <v>45500</v>
          </cell>
          <cell r="O274" t="str">
            <v>-</v>
          </cell>
          <cell r="P274">
            <v>44300</v>
          </cell>
          <cell r="Q274">
            <v>45300</v>
          </cell>
          <cell r="R274">
            <v>44100</v>
          </cell>
          <cell r="S274">
            <v>47600</v>
          </cell>
          <cell r="T274">
            <v>46900</v>
          </cell>
          <cell r="U274">
            <v>46600</v>
          </cell>
          <cell r="V274">
            <v>47900</v>
          </cell>
          <cell r="W274">
            <v>50000</v>
          </cell>
        </row>
        <row r="275">
          <cell r="A275">
            <v>44541</v>
          </cell>
          <cell r="B275">
            <v>49400</v>
          </cell>
          <cell r="C275">
            <v>48000</v>
          </cell>
          <cell r="D275">
            <v>47700</v>
          </cell>
          <cell r="E275">
            <v>45000</v>
          </cell>
          <cell r="F275">
            <v>48100</v>
          </cell>
          <cell r="G275" t="str">
            <v>-</v>
          </cell>
          <cell r="H275">
            <v>47500</v>
          </cell>
          <cell r="I275" t="str">
            <v>-</v>
          </cell>
          <cell r="J275">
            <v>47900</v>
          </cell>
          <cell r="K275" t="str">
            <v>-</v>
          </cell>
          <cell r="L275">
            <v>49200</v>
          </cell>
          <cell r="M275">
            <v>49300</v>
          </cell>
          <cell r="N275">
            <v>45550</v>
          </cell>
          <cell r="O275" t="str">
            <v>-</v>
          </cell>
          <cell r="P275">
            <v>44700</v>
          </cell>
          <cell r="Q275">
            <v>45100</v>
          </cell>
          <cell r="R275">
            <v>44300</v>
          </cell>
          <cell r="S275">
            <v>47800</v>
          </cell>
          <cell r="T275">
            <v>46900</v>
          </cell>
          <cell r="U275">
            <v>46600</v>
          </cell>
          <cell r="V275">
            <v>47900</v>
          </cell>
          <cell r="W275">
            <v>50000</v>
          </cell>
        </row>
        <row r="276">
          <cell r="A276">
            <v>44542</v>
          </cell>
          <cell r="B276" t="str">
            <v>H</v>
          </cell>
          <cell r="C276" t="str">
            <v>H</v>
          </cell>
          <cell r="D276" t="str">
            <v>H</v>
          </cell>
          <cell r="E276" t="str">
            <v>H</v>
          </cell>
          <cell r="F276" t="str">
            <v>H</v>
          </cell>
          <cell r="G276" t="str">
            <v>H</v>
          </cell>
          <cell r="H276" t="str">
            <v>H</v>
          </cell>
          <cell r="I276" t="str">
            <v>H</v>
          </cell>
          <cell r="J276" t="str">
            <v>H</v>
          </cell>
          <cell r="K276" t="str">
            <v>H</v>
          </cell>
          <cell r="L276" t="str">
            <v>H</v>
          </cell>
          <cell r="M276" t="str">
            <v>H</v>
          </cell>
          <cell r="N276" t="str">
            <v>H</v>
          </cell>
          <cell r="O276" t="str">
            <v>H</v>
          </cell>
          <cell r="P276" t="str">
            <v>H</v>
          </cell>
          <cell r="Q276" t="str">
            <v>H</v>
          </cell>
          <cell r="R276" t="str">
            <v>H</v>
          </cell>
          <cell r="S276" t="str">
            <v>H</v>
          </cell>
          <cell r="T276" t="str">
            <v>H</v>
          </cell>
          <cell r="U276" t="str">
            <v>H</v>
          </cell>
          <cell r="V276" t="str">
            <v>H</v>
          </cell>
          <cell r="W276" t="str">
            <v>H</v>
          </cell>
        </row>
        <row r="277">
          <cell r="A277">
            <v>44543</v>
          </cell>
          <cell r="B277">
            <v>50100</v>
          </cell>
          <cell r="C277">
            <v>48400</v>
          </cell>
          <cell r="D277">
            <v>47800</v>
          </cell>
          <cell r="E277">
            <v>45500</v>
          </cell>
          <cell r="F277">
            <v>48300</v>
          </cell>
          <cell r="G277" t="str">
            <v>-</v>
          </cell>
          <cell r="H277">
            <v>48500</v>
          </cell>
          <cell r="I277" t="str">
            <v>-</v>
          </cell>
          <cell r="J277">
            <v>48600</v>
          </cell>
          <cell r="K277" t="str">
            <v>-</v>
          </cell>
          <cell r="L277">
            <v>49500</v>
          </cell>
          <cell r="M277">
            <v>49500</v>
          </cell>
          <cell r="N277">
            <v>46000</v>
          </cell>
          <cell r="O277" t="str">
            <v>-</v>
          </cell>
          <cell r="P277">
            <v>45800</v>
          </cell>
          <cell r="Q277">
            <v>46000</v>
          </cell>
          <cell r="R277">
            <v>45700</v>
          </cell>
          <cell r="S277">
            <v>48500</v>
          </cell>
          <cell r="T277">
            <v>48000</v>
          </cell>
          <cell r="U277">
            <v>47200</v>
          </cell>
          <cell r="V277">
            <v>48300</v>
          </cell>
          <cell r="W277">
            <v>50500</v>
          </cell>
        </row>
        <row r="278">
          <cell r="A278">
            <v>44544</v>
          </cell>
          <cell r="B278">
            <v>50900</v>
          </cell>
          <cell r="C278">
            <v>48400</v>
          </cell>
          <cell r="D278">
            <v>47800</v>
          </cell>
          <cell r="E278">
            <v>46000</v>
          </cell>
          <cell r="F278">
            <v>48800</v>
          </cell>
          <cell r="G278" t="str">
            <v>-</v>
          </cell>
          <cell r="H278">
            <v>48700</v>
          </cell>
          <cell r="I278" t="str">
            <v>-</v>
          </cell>
          <cell r="J278">
            <v>48800</v>
          </cell>
          <cell r="K278" t="str">
            <v>-</v>
          </cell>
          <cell r="L278">
            <v>49700</v>
          </cell>
          <cell r="M278">
            <v>49900</v>
          </cell>
          <cell r="N278">
            <v>46000</v>
          </cell>
          <cell r="O278" t="str">
            <v>-</v>
          </cell>
          <cell r="P278">
            <v>45500</v>
          </cell>
          <cell r="Q278">
            <v>46000</v>
          </cell>
          <cell r="R278">
            <v>45600</v>
          </cell>
          <cell r="S278">
            <v>49000</v>
          </cell>
          <cell r="T278">
            <v>48300</v>
          </cell>
          <cell r="U278">
            <v>47300</v>
          </cell>
          <cell r="V278">
            <v>48500</v>
          </cell>
          <cell r="W278">
            <v>51000</v>
          </cell>
        </row>
        <row r="279">
          <cell r="A279">
            <v>44545</v>
          </cell>
          <cell r="B279">
            <v>50900</v>
          </cell>
          <cell r="C279">
            <v>48200</v>
          </cell>
          <cell r="D279">
            <v>47600</v>
          </cell>
          <cell r="E279">
            <v>46000</v>
          </cell>
          <cell r="F279">
            <v>49300</v>
          </cell>
          <cell r="G279" t="str">
            <v>-</v>
          </cell>
          <cell r="H279">
            <v>49000</v>
          </cell>
          <cell r="I279" t="str">
            <v>-</v>
          </cell>
          <cell r="J279">
            <v>49100</v>
          </cell>
          <cell r="K279" t="str">
            <v>-</v>
          </cell>
          <cell r="L279">
            <v>49500</v>
          </cell>
          <cell r="M279">
            <v>50200</v>
          </cell>
          <cell r="N279">
            <v>46000</v>
          </cell>
          <cell r="O279" t="str">
            <v>-</v>
          </cell>
          <cell r="P279">
            <v>45400</v>
          </cell>
          <cell r="Q279">
            <v>45700</v>
          </cell>
          <cell r="R279">
            <v>45200</v>
          </cell>
          <cell r="S279">
            <v>49000</v>
          </cell>
          <cell r="T279">
            <v>48300</v>
          </cell>
          <cell r="U279">
            <v>47000</v>
          </cell>
          <cell r="V279">
            <v>48500</v>
          </cell>
          <cell r="W279">
            <v>51000</v>
          </cell>
        </row>
        <row r="280">
          <cell r="A280">
            <v>44546</v>
          </cell>
          <cell r="B280">
            <v>50900</v>
          </cell>
          <cell r="C280">
            <v>48200</v>
          </cell>
          <cell r="D280">
            <v>47600</v>
          </cell>
          <cell r="E280">
            <v>46000</v>
          </cell>
          <cell r="F280">
            <v>49300</v>
          </cell>
          <cell r="G280" t="str">
            <v>-</v>
          </cell>
          <cell r="H280">
            <v>48700</v>
          </cell>
          <cell r="I280" t="str">
            <v>-</v>
          </cell>
          <cell r="J280">
            <v>49100</v>
          </cell>
          <cell r="K280" t="str">
            <v>-</v>
          </cell>
          <cell r="L280">
            <v>49600</v>
          </cell>
          <cell r="M280">
            <v>50300</v>
          </cell>
          <cell r="N280">
            <v>46200</v>
          </cell>
          <cell r="O280" t="str">
            <v>-</v>
          </cell>
          <cell r="P280">
            <v>45300</v>
          </cell>
          <cell r="Q280">
            <v>45600</v>
          </cell>
          <cell r="R280">
            <v>45200</v>
          </cell>
          <cell r="S280">
            <v>49000</v>
          </cell>
          <cell r="T280">
            <v>48300</v>
          </cell>
          <cell r="U280">
            <v>47600</v>
          </cell>
          <cell r="V280">
            <v>48500</v>
          </cell>
          <cell r="W280">
            <v>51000</v>
          </cell>
        </row>
        <row r="281">
          <cell r="A281">
            <v>44547</v>
          </cell>
          <cell r="B281">
            <v>50900</v>
          </cell>
          <cell r="C281">
            <v>48000</v>
          </cell>
          <cell r="D281">
            <v>48200</v>
          </cell>
          <cell r="E281">
            <v>45800</v>
          </cell>
          <cell r="F281">
            <v>49300</v>
          </cell>
          <cell r="G281" t="str">
            <v>-</v>
          </cell>
          <cell r="H281">
            <v>49000</v>
          </cell>
          <cell r="I281" t="str">
            <v>-</v>
          </cell>
          <cell r="J281">
            <v>49000</v>
          </cell>
          <cell r="K281" t="str">
            <v>-</v>
          </cell>
          <cell r="L281">
            <v>49500</v>
          </cell>
          <cell r="M281">
            <v>50300</v>
          </cell>
          <cell r="N281">
            <v>45800</v>
          </cell>
          <cell r="O281" t="str">
            <v>-</v>
          </cell>
          <cell r="P281">
            <v>44700</v>
          </cell>
          <cell r="Q281">
            <v>45400</v>
          </cell>
          <cell r="R281">
            <v>45000</v>
          </cell>
          <cell r="S281">
            <v>48800</v>
          </cell>
          <cell r="T281">
            <v>48000</v>
          </cell>
          <cell r="U281">
            <v>47600</v>
          </cell>
          <cell r="V281">
            <v>48500</v>
          </cell>
          <cell r="W281">
            <v>51000</v>
          </cell>
        </row>
        <row r="282">
          <cell r="A282">
            <v>44548</v>
          </cell>
          <cell r="B282">
            <v>50800</v>
          </cell>
          <cell r="C282">
            <v>48000</v>
          </cell>
          <cell r="D282">
            <v>48000</v>
          </cell>
          <cell r="E282">
            <v>45600</v>
          </cell>
          <cell r="F282">
            <v>49300</v>
          </cell>
          <cell r="G282" t="str">
            <v>-</v>
          </cell>
          <cell r="H282">
            <v>49000</v>
          </cell>
          <cell r="I282" t="str">
            <v>-</v>
          </cell>
          <cell r="J282">
            <v>49000</v>
          </cell>
          <cell r="K282" t="str">
            <v>-</v>
          </cell>
          <cell r="L282">
            <v>49400</v>
          </cell>
          <cell r="M282">
            <v>49900</v>
          </cell>
          <cell r="N282">
            <v>45800</v>
          </cell>
          <cell r="O282" t="str">
            <v>-</v>
          </cell>
          <cell r="P282">
            <v>44700</v>
          </cell>
          <cell r="Q282">
            <v>45000</v>
          </cell>
          <cell r="R282">
            <v>44900</v>
          </cell>
          <cell r="S282">
            <v>48500</v>
          </cell>
          <cell r="T282">
            <v>48000</v>
          </cell>
          <cell r="U282">
            <v>47600</v>
          </cell>
          <cell r="V282">
            <v>48500</v>
          </cell>
          <cell r="W282">
            <v>51000</v>
          </cell>
        </row>
        <row r="283">
          <cell r="A283">
            <v>44549</v>
          </cell>
          <cell r="B283" t="str">
            <v>H</v>
          </cell>
          <cell r="C283" t="str">
            <v>H</v>
          </cell>
          <cell r="D283" t="str">
            <v>H</v>
          </cell>
          <cell r="E283" t="str">
            <v>H</v>
          </cell>
          <cell r="F283" t="str">
            <v>H</v>
          </cell>
          <cell r="G283" t="str">
            <v>H</v>
          </cell>
          <cell r="H283" t="str">
            <v>H</v>
          </cell>
          <cell r="I283" t="str">
            <v>H</v>
          </cell>
          <cell r="J283" t="str">
            <v>H</v>
          </cell>
          <cell r="K283" t="str">
            <v>H</v>
          </cell>
          <cell r="L283" t="str">
            <v>H</v>
          </cell>
          <cell r="M283" t="str">
            <v>H</v>
          </cell>
          <cell r="N283" t="str">
            <v>H</v>
          </cell>
          <cell r="O283" t="str">
            <v>H</v>
          </cell>
          <cell r="P283" t="str">
            <v>H</v>
          </cell>
          <cell r="Q283" t="str">
            <v>H</v>
          </cell>
          <cell r="R283" t="str">
            <v>H</v>
          </cell>
          <cell r="S283" t="str">
            <v>H</v>
          </cell>
          <cell r="T283" t="str">
            <v>H</v>
          </cell>
          <cell r="U283" t="str">
            <v>H</v>
          </cell>
          <cell r="V283" t="str">
            <v>H</v>
          </cell>
          <cell r="W283" t="str">
            <v>H</v>
          </cell>
        </row>
        <row r="284">
          <cell r="A284">
            <v>44550</v>
          </cell>
          <cell r="B284">
            <v>50700</v>
          </cell>
          <cell r="C284">
            <v>47750</v>
          </cell>
          <cell r="D284">
            <v>48000</v>
          </cell>
          <cell r="E284">
            <v>45300</v>
          </cell>
          <cell r="F284">
            <v>48900</v>
          </cell>
          <cell r="G284" t="str">
            <v>-</v>
          </cell>
          <cell r="H284">
            <v>48500</v>
          </cell>
          <cell r="I284" t="str">
            <v>-</v>
          </cell>
          <cell r="J284">
            <v>48900</v>
          </cell>
          <cell r="K284" t="str">
            <v>-</v>
          </cell>
          <cell r="L284">
            <v>49400</v>
          </cell>
          <cell r="M284">
            <v>49700</v>
          </cell>
          <cell r="N284">
            <v>45500</v>
          </cell>
          <cell r="O284" t="str">
            <v>-</v>
          </cell>
          <cell r="P284">
            <v>44500</v>
          </cell>
          <cell r="Q284">
            <v>44800</v>
          </cell>
          <cell r="R284">
            <v>44300</v>
          </cell>
          <cell r="S284">
            <v>48100</v>
          </cell>
          <cell r="T284">
            <v>47400</v>
          </cell>
          <cell r="U284">
            <v>46800</v>
          </cell>
          <cell r="V284">
            <v>48200</v>
          </cell>
          <cell r="W284">
            <v>50600</v>
          </cell>
        </row>
        <row r="285">
          <cell r="A285">
            <v>44551</v>
          </cell>
          <cell r="B285">
            <v>50100</v>
          </cell>
          <cell r="C285">
            <v>47750</v>
          </cell>
          <cell r="D285">
            <v>47700</v>
          </cell>
          <cell r="E285">
            <v>45000</v>
          </cell>
          <cell r="F285">
            <v>48800</v>
          </cell>
          <cell r="G285" t="str">
            <v>-</v>
          </cell>
          <cell r="H285">
            <v>48000</v>
          </cell>
          <cell r="I285" t="str">
            <v>-</v>
          </cell>
          <cell r="J285">
            <v>48700</v>
          </cell>
          <cell r="K285" t="str">
            <v>-</v>
          </cell>
          <cell r="L285">
            <v>48900</v>
          </cell>
          <cell r="M285">
            <v>49500</v>
          </cell>
          <cell r="N285">
            <v>45500</v>
          </cell>
          <cell r="O285" t="str">
            <v>-</v>
          </cell>
          <cell r="P285">
            <v>43800</v>
          </cell>
          <cell r="Q285">
            <v>44300</v>
          </cell>
          <cell r="R285">
            <v>44000</v>
          </cell>
          <cell r="S285">
            <v>47800</v>
          </cell>
          <cell r="T285">
            <v>47400</v>
          </cell>
          <cell r="U285" t="str">
            <v>-</v>
          </cell>
          <cell r="V285">
            <v>48200</v>
          </cell>
          <cell r="W285">
            <v>50600</v>
          </cell>
        </row>
        <row r="286">
          <cell r="A286">
            <v>44552</v>
          </cell>
          <cell r="B286">
            <v>49400</v>
          </cell>
          <cell r="C286">
            <v>47000</v>
          </cell>
          <cell r="D286">
            <v>47700</v>
          </cell>
          <cell r="E286">
            <v>45200</v>
          </cell>
          <cell r="F286">
            <v>48800</v>
          </cell>
          <cell r="G286" t="str">
            <v>-</v>
          </cell>
          <cell r="H286">
            <v>48500</v>
          </cell>
          <cell r="I286" t="str">
            <v>-</v>
          </cell>
          <cell r="J286">
            <v>48500</v>
          </cell>
          <cell r="K286" t="str">
            <v>-</v>
          </cell>
          <cell r="L286">
            <v>48600</v>
          </cell>
          <cell r="M286">
            <v>49300</v>
          </cell>
          <cell r="N286">
            <v>45700</v>
          </cell>
          <cell r="O286" t="str">
            <v>-</v>
          </cell>
          <cell r="P286">
            <v>44400</v>
          </cell>
          <cell r="Q286">
            <v>44700</v>
          </cell>
          <cell r="R286">
            <v>43800</v>
          </cell>
          <cell r="S286">
            <v>48000</v>
          </cell>
          <cell r="T286">
            <v>47300</v>
          </cell>
          <cell r="U286">
            <v>46800</v>
          </cell>
          <cell r="V286">
            <v>48200</v>
          </cell>
          <cell r="W286">
            <v>50300</v>
          </cell>
        </row>
        <row r="287">
          <cell r="A287">
            <v>44553</v>
          </cell>
          <cell r="B287">
            <v>49400</v>
          </cell>
          <cell r="C287">
            <v>47000</v>
          </cell>
          <cell r="D287">
            <v>47700</v>
          </cell>
          <cell r="E287">
            <v>45600</v>
          </cell>
          <cell r="F287">
            <v>49000</v>
          </cell>
          <cell r="G287" t="str">
            <v>-</v>
          </cell>
          <cell r="H287">
            <v>48500</v>
          </cell>
          <cell r="I287" t="str">
            <v>-</v>
          </cell>
          <cell r="J287">
            <v>48500</v>
          </cell>
          <cell r="K287" t="str">
            <v>-</v>
          </cell>
          <cell r="L287">
            <v>48600</v>
          </cell>
          <cell r="M287">
            <v>49500</v>
          </cell>
          <cell r="N287">
            <v>45700</v>
          </cell>
          <cell r="O287" t="str">
            <v>-</v>
          </cell>
          <cell r="P287">
            <v>44400</v>
          </cell>
          <cell r="Q287">
            <v>44700</v>
          </cell>
          <cell r="R287">
            <v>44100</v>
          </cell>
          <cell r="S287">
            <v>48500</v>
          </cell>
          <cell r="T287">
            <v>47600</v>
          </cell>
          <cell r="U287">
            <v>46900</v>
          </cell>
          <cell r="V287">
            <v>48200</v>
          </cell>
          <cell r="W287">
            <v>50300</v>
          </cell>
        </row>
        <row r="288">
          <cell r="A288">
            <v>44554</v>
          </cell>
          <cell r="B288">
            <v>49500</v>
          </cell>
          <cell r="C288">
            <v>47200</v>
          </cell>
          <cell r="D288">
            <v>48300</v>
          </cell>
          <cell r="E288">
            <v>46300</v>
          </cell>
          <cell r="F288">
            <v>49100</v>
          </cell>
          <cell r="G288" t="str">
            <v>-</v>
          </cell>
          <cell r="H288">
            <v>49000</v>
          </cell>
          <cell r="I288" t="str">
            <v>-</v>
          </cell>
          <cell r="J288">
            <v>48900</v>
          </cell>
          <cell r="K288" t="str">
            <v>-</v>
          </cell>
          <cell r="L288">
            <v>49000</v>
          </cell>
          <cell r="M288">
            <v>49700</v>
          </cell>
          <cell r="N288">
            <v>46000</v>
          </cell>
          <cell r="O288" t="str">
            <v>-</v>
          </cell>
          <cell r="P288">
            <v>45500</v>
          </cell>
          <cell r="Q288">
            <v>45300</v>
          </cell>
          <cell r="R288">
            <v>45300</v>
          </cell>
          <cell r="S288">
            <v>49000</v>
          </cell>
          <cell r="T288">
            <v>48200</v>
          </cell>
          <cell r="U288">
            <v>48300</v>
          </cell>
          <cell r="V288">
            <v>49000</v>
          </cell>
          <cell r="W288">
            <v>51100</v>
          </cell>
        </row>
        <row r="289">
          <cell r="A289">
            <v>44555</v>
          </cell>
          <cell r="B289" t="str">
            <v>H</v>
          </cell>
          <cell r="C289" t="str">
            <v>H</v>
          </cell>
          <cell r="D289" t="str">
            <v>H</v>
          </cell>
          <cell r="E289" t="str">
            <v>H</v>
          </cell>
          <cell r="F289" t="str">
            <v>H</v>
          </cell>
          <cell r="G289" t="str">
            <v>H</v>
          </cell>
          <cell r="H289" t="str">
            <v>H</v>
          </cell>
          <cell r="I289" t="str">
            <v>H</v>
          </cell>
          <cell r="J289" t="str">
            <v>H</v>
          </cell>
          <cell r="K289" t="str">
            <v>H</v>
          </cell>
          <cell r="L289" t="str">
            <v>H</v>
          </cell>
          <cell r="M289" t="str">
            <v>H</v>
          </cell>
          <cell r="N289" t="str">
            <v>H</v>
          </cell>
          <cell r="O289" t="str">
            <v>H</v>
          </cell>
          <cell r="P289" t="str">
            <v>H</v>
          </cell>
          <cell r="Q289" t="str">
            <v>H</v>
          </cell>
          <cell r="R289" t="str">
            <v>H</v>
          </cell>
          <cell r="S289" t="str">
            <v>H</v>
          </cell>
          <cell r="T289" t="str">
            <v>H</v>
          </cell>
          <cell r="U289" t="str">
            <v>H</v>
          </cell>
          <cell r="V289" t="str">
            <v>H</v>
          </cell>
          <cell r="W289" t="str">
            <v>H</v>
          </cell>
        </row>
        <row r="290">
          <cell r="A290">
            <v>44556</v>
          </cell>
          <cell r="B290" t="str">
            <v>H</v>
          </cell>
          <cell r="C290" t="str">
            <v>H</v>
          </cell>
          <cell r="D290" t="str">
            <v>H</v>
          </cell>
          <cell r="E290" t="str">
            <v>H</v>
          </cell>
          <cell r="F290" t="str">
            <v>H</v>
          </cell>
          <cell r="G290" t="str">
            <v>H</v>
          </cell>
          <cell r="H290" t="str">
            <v>H</v>
          </cell>
          <cell r="I290" t="str">
            <v>H</v>
          </cell>
          <cell r="J290" t="str">
            <v>H</v>
          </cell>
          <cell r="K290" t="str">
            <v>H</v>
          </cell>
          <cell r="L290" t="str">
            <v>H</v>
          </cell>
          <cell r="M290" t="str">
            <v>H</v>
          </cell>
          <cell r="N290" t="str">
            <v>H</v>
          </cell>
          <cell r="O290" t="str">
            <v>H</v>
          </cell>
          <cell r="P290" t="str">
            <v>H</v>
          </cell>
          <cell r="Q290" t="str">
            <v>H</v>
          </cell>
          <cell r="R290" t="str">
            <v>H</v>
          </cell>
          <cell r="S290" t="str">
            <v>H</v>
          </cell>
          <cell r="T290" t="str">
            <v>H</v>
          </cell>
          <cell r="U290" t="str">
            <v>H</v>
          </cell>
          <cell r="V290" t="str">
            <v>H</v>
          </cell>
          <cell r="W290" t="str">
            <v>H</v>
          </cell>
        </row>
        <row r="291">
          <cell r="A291">
            <v>44557</v>
          </cell>
          <cell r="B291">
            <v>49900</v>
          </cell>
          <cell r="C291">
            <v>48000</v>
          </cell>
          <cell r="D291">
            <v>49700</v>
          </cell>
          <cell r="E291">
            <v>47200</v>
          </cell>
          <cell r="F291">
            <v>49800</v>
          </cell>
          <cell r="G291" t="str">
            <v>-</v>
          </cell>
          <cell r="H291">
            <v>50000</v>
          </cell>
          <cell r="I291" t="str">
            <v>-</v>
          </cell>
          <cell r="J291">
            <v>49600</v>
          </cell>
          <cell r="K291" t="str">
            <v>-</v>
          </cell>
          <cell r="L291">
            <v>49700</v>
          </cell>
          <cell r="M291">
            <v>50300</v>
          </cell>
          <cell r="N291">
            <v>47000</v>
          </cell>
          <cell r="O291" t="str">
            <v>-</v>
          </cell>
          <cell r="P291">
            <v>46800</v>
          </cell>
          <cell r="Q291">
            <v>46800</v>
          </cell>
          <cell r="R291">
            <v>46600</v>
          </cell>
          <cell r="S291">
            <v>50000</v>
          </cell>
          <cell r="T291">
            <v>49200</v>
          </cell>
          <cell r="U291">
            <v>49300</v>
          </cell>
          <cell r="V291">
            <v>49500</v>
          </cell>
          <cell r="W291">
            <v>51700</v>
          </cell>
        </row>
        <row r="292">
          <cell r="A292">
            <v>44558</v>
          </cell>
          <cell r="B292">
            <v>50400</v>
          </cell>
          <cell r="C292">
            <v>48500</v>
          </cell>
          <cell r="D292">
            <v>49700</v>
          </cell>
          <cell r="E292">
            <v>47200</v>
          </cell>
          <cell r="F292">
            <v>50200</v>
          </cell>
          <cell r="G292" t="str">
            <v>-</v>
          </cell>
          <cell r="H292">
            <v>50000</v>
          </cell>
          <cell r="I292" t="str">
            <v>-</v>
          </cell>
          <cell r="J292">
            <v>49600</v>
          </cell>
          <cell r="K292" t="str">
            <v>-</v>
          </cell>
          <cell r="L292">
            <v>50000</v>
          </cell>
          <cell r="M292">
            <v>50600</v>
          </cell>
          <cell r="N292">
            <v>47300</v>
          </cell>
          <cell r="O292" t="str">
            <v>-</v>
          </cell>
          <cell r="P292">
            <v>46200</v>
          </cell>
          <cell r="Q292">
            <v>46200</v>
          </cell>
          <cell r="R292">
            <v>46400</v>
          </cell>
          <cell r="S292">
            <v>50000</v>
          </cell>
          <cell r="T292">
            <v>49200</v>
          </cell>
          <cell r="U292">
            <v>49300</v>
          </cell>
          <cell r="V292">
            <v>50000</v>
          </cell>
          <cell r="W292">
            <v>52300</v>
          </cell>
        </row>
        <row r="293">
          <cell r="A293">
            <v>44559</v>
          </cell>
          <cell r="B293">
            <v>50400</v>
          </cell>
          <cell r="C293">
            <v>48250</v>
          </cell>
          <cell r="D293">
            <v>50000</v>
          </cell>
          <cell r="E293">
            <v>47000</v>
          </cell>
          <cell r="F293">
            <v>50200</v>
          </cell>
          <cell r="G293" t="str">
            <v>-</v>
          </cell>
          <cell r="H293">
            <v>49500</v>
          </cell>
          <cell r="I293" t="str">
            <v>-</v>
          </cell>
          <cell r="J293">
            <v>49600</v>
          </cell>
          <cell r="K293" t="str">
            <v>-</v>
          </cell>
          <cell r="L293">
            <v>49900</v>
          </cell>
          <cell r="M293">
            <v>50600</v>
          </cell>
          <cell r="N293">
            <v>47100</v>
          </cell>
          <cell r="O293" t="str">
            <v>-</v>
          </cell>
          <cell r="P293">
            <v>45700</v>
          </cell>
          <cell r="Q293">
            <v>46000</v>
          </cell>
          <cell r="R293">
            <v>46000</v>
          </cell>
          <cell r="S293">
            <v>49800</v>
          </cell>
          <cell r="T293">
            <v>49000</v>
          </cell>
          <cell r="U293">
            <v>48300</v>
          </cell>
          <cell r="V293">
            <v>50000</v>
          </cell>
          <cell r="W293">
            <v>52300</v>
          </cell>
        </row>
        <row r="294">
          <cell r="A294">
            <v>44560</v>
          </cell>
          <cell r="B294">
            <v>50400</v>
          </cell>
          <cell r="C294">
            <v>48250</v>
          </cell>
          <cell r="D294">
            <v>50200</v>
          </cell>
          <cell r="E294">
            <v>47000</v>
          </cell>
          <cell r="F294">
            <v>50200</v>
          </cell>
          <cell r="G294" t="str">
            <v>-</v>
          </cell>
          <cell r="H294">
            <v>49500</v>
          </cell>
          <cell r="I294" t="str">
            <v>-</v>
          </cell>
          <cell r="J294">
            <v>49600</v>
          </cell>
          <cell r="K294" t="str">
            <v>-</v>
          </cell>
          <cell r="L294">
            <v>50000</v>
          </cell>
          <cell r="M294">
            <v>50600</v>
          </cell>
          <cell r="N294">
            <v>47500</v>
          </cell>
          <cell r="O294" t="str">
            <v>-</v>
          </cell>
          <cell r="P294">
            <v>46000</v>
          </cell>
          <cell r="Q294">
            <v>46000</v>
          </cell>
          <cell r="R294">
            <v>45800</v>
          </cell>
          <cell r="S294">
            <v>50000</v>
          </cell>
          <cell r="T294">
            <v>49000</v>
          </cell>
          <cell r="U294">
            <v>48300</v>
          </cell>
          <cell r="V294">
            <v>50000</v>
          </cell>
          <cell r="W294">
            <v>52300</v>
          </cell>
        </row>
        <row r="295">
          <cell r="A295">
            <v>44561</v>
          </cell>
          <cell r="B295">
            <v>50400</v>
          </cell>
          <cell r="C295">
            <v>48250</v>
          </cell>
          <cell r="D295">
            <v>51000</v>
          </cell>
          <cell r="E295">
            <v>47500</v>
          </cell>
          <cell r="F295">
            <v>50200</v>
          </cell>
          <cell r="G295" t="str">
            <v>-</v>
          </cell>
          <cell r="H295">
            <v>50000</v>
          </cell>
          <cell r="I295" t="str">
            <v>-</v>
          </cell>
          <cell r="J295">
            <v>49800</v>
          </cell>
          <cell r="K295" t="str">
            <v>-</v>
          </cell>
          <cell r="L295">
            <v>50500</v>
          </cell>
          <cell r="M295">
            <v>50600</v>
          </cell>
          <cell r="N295">
            <v>47800</v>
          </cell>
          <cell r="O295" t="str">
            <v>-</v>
          </cell>
          <cell r="P295">
            <v>46400</v>
          </cell>
          <cell r="Q295">
            <v>46500</v>
          </cell>
          <cell r="R295">
            <v>46400</v>
          </cell>
          <cell r="S295">
            <v>50500</v>
          </cell>
          <cell r="T295">
            <v>49300</v>
          </cell>
          <cell r="U295">
            <v>48800</v>
          </cell>
          <cell r="V295">
            <v>50000</v>
          </cell>
          <cell r="W295">
            <v>52300</v>
          </cell>
        </row>
        <row r="296">
          <cell r="A296">
            <v>44562</v>
          </cell>
          <cell r="B296">
            <v>50300</v>
          </cell>
          <cell r="C296">
            <v>48250</v>
          </cell>
          <cell r="D296">
            <v>51000</v>
          </cell>
          <cell r="E296">
            <v>47500</v>
          </cell>
          <cell r="F296">
            <v>50600</v>
          </cell>
          <cell r="G296" t="str">
            <v>-</v>
          </cell>
          <cell r="H296">
            <v>50000</v>
          </cell>
          <cell r="I296">
            <v>49400</v>
          </cell>
          <cell r="J296">
            <v>49800</v>
          </cell>
          <cell r="K296" t="str">
            <v>-</v>
          </cell>
          <cell r="L296">
            <v>50400</v>
          </cell>
          <cell r="M296">
            <v>50600</v>
          </cell>
          <cell r="N296">
            <v>47800</v>
          </cell>
          <cell r="O296" t="str">
            <v>-</v>
          </cell>
          <cell r="P296">
            <v>46300</v>
          </cell>
          <cell r="Q296">
            <v>46400</v>
          </cell>
          <cell r="R296">
            <v>46300</v>
          </cell>
          <cell r="S296">
            <v>50500</v>
          </cell>
          <cell r="T296">
            <v>49300</v>
          </cell>
          <cell r="U296">
            <v>48800</v>
          </cell>
          <cell r="V296">
            <v>50000</v>
          </cell>
          <cell r="W296">
            <v>52300</v>
          </cell>
        </row>
        <row r="297">
          <cell r="A297">
            <v>44563</v>
          </cell>
          <cell r="B297" t="str">
            <v>H</v>
          </cell>
          <cell r="C297" t="str">
            <v>H</v>
          </cell>
          <cell r="D297" t="str">
            <v>H</v>
          </cell>
          <cell r="E297" t="str">
            <v>H</v>
          </cell>
          <cell r="F297" t="str">
            <v>H</v>
          </cell>
          <cell r="G297" t="str">
            <v>H</v>
          </cell>
          <cell r="H297" t="str">
            <v>H</v>
          </cell>
          <cell r="I297" t="str">
            <v>H</v>
          </cell>
          <cell r="J297" t="str">
            <v>H</v>
          </cell>
          <cell r="K297" t="str">
            <v>H</v>
          </cell>
          <cell r="L297" t="str">
            <v>H</v>
          </cell>
          <cell r="M297" t="str">
            <v>H</v>
          </cell>
          <cell r="N297" t="str">
            <v>H</v>
          </cell>
          <cell r="O297" t="str">
            <v>H</v>
          </cell>
          <cell r="P297" t="str">
            <v>H</v>
          </cell>
          <cell r="Q297" t="str">
            <v>H</v>
          </cell>
          <cell r="R297" t="str">
            <v>H</v>
          </cell>
          <cell r="S297" t="str">
            <v>H</v>
          </cell>
          <cell r="T297" t="str">
            <v>H</v>
          </cell>
          <cell r="U297" t="str">
            <v>H</v>
          </cell>
          <cell r="V297" t="str">
            <v>H</v>
          </cell>
          <cell r="W297" t="str">
            <v>H</v>
          </cell>
        </row>
        <row r="298">
          <cell r="A298">
            <v>44564</v>
          </cell>
          <cell r="B298">
            <v>50800</v>
          </cell>
          <cell r="C298">
            <v>48500</v>
          </cell>
          <cell r="D298">
            <v>51200</v>
          </cell>
          <cell r="E298">
            <v>48000</v>
          </cell>
          <cell r="F298">
            <v>50700</v>
          </cell>
          <cell r="G298" t="str">
            <v>-</v>
          </cell>
          <cell r="H298">
            <v>50000</v>
          </cell>
          <cell r="I298">
            <v>49400</v>
          </cell>
          <cell r="J298">
            <v>50200</v>
          </cell>
          <cell r="K298" t="str">
            <v>-</v>
          </cell>
          <cell r="L298">
            <v>50600</v>
          </cell>
          <cell r="M298">
            <v>50600</v>
          </cell>
          <cell r="N298">
            <v>48000</v>
          </cell>
          <cell r="O298" t="str">
            <v>-</v>
          </cell>
          <cell r="P298">
            <v>46500</v>
          </cell>
          <cell r="Q298">
            <v>46600</v>
          </cell>
          <cell r="R298">
            <v>46500</v>
          </cell>
          <cell r="S298">
            <v>50800</v>
          </cell>
          <cell r="T298">
            <v>49500</v>
          </cell>
          <cell r="U298">
            <v>49100</v>
          </cell>
          <cell r="V298">
            <v>50200</v>
          </cell>
          <cell r="W298">
            <v>52500</v>
          </cell>
        </row>
        <row r="299">
          <cell r="A299">
            <v>44565</v>
          </cell>
          <cell r="B299">
            <v>50800</v>
          </cell>
          <cell r="C299">
            <v>48500</v>
          </cell>
          <cell r="D299">
            <v>51000</v>
          </cell>
          <cell r="E299">
            <v>47700</v>
          </cell>
          <cell r="F299">
            <v>50800</v>
          </cell>
          <cell r="G299" t="str">
            <v>-</v>
          </cell>
          <cell r="H299">
            <v>50000</v>
          </cell>
          <cell r="I299">
            <v>49300</v>
          </cell>
          <cell r="J299">
            <v>50500</v>
          </cell>
          <cell r="K299" t="str">
            <v>-</v>
          </cell>
          <cell r="L299">
            <v>50500</v>
          </cell>
          <cell r="M299">
            <v>50800</v>
          </cell>
          <cell r="N299">
            <v>48000</v>
          </cell>
          <cell r="O299" t="str">
            <v>-</v>
          </cell>
          <cell r="P299">
            <v>46500</v>
          </cell>
          <cell r="Q299">
            <v>46600</v>
          </cell>
          <cell r="R299">
            <v>46500</v>
          </cell>
          <cell r="S299">
            <v>50500</v>
          </cell>
          <cell r="T299">
            <v>49500</v>
          </cell>
          <cell r="U299">
            <v>49100</v>
          </cell>
          <cell r="V299">
            <v>50200</v>
          </cell>
          <cell r="W299">
            <v>52500</v>
          </cell>
        </row>
        <row r="300">
          <cell r="A300">
            <v>44566</v>
          </cell>
          <cell r="B300">
            <v>50300</v>
          </cell>
          <cell r="C300">
            <v>48500</v>
          </cell>
          <cell r="D300">
            <v>50200</v>
          </cell>
          <cell r="E300">
            <v>47000</v>
          </cell>
          <cell r="F300">
            <v>50800</v>
          </cell>
          <cell r="G300" t="str">
            <v>-</v>
          </cell>
          <cell r="H300">
            <v>49500</v>
          </cell>
          <cell r="I300">
            <v>49200</v>
          </cell>
          <cell r="J300">
            <v>50500</v>
          </cell>
          <cell r="K300" t="str">
            <v>-</v>
          </cell>
          <cell r="L300">
            <v>50300</v>
          </cell>
          <cell r="M300">
            <v>50800</v>
          </cell>
          <cell r="N300">
            <v>47500</v>
          </cell>
          <cell r="O300" t="str">
            <v>-</v>
          </cell>
          <cell r="P300">
            <v>45600</v>
          </cell>
          <cell r="Q300">
            <v>45800</v>
          </cell>
          <cell r="R300">
            <v>46200</v>
          </cell>
          <cell r="S300">
            <v>50000</v>
          </cell>
          <cell r="T300">
            <v>49500</v>
          </cell>
          <cell r="U300">
            <v>49100</v>
          </cell>
          <cell r="V300">
            <v>50200</v>
          </cell>
          <cell r="W300">
            <v>52500</v>
          </cell>
        </row>
        <row r="301">
          <cell r="A301">
            <v>44567</v>
          </cell>
          <cell r="B301">
            <v>50300</v>
          </cell>
          <cell r="C301">
            <v>48500</v>
          </cell>
          <cell r="D301">
            <v>49700</v>
          </cell>
          <cell r="E301">
            <v>46800</v>
          </cell>
          <cell r="F301">
            <v>50800</v>
          </cell>
          <cell r="G301" t="str">
            <v>-</v>
          </cell>
          <cell r="H301">
            <v>49500</v>
          </cell>
          <cell r="I301">
            <v>48700</v>
          </cell>
          <cell r="J301">
            <v>50500</v>
          </cell>
          <cell r="K301" t="str">
            <v>-</v>
          </cell>
          <cell r="L301">
            <v>49900</v>
          </cell>
          <cell r="M301">
            <v>50800</v>
          </cell>
          <cell r="N301">
            <v>47400</v>
          </cell>
          <cell r="O301" t="str">
            <v>-</v>
          </cell>
          <cell r="P301">
            <v>46000</v>
          </cell>
          <cell r="Q301">
            <v>46000</v>
          </cell>
          <cell r="R301">
            <v>46000</v>
          </cell>
          <cell r="S301">
            <v>49800</v>
          </cell>
          <cell r="T301">
            <v>49000</v>
          </cell>
          <cell r="U301">
            <v>48800</v>
          </cell>
          <cell r="V301">
            <v>50200</v>
          </cell>
          <cell r="W301">
            <v>52500</v>
          </cell>
        </row>
        <row r="302">
          <cell r="A302">
            <v>44568</v>
          </cell>
          <cell r="B302">
            <v>51000</v>
          </cell>
          <cell r="C302">
            <v>48700</v>
          </cell>
          <cell r="D302">
            <v>50200</v>
          </cell>
          <cell r="E302">
            <v>47300</v>
          </cell>
          <cell r="F302">
            <v>50800</v>
          </cell>
          <cell r="G302" t="str">
            <v>-</v>
          </cell>
          <cell r="H302">
            <v>50000</v>
          </cell>
          <cell r="I302">
            <v>49100</v>
          </cell>
          <cell r="J302">
            <v>50500</v>
          </cell>
          <cell r="K302" t="str">
            <v>-</v>
          </cell>
          <cell r="L302">
            <v>49900</v>
          </cell>
          <cell r="M302">
            <v>50800</v>
          </cell>
          <cell r="N302">
            <v>47600</v>
          </cell>
          <cell r="O302" t="str">
            <v>-</v>
          </cell>
          <cell r="P302">
            <v>46800</v>
          </cell>
          <cell r="Q302">
            <v>46800</v>
          </cell>
          <cell r="R302">
            <v>46400</v>
          </cell>
          <cell r="S302">
            <v>50300</v>
          </cell>
          <cell r="T302">
            <v>49600</v>
          </cell>
          <cell r="U302">
            <v>48800</v>
          </cell>
          <cell r="V302">
            <v>50200</v>
          </cell>
          <cell r="W302">
            <v>52500</v>
          </cell>
        </row>
        <row r="303">
          <cell r="A303">
            <v>44569</v>
          </cell>
          <cell r="B303">
            <v>51300</v>
          </cell>
          <cell r="C303">
            <v>49000</v>
          </cell>
          <cell r="D303">
            <v>50700</v>
          </cell>
          <cell r="E303">
            <v>48000</v>
          </cell>
          <cell r="F303">
            <v>51100</v>
          </cell>
          <cell r="G303" t="str">
            <v>-</v>
          </cell>
          <cell r="H303">
            <v>50000</v>
          </cell>
          <cell r="I303">
            <v>49500</v>
          </cell>
          <cell r="J303">
            <v>50900</v>
          </cell>
          <cell r="K303" t="str">
            <v>-</v>
          </cell>
          <cell r="L303">
            <v>50200</v>
          </cell>
          <cell r="M303">
            <v>51200</v>
          </cell>
          <cell r="N303">
            <v>48000</v>
          </cell>
          <cell r="O303" t="str">
            <v>-</v>
          </cell>
          <cell r="P303">
            <v>46800</v>
          </cell>
          <cell r="Q303">
            <v>46900</v>
          </cell>
          <cell r="R303">
            <v>46700</v>
          </cell>
          <cell r="S303">
            <v>50800</v>
          </cell>
          <cell r="T303">
            <v>49600</v>
          </cell>
          <cell r="U303">
            <v>49100</v>
          </cell>
          <cell r="V303">
            <v>50500</v>
          </cell>
          <cell r="W303">
            <v>52900</v>
          </cell>
        </row>
        <row r="304">
          <cell r="A304">
            <v>44570</v>
          </cell>
          <cell r="B304" t="str">
            <v>H</v>
          </cell>
          <cell r="C304" t="str">
            <v>H</v>
          </cell>
          <cell r="D304" t="str">
            <v>H</v>
          </cell>
          <cell r="E304" t="str">
            <v>H</v>
          </cell>
          <cell r="F304" t="str">
            <v>H</v>
          </cell>
          <cell r="G304" t="str">
            <v>H</v>
          </cell>
          <cell r="H304" t="str">
            <v>H</v>
          </cell>
          <cell r="I304" t="str">
            <v>H</v>
          </cell>
          <cell r="J304" t="str">
            <v>H</v>
          </cell>
          <cell r="K304" t="str">
            <v>H</v>
          </cell>
          <cell r="L304" t="str">
            <v>H</v>
          </cell>
          <cell r="M304" t="str">
            <v>H</v>
          </cell>
          <cell r="N304" t="str">
            <v>H</v>
          </cell>
          <cell r="O304" t="str">
            <v>H</v>
          </cell>
          <cell r="P304" t="str">
            <v>H</v>
          </cell>
          <cell r="Q304" t="str">
            <v>H</v>
          </cell>
          <cell r="R304" t="str">
            <v>H</v>
          </cell>
          <cell r="S304" t="str">
            <v>H</v>
          </cell>
          <cell r="T304" t="str">
            <v>H</v>
          </cell>
          <cell r="U304" t="str">
            <v>H</v>
          </cell>
          <cell r="V304" t="str">
            <v>H</v>
          </cell>
          <cell r="W304" t="str">
            <v>H</v>
          </cell>
        </row>
        <row r="305">
          <cell r="A305">
            <v>44571</v>
          </cell>
          <cell r="B305">
            <v>51300</v>
          </cell>
          <cell r="C305">
            <v>49000</v>
          </cell>
          <cell r="D305">
            <v>50700</v>
          </cell>
          <cell r="E305">
            <v>48000</v>
          </cell>
          <cell r="F305">
            <v>51300</v>
          </cell>
          <cell r="G305" t="str">
            <v>-</v>
          </cell>
          <cell r="H305">
            <v>50000</v>
          </cell>
          <cell r="I305">
            <v>49500</v>
          </cell>
          <cell r="J305">
            <v>50900</v>
          </cell>
          <cell r="K305" t="str">
            <v>-</v>
          </cell>
          <cell r="L305">
            <v>50300</v>
          </cell>
          <cell r="M305">
            <v>51200</v>
          </cell>
          <cell r="N305">
            <v>47700</v>
          </cell>
          <cell r="O305" t="str">
            <v>-</v>
          </cell>
          <cell r="P305">
            <v>46800</v>
          </cell>
          <cell r="Q305">
            <v>47100</v>
          </cell>
          <cell r="R305">
            <v>46500</v>
          </cell>
          <cell r="S305">
            <v>50800</v>
          </cell>
          <cell r="T305">
            <v>49800</v>
          </cell>
          <cell r="U305">
            <v>49100</v>
          </cell>
          <cell r="V305">
            <v>50900</v>
          </cell>
          <cell r="W305">
            <v>53200</v>
          </cell>
        </row>
        <row r="306">
          <cell r="A306">
            <v>44572</v>
          </cell>
          <cell r="B306">
            <v>51700</v>
          </cell>
          <cell r="C306">
            <v>49000</v>
          </cell>
          <cell r="D306">
            <v>50800</v>
          </cell>
          <cell r="E306">
            <v>48500</v>
          </cell>
          <cell r="F306">
            <v>51400</v>
          </cell>
          <cell r="G306" t="str">
            <v>-</v>
          </cell>
          <cell r="H306">
            <v>50500</v>
          </cell>
          <cell r="I306">
            <v>50200</v>
          </cell>
          <cell r="J306">
            <v>51300</v>
          </cell>
          <cell r="K306" t="str">
            <v>-</v>
          </cell>
          <cell r="L306">
            <v>50700</v>
          </cell>
          <cell r="M306">
            <v>51400</v>
          </cell>
          <cell r="N306">
            <v>47800</v>
          </cell>
          <cell r="O306" t="str">
            <v>-</v>
          </cell>
          <cell r="P306">
            <v>47200</v>
          </cell>
          <cell r="Q306">
            <v>47600</v>
          </cell>
          <cell r="R306">
            <v>47400</v>
          </cell>
          <cell r="S306">
            <v>51300</v>
          </cell>
          <cell r="T306">
            <v>50500</v>
          </cell>
          <cell r="U306">
            <v>49600</v>
          </cell>
          <cell r="V306">
            <v>51100</v>
          </cell>
          <cell r="W306">
            <v>53500</v>
          </cell>
        </row>
        <row r="307">
          <cell r="A307">
            <v>44573</v>
          </cell>
          <cell r="B307">
            <v>51700</v>
          </cell>
          <cell r="C307">
            <v>49200</v>
          </cell>
          <cell r="D307">
            <v>50800</v>
          </cell>
          <cell r="E307">
            <v>49000</v>
          </cell>
          <cell r="F307">
            <v>51800</v>
          </cell>
          <cell r="G307" t="str">
            <v>-</v>
          </cell>
          <cell r="H307">
            <v>50700</v>
          </cell>
          <cell r="I307">
            <v>50200</v>
          </cell>
          <cell r="J307">
            <v>51500</v>
          </cell>
          <cell r="K307" t="str">
            <v>-</v>
          </cell>
          <cell r="L307">
            <v>50700</v>
          </cell>
          <cell r="M307">
            <v>51600</v>
          </cell>
          <cell r="N307">
            <v>48000</v>
          </cell>
          <cell r="O307" t="str">
            <v>-</v>
          </cell>
          <cell r="P307">
            <v>47400</v>
          </cell>
          <cell r="Q307">
            <v>47700</v>
          </cell>
          <cell r="R307">
            <v>48000</v>
          </cell>
          <cell r="S307">
            <v>51800</v>
          </cell>
          <cell r="T307">
            <v>50700</v>
          </cell>
          <cell r="U307">
            <v>49600</v>
          </cell>
          <cell r="V307">
            <v>51200</v>
          </cell>
          <cell r="W307">
            <v>53600</v>
          </cell>
        </row>
        <row r="308">
          <cell r="A308">
            <v>44574</v>
          </cell>
          <cell r="B308">
            <v>52100</v>
          </cell>
          <cell r="C308">
            <v>49200</v>
          </cell>
          <cell r="D308">
            <v>51000</v>
          </cell>
          <cell r="E308">
            <v>49300</v>
          </cell>
          <cell r="F308">
            <v>51900</v>
          </cell>
          <cell r="G308" t="str">
            <v>-</v>
          </cell>
          <cell r="H308">
            <v>51500</v>
          </cell>
          <cell r="I308">
            <v>50300</v>
          </cell>
          <cell r="J308">
            <v>51600</v>
          </cell>
          <cell r="K308" t="str">
            <v>-</v>
          </cell>
          <cell r="L308">
            <v>51100</v>
          </cell>
          <cell r="M308">
            <v>51800</v>
          </cell>
          <cell r="N308">
            <v>48500</v>
          </cell>
          <cell r="O308" t="str">
            <v>-</v>
          </cell>
          <cell r="P308">
            <v>48000</v>
          </cell>
          <cell r="Q308">
            <v>48300</v>
          </cell>
          <cell r="R308">
            <v>48400</v>
          </cell>
          <cell r="S308">
            <v>52200</v>
          </cell>
          <cell r="T308">
            <v>51000</v>
          </cell>
          <cell r="U308">
            <v>50300</v>
          </cell>
          <cell r="V308">
            <v>51500</v>
          </cell>
          <cell r="W308">
            <v>53900</v>
          </cell>
        </row>
        <row r="309">
          <cell r="A309">
            <v>44575</v>
          </cell>
          <cell r="B309" t="str">
            <v>-</v>
          </cell>
          <cell r="C309" t="str">
            <v>-</v>
          </cell>
          <cell r="D309">
            <v>51000</v>
          </cell>
          <cell r="E309">
            <v>49500</v>
          </cell>
          <cell r="F309">
            <v>51900</v>
          </cell>
          <cell r="G309" t="str">
            <v>-</v>
          </cell>
          <cell r="H309">
            <v>51500</v>
          </cell>
          <cell r="I309" t="str">
            <v>-</v>
          </cell>
          <cell r="J309">
            <v>51800</v>
          </cell>
          <cell r="K309" t="str">
            <v>-</v>
          </cell>
          <cell r="L309">
            <v>51100</v>
          </cell>
          <cell r="M309">
            <v>52200</v>
          </cell>
          <cell r="N309">
            <v>48500</v>
          </cell>
          <cell r="O309" t="str">
            <v>-</v>
          </cell>
          <cell r="P309">
            <v>47800</v>
          </cell>
          <cell r="Q309">
            <v>48300</v>
          </cell>
          <cell r="R309">
            <v>48300</v>
          </cell>
          <cell r="S309">
            <v>52500</v>
          </cell>
          <cell r="T309">
            <v>51200</v>
          </cell>
          <cell r="U309">
            <v>50300</v>
          </cell>
          <cell r="V309">
            <v>51700</v>
          </cell>
          <cell r="W309">
            <v>54100</v>
          </cell>
        </row>
        <row r="310">
          <cell r="A310">
            <v>44576</v>
          </cell>
          <cell r="B310">
            <v>52100</v>
          </cell>
          <cell r="C310" t="str">
            <v>-</v>
          </cell>
          <cell r="D310">
            <v>51200</v>
          </cell>
          <cell r="E310">
            <v>49300</v>
          </cell>
          <cell r="F310">
            <v>51900</v>
          </cell>
          <cell r="G310" t="str">
            <v>-</v>
          </cell>
          <cell r="H310">
            <v>51500</v>
          </cell>
          <cell r="I310">
            <v>50300</v>
          </cell>
          <cell r="J310">
            <v>51800</v>
          </cell>
          <cell r="K310" t="str">
            <v>-</v>
          </cell>
          <cell r="L310">
            <v>51100</v>
          </cell>
          <cell r="M310">
            <v>52200</v>
          </cell>
          <cell r="N310">
            <v>48000</v>
          </cell>
          <cell r="O310" t="str">
            <v>-</v>
          </cell>
          <cell r="P310">
            <v>47400</v>
          </cell>
          <cell r="Q310">
            <v>48200</v>
          </cell>
          <cell r="R310">
            <v>48000</v>
          </cell>
          <cell r="S310">
            <v>52200</v>
          </cell>
          <cell r="T310">
            <v>51200</v>
          </cell>
          <cell r="U310">
            <v>50300</v>
          </cell>
          <cell r="V310">
            <v>51700</v>
          </cell>
          <cell r="W310">
            <v>54100</v>
          </cell>
        </row>
        <row r="311">
          <cell r="A311">
            <v>44577</v>
          </cell>
          <cell r="B311" t="str">
            <v>H</v>
          </cell>
          <cell r="C311" t="str">
            <v>H</v>
          </cell>
          <cell r="D311" t="str">
            <v>H</v>
          </cell>
          <cell r="E311" t="str">
            <v>H</v>
          </cell>
          <cell r="F311" t="str">
            <v>H</v>
          </cell>
          <cell r="G311" t="str">
            <v>H</v>
          </cell>
          <cell r="H311" t="str">
            <v>H</v>
          </cell>
          <cell r="I311" t="str">
            <v>H</v>
          </cell>
          <cell r="J311" t="str">
            <v>H</v>
          </cell>
          <cell r="K311" t="str">
            <v>H</v>
          </cell>
          <cell r="L311" t="str">
            <v>H</v>
          </cell>
          <cell r="M311" t="str">
            <v>H</v>
          </cell>
          <cell r="N311" t="str">
            <v>H</v>
          </cell>
          <cell r="O311" t="str">
            <v>H</v>
          </cell>
          <cell r="P311" t="str">
            <v>H</v>
          </cell>
          <cell r="Q311" t="str">
            <v>H</v>
          </cell>
          <cell r="R311" t="str">
            <v>H</v>
          </cell>
          <cell r="S311" t="str">
            <v>H</v>
          </cell>
          <cell r="T311" t="str">
            <v>H</v>
          </cell>
          <cell r="U311" t="str">
            <v>H</v>
          </cell>
          <cell r="V311" t="str">
            <v>H</v>
          </cell>
          <cell r="W311" t="str">
            <v>H</v>
          </cell>
        </row>
        <row r="312">
          <cell r="A312">
            <v>44578</v>
          </cell>
          <cell r="B312">
            <v>53100</v>
          </cell>
          <cell r="C312">
            <v>50000</v>
          </cell>
          <cell r="D312">
            <v>51200</v>
          </cell>
          <cell r="E312">
            <v>50500</v>
          </cell>
          <cell r="F312">
            <v>51900</v>
          </cell>
          <cell r="G312" t="str">
            <v>-</v>
          </cell>
          <cell r="H312">
            <v>52000</v>
          </cell>
          <cell r="I312">
            <v>50700</v>
          </cell>
          <cell r="J312">
            <v>52200</v>
          </cell>
          <cell r="K312" t="str">
            <v>-</v>
          </cell>
          <cell r="L312">
            <v>51400</v>
          </cell>
          <cell r="M312">
            <v>52600</v>
          </cell>
          <cell r="N312">
            <v>48500</v>
          </cell>
          <cell r="O312" t="str">
            <v>-</v>
          </cell>
          <cell r="P312">
            <v>48300</v>
          </cell>
          <cell r="Q312">
            <v>48600</v>
          </cell>
          <cell r="R312">
            <v>48500</v>
          </cell>
          <cell r="S312">
            <v>53300</v>
          </cell>
          <cell r="T312">
            <v>51600</v>
          </cell>
          <cell r="U312">
            <v>50800</v>
          </cell>
          <cell r="V312">
            <v>52200</v>
          </cell>
          <cell r="W312">
            <v>54600</v>
          </cell>
        </row>
        <row r="313">
          <cell r="A313">
            <v>44579</v>
          </cell>
          <cell r="B313">
            <v>53400</v>
          </cell>
          <cell r="C313">
            <v>50500</v>
          </cell>
          <cell r="D313">
            <v>51000</v>
          </cell>
          <cell r="E313">
            <v>50500</v>
          </cell>
          <cell r="F313">
            <v>52700</v>
          </cell>
          <cell r="G313" t="str">
            <v>-</v>
          </cell>
          <cell r="H313">
            <v>52000</v>
          </cell>
          <cell r="I313">
            <v>50600</v>
          </cell>
          <cell r="J313">
            <v>52400</v>
          </cell>
          <cell r="K313" t="str">
            <v>-</v>
          </cell>
          <cell r="L313">
            <v>51400</v>
          </cell>
          <cell r="M313">
            <v>52700</v>
          </cell>
          <cell r="N313">
            <v>48500</v>
          </cell>
          <cell r="O313" t="str">
            <v>-</v>
          </cell>
          <cell r="P313">
            <v>48000</v>
          </cell>
          <cell r="Q313">
            <v>48500</v>
          </cell>
          <cell r="R313">
            <v>48800</v>
          </cell>
          <cell r="S313">
            <v>53300</v>
          </cell>
          <cell r="T313">
            <v>51800</v>
          </cell>
          <cell r="U313">
            <v>50800</v>
          </cell>
          <cell r="V313">
            <v>52200</v>
          </cell>
          <cell r="W313">
            <v>54600</v>
          </cell>
        </row>
        <row r="314">
          <cell r="A314">
            <v>44580</v>
          </cell>
          <cell r="B314">
            <v>53100</v>
          </cell>
          <cell r="C314">
            <v>50500</v>
          </cell>
          <cell r="D314">
            <v>51500</v>
          </cell>
          <cell r="E314">
            <v>50200</v>
          </cell>
          <cell r="F314">
            <v>52700</v>
          </cell>
          <cell r="G314" t="str">
            <v>-</v>
          </cell>
          <cell r="H314">
            <v>51500</v>
          </cell>
          <cell r="I314">
            <v>50600</v>
          </cell>
          <cell r="J314">
            <v>52400</v>
          </cell>
          <cell r="K314" t="str">
            <v>-</v>
          </cell>
          <cell r="L314">
            <v>51600</v>
          </cell>
          <cell r="M314">
            <v>52700</v>
          </cell>
          <cell r="N314">
            <v>48300</v>
          </cell>
          <cell r="O314" t="str">
            <v>-</v>
          </cell>
          <cell r="P314">
            <v>48100</v>
          </cell>
          <cell r="Q314">
            <v>48200</v>
          </cell>
          <cell r="R314">
            <v>48500</v>
          </cell>
          <cell r="S314">
            <v>53000</v>
          </cell>
          <cell r="T314">
            <v>51800</v>
          </cell>
          <cell r="U314">
            <v>50800</v>
          </cell>
          <cell r="V314">
            <v>52200</v>
          </cell>
          <cell r="W314">
            <v>54600</v>
          </cell>
        </row>
        <row r="315">
          <cell r="A315">
            <v>44581</v>
          </cell>
          <cell r="B315">
            <v>53600</v>
          </cell>
          <cell r="C315">
            <v>50700</v>
          </cell>
          <cell r="D315">
            <v>51500</v>
          </cell>
          <cell r="E315">
            <v>50500</v>
          </cell>
          <cell r="F315">
            <v>52900</v>
          </cell>
          <cell r="G315" t="str">
            <v>-</v>
          </cell>
          <cell r="H315">
            <v>52000</v>
          </cell>
          <cell r="I315">
            <v>51200</v>
          </cell>
          <cell r="J315">
            <v>52600</v>
          </cell>
          <cell r="K315" t="str">
            <v>-</v>
          </cell>
          <cell r="L315">
            <v>51900</v>
          </cell>
          <cell r="M315">
            <v>52900</v>
          </cell>
          <cell r="N315">
            <v>48800</v>
          </cell>
          <cell r="O315" t="str">
            <v>-</v>
          </cell>
          <cell r="P315">
            <v>48400</v>
          </cell>
          <cell r="Q315">
            <v>48800</v>
          </cell>
          <cell r="R315">
            <v>49000</v>
          </cell>
          <cell r="S315">
            <v>53300</v>
          </cell>
          <cell r="T315">
            <v>51800</v>
          </cell>
          <cell r="U315">
            <v>50800</v>
          </cell>
          <cell r="V315">
            <v>52200</v>
          </cell>
          <cell r="W315">
            <v>54600</v>
          </cell>
        </row>
        <row r="316">
          <cell r="A316">
            <v>44582</v>
          </cell>
          <cell r="B316">
            <v>53600</v>
          </cell>
          <cell r="C316">
            <v>50700</v>
          </cell>
          <cell r="D316">
            <v>51500</v>
          </cell>
          <cell r="E316">
            <v>50500</v>
          </cell>
          <cell r="F316">
            <v>53000</v>
          </cell>
          <cell r="G316" t="str">
            <v>-</v>
          </cell>
          <cell r="H316">
            <v>52000</v>
          </cell>
          <cell r="I316">
            <v>51200</v>
          </cell>
          <cell r="J316">
            <v>52600</v>
          </cell>
          <cell r="K316" t="str">
            <v>-</v>
          </cell>
          <cell r="L316">
            <v>51900</v>
          </cell>
          <cell r="M316">
            <v>53000</v>
          </cell>
          <cell r="N316">
            <v>49000</v>
          </cell>
          <cell r="O316" t="str">
            <v>-</v>
          </cell>
          <cell r="P316">
            <v>48400</v>
          </cell>
          <cell r="Q316">
            <v>48800</v>
          </cell>
          <cell r="R316">
            <v>48800</v>
          </cell>
          <cell r="S316">
            <v>53300</v>
          </cell>
          <cell r="T316">
            <v>51600</v>
          </cell>
          <cell r="U316">
            <v>51600</v>
          </cell>
          <cell r="V316">
            <v>52200</v>
          </cell>
          <cell r="W316">
            <v>54600</v>
          </cell>
        </row>
        <row r="317">
          <cell r="A317">
            <v>44583</v>
          </cell>
          <cell r="B317">
            <v>53600</v>
          </cell>
          <cell r="C317">
            <v>50500</v>
          </cell>
          <cell r="D317">
            <v>51500</v>
          </cell>
          <cell r="E317">
            <v>50700</v>
          </cell>
          <cell r="F317">
            <v>53000</v>
          </cell>
          <cell r="G317" t="str">
            <v>-</v>
          </cell>
          <cell r="H317">
            <v>52000</v>
          </cell>
          <cell r="I317">
            <v>51100</v>
          </cell>
          <cell r="J317">
            <v>52600</v>
          </cell>
          <cell r="K317" t="str">
            <v>-</v>
          </cell>
          <cell r="L317">
            <v>51900</v>
          </cell>
          <cell r="M317">
            <v>53000</v>
          </cell>
          <cell r="N317">
            <v>49000</v>
          </cell>
          <cell r="O317" t="str">
            <v>-</v>
          </cell>
          <cell r="P317">
            <v>48300</v>
          </cell>
          <cell r="Q317">
            <v>48600</v>
          </cell>
          <cell r="R317">
            <v>48500</v>
          </cell>
          <cell r="S317">
            <v>53500</v>
          </cell>
          <cell r="T317">
            <v>51600</v>
          </cell>
          <cell r="U317">
            <v>51100</v>
          </cell>
          <cell r="V317">
            <v>52200</v>
          </cell>
          <cell r="W317">
            <v>54600</v>
          </cell>
        </row>
        <row r="318">
          <cell r="A318">
            <v>44584</v>
          </cell>
          <cell r="B318" t="str">
            <v>H</v>
          </cell>
          <cell r="C318" t="str">
            <v>H</v>
          </cell>
          <cell r="D318" t="str">
            <v>H</v>
          </cell>
          <cell r="E318" t="str">
            <v>H</v>
          </cell>
          <cell r="F318" t="str">
            <v>H</v>
          </cell>
          <cell r="G318" t="str">
            <v>H</v>
          </cell>
          <cell r="H318" t="str">
            <v>H</v>
          </cell>
          <cell r="I318" t="str">
            <v>H</v>
          </cell>
          <cell r="J318" t="str">
            <v>H</v>
          </cell>
          <cell r="K318" t="str">
            <v>H</v>
          </cell>
          <cell r="L318" t="str">
            <v>H</v>
          </cell>
          <cell r="M318" t="str">
            <v>H</v>
          </cell>
          <cell r="N318" t="str">
            <v>H</v>
          </cell>
          <cell r="O318" t="str">
            <v>H</v>
          </cell>
          <cell r="P318" t="str">
            <v>H</v>
          </cell>
          <cell r="Q318" t="str">
            <v>H</v>
          </cell>
          <cell r="R318" t="str">
            <v>H</v>
          </cell>
          <cell r="S318" t="str">
            <v>H</v>
          </cell>
          <cell r="T318" t="str">
            <v>H</v>
          </cell>
          <cell r="U318" t="str">
            <v>H</v>
          </cell>
          <cell r="V318" t="str">
            <v>H</v>
          </cell>
          <cell r="W318" t="str">
            <v>H</v>
          </cell>
        </row>
        <row r="319">
          <cell r="A319">
            <v>44585</v>
          </cell>
          <cell r="B319">
            <v>53900</v>
          </cell>
          <cell r="C319">
            <v>51000</v>
          </cell>
          <cell r="D319">
            <v>51700</v>
          </cell>
          <cell r="E319">
            <v>50700</v>
          </cell>
          <cell r="F319">
            <v>53100</v>
          </cell>
          <cell r="G319" t="str">
            <v>-</v>
          </cell>
          <cell r="H319">
            <v>52000</v>
          </cell>
          <cell r="I319">
            <v>51400</v>
          </cell>
          <cell r="J319">
            <v>52800</v>
          </cell>
          <cell r="K319" t="str">
            <v>-</v>
          </cell>
          <cell r="L319">
            <v>52000</v>
          </cell>
          <cell r="M319">
            <v>53200</v>
          </cell>
          <cell r="N319">
            <v>49400</v>
          </cell>
          <cell r="O319" t="str">
            <v>-</v>
          </cell>
          <cell r="P319">
            <v>49100</v>
          </cell>
          <cell r="Q319">
            <v>49500</v>
          </cell>
          <cell r="R319">
            <v>49100</v>
          </cell>
          <cell r="S319">
            <v>53500</v>
          </cell>
          <cell r="T319">
            <v>52400</v>
          </cell>
          <cell r="U319">
            <v>51600</v>
          </cell>
          <cell r="V319">
            <v>52200</v>
          </cell>
          <cell r="W319">
            <v>54600</v>
          </cell>
        </row>
        <row r="320">
          <cell r="A320">
            <v>44586</v>
          </cell>
          <cell r="B320">
            <v>54200</v>
          </cell>
          <cell r="C320">
            <v>51000</v>
          </cell>
          <cell r="D320">
            <v>52200</v>
          </cell>
          <cell r="E320">
            <v>51000</v>
          </cell>
          <cell r="F320">
            <v>53400</v>
          </cell>
          <cell r="G320" t="str">
            <v>-</v>
          </cell>
          <cell r="H320">
            <v>52500</v>
          </cell>
          <cell r="I320">
            <v>51900</v>
          </cell>
          <cell r="J320">
            <v>53200</v>
          </cell>
          <cell r="K320" t="str">
            <v>-</v>
          </cell>
          <cell r="L320">
            <v>52300</v>
          </cell>
          <cell r="M320">
            <v>53600</v>
          </cell>
          <cell r="N320">
            <v>50000</v>
          </cell>
          <cell r="O320" t="str">
            <v>-</v>
          </cell>
          <cell r="P320">
            <v>49400</v>
          </cell>
          <cell r="Q320">
            <v>49800</v>
          </cell>
          <cell r="R320">
            <v>49500</v>
          </cell>
          <cell r="S320">
            <v>53800</v>
          </cell>
          <cell r="T320">
            <v>52600</v>
          </cell>
          <cell r="U320">
            <v>52100</v>
          </cell>
          <cell r="V320">
            <v>52400</v>
          </cell>
          <cell r="W320">
            <v>54600</v>
          </cell>
        </row>
        <row r="321">
          <cell r="A321">
            <v>44587</v>
          </cell>
          <cell r="B321" t="str">
            <v>H</v>
          </cell>
          <cell r="C321" t="str">
            <v>H</v>
          </cell>
          <cell r="D321" t="str">
            <v>H</v>
          </cell>
          <cell r="E321" t="str">
            <v>H</v>
          </cell>
          <cell r="F321" t="str">
            <v>H</v>
          </cell>
          <cell r="G321" t="str">
            <v>H</v>
          </cell>
          <cell r="H321" t="str">
            <v>H</v>
          </cell>
          <cell r="I321" t="str">
            <v>H</v>
          </cell>
          <cell r="J321" t="str">
            <v>H</v>
          </cell>
          <cell r="K321" t="str">
            <v>H</v>
          </cell>
          <cell r="L321" t="str">
            <v>H</v>
          </cell>
          <cell r="M321" t="str">
            <v>H</v>
          </cell>
          <cell r="N321" t="str">
            <v>H</v>
          </cell>
          <cell r="O321" t="str">
            <v>H</v>
          </cell>
          <cell r="P321" t="str">
            <v>H</v>
          </cell>
          <cell r="Q321" t="str">
            <v>H</v>
          </cell>
          <cell r="R321" t="str">
            <v>H</v>
          </cell>
          <cell r="S321" t="str">
            <v>H</v>
          </cell>
          <cell r="T321" t="str">
            <v>H</v>
          </cell>
          <cell r="U321" t="str">
            <v>H</v>
          </cell>
          <cell r="V321" t="str">
            <v>H</v>
          </cell>
          <cell r="W321" t="str">
            <v>H</v>
          </cell>
        </row>
        <row r="322">
          <cell r="A322">
            <v>44588</v>
          </cell>
          <cell r="B322">
            <v>55200</v>
          </cell>
          <cell r="C322">
            <v>51700</v>
          </cell>
          <cell r="D322">
            <v>52600</v>
          </cell>
          <cell r="E322">
            <v>51500</v>
          </cell>
          <cell r="F322">
            <v>53700</v>
          </cell>
          <cell r="G322" t="str">
            <v>-</v>
          </cell>
          <cell r="H322">
            <v>53500</v>
          </cell>
          <cell r="I322">
            <v>52700</v>
          </cell>
          <cell r="J322">
            <v>53800</v>
          </cell>
          <cell r="K322" t="str">
            <v>-</v>
          </cell>
          <cell r="L322">
            <v>53300</v>
          </cell>
          <cell r="M322">
            <v>54200</v>
          </cell>
          <cell r="N322">
            <v>51000</v>
          </cell>
          <cell r="O322" t="str">
            <v>-</v>
          </cell>
          <cell r="P322">
            <v>50300</v>
          </cell>
          <cell r="Q322">
            <v>50800</v>
          </cell>
          <cell r="R322">
            <v>50400</v>
          </cell>
          <cell r="S322">
            <v>54300</v>
          </cell>
          <cell r="T322">
            <v>53600</v>
          </cell>
          <cell r="U322">
            <v>52800</v>
          </cell>
          <cell r="V322">
            <v>53500</v>
          </cell>
          <cell r="W322">
            <v>55600</v>
          </cell>
        </row>
        <row r="323">
          <cell r="A323">
            <v>44589</v>
          </cell>
          <cell r="B323">
            <v>55400</v>
          </cell>
          <cell r="C323">
            <v>52300</v>
          </cell>
          <cell r="D323">
            <v>52600</v>
          </cell>
          <cell r="E323">
            <v>51500</v>
          </cell>
          <cell r="F323">
            <v>53700</v>
          </cell>
          <cell r="G323" t="str">
            <v>-</v>
          </cell>
          <cell r="H323">
            <v>53500</v>
          </cell>
          <cell r="I323">
            <v>52700</v>
          </cell>
          <cell r="J323">
            <v>53800</v>
          </cell>
          <cell r="K323" t="str">
            <v>-</v>
          </cell>
          <cell r="L323">
            <v>53300</v>
          </cell>
          <cell r="M323">
            <v>54600</v>
          </cell>
          <cell r="N323">
            <v>51000</v>
          </cell>
          <cell r="O323" t="str">
            <v>-</v>
          </cell>
          <cell r="P323">
            <v>50200</v>
          </cell>
          <cell r="Q323">
            <v>50800</v>
          </cell>
          <cell r="R323">
            <v>50400</v>
          </cell>
          <cell r="S323">
            <v>54300</v>
          </cell>
          <cell r="T323">
            <v>53600</v>
          </cell>
          <cell r="U323">
            <v>52800</v>
          </cell>
          <cell r="V323">
            <v>53800</v>
          </cell>
          <cell r="W323">
            <v>56100</v>
          </cell>
        </row>
        <row r="324">
          <cell r="A324">
            <v>44590</v>
          </cell>
          <cell r="B324">
            <v>56000</v>
          </cell>
          <cell r="C324">
            <v>53300</v>
          </cell>
          <cell r="D324">
            <v>53500</v>
          </cell>
          <cell r="E324">
            <v>52000</v>
          </cell>
          <cell r="F324">
            <v>54300</v>
          </cell>
          <cell r="G324" t="str">
            <v>-</v>
          </cell>
          <cell r="H324">
            <v>54500</v>
          </cell>
          <cell r="I324">
            <v>53400</v>
          </cell>
          <cell r="J324">
            <v>55200</v>
          </cell>
          <cell r="K324" t="str">
            <v>-</v>
          </cell>
          <cell r="L324">
            <v>53900</v>
          </cell>
          <cell r="M324">
            <v>55300</v>
          </cell>
          <cell r="N324">
            <v>51500</v>
          </cell>
          <cell r="O324" t="str">
            <v>-</v>
          </cell>
          <cell r="P324">
            <v>51400</v>
          </cell>
          <cell r="Q324">
            <v>51900</v>
          </cell>
          <cell r="R324">
            <v>51700</v>
          </cell>
          <cell r="S324">
            <v>54800</v>
          </cell>
          <cell r="T324">
            <v>54800</v>
          </cell>
          <cell r="U324">
            <v>53300</v>
          </cell>
          <cell r="V324">
            <v>54700</v>
          </cell>
          <cell r="W324">
            <v>56800</v>
          </cell>
        </row>
        <row r="325">
          <cell r="A325">
            <v>44591</v>
          </cell>
          <cell r="B325" t="str">
            <v>H</v>
          </cell>
          <cell r="C325" t="str">
            <v>H</v>
          </cell>
          <cell r="D325" t="str">
            <v>H</v>
          </cell>
          <cell r="E325" t="str">
            <v>H</v>
          </cell>
          <cell r="F325" t="str">
            <v>H</v>
          </cell>
          <cell r="G325" t="str">
            <v>H</v>
          </cell>
          <cell r="H325" t="str">
            <v>H</v>
          </cell>
          <cell r="I325" t="str">
            <v>H</v>
          </cell>
          <cell r="J325" t="str">
            <v>H</v>
          </cell>
          <cell r="K325" t="str">
            <v>H</v>
          </cell>
          <cell r="L325" t="str">
            <v>H</v>
          </cell>
          <cell r="M325" t="str">
            <v>H</v>
          </cell>
          <cell r="N325" t="str">
            <v>H</v>
          </cell>
          <cell r="O325" t="str">
            <v>H</v>
          </cell>
          <cell r="P325" t="str">
            <v>H</v>
          </cell>
          <cell r="Q325" t="str">
            <v>H</v>
          </cell>
          <cell r="R325" t="str">
            <v>H</v>
          </cell>
          <cell r="S325" t="str">
            <v>H</v>
          </cell>
          <cell r="T325" t="str">
            <v>H</v>
          </cell>
          <cell r="U325" t="str">
            <v>H</v>
          </cell>
          <cell r="V325" t="str">
            <v>H</v>
          </cell>
          <cell r="W325" t="str">
            <v>H</v>
          </cell>
        </row>
        <row r="326">
          <cell r="A326">
            <v>44592</v>
          </cell>
          <cell r="B326">
            <v>56000</v>
          </cell>
          <cell r="C326">
            <v>53500</v>
          </cell>
          <cell r="D326">
            <v>54000</v>
          </cell>
          <cell r="E326">
            <v>51800</v>
          </cell>
          <cell r="F326">
            <v>54300</v>
          </cell>
          <cell r="G326" t="str">
            <v>-</v>
          </cell>
          <cell r="H326">
            <v>55000</v>
          </cell>
          <cell r="I326">
            <v>53200</v>
          </cell>
          <cell r="J326">
            <v>55200</v>
          </cell>
          <cell r="K326" t="str">
            <v>-</v>
          </cell>
          <cell r="L326">
            <v>53800</v>
          </cell>
          <cell r="M326">
            <v>55800</v>
          </cell>
          <cell r="N326">
            <v>51800</v>
          </cell>
          <cell r="O326" t="str">
            <v>-</v>
          </cell>
          <cell r="P326">
            <v>51200</v>
          </cell>
          <cell r="Q326">
            <v>51800</v>
          </cell>
          <cell r="R326">
            <v>51700</v>
          </cell>
          <cell r="S326">
            <v>54600</v>
          </cell>
          <cell r="T326">
            <v>54800</v>
          </cell>
          <cell r="U326">
            <v>53300</v>
          </cell>
          <cell r="V326">
            <v>54900</v>
          </cell>
          <cell r="W326">
            <v>57100</v>
          </cell>
        </row>
        <row r="327">
          <cell r="A327">
            <v>44593</v>
          </cell>
          <cell r="B327">
            <v>56100</v>
          </cell>
          <cell r="C327">
            <v>54000</v>
          </cell>
          <cell r="D327">
            <v>54200</v>
          </cell>
          <cell r="E327">
            <v>52100</v>
          </cell>
          <cell r="F327">
            <v>55100</v>
          </cell>
          <cell r="G327" t="str">
            <v>-</v>
          </cell>
          <cell r="H327">
            <v>54500</v>
          </cell>
          <cell r="I327">
            <v>53200</v>
          </cell>
          <cell r="J327">
            <v>55200</v>
          </cell>
          <cell r="K327" t="str">
            <v>-</v>
          </cell>
          <cell r="L327">
            <v>53600</v>
          </cell>
          <cell r="M327">
            <v>55900</v>
          </cell>
          <cell r="N327">
            <v>52000</v>
          </cell>
          <cell r="O327" t="str">
            <v>-</v>
          </cell>
          <cell r="P327">
            <v>50800</v>
          </cell>
          <cell r="Q327">
            <v>51200</v>
          </cell>
          <cell r="R327">
            <v>51200</v>
          </cell>
          <cell r="S327">
            <v>54900</v>
          </cell>
          <cell r="T327">
            <v>54300</v>
          </cell>
          <cell r="U327">
            <v>53300</v>
          </cell>
          <cell r="V327">
            <v>54900</v>
          </cell>
          <cell r="W327">
            <v>57100</v>
          </cell>
        </row>
        <row r="328">
          <cell r="A328">
            <v>44594</v>
          </cell>
          <cell r="B328">
            <v>56600</v>
          </cell>
          <cell r="C328">
            <v>54000</v>
          </cell>
          <cell r="D328">
            <v>54500</v>
          </cell>
          <cell r="E328">
            <v>52500</v>
          </cell>
          <cell r="F328">
            <v>55100</v>
          </cell>
          <cell r="G328" t="str">
            <v>-</v>
          </cell>
          <cell r="H328">
            <v>55000</v>
          </cell>
          <cell r="I328">
            <v>53300</v>
          </cell>
          <cell r="J328">
            <v>55200</v>
          </cell>
          <cell r="K328" t="str">
            <v>-</v>
          </cell>
          <cell r="L328">
            <v>54100</v>
          </cell>
          <cell r="M328">
            <v>55900</v>
          </cell>
          <cell r="N328">
            <v>52300</v>
          </cell>
          <cell r="O328" t="str">
            <v>-</v>
          </cell>
          <cell r="P328">
            <v>51200</v>
          </cell>
          <cell r="Q328">
            <v>51500</v>
          </cell>
          <cell r="R328">
            <v>51600</v>
          </cell>
          <cell r="S328">
            <v>55300</v>
          </cell>
          <cell r="T328">
            <v>54500</v>
          </cell>
          <cell r="U328">
            <v>53500</v>
          </cell>
          <cell r="V328">
            <v>54900</v>
          </cell>
          <cell r="W328">
            <v>57100</v>
          </cell>
        </row>
        <row r="329">
          <cell r="A329">
            <v>44595</v>
          </cell>
          <cell r="B329">
            <v>56600</v>
          </cell>
          <cell r="C329">
            <v>54000</v>
          </cell>
          <cell r="D329">
            <v>54700</v>
          </cell>
          <cell r="E329">
            <v>52500</v>
          </cell>
          <cell r="F329">
            <v>55000</v>
          </cell>
          <cell r="G329" t="str">
            <v>-</v>
          </cell>
          <cell r="H329">
            <v>54500</v>
          </cell>
          <cell r="I329">
            <v>53300</v>
          </cell>
          <cell r="J329">
            <v>55400</v>
          </cell>
          <cell r="K329" t="str">
            <v>-</v>
          </cell>
          <cell r="L329">
            <v>54000</v>
          </cell>
          <cell r="M329">
            <v>56100</v>
          </cell>
          <cell r="N329">
            <v>52300</v>
          </cell>
          <cell r="O329" t="str">
            <v>-</v>
          </cell>
          <cell r="P329">
            <v>51000</v>
          </cell>
          <cell r="Q329">
            <v>51300</v>
          </cell>
          <cell r="R329">
            <v>51300</v>
          </cell>
          <cell r="S329">
            <v>55300</v>
          </cell>
          <cell r="T329">
            <v>54500</v>
          </cell>
          <cell r="U329">
            <v>53800</v>
          </cell>
          <cell r="V329">
            <v>54900</v>
          </cell>
          <cell r="W329">
            <v>57100</v>
          </cell>
        </row>
        <row r="330">
          <cell r="A330">
            <v>44596</v>
          </cell>
          <cell r="B330">
            <v>56700</v>
          </cell>
          <cell r="C330">
            <v>54000</v>
          </cell>
          <cell r="D330">
            <v>54700</v>
          </cell>
          <cell r="E330">
            <v>52500</v>
          </cell>
          <cell r="F330">
            <v>54900</v>
          </cell>
          <cell r="G330" t="str">
            <v>-</v>
          </cell>
          <cell r="H330">
            <v>54500</v>
          </cell>
          <cell r="I330">
            <v>53900</v>
          </cell>
          <cell r="J330">
            <v>55400</v>
          </cell>
          <cell r="K330" t="str">
            <v>-</v>
          </cell>
          <cell r="L330">
            <v>54400</v>
          </cell>
          <cell r="M330">
            <v>56400</v>
          </cell>
          <cell r="N330">
            <v>52500</v>
          </cell>
          <cell r="O330" t="str">
            <v>-</v>
          </cell>
          <cell r="P330">
            <v>51400</v>
          </cell>
          <cell r="Q330">
            <v>51800</v>
          </cell>
          <cell r="R330">
            <v>51700</v>
          </cell>
          <cell r="S330">
            <v>55300</v>
          </cell>
          <cell r="T330">
            <v>54700</v>
          </cell>
          <cell r="U330">
            <v>53800</v>
          </cell>
          <cell r="V330">
            <v>54900</v>
          </cell>
          <cell r="W330">
            <v>57100</v>
          </cell>
        </row>
        <row r="331">
          <cell r="A331">
            <v>44597</v>
          </cell>
          <cell r="B331">
            <v>57100</v>
          </cell>
          <cell r="C331">
            <v>54000</v>
          </cell>
          <cell r="D331">
            <v>55200</v>
          </cell>
          <cell r="E331">
            <v>52800</v>
          </cell>
          <cell r="F331">
            <v>54900</v>
          </cell>
          <cell r="G331" t="str">
            <v>-</v>
          </cell>
          <cell r="H331">
            <v>54500</v>
          </cell>
          <cell r="I331">
            <v>54400</v>
          </cell>
          <cell r="J331">
            <v>55400</v>
          </cell>
          <cell r="K331" t="str">
            <v>-</v>
          </cell>
          <cell r="L331">
            <v>54500</v>
          </cell>
          <cell r="M331">
            <v>56500</v>
          </cell>
          <cell r="N331">
            <v>52800</v>
          </cell>
          <cell r="O331" t="str">
            <v>-</v>
          </cell>
          <cell r="P331">
            <v>51200</v>
          </cell>
          <cell r="Q331">
            <v>51800</v>
          </cell>
          <cell r="R331">
            <v>51700</v>
          </cell>
          <cell r="S331">
            <v>55600</v>
          </cell>
          <cell r="T331">
            <v>54700</v>
          </cell>
          <cell r="U331">
            <v>53800</v>
          </cell>
          <cell r="V331">
            <v>54900</v>
          </cell>
          <cell r="W331">
            <v>57100</v>
          </cell>
        </row>
        <row r="332">
          <cell r="A332">
            <v>44598</v>
          </cell>
          <cell r="B332" t="str">
            <v>H</v>
          </cell>
          <cell r="C332" t="str">
            <v>H</v>
          </cell>
          <cell r="D332" t="str">
            <v>H</v>
          </cell>
          <cell r="E332" t="str">
            <v>H</v>
          </cell>
          <cell r="F332" t="str">
            <v>H</v>
          </cell>
          <cell r="G332" t="str">
            <v>H</v>
          </cell>
          <cell r="H332" t="str">
            <v>H</v>
          </cell>
          <cell r="I332" t="str">
            <v>H</v>
          </cell>
          <cell r="J332" t="str">
            <v>H</v>
          </cell>
          <cell r="K332" t="str">
            <v>H</v>
          </cell>
          <cell r="L332" t="str">
            <v>H</v>
          </cell>
          <cell r="M332" t="str">
            <v>H</v>
          </cell>
          <cell r="N332" t="str">
            <v>H</v>
          </cell>
          <cell r="O332" t="str">
            <v>H</v>
          </cell>
          <cell r="P332" t="str">
            <v>H</v>
          </cell>
          <cell r="Q332" t="str">
            <v>H</v>
          </cell>
          <cell r="R332" t="str">
            <v>H</v>
          </cell>
          <cell r="S332" t="str">
            <v>H</v>
          </cell>
          <cell r="T332" t="str">
            <v>H</v>
          </cell>
          <cell r="U332" t="str">
            <v>H</v>
          </cell>
          <cell r="V332" t="str">
            <v>H</v>
          </cell>
          <cell r="W332" t="str">
            <v>H</v>
          </cell>
        </row>
        <row r="333">
          <cell r="A333">
            <v>44599</v>
          </cell>
          <cell r="B333">
            <v>56700</v>
          </cell>
          <cell r="C333">
            <v>54200</v>
          </cell>
          <cell r="D333">
            <v>55200</v>
          </cell>
          <cell r="E333">
            <v>52800</v>
          </cell>
          <cell r="F333">
            <v>54800</v>
          </cell>
          <cell r="G333" t="str">
            <v>-</v>
          </cell>
          <cell r="H333">
            <v>54500</v>
          </cell>
          <cell r="I333">
            <v>54400</v>
          </cell>
          <cell r="J333">
            <v>55400</v>
          </cell>
          <cell r="K333" t="str">
            <v>-</v>
          </cell>
          <cell r="L333">
            <v>54900</v>
          </cell>
          <cell r="M333">
            <v>56500</v>
          </cell>
          <cell r="N333">
            <v>52600</v>
          </cell>
          <cell r="O333" t="str">
            <v>-</v>
          </cell>
          <cell r="P333">
            <v>51200</v>
          </cell>
          <cell r="Q333">
            <v>51700</v>
          </cell>
          <cell r="R333">
            <v>51400</v>
          </cell>
          <cell r="S333">
            <v>55600</v>
          </cell>
          <cell r="T333">
            <v>54700</v>
          </cell>
          <cell r="U333">
            <v>53600</v>
          </cell>
          <cell r="V333">
            <v>54900</v>
          </cell>
          <cell r="W333">
            <v>57100</v>
          </cell>
        </row>
        <row r="334">
          <cell r="A334">
            <v>44600</v>
          </cell>
          <cell r="B334">
            <v>56500</v>
          </cell>
          <cell r="C334">
            <v>54000</v>
          </cell>
          <cell r="D334">
            <v>55500</v>
          </cell>
          <cell r="E334">
            <v>52500</v>
          </cell>
          <cell r="F334">
            <v>54600</v>
          </cell>
          <cell r="G334" t="str">
            <v>-</v>
          </cell>
          <cell r="H334">
            <v>54500</v>
          </cell>
          <cell r="I334">
            <v>54500</v>
          </cell>
          <cell r="J334">
            <v>55400</v>
          </cell>
          <cell r="K334" t="str">
            <v>-</v>
          </cell>
          <cell r="L334">
            <v>55000</v>
          </cell>
          <cell r="M334">
            <v>56500</v>
          </cell>
          <cell r="N334">
            <v>52400</v>
          </cell>
          <cell r="O334" t="str">
            <v>-</v>
          </cell>
          <cell r="P334">
            <v>51400</v>
          </cell>
          <cell r="Q334">
            <v>52000</v>
          </cell>
          <cell r="R334">
            <v>51400</v>
          </cell>
          <cell r="S334">
            <v>55300</v>
          </cell>
          <cell r="T334">
            <v>54800</v>
          </cell>
          <cell r="U334">
            <v>53600</v>
          </cell>
          <cell r="V334">
            <v>54800</v>
          </cell>
          <cell r="W334">
            <v>56900</v>
          </cell>
        </row>
        <row r="335">
          <cell r="A335">
            <v>44601</v>
          </cell>
          <cell r="B335">
            <v>56500</v>
          </cell>
          <cell r="C335">
            <v>54000</v>
          </cell>
          <cell r="D335">
            <v>55200</v>
          </cell>
          <cell r="E335">
            <v>52200</v>
          </cell>
          <cell r="F335">
            <v>54400</v>
          </cell>
          <cell r="G335" t="str">
            <v>-</v>
          </cell>
          <cell r="H335">
            <v>54500</v>
          </cell>
          <cell r="I335">
            <v>54200</v>
          </cell>
          <cell r="J335">
            <v>55400</v>
          </cell>
          <cell r="K335" t="str">
            <v>-</v>
          </cell>
          <cell r="L335">
            <v>54500</v>
          </cell>
          <cell r="M335">
            <v>56500</v>
          </cell>
          <cell r="N335">
            <v>52600</v>
          </cell>
          <cell r="O335" t="str">
            <v>-</v>
          </cell>
          <cell r="P335">
            <v>50800</v>
          </cell>
          <cell r="Q335">
            <v>51900</v>
          </cell>
          <cell r="R335">
            <v>51200</v>
          </cell>
          <cell r="S335">
            <v>55100</v>
          </cell>
          <cell r="T335">
            <v>54800</v>
          </cell>
          <cell r="U335">
            <v>53500</v>
          </cell>
          <cell r="V335">
            <v>54600</v>
          </cell>
          <cell r="W335">
            <v>56900</v>
          </cell>
        </row>
        <row r="336">
          <cell r="A336">
            <v>44602</v>
          </cell>
          <cell r="B336">
            <v>56000</v>
          </cell>
          <cell r="C336">
            <v>54000</v>
          </cell>
          <cell r="D336">
            <v>55000</v>
          </cell>
          <cell r="E336">
            <v>51800</v>
          </cell>
          <cell r="F336">
            <v>54400</v>
          </cell>
          <cell r="G336" t="str">
            <v>-</v>
          </cell>
          <cell r="H336">
            <v>54000</v>
          </cell>
          <cell r="I336">
            <v>53900</v>
          </cell>
          <cell r="J336">
            <v>55300</v>
          </cell>
          <cell r="K336" t="str">
            <v>-</v>
          </cell>
          <cell r="L336">
            <v>54300</v>
          </cell>
          <cell r="M336">
            <v>56500</v>
          </cell>
          <cell r="N336">
            <v>52200</v>
          </cell>
          <cell r="O336" t="str">
            <v>-</v>
          </cell>
          <cell r="P336">
            <v>51000</v>
          </cell>
          <cell r="Q336">
            <v>51600</v>
          </cell>
          <cell r="R336">
            <v>51100</v>
          </cell>
          <cell r="S336">
            <v>54700</v>
          </cell>
          <cell r="T336">
            <v>54400</v>
          </cell>
          <cell r="U336">
            <v>53800</v>
          </cell>
          <cell r="V336">
            <v>54600</v>
          </cell>
          <cell r="W336">
            <v>56900</v>
          </cell>
        </row>
        <row r="337">
          <cell r="A337">
            <v>44603</v>
          </cell>
          <cell r="B337">
            <v>55600</v>
          </cell>
          <cell r="C337">
            <v>53800</v>
          </cell>
          <cell r="D337">
            <v>54500</v>
          </cell>
          <cell r="E337">
            <v>51500</v>
          </cell>
          <cell r="F337">
            <v>54200</v>
          </cell>
          <cell r="G337" t="str">
            <v>-</v>
          </cell>
          <cell r="H337">
            <v>54000</v>
          </cell>
          <cell r="I337">
            <v>53500</v>
          </cell>
          <cell r="J337">
            <v>55200</v>
          </cell>
          <cell r="K337" t="str">
            <v>-</v>
          </cell>
          <cell r="L337">
            <v>53900</v>
          </cell>
          <cell r="M337">
            <v>56400</v>
          </cell>
          <cell r="N337">
            <v>51700</v>
          </cell>
          <cell r="O337" t="str">
            <v>-</v>
          </cell>
          <cell r="P337">
            <v>50600</v>
          </cell>
          <cell r="Q337">
            <v>51300</v>
          </cell>
          <cell r="R337">
            <v>51000</v>
          </cell>
          <cell r="S337">
            <v>54400</v>
          </cell>
          <cell r="T337">
            <v>53800</v>
          </cell>
          <cell r="U337">
            <v>53800</v>
          </cell>
          <cell r="V337">
            <v>54100</v>
          </cell>
          <cell r="W337">
            <v>56500</v>
          </cell>
        </row>
        <row r="338">
          <cell r="A338">
            <v>44604</v>
          </cell>
          <cell r="B338">
            <v>55400</v>
          </cell>
          <cell r="C338">
            <v>53500</v>
          </cell>
          <cell r="D338">
            <v>54200</v>
          </cell>
          <cell r="E338">
            <v>51200</v>
          </cell>
          <cell r="F338">
            <v>54200</v>
          </cell>
          <cell r="G338" t="str">
            <v>-</v>
          </cell>
          <cell r="H338">
            <v>53500</v>
          </cell>
          <cell r="I338">
            <v>53300</v>
          </cell>
          <cell r="J338">
            <v>55200</v>
          </cell>
          <cell r="K338" t="str">
            <v>-</v>
          </cell>
          <cell r="L338">
            <v>53800</v>
          </cell>
          <cell r="M338">
            <v>56100</v>
          </cell>
          <cell r="N338">
            <v>51500</v>
          </cell>
          <cell r="O338" t="str">
            <v>-</v>
          </cell>
          <cell r="P338">
            <v>50300</v>
          </cell>
          <cell r="Q338">
            <v>51200</v>
          </cell>
          <cell r="R338">
            <v>50800</v>
          </cell>
          <cell r="S338">
            <v>54100</v>
          </cell>
          <cell r="T338">
            <v>53800</v>
          </cell>
          <cell r="U338">
            <v>53800</v>
          </cell>
          <cell r="V338">
            <v>53900</v>
          </cell>
          <cell r="W338">
            <v>56100</v>
          </cell>
        </row>
        <row r="339">
          <cell r="A339">
            <v>44605</v>
          </cell>
          <cell r="B339" t="str">
            <v>H</v>
          </cell>
          <cell r="C339" t="str">
            <v>H</v>
          </cell>
          <cell r="D339" t="str">
            <v>H</v>
          </cell>
          <cell r="E339" t="str">
            <v>H</v>
          </cell>
          <cell r="F339" t="str">
            <v>H</v>
          </cell>
          <cell r="G339" t="str">
            <v>H</v>
          </cell>
          <cell r="H339" t="str">
            <v>H</v>
          </cell>
          <cell r="I339" t="str">
            <v>H</v>
          </cell>
          <cell r="J339" t="str">
            <v>H</v>
          </cell>
          <cell r="K339" t="str">
            <v>H</v>
          </cell>
          <cell r="L339" t="str">
            <v>H</v>
          </cell>
          <cell r="M339" t="str">
            <v>H</v>
          </cell>
          <cell r="N339" t="str">
            <v>H</v>
          </cell>
          <cell r="O339" t="str">
            <v>H</v>
          </cell>
          <cell r="P339" t="str">
            <v>H</v>
          </cell>
          <cell r="Q339" t="str">
            <v>H</v>
          </cell>
          <cell r="R339" t="str">
            <v>H</v>
          </cell>
          <cell r="S339" t="str">
            <v>H</v>
          </cell>
          <cell r="T339" t="str">
            <v>H</v>
          </cell>
          <cell r="U339" t="str">
            <v>H</v>
          </cell>
          <cell r="V339" t="str">
            <v>H</v>
          </cell>
          <cell r="W339" t="str">
            <v>H</v>
          </cell>
        </row>
        <row r="340">
          <cell r="A340">
            <v>44606</v>
          </cell>
          <cell r="B340">
            <v>55400</v>
          </cell>
          <cell r="C340">
            <v>53500</v>
          </cell>
          <cell r="D340">
            <v>53800</v>
          </cell>
          <cell r="E340">
            <v>51200</v>
          </cell>
          <cell r="F340">
            <v>53800</v>
          </cell>
          <cell r="G340" t="str">
            <v>-</v>
          </cell>
          <cell r="H340">
            <v>54000</v>
          </cell>
          <cell r="I340">
            <v>53000</v>
          </cell>
          <cell r="J340">
            <v>55200</v>
          </cell>
          <cell r="K340" t="str">
            <v>-</v>
          </cell>
          <cell r="L340">
            <v>53800</v>
          </cell>
          <cell r="M340">
            <v>55900</v>
          </cell>
          <cell r="N340">
            <v>51700</v>
          </cell>
          <cell r="O340" t="str">
            <v>-</v>
          </cell>
          <cell r="P340">
            <v>50800</v>
          </cell>
          <cell r="Q340">
            <v>51300</v>
          </cell>
          <cell r="R340">
            <v>51000</v>
          </cell>
          <cell r="S340">
            <v>54100</v>
          </cell>
          <cell r="T340">
            <v>53900</v>
          </cell>
          <cell r="U340">
            <v>53800</v>
          </cell>
          <cell r="V340">
            <v>53400</v>
          </cell>
          <cell r="W340">
            <v>55600</v>
          </cell>
        </row>
        <row r="341">
          <cell r="A341">
            <v>44607</v>
          </cell>
          <cell r="B341">
            <v>55500</v>
          </cell>
          <cell r="C341">
            <v>53300</v>
          </cell>
          <cell r="D341">
            <v>53600</v>
          </cell>
          <cell r="E341">
            <v>51100</v>
          </cell>
          <cell r="F341">
            <v>53700</v>
          </cell>
          <cell r="G341" t="str">
            <v>-</v>
          </cell>
          <cell r="H341">
            <v>54000</v>
          </cell>
          <cell r="I341">
            <v>52900</v>
          </cell>
          <cell r="J341">
            <v>55200</v>
          </cell>
          <cell r="K341" t="str">
            <v>-</v>
          </cell>
          <cell r="L341">
            <v>53400</v>
          </cell>
          <cell r="M341">
            <v>55900</v>
          </cell>
          <cell r="N341">
            <v>51000</v>
          </cell>
          <cell r="O341" t="str">
            <v>-</v>
          </cell>
          <cell r="P341">
            <v>50800</v>
          </cell>
          <cell r="Q341">
            <v>51400</v>
          </cell>
          <cell r="R341">
            <v>50800</v>
          </cell>
          <cell r="S341">
            <v>54100</v>
          </cell>
          <cell r="T341">
            <v>53900</v>
          </cell>
          <cell r="U341">
            <v>53300</v>
          </cell>
          <cell r="V341">
            <v>53400</v>
          </cell>
          <cell r="W341">
            <v>55600</v>
          </cell>
        </row>
        <row r="342">
          <cell r="A342">
            <v>44608</v>
          </cell>
          <cell r="B342">
            <v>55900</v>
          </cell>
          <cell r="C342">
            <v>53200</v>
          </cell>
          <cell r="D342">
            <v>54000</v>
          </cell>
          <cell r="E342">
            <v>51300</v>
          </cell>
          <cell r="F342">
            <v>54200</v>
          </cell>
          <cell r="G342" t="str">
            <v>-</v>
          </cell>
          <cell r="H342">
            <v>55000</v>
          </cell>
          <cell r="I342">
            <v>53100</v>
          </cell>
          <cell r="J342">
            <v>55500</v>
          </cell>
          <cell r="K342" t="str">
            <v>-</v>
          </cell>
          <cell r="L342">
            <v>53600</v>
          </cell>
          <cell r="M342">
            <v>56100</v>
          </cell>
          <cell r="N342">
            <v>51500</v>
          </cell>
          <cell r="O342" t="str">
            <v>-</v>
          </cell>
          <cell r="P342">
            <v>51700</v>
          </cell>
          <cell r="Q342">
            <v>52500</v>
          </cell>
          <cell r="R342">
            <v>51700</v>
          </cell>
          <cell r="S342">
            <v>54100</v>
          </cell>
          <cell r="T342">
            <v>54600</v>
          </cell>
          <cell r="U342">
            <v>53300</v>
          </cell>
          <cell r="V342">
            <v>53400</v>
          </cell>
          <cell r="W342">
            <v>55600</v>
          </cell>
        </row>
        <row r="343">
          <cell r="A343">
            <v>44609</v>
          </cell>
          <cell r="B343">
            <v>56200</v>
          </cell>
          <cell r="C343">
            <v>54000</v>
          </cell>
          <cell r="D343">
            <v>54500</v>
          </cell>
          <cell r="E343">
            <v>52000</v>
          </cell>
          <cell r="F343">
            <v>55000</v>
          </cell>
          <cell r="G343" t="str">
            <v>-</v>
          </cell>
          <cell r="H343">
            <v>55000</v>
          </cell>
          <cell r="I343">
            <v>53800</v>
          </cell>
          <cell r="J343">
            <v>56300</v>
          </cell>
          <cell r="K343" t="str">
            <v>-</v>
          </cell>
          <cell r="L343">
            <v>54100</v>
          </cell>
          <cell r="M343">
            <v>56500</v>
          </cell>
          <cell r="N343">
            <v>52400</v>
          </cell>
          <cell r="O343" t="str">
            <v>-</v>
          </cell>
          <cell r="P343">
            <v>52000</v>
          </cell>
          <cell r="Q343">
            <v>52800</v>
          </cell>
          <cell r="R343">
            <v>52200</v>
          </cell>
          <cell r="S343">
            <v>54800</v>
          </cell>
          <cell r="T343">
            <v>55200</v>
          </cell>
          <cell r="U343">
            <v>53800</v>
          </cell>
          <cell r="V343">
            <v>54600</v>
          </cell>
          <cell r="W343">
            <v>56700</v>
          </cell>
        </row>
        <row r="344">
          <cell r="A344">
            <v>44610</v>
          </cell>
          <cell r="B344">
            <v>56200</v>
          </cell>
          <cell r="C344">
            <v>54000</v>
          </cell>
          <cell r="D344">
            <v>54500</v>
          </cell>
          <cell r="E344">
            <v>52500</v>
          </cell>
          <cell r="F344">
            <v>55100</v>
          </cell>
          <cell r="G344" t="str">
            <v>-</v>
          </cell>
          <cell r="H344">
            <v>55000</v>
          </cell>
          <cell r="I344">
            <v>53700</v>
          </cell>
          <cell r="J344">
            <v>56300</v>
          </cell>
          <cell r="K344" t="str">
            <v>-</v>
          </cell>
          <cell r="L344">
            <v>54100</v>
          </cell>
          <cell r="M344">
            <v>56500</v>
          </cell>
          <cell r="N344">
            <v>52000</v>
          </cell>
          <cell r="O344" t="str">
            <v>-</v>
          </cell>
          <cell r="P344">
            <v>52000</v>
          </cell>
          <cell r="Q344">
            <v>52800</v>
          </cell>
          <cell r="R344">
            <v>52300</v>
          </cell>
          <cell r="S344">
            <v>55300</v>
          </cell>
          <cell r="T344">
            <v>55200</v>
          </cell>
          <cell r="U344">
            <v>53800</v>
          </cell>
          <cell r="V344">
            <v>54600</v>
          </cell>
          <cell r="W344">
            <v>56900</v>
          </cell>
        </row>
        <row r="345">
          <cell r="A345">
            <v>44611</v>
          </cell>
          <cell r="B345">
            <v>56500</v>
          </cell>
          <cell r="C345">
            <v>54000</v>
          </cell>
          <cell r="D345">
            <v>54500</v>
          </cell>
          <cell r="E345">
            <v>53200</v>
          </cell>
          <cell r="F345">
            <v>55100</v>
          </cell>
          <cell r="G345" t="str">
            <v>-</v>
          </cell>
          <cell r="H345">
            <v>55500</v>
          </cell>
          <cell r="I345">
            <v>54500</v>
          </cell>
          <cell r="J345">
            <v>56300</v>
          </cell>
          <cell r="K345" t="str">
            <v>-</v>
          </cell>
          <cell r="L345">
            <v>54700</v>
          </cell>
          <cell r="M345">
            <v>56500</v>
          </cell>
          <cell r="N345">
            <v>52400</v>
          </cell>
          <cell r="O345" t="str">
            <v>-</v>
          </cell>
          <cell r="P345">
            <v>52500</v>
          </cell>
          <cell r="Q345">
            <v>53100</v>
          </cell>
          <cell r="R345">
            <v>52700</v>
          </cell>
          <cell r="S345">
            <v>55500</v>
          </cell>
          <cell r="T345">
            <v>55400</v>
          </cell>
          <cell r="U345">
            <v>54100</v>
          </cell>
          <cell r="V345">
            <v>54700</v>
          </cell>
          <cell r="W345">
            <v>56900</v>
          </cell>
        </row>
        <row r="346">
          <cell r="A346">
            <v>44612</v>
          </cell>
          <cell r="B346" t="str">
            <v>H</v>
          </cell>
          <cell r="C346" t="str">
            <v>H</v>
          </cell>
          <cell r="D346" t="str">
            <v>H</v>
          </cell>
          <cell r="E346" t="str">
            <v>H</v>
          </cell>
          <cell r="F346" t="str">
            <v>H</v>
          </cell>
          <cell r="G346" t="str">
            <v>H</v>
          </cell>
          <cell r="H346" t="str">
            <v>H</v>
          </cell>
          <cell r="I346" t="str">
            <v>H</v>
          </cell>
          <cell r="J346" t="str">
            <v>H</v>
          </cell>
          <cell r="K346" t="str">
            <v>H</v>
          </cell>
          <cell r="L346" t="str">
            <v>H</v>
          </cell>
          <cell r="M346" t="str">
            <v>H</v>
          </cell>
          <cell r="N346" t="str">
            <v>H</v>
          </cell>
          <cell r="O346" t="str">
            <v>H</v>
          </cell>
          <cell r="P346" t="str">
            <v>H</v>
          </cell>
          <cell r="Q346" t="str">
            <v>H</v>
          </cell>
          <cell r="R346" t="str">
            <v>H</v>
          </cell>
          <cell r="S346" t="str">
            <v>H</v>
          </cell>
          <cell r="T346" t="str">
            <v>H</v>
          </cell>
          <cell r="U346" t="str">
            <v>H</v>
          </cell>
          <cell r="V346" t="str">
            <v>H</v>
          </cell>
          <cell r="W346" t="str">
            <v>H</v>
          </cell>
        </row>
        <row r="347">
          <cell r="A347">
            <v>44613</v>
          </cell>
          <cell r="B347">
            <v>56800</v>
          </cell>
          <cell r="C347">
            <v>54500</v>
          </cell>
          <cell r="D347">
            <v>54700</v>
          </cell>
          <cell r="E347">
            <v>53500</v>
          </cell>
          <cell r="F347">
            <v>55100</v>
          </cell>
          <cell r="G347" t="str">
            <v>-</v>
          </cell>
          <cell r="H347">
            <v>55500</v>
          </cell>
          <cell r="I347">
            <v>54500</v>
          </cell>
          <cell r="J347">
            <v>56300</v>
          </cell>
          <cell r="K347" t="str">
            <v>-</v>
          </cell>
          <cell r="L347">
            <v>55000</v>
          </cell>
          <cell r="M347">
            <v>56500</v>
          </cell>
          <cell r="N347">
            <v>53000</v>
          </cell>
          <cell r="O347" t="str">
            <v>-</v>
          </cell>
          <cell r="P347">
            <v>52300</v>
          </cell>
          <cell r="Q347">
            <v>53000</v>
          </cell>
          <cell r="R347">
            <v>52700</v>
          </cell>
          <cell r="S347">
            <v>55800</v>
          </cell>
          <cell r="T347">
            <v>55400</v>
          </cell>
          <cell r="U347">
            <v>54300</v>
          </cell>
          <cell r="V347">
            <v>54800</v>
          </cell>
          <cell r="W347">
            <v>56900</v>
          </cell>
        </row>
        <row r="348">
          <cell r="A348">
            <v>44614</v>
          </cell>
          <cell r="B348">
            <v>57000</v>
          </cell>
          <cell r="C348">
            <v>54800</v>
          </cell>
          <cell r="D348">
            <v>55700</v>
          </cell>
          <cell r="E348">
            <v>53100</v>
          </cell>
          <cell r="F348">
            <v>55100</v>
          </cell>
          <cell r="G348" t="str">
            <v>-</v>
          </cell>
          <cell r="H348">
            <v>55500</v>
          </cell>
          <cell r="I348">
            <v>54900</v>
          </cell>
          <cell r="J348">
            <v>56700</v>
          </cell>
          <cell r="K348" t="str">
            <v>-</v>
          </cell>
          <cell r="L348">
            <v>55200</v>
          </cell>
          <cell r="M348">
            <v>56900</v>
          </cell>
          <cell r="N348">
            <v>53500</v>
          </cell>
          <cell r="O348" t="str">
            <v>-</v>
          </cell>
          <cell r="P348">
            <v>52500</v>
          </cell>
          <cell r="Q348">
            <v>52900</v>
          </cell>
          <cell r="R348">
            <v>53000</v>
          </cell>
          <cell r="S348">
            <v>55800</v>
          </cell>
          <cell r="T348">
            <v>55400</v>
          </cell>
          <cell r="U348">
            <v>54300</v>
          </cell>
          <cell r="V348">
            <v>55100</v>
          </cell>
          <cell r="W348">
            <v>57200</v>
          </cell>
        </row>
        <row r="349">
          <cell r="A349">
            <v>44615</v>
          </cell>
          <cell r="B349">
            <v>57700</v>
          </cell>
          <cell r="C349">
            <v>55000</v>
          </cell>
          <cell r="D349">
            <v>56200</v>
          </cell>
          <cell r="E349">
            <v>53000</v>
          </cell>
          <cell r="F349">
            <v>55500</v>
          </cell>
          <cell r="G349" t="str">
            <v>-</v>
          </cell>
          <cell r="H349">
            <v>55500</v>
          </cell>
          <cell r="I349">
            <v>54900</v>
          </cell>
          <cell r="J349">
            <v>57300</v>
          </cell>
          <cell r="K349" t="str">
            <v>-</v>
          </cell>
          <cell r="L349">
            <v>55300</v>
          </cell>
          <cell r="M349">
            <v>57100</v>
          </cell>
          <cell r="N349">
            <v>54000</v>
          </cell>
          <cell r="O349" t="str">
            <v>-</v>
          </cell>
          <cell r="P349">
            <v>52500</v>
          </cell>
          <cell r="Q349">
            <v>53000</v>
          </cell>
          <cell r="R349">
            <v>53000</v>
          </cell>
          <cell r="S349">
            <v>55700</v>
          </cell>
          <cell r="T349">
            <v>55500</v>
          </cell>
          <cell r="U349">
            <v>54300</v>
          </cell>
          <cell r="V349">
            <v>55400</v>
          </cell>
          <cell r="W349">
            <v>57400</v>
          </cell>
        </row>
        <row r="350">
          <cell r="A350">
            <v>44616</v>
          </cell>
          <cell r="B350">
            <v>58200</v>
          </cell>
          <cell r="C350">
            <v>55500</v>
          </cell>
          <cell r="D350">
            <v>56400</v>
          </cell>
          <cell r="E350">
            <v>53500</v>
          </cell>
          <cell r="F350">
            <v>56300</v>
          </cell>
          <cell r="G350" t="str">
            <v>-</v>
          </cell>
          <cell r="H350">
            <v>57000</v>
          </cell>
          <cell r="I350">
            <v>55300</v>
          </cell>
          <cell r="J350">
            <v>58700</v>
          </cell>
          <cell r="K350" t="str">
            <v>-</v>
          </cell>
          <cell r="L350">
            <v>55500</v>
          </cell>
          <cell r="M350">
            <v>57900</v>
          </cell>
          <cell r="N350">
            <v>54800</v>
          </cell>
          <cell r="O350" t="str">
            <v>-</v>
          </cell>
          <cell r="P350">
            <v>53500</v>
          </cell>
          <cell r="Q350">
            <v>53800</v>
          </cell>
          <cell r="R350">
            <v>53300</v>
          </cell>
          <cell r="S350">
            <v>56200</v>
          </cell>
          <cell r="T350">
            <v>56100</v>
          </cell>
          <cell r="U350">
            <v>54800</v>
          </cell>
          <cell r="V350">
            <v>55800</v>
          </cell>
          <cell r="W350">
            <v>57900</v>
          </cell>
        </row>
        <row r="351">
          <cell r="A351">
            <v>44617</v>
          </cell>
          <cell r="B351">
            <v>58400</v>
          </cell>
          <cell r="C351">
            <v>56000</v>
          </cell>
          <cell r="D351">
            <v>56400</v>
          </cell>
          <cell r="E351">
            <v>53800</v>
          </cell>
          <cell r="F351">
            <v>57800</v>
          </cell>
          <cell r="G351" t="str">
            <v>-</v>
          </cell>
          <cell r="H351">
            <v>58000</v>
          </cell>
          <cell r="I351">
            <v>55800</v>
          </cell>
          <cell r="J351">
            <v>59300</v>
          </cell>
          <cell r="K351" t="str">
            <v>-</v>
          </cell>
          <cell r="L351">
            <v>55700</v>
          </cell>
          <cell r="M351">
            <v>58300</v>
          </cell>
          <cell r="N351">
            <v>54800</v>
          </cell>
          <cell r="O351" t="str">
            <v>-</v>
          </cell>
          <cell r="P351">
            <v>54500</v>
          </cell>
          <cell r="Q351">
            <v>54700</v>
          </cell>
          <cell r="R351">
            <v>54300</v>
          </cell>
          <cell r="S351">
            <v>56500</v>
          </cell>
          <cell r="T351">
            <v>57100</v>
          </cell>
          <cell r="U351">
            <v>55800</v>
          </cell>
          <cell r="V351">
            <v>56400</v>
          </cell>
          <cell r="W351">
            <v>58900</v>
          </cell>
        </row>
        <row r="352">
          <cell r="A352">
            <v>44618</v>
          </cell>
          <cell r="B352">
            <v>58600</v>
          </cell>
          <cell r="C352">
            <v>56800</v>
          </cell>
          <cell r="D352">
            <v>56900</v>
          </cell>
          <cell r="E352">
            <v>54500</v>
          </cell>
          <cell r="F352">
            <v>57800</v>
          </cell>
          <cell r="G352" t="str">
            <v>-</v>
          </cell>
          <cell r="H352">
            <v>57500</v>
          </cell>
          <cell r="I352">
            <v>55800</v>
          </cell>
          <cell r="J352">
            <v>59300</v>
          </cell>
          <cell r="K352" t="str">
            <v>-</v>
          </cell>
          <cell r="L352">
            <v>56100</v>
          </cell>
          <cell r="M352">
            <v>58600</v>
          </cell>
          <cell r="N352">
            <v>54600</v>
          </cell>
          <cell r="O352" t="str">
            <v>-</v>
          </cell>
          <cell r="P352">
            <v>54600</v>
          </cell>
          <cell r="Q352">
            <v>54700</v>
          </cell>
          <cell r="R352">
            <v>54800</v>
          </cell>
          <cell r="S352">
            <v>57300</v>
          </cell>
          <cell r="T352">
            <v>57100</v>
          </cell>
          <cell r="U352">
            <v>55800</v>
          </cell>
          <cell r="V352">
            <v>56400</v>
          </cell>
          <cell r="W352">
            <v>59100</v>
          </cell>
        </row>
        <row r="353">
          <cell r="A353">
            <v>44619</v>
          </cell>
          <cell r="B353" t="str">
            <v>H</v>
          </cell>
          <cell r="C353" t="str">
            <v>H</v>
          </cell>
          <cell r="D353" t="str">
            <v>H</v>
          </cell>
          <cell r="E353" t="str">
            <v>H</v>
          </cell>
          <cell r="F353" t="str">
            <v>H</v>
          </cell>
          <cell r="G353" t="str">
            <v>H</v>
          </cell>
          <cell r="H353" t="str">
            <v>H</v>
          </cell>
          <cell r="I353" t="str">
            <v>H</v>
          </cell>
          <cell r="J353" t="str">
            <v>H</v>
          </cell>
          <cell r="K353" t="str">
            <v>H</v>
          </cell>
          <cell r="L353" t="str">
            <v>H</v>
          </cell>
          <cell r="M353" t="str">
            <v>H</v>
          </cell>
          <cell r="N353" t="str">
            <v>H</v>
          </cell>
          <cell r="O353" t="str">
            <v>H</v>
          </cell>
          <cell r="P353" t="str">
            <v>H</v>
          </cell>
          <cell r="Q353" t="str">
            <v>H</v>
          </cell>
          <cell r="R353" t="str">
            <v>H</v>
          </cell>
          <cell r="S353" t="str">
            <v>H</v>
          </cell>
          <cell r="T353" t="str">
            <v>H</v>
          </cell>
          <cell r="U353" t="str">
            <v>H</v>
          </cell>
          <cell r="V353" t="str">
            <v>H</v>
          </cell>
          <cell r="W353" t="str">
            <v>H</v>
          </cell>
        </row>
        <row r="354">
          <cell r="A354">
            <v>44620</v>
          </cell>
          <cell r="B354">
            <v>59900</v>
          </cell>
          <cell r="C354">
            <v>57500</v>
          </cell>
          <cell r="D354">
            <v>58500</v>
          </cell>
          <cell r="E354">
            <v>56000</v>
          </cell>
          <cell r="F354">
            <v>59800</v>
          </cell>
          <cell r="G354" t="str">
            <v>-</v>
          </cell>
          <cell r="H354">
            <v>60000</v>
          </cell>
          <cell r="I354">
            <v>58000</v>
          </cell>
          <cell r="J354">
            <v>61500</v>
          </cell>
          <cell r="K354" t="str">
            <v>-</v>
          </cell>
          <cell r="L354">
            <v>57400</v>
          </cell>
          <cell r="M354">
            <v>59900</v>
          </cell>
          <cell r="N354">
            <v>56500</v>
          </cell>
          <cell r="O354" t="str">
            <v>-</v>
          </cell>
          <cell r="P354">
            <v>57400</v>
          </cell>
          <cell r="Q354">
            <v>57300</v>
          </cell>
          <cell r="R354">
            <v>57000</v>
          </cell>
          <cell r="S354">
            <v>58800</v>
          </cell>
          <cell r="T354">
            <v>59700</v>
          </cell>
          <cell r="U354">
            <v>58800</v>
          </cell>
          <cell r="V354">
            <v>58500</v>
          </cell>
          <cell r="W354">
            <v>60600</v>
          </cell>
        </row>
        <row r="355">
          <cell r="A355">
            <v>44621</v>
          </cell>
          <cell r="B355">
            <v>61500</v>
          </cell>
          <cell r="C355">
            <v>58000</v>
          </cell>
          <cell r="D355">
            <v>59200</v>
          </cell>
          <cell r="E355">
            <v>56500</v>
          </cell>
          <cell r="F355">
            <v>62800</v>
          </cell>
          <cell r="G355" t="str">
            <v>-</v>
          </cell>
          <cell r="H355">
            <v>60500</v>
          </cell>
          <cell r="I355">
            <v>58600</v>
          </cell>
          <cell r="J355">
            <v>63200</v>
          </cell>
          <cell r="K355" t="str">
            <v>-</v>
          </cell>
          <cell r="L355">
            <v>58300</v>
          </cell>
          <cell r="M355">
            <v>62500</v>
          </cell>
          <cell r="N355">
            <v>57000</v>
          </cell>
          <cell r="O355" t="str">
            <v>-</v>
          </cell>
          <cell r="P355">
            <v>57700</v>
          </cell>
          <cell r="Q355">
            <v>58000</v>
          </cell>
          <cell r="R355">
            <v>57800</v>
          </cell>
          <cell r="S355">
            <v>59300</v>
          </cell>
          <cell r="T355">
            <v>60300</v>
          </cell>
          <cell r="U355">
            <v>59300</v>
          </cell>
          <cell r="V355">
            <v>60000</v>
          </cell>
          <cell r="W355">
            <v>62100</v>
          </cell>
        </row>
        <row r="356">
          <cell r="A356">
            <v>44622</v>
          </cell>
          <cell r="B356">
            <v>62000</v>
          </cell>
          <cell r="C356">
            <v>58500</v>
          </cell>
          <cell r="D356">
            <v>59500</v>
          </cell>
          <cell r="E356">
            <v>57000</v>
          </cell>
          <cell r="F356">
            <v>63800</v>
          </cell>
          <cell r="G356" t="str">
            <v>-</v>
          </cell>
          <cell r="H356">
            <v>61000</v>
          </cell>
          <cell r="I356">
            <v>59000</v>
          </cell>
          <cell r="J356">
            <v>64200</v>
          </cell>
          <cell r="K356" t="str">
            <v>-</v>
          </cell>
          <cell r="L356">
            <v>59100</v>
          </cell>
          <cell r="M356">
            <v>62600</v>
          </cell>
          <cell r="N356">
            <v>57800</v>
          </cell>
          <cell r="O356" t="str">
            <v>-</v>
          </cell>
          <cell r="P356">
            <v>58000</v>
          </cell>
          <cell r="Q356">
            <v>58700</v>
          </cell>
          <cell r="R356">
            <v>58100</v>
          </cell>
          <cell r="S356">
            <v>59800</v>
          </cell>
          <cell r="T356">
            <v>60800</v>
          </cell>
          <cell r="U356">
            <v>60300</v>
          </cell>
          <cell r="V356">
            <v>60700</v>
          </cell>
          <cell r="W356">
            <v>63100</v>
          </cell>
        </row>
        <row r="357">
          <cell r="A357">
            <v>44623</v>
          </cell>
          <cell r="B357">
            <v>64600</v>
          </cell>
          <cell r="C357">
            <v>60500</v>
          </cell>
          <cell r="D357">
            <v>61500</v>
          </cell>
          <cell r="E357">
            <v>59000</v>
          </cell>
          <cell r="F357">
            <v>65500</v>
          </cell>
          <cell r="G357" t="str">
            <v>-</v>
          </cell>
          <cell r="H357">
            <v>63000</v>
          </cell>
          <cell r="I357">
            <v>59900</v>
          </cell>
          <cell r="J357">
            <v>65800</v>
          </cell>
          <cell r="K357" t="str">
            <v>-</v>
          </cell>
          <cell r="L357">
            <v>60000</v>
          </cell>
          <cell r="M357">
            <v>64600</v>
          </cell>
          <cell r="N357">
            <v>59000</v>
          </cell>
          <cell r="O357" t="str">
            <v>-</v>
          </cell>
          <cell r="P357">
            <v>60000</v>
          </cell>
          <cell r="Q357">
            <v>60000</v>
          </cell>
          <cell r="R357">
            <v>60000</v>
          </cell>
          <cell r="S357">
            <v>61800</v>
          </cell>
          <cell r="T357">
            <v>62600</v>
          </cell>
          <cell r="U357">
            <v>64300</v>
          </cell>
          <cell r="V357">
            <v>63200</v>
          </cell>
          <cell r="W357">
            <v>65300</v>
          </cell>
        </row>
        <row r="358">
          <cell r="A358">
            <v>44624</v>
          </cell>
          <cell r="B358">
            <v>66100</v>
          </cell>
          <cell r="C358">
            <v>61500</v>
          </cell>
          <cell r="D358">
            <v>62100</v>
          </cell>
          <cell r="E358">
            <v>60000</v>
          </cell>
          <cell r="F358">
            <v>66000</v>
          </cell>
          <cell r="G358" t="str">
            <v>-</v>
          </cell>
          <cell r="H358">
            <v>63000</v>
          </cell>
          <cell r="I358">
            <v>62400</v>
          </cell>
          <cell r="J358">
            <v>67300</v>
          </cell>
          <cell r="K358" t="str">
            <v>-</v>
          </cell>
          <cell r="L358">
            <v>61500</v>
          </cell>
          <cell r="M358">
            <v>67500</v>
          </cell>
          <cell r="N358">
            <v>61000</v>
          </cell>
          <cell r="O358" t="str">
            <v>-</v>
          </cell>
          <cell r="P358">
            <v>61000</v>
          </cell>
          <cell r="Q358">
            <v>62000</v>
          </cell>
          <cell r="R358">
            <v>61200</v>
          </cell>
          <cell r="S358">
            <v>62800</v>
          </cell>
          <cell r="T358">
            <v>64000</v>
          </cell>
          <cell r="U358">
            <v>65300</v>
          </cell>
          <cell r="V358">
            <v>64400</v>
          </cell>
          <cell r="W358">
            <v>66400</v>
          </cell>
        </row>
        <row r="359">
          <cell r="A359">
            <v>44625</v>
          </cell>
          <cell r="B359">
            <v>66600</v>
          </cell>
          <cell r="C359">
            <v>62000</v>
          </cell>
          <cell r="D359">
            <v>62500</v>
          </cell>
          <cell r="E359">
            <v>61500</v>
          </cell>
          <cell r="F359">
            <v>66500</v>
          </cell>
          <cell r="G359" t="str">
            <v>-</v>
          </cell>
          <cell r="H359">
            <v>64500</v>
          </cell>
          <cell r="I359">
            <v>64200</v>
          </cell>
          <cell r="J359">
            <v>70100</v>
          </cell>
          <cell r="K359" t="str">
            <v>-</v>
          </cell>
          <cell r="L359">
            <v>63800</v>
          </cell>
          <cell r="M359" t="str">
            <v>-</v>
          </cell>
          <cell r="N359">
            <v>62800</v>
          </cell>
          <cell r="O359" t="str">
            <v>-</v>
          </cell>
          <cell r="P359">
            <v>62500</v>
          </cell>
          <cell r="Q359">
            <v>63000</v>
          </cell>
          <cell r="R359">
            <v>62300</v>
          </cell>
          <cell r="S359">
            <v>64300</v>
          </cell>
          <cell r="T359">
            <v>65300</v>
          </cell>
          <cell r="U359">
            <v>65300</v>
          </cell>
          <cell r="V359">
            <v>65000</v>
          </cell>
          <cell r="W359">
            <v>67400</v>
          </cell>
        </row>
        <row r="360">
          <cell r="A360">
            <v>44626</v>
          </cell>
          <cell r="B360" t="str">
            <v>H</v>
          </cell>
          <cell r="C360" t="str">
            <v>H</v>
          </cell>
          <cell r="D360" t="str">
            <v>H</v>
          </cell>
          <cell r="E360" t="str">
            <v>H</v>
          </cell>
          <cell r="F360" t="str">
            <v>H</v>
          </cell>
          <cell r="G360" t="str">
            <v>H</v>
          </cell>
          <cell r="H360" t="str">
            <v>H</v>
          </cell>
          <cell r="I360" t="str">
            <v>H</v>
          </cell>
          <cell r="J360" t="str">
            <v>H</v>
          </cell>
          <cell r="K360" t="str">
            <v>H</v>
          </cell>
          <cell r="L360" t="str">
            <v>H</v>
          </cell>
          <cell r="M360" t="str">
            <v>H</v>
          </cell>
          <cell r="N360" t="str">
            <v>H</v>
          </cell>
          <cell r="O360" t="str">
            <v>H</v>
          </cell>
          <cell r="P360" t="str">
            <v>H</v>
          </cell>
          <cell r="Q360" t="str">
            <v>H</v>
          </cell>
          <cell r="R360" t="str">
            <v>H</v>
          </cell>
          <cell r="S360" t="str">
            <v>H</v>
          </cell>
          <cell r="T360" t="str">
            <v>H</v>
          </cell>
          <cell r="U360" t="str">
            <v>H</v>
          </cell>
          <cell r="V360" t="str">
            <v>H</v>
          </cell>
          <cell r="W360" t="str">
            <v>H</v>
          </cell>
        </row>
        <row r="361">
          <cell r="A361">
            <v>44627</v>
          </cell>
          <cell r="B361">
            <v>67900</v>
          </cell>
          <cell r="C361">
            <v>64500</v>
          </cell>
          <cell r="D361">
            <v>64000</v>
          </cell>
          <cell r="E361">
            <v>64000</v>
          </cell>
          <cell r="F361">
            <v>70500</v>
          </cell>
          <cell r="G361" t="str">
            <v>-</v>
          </cell>
          <cell r="H361">
            <v>68500</v>
          </cell>
          <cell r="I361">
            <v>66900</v>
          </cell>
          <cell r="J361">
            <v>71600</v>
          </cell>
          <cell r="K361" t="str">
            <v>-</v>
          </cell>
          <cell r="L361">
            <v>66200</v>
          </cell>
          <cell r="M361">
            <v>70700</v>
          </cell>
          <cell r="N361">
            <v>66700</v>
          </cell>
          <cell r="O361" t="str">
            <v>-</v>
          </cell>
          <cell r="P361">
            <v>64900</v>
          </cell>
          <cell r="Q361">
            <v>65200</v>
          </cell>
          <cell r="R361">
            <v>65000</v>
          </cell>
          <cell r="S361">
            <v>66700</v>
          </cell>
          <cell r="T361">
            <v>67600</v>
          </cell>
          <cell r="U361">
            <v>68300</v>
          </cell>
          <cell r="V361">
            <v>68500</v>
          </cell>
          <cell r="W361">
            <v>70600</v>
          </cell>
        </row>
        <row r="362">
          <cell r="A362">
            <v>44628</v>
          </cell>
          <cell r="B362">
            <v>68800</v>
          </cell>
          <cell r="C362">
            <v>65000</v>
          </cell>
          <cell r="D362">
            <v>68500</v>
          </cell>
          <cell r="E362">
            <v>64000</v>
          </cell>
          <cell r="F362">
            <v>72000</v>
          </cell>
          <cell r="G362" t="str">
            <v>-</v>
          </cell>
          <cell r="H362">
            <v>68500</v>
          </cell>
          <cell r="I362">
            <v>67900</v>
          </cell>
          <cell r="J362">
            <v>71700</v>
          </cell>
          <cell r="K362" t="str">
            <v>-</v>
          </cell>
          <cell r="L362">
            <v>66200</v>
          </cell>
          <cell r="M362">
            <v>72100</v>
          </cell>
          <cell r="N362">
            <v>66500</v>
          </cell>
          <cell r="O362" t="str">
            <v>-</v>
          </cell>
          <cell r="P362">
            <v>64500</v>
          </cell>
          <cell r="Q362">
            <v>65000</v>
          </cell>
          <cell r="R362">
            <v>64800</v>
          </cell>
          <cell r="S362">
            <v>66800</v>
          </cell>
          <cell r="T362">
            <v>67600</v>
          </cell>
          <cell r="U362">
            <v>67800</v>
          </cell>
          <cell r="V362">
            <v>68900</v>
          </cell>
          <cell r="W362">
            <v>71000</v>
          </cell>
        </row>
        <row r="363">
          <cell r="A363">
            <v>44629</v>
          </cell>
          <cell r="B363">
            <v>69100</v>
          </cell>
          <cell r="C363">
            <v>66200</v>
          </cell>
          <cell r="D363">
            <v>71200</v>
          </cell>
          <cell r="E363">
            <v>66500</v>
          </cell>
          <cell r="F363">
            <v>72300</v>
          </cell>
          <cell r="G363" t="str">
            <v>-</v>
          </cell>
          <cell r="H363">
            <v>69500</v>
          </cell>
          <cell r="I363">
            <v>69300</v>
          </cell>
          <cell r="J363">
            <v>71700</v>
          </cell>
          <cell r="K363" t="str">
            <v>-</v>
          </cell>
          <cell r="L363">
            <v>67900</v>
          </cell>
          <cell r="M363">
            <v>72100</v>
          </cell>
          <cell r="N363">
            <v>68000</v>
          </cell>
          <cell r="O363" t="str">
            <v>-</v>
          </cell>
          <cell r="P363">
            <v>66000</v>
          </cell>
          <cell r="Q363">
            <v>65800</v>
          </cell>
          <cell r="R363">
            <v>66500</v>
          </cell>
          <cell r="S363">
            <v>69300</v>
          </cell>
          <cell r="T363">
            <v>68600</v>
          </cell>
          <cell r="U363">
            <v>68800</v>
          </cell>
          <cell r="V363">
            <v>69300</v>
          </cell>
          <cell r="W363">
            <v>71400</v>
          </cell>
        </row>
        <row r="364">
          <cell r="A364">
            <v>44630</v>
          </cell>
          <cell r="B364">
            <v>69100</v>
          </cell>
          <cell r="C364">
            <v>66500</v>
          </cell>
          <cell r="D364">
            <v>72000</v>
          </cell>
          <cell r="E364">
            <v>66500</v>
          </cell>
          <cell r="F364">
            <v>72300</v>
          </cell>
          <cell r="G364" t="str">
            <v>-</v>
          </cell>
          <cell r="H364">
            <v>70500</v>
          </cell>
          <cell r="I364">
            <v>71000</v>
          </cell>
          <cell r="J364">
            <v>71700</v>
          </cell>
          <cell r="K364" t="str">
            <v>-</v>
          </cell>
          <cell r="L364">
            <v>68500</v>
          </cell>
          <cell r="M364">
            <v>72100</v>
          </cell>
          <cell r="N364" t="str">
            <v>-</v>
          </cell>
          <cell r="O364" t="str">
            <v>-</v>
          </cell>
          <cell r="P364">
            <v>65500</v>
          </cell>
          <cell r="Q364">
            <v>66100</v>
          </cell>
          <cell r="R364">
            <v>66100</v>
          </cell>
          <cell r="S364">
            <v>69300</v>
          </cell>
          <cell r="T364">
            <v>68600</v>
          </cell>
          <cell r="U364">
            <v>68800</v>
          </cell>
          <cell r="V364">
            <v>69400</v>
          </cell>
          <cell r="W364">
            <v>71500</v>
          </cell>
        </row>
        <row r="365">
          <cell r="A365">
            <v>44631</v>
          </cell>
          <cell r="B365">
            <v>68000</v>
          </cell>
          <cell r="C365">
            <v>66500</v>
          </cell>
          <cell r="D365">
            <v>72300</v>
          </cell>
          <cell r="E365">
            <v>66000</v>
          </cell>
          <cell r="F365">
            <v>72300</v>
          </cell>
          <cell r="G365" t="str">
            <v>-</v>
          </cell>
          <cell r="H365">
            <v>69500</v>
          </cell>
          <cell r="I365">
            <v>71000</v>
          </cell>
          <cell r="J365">
            <v>71700</v>
          </cell>
          <cell r="K365" t="str">
            <v>-</v>
          </cell>
          <cell r="L365">
            <v>68500</v>
          </cell>
          <cell r="M365">
            <v>72000</v>
          </cell>
          <cell r="N365">
            <v>69000</v>
          </cell>
          <cell r="O365" t="str">
            <v>-</v>
          </cell>
          <cell r="P365">
            <v>65300</v>
          </cell>
          <cell r="Q365">
            <v>66100</v>
          </cell>
          <cell r="R365">
            <v>65700</v>
          </cell>
          <cell r="S365">
            <v>68800</v>
          </cell>
          <cell r="T365">
            <v>68500</v>
          </cell>
          <cell r="U365">
            <v>68800</v>
          </cell>
          <cell r="V365">
            <v>69400</v>
          </cell>
          <cell r="W365">
            <v>71500</v>
          </cell>
        </row>
        <row r="366">
          <cell r="A366">
            <v>44632</v>
          </cell>
          <cell r="B366">
            <v>67100</v>
          </cell>
          <cell r="C366">
            <v>66300</v>
          </cell>
          <cell r="D366">
            <v>72000</v>
          </cell>
          <cell r="E366">
            <v>65000</v>
          </cell>
          <cell r="F366">
            <v>71600</v>
          </cell>
          <cell r="G366" t="str">
            <v>-</v>
          </cell>
          <cell r="H366">
            <v>68500</v>
          </cell>
          <cell r="I366">
            <v>70600</v>
          </cell>
          <cell r="J366">
            <v>71000</v>
          </cell>
          <cell r="K366" t="str">
            <v>-</v>
          </cell>
          <cell r="L366">
            <v>67500</v>
          </cell>
          <cell r="M366">
            <v>72000</v>
          </cell>
          <cell r="N366">
            <v>67500</v>
          </cell>
          <cell r="O366" t="str">
            <v>-</v>
          </cell>
          <cell r="P366">
            <v>63500</v>
          </cell>
          <cell r="Q366">
            <v>65000</v>
          </cell>
          <cell r="R366">
            <v>64600</v>
          </cell>
          <cell r="S366">
            <v>67800</v>
          </cell>
          <cell r="T366">
            <v>68000</v>
          </cell>
          <cell r="U366">
            <v>67800</v>
          </cell>
          <cell r="V366">
            <v>69400</v>
          </cell>
          <cell r="W366">
            <v>71500</v>
          </cell>
        </row>
        <row r="367">
          <cell r="A367">
            <v>44633</v>
          </cell>
          <cell r="B367" t="str">
            <v>H</v>
          </cell>
          <cell r="C367" t="str">
            <v>H</v>
          </cell>
          <cell r="D367" t="str">
            <v>H</v>
          </cell>
          <cell r="E367" t="str">
            <v>H</v>
          </cell>
          <cell r="F367" t="str">
            <v>H</v>
          </cell>
          <cell r="G367" t="str">
            <v>H</v>
          </cell>
          <cell r="H367" t="str">
            <v>H</v>
          </cell>
          <cell r="I367" t="str">
            <v>H</v>
          </cell>
          <cell r="J367" t="str">
            <v>H</v>
          </cell>
          <cell r="K367" t="str">
            <v>H</v>
          </cell>
          <cell r="L367" t="str">
            <v>H</v>
          </cell>
          <cell r="M367" t="str">
            <v>H</v>
          </cell>
          <cell r="N367" t="str">
            <v>H</v>
          </cell>
          <cell r="O367" t="str">
            <v>H</v>
          </cell>
          <cell r="P367" t="str">
            <v>H</v>
          </cell>
          <cell r="Q367" t="str">
            <v>H</v>
          </cell>
          <cell r="R367" t="str">
            <v>H</v>
          </cell>
          <cell r="S367" t="str">
            <v>H</v>
          </cell>
          <cell r="T367" t="str">
            <v>H</v>
          </cell>
          <cell r="U367" t="str">
            <v>H</v>
          </cell>
          <cell r="V367" t="str">
            <v>H</v>
          </cell>
          <cell r="W367" t="str">
            <v>H</v>
          </cell>
        </row>
        <row r="368">
          <cell r="A368">
            <v>44634</v>
          </cell>
          <cell r="B368">
            <v>65400</v>
          </cell>
          <cell r="C368">
            <v>66000</v>
          </cell>
          <cell r="D368">
            <v>71500</v>
          </cell>
          <cell r="E368">
            <v>62500</v>
          </cell>
          <cell r="F368">
            <v>70000</v>
          </cell>
          <cell r="G368" t="str">
            <v>-</v>
          </cell>
          <cell r="H368">
            <v>66500</v>
          </cell>
          <cell r="I368">
            <v>68000</v>
          </cell>
          <cell r="J368">
            <v>70100</v>
          </cell>
          <cell r="K368" t="str">
            <v>-</v>
          </cell>
          <cell r="L368">
            <v>65000</v>
          </cell>
          <cell r="M368">
            <v>69100</v>
          </cell>
          <cell r="N368">
            <v>66000</v>
          </cell>
          <cell r="O368" t="str">
            <v>-</v>
          </cell>
          <cell r="P368">
            <v>62000</v>
          </cell>
          <cell r="Q368">
            <v>64000</v>
          </cell>
          <cell r="R368">
            <v>64000</v>
          </cell>
          <cell r="S368">
            <v>65300</v>
          </cell>
          <cell r="T368">
            <v>66500</v>
          </cell>
          <cell r="U368" t="str">
            <v>-</v>
          </cell>
          <cell r="V368">
            <v>68000</v>
          </cell>
          <cell r="W368">
            <v>70200</v>
          </cell>
        </row>
        <row r="369">
          <cell r="A369">
            <v>44635</v>
          </cell>
          <cell r="B369">
            <v>63600</v>
          </cell>
          <cell r="C369">
            <v>65000</v>
          </cell>
          <cell r="D369">
            <v>71000</v>
          </cell>
          <cell r="E369">
            <v>61000</v>
          </cell>
          <cell r="F369">
            <v>67800</v>
          </cell>
          <cell r="G369" t="str">
            <v>-</v>
          </cell>
          <cell r="H369">
            <v>66000</v>
          </cell>
          <cell r="I369">
            <v>66000</v>
          </cell>
          <cell r="J369">
            <v>68100</v>
          </cell>
          <cell r="K369" t="str">
            <v>-</v>
          </cell>
          <cell r="L369">
            <v>61700</v>
          </cell>
          <cell r="M369">
            <v>67100</v>
          </cell>
          <cell r="N369">
            <v>62000</v>
          </cell>
          <cell r="O369" t="str">
            <v>-</v>
          </cell>
          <cell r="P369">
            <v>60500</v>
          </cell>
          <cell r="Q369">
            <v>62000</v>
          </cell>
          <cell r="R369">
            <v>62200</v>
          </cell>
          <cell r="S369">
            <v>63800</v>
          </cell>
          <cell r="T369">
            <v>65000</v>
          </cell>
          <cell r="U369">
            <v>65300</v>
          </cell>
          <cell r="V369">
            <v>66000</v>
          </cell>
          <cell r="W369">
            <v>68300</v>
          </cell>
        </row>
        <row r="370">
          <cell r="A370">
            <v>44636</v>
          </cell>
          <cell r="B370">
            <v>64600</v>
          </cell>
          <cell r="C370">
            <v>65000</v>
          </cell>
          <cell r="D370" t="str">
            <v>-</v>
          </cell>
          <cell r="E370">
            <v>63000</v>
          </cell>
          <cell r="F370">
            <v>67300</v>
          </cell>
          <cell r="G370" t="str">
            <v>-</v>
          </cell>
          <cell r="H370">
            <v>66000</v>
          </cell>
          <cell r="I370">
            <v>66000</v>
          </cell>
          <cell r="J370">
            <v>68100</v>
          </cell>
          <cell r="K370" t="str">
            <v>-</v>
          </cell>
          <cell r="L370">
            <v>62500</v>
          </cell>
          <cell r="M370">
            <v>67600</v>
          </cell>
          <cell r="N370">
            <v>63500</v>
          </cell>
          <cell r="O370" t="str">
            <v>-</v>
          </cell>
          <cell r="P370">
            <v>62500</v>
          </cell>
          <cell r="Q370">
            <v>62500</v>
          </cell>
          <cell r="R370">
            <v>62300</v>
          </cell>
          <cell r="S370">
            <v>65800</v>
          </cell>
          <cell r="T370">
            <v>65200</v>
          </cell>
          <cell r="U370">
            <v>65300</v>
          </cell>
          <cell r="V370">
            <v>66300</v>
          </cell>
          <cell r="W370">
            <v>68600</v>
          </cell>
        </row>
        <row r="371">
          <cell r="A371">
            <v>44637</v>
          </cell>
          <cell r="B371">
            <v>64600</v>
          </cell>
          <cell r="C371">
            <v>65000</v>
          </cell>
          <cell r="D371">
            <v>70000</v>
          </cell>
          <cell r="E371">
            <v>62500</v>
          </cell>
          <cell r="F371">
            <v>68200</v>
          </cell>
          <cell r="G371" t="str">
            <v>-</v>
          </cell>
          <cell r="H371">
            <v>66000</v>
          </cell>
          <cell r="I371">
            <v>66500</v>
          </cell>
          <cell r="J371">
            <v>68100</v>
          </cell>
          <cell r="K371" t="str">
            <v>-</v>
          </cell>
          <cell r="L371">
            <v>63000</v>
          </cell>
          <cell r="M371">
            <v>67600</v>
          </cell>
          <cell r="N371">
            <v>63500</v>
          </cell>
          <cell r="O371" t="str">
            <v>-</v>
          </cell>
          <cell r="P371">
            <v>61500</v>
          </cell>
          <cell r="Q371">
            <v>62800</v>
          </cell>
          <cell r="R371">
            <v>62300</v>
          </cell>
          <cell r="S371">
            <v>65300</v>
          </cell>
          <cell r="T371">
            <v>65200</v>
          </cell>
          <cell r="U371">
            <v>65300</v>
          </cell>
          <cell r="V371">
            <v>66700</v>
          </cell>
          <cell r="W371">
            <v>69000</v>
          </cell>
        </row>
        <row r="372">
          <cell r="A372">
            <v>44638</v>
          </cell>
          <cell r="B372" t="str">
            <v>H</v>
          </cell>
          <cell r="C372" t="str">
            <v>H</v>
          </cell>
          <cell r="D372" t="str">
            <v>H</v>
          </cell>
          <cell r="E372" t="str">
            <v>H</v>
          </cell>
          <cell r="F372" t="str">
            <v>H</v>
          </cell>
          <cell r="G372" t="str">
            <v>H</v>
          </cell>
          <cell r="H372" t="str">
            <v>H</v>
          </cell>
          <cell r="I372" t="str">
            <v>H</v>
          </cell>
          <cell r="J372" t="str">
            <v>H</v>
          </cell>
          <cell r="K372" t="str">
            <v>H</v>
          </cell>
          <cell r="L372" t="str">
            <v>H</v>
          </cell>
          <cell r="M372" t="str">
            <v>H</v>
          </cell>
          <cell r="N372" t="str">
            <v>H</v>
          </cell>
          <cell r="O372" t="str">
            <v>H</v>
          </cell>
          <cell r="P372" t="str">
            <v>H</v>
          </cell>
          <cell r="Q372" t="str">
            <v>H</v>
          </cell>
          <cell r="R372" t="str">
            <v>H</v>
          </cell>
          <cell r="S372" t="str">
            <v>H</v>
          </cell>
          <cell r="T372" t="str">
            <v>H</v>
          </cell>
          <cell r="U372" t="str">
            <v>H</v>
          </cell>
          <cell r="V372" t="str">
            <v>H</v>
          </cell>
          <cell r="W372" t="str">
            <v>H</v>
          </cell>
        </row>
        <row r="373">
          <cell r="A373">
            <v>44639</v>
          </cell>
          <cell r="B373" t="str">
            <v>H</v>
          </cell>
          <cell r="C373" t="str">
            <v>H</v>
          </cell>
          <cell r="D373" t="str">
            <v>H</v>
          </cell>
          <cell r="E373" t="str">
            <v>H</v>
          </cell>
          <cell r="F373" t="str">
            <v>H</v>
          </cell>
          <cell r="G373" t="str">
            <v>H</v>
          </cell>
          <cell r="H373" t="str">
            <v>H</v>
          </cell>
          <cell r="I373" t="str">
            <v>H</v>
          </cell>
          <cell r="J373" t="str">
            <v>H</v>
          </cell>
          <cell r="K373" t="str">
            <v>H</v>
          </cell>
          <cell r="L373" t="str">
            <v>H</v>
          </cell>
          <cell r="M373" t="str">
            <v>H</v>
          </cell>
          <cell r="N373" t="str">
            <v>H</v>
          </cell>
          <cell r="O373" t="str">
            <v>H</v>
          </cell>
          <cell r="P373" t="str">
            <v>H</v>
          </cell>
          <cell r="Q373" t="str">
            <v>H</v>
          </cell>
          <cell r="R373" t="str">
            <v>H</v>
          </cell>
          <cell r="S373" t="str">
            <v>H</v>
          </cell>
          <cell r="T373" t="str">
            <v>H</v>
          </cell>
          <cell r="U373" t="str">
            <v>H</v>
          </cell>
          <cell r="V373" t="str">
            <v>H</v>
          </cell>
          <cell r="W373" t="str">
            <v>H</v>
          </cell>
        </row>
        <row r="374">
          <cell r="A374">
            <v>44640</v>
          </cell>
          <cell r="B374" t="str">
            <v>H</v>
          </cell>
          <cell r="C374" t="str">
            <v>H</v>
          </cell>
          <cell r="D374" t="str">
            <v>H</v>
          </cell>
          <cell r="E374" t="str">
            <v>H</v>
          </cell>
          <cell r="F374" t="str">
            <v>H</v>
          </cell>
          <cell r="G374" t="str">
            <v>H</v>
          </cell>
          <cell r="H374" t="str">
            <v>H</v>
          </cell>
          <cell r="I374" t="str">
            <v>H</v>
          </cell>
          <cell r="J374" t="str">
            <v>H</v>
          </cell>
          <cell r="K374" t="str">
            <v>H</v>
          </cell>
          <cell r="L374" t="str">
            <v>H</v>
          </cell>
          <cell r="M374" t="str">
            <v>H</v>
          </cell>
          <cell r="N374" t="str">
            <v>H</v>
          </cell>
          <cell r="O374" t="str">
            <v>H</v>
          </cell>
          <cell r="P374" t="str">
            <v>H</v>
          </cell>
          <cell r="Q374" t="str">
            <v>H</v>
          </cell>
          <cell r="R374" t="str">
            <v>H</v>
          </cell>
          <cell r="S374" t="str">
            <v>H</v>
          </cell>
          <cell r="T374" t="str">
            <v>H</v>
          </cell>
          <cell r="U374" t="str">
            <v>H</v>
          </cell>
          <cell r="V374" t="str">
            <v>H</v>
          </cell>
          <cell r="W374" t="str">
            <v>H</v>
          </cell>
        </row>
        <row r="375">
          <cell r="A375">
            <v>44641</v>
          </cell>
          <cell r="B375">
            <v>65400</v>
          </cell>
          <cell r="C375">
            <v>66000</v>
          </cell>
          <cell r="D375">
            <v>70000</v>
          </cell>
          <cell r="E375">
            <v>65000</v>
          </cell>
          <cell r="F375">
            <v>69700</v>
          </cell>
          <cell r="G375" t="str">
            <v>-</v>
          </cell>
          <cell r="H375">
            <v>67000</v>
          </cell>
          <cell r="I375">
            <v>68000</v>
          </cell>
          <cell r="J375">
            <v>69700</v>
          </cell>
          <cell r="K375" t="str">
            <v>-</v>
          </cell>
          <cell r="L375">
            <v>65500</v>
          </cell>
          <cell r="M375">
            <v>69000</v>
          </cell>
          <cell r="N375">
            <v>66000</v>
          </cell>
          <cell r="O375" t="str">
            <v>-</v>
          </cell>
          <cell r="P375">
            <v>63700</v>
          </cell>
          <cell r="Q375">
            <v>64300</v>
          </cell>
          <cell r="R375">
            <v>64000</v>
          </cell>
          <cell r="S375">
            <v>67800</v>
          </cell>
          <cell r="T375">
            <v>66800</v>
          </cell>
          <cell r="U375">
            <v>68300</v>
          </cell>
          <cell r="V375">
            <v>67600</v>
          </cell>
          <cell r="W375">
            <v>70100</v>
          </cell>
        </row>
        <row r="376">
          <cell r="A376">
            <v>44642</v>
          </cell>
          <cell r="B376">
            <v>65400</v>
          </cell>
          <cell r="C376">
            <v>67000</v>
          </cell>
          <cell r="D376">
            <v>71000</v>
          </cell>
          <cell r="E376">
            <v>65200</v>
          </cell>
          <cell r="F376">
            <v>69700</v>
          </cell>
          <cell r="G376" t="str">
            <v>-</v>
          </cell>
          <cell r="H376">
            <v>67500</v>
          </cell>
          <cell r="I376">
            <v>68200</v>
          </cell>
          <cell r="J376">
            <v>69700</v>
          </cell>
          <cell r="K376" t="str">
            <v>-</v>
          </cell>
          <cell r="L376">
            <v>66300</v>
          </cell>
          <cell r="M376">
            <v>69100</v>
          </cell>
          <cell r="N376">
            <v>66500</v>
          </cell>
          <cell r="O376" t="str">
            <v>-</v>
          </cell>
          <cell r="P376">
            <v>64000</v>
          </cell>
          <cell r="Q376">
            <v>64600</v>
          </cell>
          <cell r="R376">
            <v>64500</v>
          </cell>
          <cell r="S376">
            <v>68000</v>
          </cell>
          <cell r="T376">
            <v>67200</v>
          </cell>
          <cell r="U376">
            <v>68300</v>
          </cell>
          <cell r="V376">
            <v>67600</v>
          </cell>
          <cell r="W376">
            <v>70100</v>
          </cell>
        </row>
        <row r="377">
          <cell r="A377">
            <v>44643</v>
          </cell>
          <cell r="B377">
            <v>65400</v>
          </cell>
          <cell r="C377">
            <v>66500</v>
          </cell>
          <cell r="D377">
            <v>71000</v>
          </cell>
          <cell r="E377">
            <v>64700</v>
          </cell>
          <cell r="F377">
            <v>69800</v>
          </cell>
          <cell r="G377" t="str">
            <v>-</v>
          </cell>
          <cell r="H377">
            <v>67000</v>
          </cell>
          <cell r="I377">
            <v>67800</v>
          </cell>
          <cell r="J377">
            <v>69300</v>
          </cell>
          <cell r="K377" t="str">
            <v>-</v>
          </cell>
          <cell r="L377">
            <v>66000</v>
          </cell>
          <cell r="M377">
            <v>69100</v>
          </cell>
          <cell r="N377">
            <v>66500</v>
          </cell>
          <cell r="O377" t="str">
            <v>-</v>
          </cell>
          <cell r="P377">
            <v>63700</v>
          </cell>
          <cell r="Q377">
            <v>64500</v>
          </cell>
          <cell r="R377">
            <v>64200</v>
          </cell>
          <cell r="S377">
            <v>67500</v>
          </cell>
          <cell r="T377">
            <v>67200</v>
          </cell>
          <cell r="U377">
            <v>67300</v>
          </cell>
          <cell r="V377">
            <v>68400</v>
          </cell>
          <cell r="W377">
            <v>70700</v>
          </cell>
        </row>
        <row r="378">
          <cell r="A378">
            <v>44644</v>
          </cell>
          <cell r="B378">
            <v>65400</v>
          </cell>
          <cell r="C378">
            <v>66500</v>
          </cell>
          <cell r="D378">
            <v>69700</v>
          </cell>
          <cell r="E378">
            <v>64800</v>
          </cell>
          <cell r="F378">
            <v>69400</v>
          </cell>
          <cell r="G378" t="str">
            <v>-</v>
          </cell>
          <cell r="H378">
            <v>66500</v>
          </cell>
          <cell r="I378">
            <v>67500</v>
          </cell>
          <cell r="J378">
            <v>69300</v>
          </cell>
          <cell r="K378" t="str">
            <v>-</v>
          </cell>
          <cell r="L378">
            <v>66300</v>
          </cell>
          <cell r="M378">
            <v>69100</v>
          </cell>
          <cell r="N378">
            <v>66500</v>
          </cell>
          <cell r="O378" t="str">
            <v>-</v>
          </cell>
          <cell r="P378">
            <v>63200</v>
          </cell>
          <cell r="Q378">
            <v>64500</v>
          </cell>
          <cell r="R378">
            <v>64000</v>
          </cell>
          <cell r="S378">
            <v>67600</v>
          </cell>
          <cell r="T378">
            <v>67200</v>
          </cell>
          <cell r="U378">
            <v>66800</v>
          </cell>
          <cell r="V378">
            <v>68400</v>
          </cell>
          <cell r="W378">
            <v>70700</v>
          </cell>
        </row>
        <row r="379">
          <cell r="A379">
            <v>44645</v>
          </cell>
          <cell r="B379">
            <v>65200</v>
          </cell>
          <cell r="C379">
            <v>66500</v>
          </cell>
          <cell r="D379">
            <v>69700</v>
          </cell>
          <cell r="E379">
            <v>63200</v>
          </cell>
          <cell r="F379">
            <v>68500</v>
          </cell>
          <cell r="G379" t="str">
            <v>-</v>
          </cell>
          <cell r="H379">
            <v>66500</v>
          </cell>
          <cell r="I379">
            <v>67200</v>
          </cell>
          <cell r="J379">
            <v>69000</v>
          </cell>
          <cell r="K379" t="str">
            <v>-</v>
          </cell>
          <cell r="L379">
            <v>65500</v>
          </cell>
          <cell r="M379">
            <v>68300</v>
          </cell>
          <cell r="N379">
            <v>65200</v>
          </cell>
          <cell r="O379" t="str">
            <v>-</v>
          </cell>
          <cell r="P379">
            <v>62500</v>
          </cell>
          <cell r="Q379">
            <v>63700</v>
          </cell>
          <cell r="R379">
            <v>63000</v>
          </cell>
          <cell r="S379">
            <v>66000</v>
          </cell>
          <cell r="T379">
            <v>66200</v>
          </cell>
          <cell r="U379">
            <v>66800</v>
          </cell>
          <cell r="V379">
            <v>67600</v>
          </cell>
          <cell r="W379">
            <v>69800</v>
          </cell>
        </row>
        <row r="380">
          <cell r="A380">
            <v>44646</v>
          </cell>
          <cell r="B380">
            <v>65200</v>
          </cell>
          <cell r="C380">
            <v>66500</v>
          </cell>
          <cell r="D380">
            <v>68200</v>
          </cell>
          <cell r="E380">
            <v>63200</v>
          </cell>
          <cell r="F380">
            <v>67400</v>
          </cell>
          <cell r="G380" t="str">
            <v>-</v>
          </cell>
          <cell r="H380">
            <v>66500</v>
          </cell>
          <cell r="I380">
            <v>66700</v>
          </cell>
          <cell r="J380">
            <v>68200</v>
          </cell>
          <cell r="K380" t="str">
            <v>-</v>
          </cell>
          <cell r="L380">
            <v>65200</v>
          </cell>
          <cell r="M380">
            <v>67800</v>
          </cell>
          <cell r="N380">
            <v>65200</v>
          </cell>
          <cell r="O380" t="str">
            <v>-</v>
          </cell>
          <cell r="P380">
            <v>61800</v>
          </cell>
          <cell r="Q380">
            <v>62900</v>
          </cell>
          <cell r="R380">
            <v>62200</v>
          </cell>
          <cell r="S380">
            <v>66000</v>
          </cell>
          <cell r="T380">
            <v>66000</v>
          </cell>
          <cell r="U380" t="str">
            <v>-</v>
          </cell>
          <cell r="V380">
            <v>67600</v>
          </cell>
          <cell r="W380">
            <v>69800</v>
          </cell>
        </row>
        <row r="381">
          <cell r="A381">
            <v>44647</v>
          </cell>
          <cell r="B381" t="str">
            <v>H</v>
          </cell>
          <cell r="C381" t="str">
            <v>H</v>
          </cell>
          <cell r="D381" t="str">
            <v>H</v>
          </cell>
          <cell r="E381" t="str">
            <v>H</v>
          </cell>
          <cell r="F381" t="str">
            <v>H</v>
          </cell>
          <cell r="G381" t="str">
            <v>H</v>
          </cell>
          <cell r="H381" t="str">
            <v>H</v>
          </cell>
          <cell r="I381" t="str">
            <v>H</v>
          </cell>
          <cell r="J381" t="str">
            <v>H</v>
          </cell>
          <cell r="K381" t="str">
            <v>H</v>
          </cell>
          <cell r="L381" t="str">
            <v>H</v>
          </cell>
          <cell r="M381" t="str">
            <v>H</v>
          </cell>
          <cell r="N381" t="str">
            <v>H</v>
          </cell>
          <cell r="O381" t="str">
            <v>H</v>
          </cell>
          <cell r="P381" t="str">
            <v>H</v>
          </cell>
          <cell r="Q381" t="str">
            <v>H</v>
          </cell>
          <cell r="R381" t="str">
            <v>H</v>
          </cell>
          <cell r="S381" t="str">
            <v>H</v>
          </cell>
          <cell r="T381" t="str">
            <v>H</v>
          </cell>
          <cell r="U381" t="str">
            <v>H</v>
          </cell>
          <cell r="V381" t="str">
            <v>H</v>
          </cell>
          <cell r="W381" t="str">
            <v>H</v>
          </cell>
        </row>
        <row r="382">
          <cell r="A382">
            <v>44648</v>
          </cell>
          <cell r="B382">
            <v>65200</v>
          </cell>
          <cell r="C382">
            <v>66500</v>
          </cell>
          <cell r="D382">
            <v>68500</v>
          </cell>
          <cell r="E382">
            <v>62500</v>
          </cell>
          <cell r="F382">
            <v>66400</v>
          </cell>
          <cell r="G382" t="str">
            <v>-</v>
          </cell>
          <cell r="H382">
            <v>66000</v>
          </cell>
          <cell r="I382">
            <v>66700</v>
          </cell>
          <cell r="J382">
            <v>68200</v>
          </cell>
          <cell r="K382" t="str">
            <v>-</v>
          </cell>
          <cell r="L382">
            <v>65200</v>
          </cell>
          <cell r="M382">
            <v>67800</v>
          </cell>
          <cell r="N382">
            <v>64500</v>
          </cell>
          <cell r="O382" t="str">
            <v>-</v>
          </cell>
          <cell r="P382">
            <v>61500</v>
          </cell>
          <cell r="Q382">
            <v>62000</v>
          </cell>
          <cell r="R382">
            <v>62000</v>
          </cell>
          <cell r="S382">
            <v>65300</v>
          </cell>
          <cell r="T382">
            <v>65800</v>
          </cell>
          <cell r="U382">
            <v>66800</v>
          </cell>
          <cell r="V382">
            <v>67600</v>
          </cell>
          <cell r="W382">
            <v>69800</v>
          </cell>
        </row>
        <row r="383">
          <cell r="A383">
            <v>44649</v>
          </cell>
          <cell r="B383">
            <v>65200</v>
          </cell>
          <cell r="C383">
            <v>66000</v>
          </cell>
          <cell r="D383">
            <v>68500</v>
          </cell>
          <cell r="E383">
            <v>62000</v>
          </cell>
          <cell r="F383">
            <v>66300</v>
          </cell>
          <cell r="G383" t="str">
            <v>-</v>
          </cell>
          <cell r="H383">
            <v>66000</v>
          </cell>
          <cell r="I383">
            <v>66000</v>
          </cell>
          <cell r="J383">
            <v>66300</v>
          </cell>
          <cell r="K383" t="str">
            <v>-</v>
          </cell>
          <cell r="L383">
            <v>64700</v>
          </cell>
          <cell r="M383">
            <v>67700</v>
          </cell>
          <cell r="N383">
            <v>64500</v>
          </cell>
          <cell r="O383" t="str">
            <v>-</v>
          </cell>
          <cell r="P383">
            <v>61000</v>
          </cell>
          <cell r="Q383">
            <v>61800</v>
          </cell>
          <cell r="R383">
            <v>62000</v>
          </cell>
          <cell r="S383">
            <v>64800</v>
          </cell>
          <cell r="T383">
            <v>64800</v>
          </cell>
          <cell r="U383">
            <v>66300</v>
          </cell>
          <cell r="V383">
            <v>67100</v>
          </cell>
          <cell r="W383">
            <v>69300</v>
          </cell>
        </row>
        <row r="384">
          <cell r="A384">
            <v>44650</v>
          </cell>
          <cell r="B384">
            <v>65100</v>
          </cell>
          <cell r="C384">
            <v>66000</v>
          </cell>
          <cell r="D384">
            <v>67700</v>
          </cell>
          <cell r="E384">
            <v>61500</v>
          </cell>
          <cell r="F384">
            <v>65900</v>
          </cell>
          <cell r="G384" t="str">
            <v>-</v>
          </cell>
          <cell r="H384">
            <v>65500</v>
          </cell>
          <cell r="I384">
            <v>65600</v>
          </cell>
          <cell r="J384">
            <v>66300</v>
          </cell>
          <cell r="K384" t="str">
            <v>-</v>
          </cell>
          <cell r="L384">
            <v>64700</v>
          </cell>
          <cell r="M384">
            <v>67700</v>
          </cell>
          <cell r="N384">
            <v>63800</v>
          </cell>
          <cell r="O384" t="str">
            <v>-</v>
          </cell>
          <cell r="P384">
            <v>61000</v>
          </cell>
          <cell r="Q384">
            <v>61700</v>
          </cell>
          <cell r="R384">
            <v>61800</v>
          </cell>
          <cell r="S384">
            <v>64300</v>
          </cell>
          <cell r="T384">
            <v>64500</v>
          </cell>
          <cell r="U384">
            <v>66300</v>
          </cell>
          <cell r="V384">
            <v>66800</v>
          </cell>
          <cell r="W384">
            <v>69000</v>
          </cell>
        </row>
        <row r="385">
          <cell r="A385">
            <v>44651</v>
          </cell>
          <cell r="B385">
            <v>65000</v>
          </cell>
          <cell r="C385">
            <v>65500</v>
          </cell>
          <cell r="D385">
            <v>66700</v>
          </cell>
          <cell r="E385">
            <v>61300</v>
          </cell>
          <cell r="F385">
            <v>65600</v>
          </cell>
          <cell r="G385" t="str">
            <v>-</v>
          </cell>
          <cell r="H385">
            <v>65000</v>
          </cell>
          <cell r="I385">
            <v>64600</v>
          </cell>
          <cell r="J385">
            <v>66000</v>
          </cell>
          <cell r="K385" t="str">
            <v>-</v>
          </cell>
          <cell r="L385">
            <v>64100</v>
          </cell>
          <cell r="M385">
            <v>66800</v>
          </cell>
          <cell r="N385">
            <v>63500</v>
          </cell>
          <cell r="O385" t="str">
            <v>-</v>
          </cell>
          <cell r="P385">
            <v>60000</v>
          </cell>
          <cell r="Q385">
            <v>61000</v>
          </cell>
          <cell r="R385">
            <v>61000</v>
          </cell>
          <cell r="S385">
            <v>64100</v>
          </cell>
          <cell r="T385">
            <v>63000</v>
          </cell>
          <cell r="U385">
            <v>65300</v>
          </cell>
          <cell r="V385">
            <v>66800</v>
          </cell>
          <cell r="W385">
            <v>69000</v>
          </cell>
        </row>
        <row r="386">
          <cell r="A386">
            <v>44652</v>
          </cell>
          <cell r="B386">
            <v>65600</v>
          </cell>
          <cell r="C386">
            <v>65500</v>
          </cell>
          <cell r="D386">
            <v>66700</v>
          </cell>
          <cell r="E386">
            <v>62000</v>
          </cell>
          <cell r="F386">
            <v>66500</v>
          </cell>
          <cell r="G386" t="str">
            <v>-</v>
          </cell>
          <cell r="H386">
            <v>65000</v>
          </cell>
          <cell r="I386">
            <v>64700</v>
          </cell>
          <cell r="J386">
            <v>66300</v>
          </cell>
          <cell r="K386" t="str">
            <v>-</v>
          </cell>
          <cell r="L386">
            <v>64100</v>
          </cell>
          <cell r="M386">
            <v>66800</v>
          </cell>
          <cell r="N386">
            <v>64000</v>
          </cell>
          <cell r="O386" t="str">
            <v>-</v>
          </cell>
          <cell r="P386">
            <v>61500</v>
          </cell>
          <cell r="Q386">
            <v>61200</v>
          </cell>
          <cell r="R386">
            <v>62000</v>
          </cell>
          <cell r="S386">
            <v>64800</v>
          </cell>
          <cell r="T386">
            <v>63500</v>
          </cell>
          <cell r="U386">
            <v>65800</v>
          </cell>
          <cell r="V386">
            <v>66800</v>
          </cell>
          <cell r="W386">
            <v>69000</v>
          </cell>
        </row>
        <row r="387">
          <cell r="A387">
            <v>44653</v>
          </cell>
          <cell r="B387">
            <v>65600</v>
          </cell>
          <cell r="C387">
            <v>66200</v>
          </cell>
          <cell r="D387">
            <v>66400</v>
          </cell>
          <cell r="E387">
            <v>62300</v>
          </cell>
          <cell r="F387">
            <v>67300</v>
          </cell>
          <cell r="G387" t="str">
            <v>-</v>
          </cell>
          <cell r="H387">
            <v>65000</v>
          </cell>
          <cell r="I387">
            <v>64500</v>
          </cell>
          <cell r="J387">
            <v>66300</v>
          </cell>
          <cell r="K387" t="str">
            <v>-</v>
          </cell>
          <cell r="L387">
            <v>63800</v>
          </cell>
          <cell r="M387">
            <v>66800</v>
          </cell>
          <cell r="N387">
            <v>63500</v>
          </cell>
          <cell r="O387" t="str">
            <v>-</v>
          </cell>
          <cell r="P387">
            <v>61000</v>
          </cell>
          <cell r="Q387">
            <v>61300</v>
          </cell>
          <cell r="R387">
            <v>61600</v>
          </cell>
          <cell r="S387">
            <v>65100</v>
          </cell>
          <cell r="T387">
            <v>63600</v>
          </cell>
          <cell r="U387">
            <v>65800</v>
          </cell>
          <cell r="V387">
            <v>66800</v>
          </cell>
          <cell r="W387">
            <v>69000</v>
          </cell>
        </row>
        <row r="388">
          <cell r="A388">
            <v>44654</v>
          </cell>
          <cell r="B388" t="str">
            <v>H</v>
          </cell>
          <cell r="C388" t="str">
            <v>H</v>
          </cell>
          <cell r="D388" t="str">
            <v>H</v>
          </cell>
          <cell r="E388" t="str">
            <v>H</v>
          </cell>
          <cell r="F388" t="str">
            <v>H</v>
          </cell>
          <cell r="G388" t="str">
            <v>H</v>
          </cell>
          <cell r="H388" t="str">
            <v>H</v>
          </cell>
          <cell r="I388" t="str">
            <v>H</v>
          </cell>
          <cell r="J388" t="str">
            <v>H</v>
          </cell>
          <cell r="K388" t="str">
            <v>H</v>
          </cell>
          <cell r="L388" t="str">
            <v>H</v>
          </cell>
          <cell r="M388" t="str">
            <v>H</v>
          </cell>
          <cell r="N388" t="str">
            <v>H</v>
          </cell>
          <cell r="O388" t="str">
            <v>H</v>
          </cell>
          <cell r="P388" t="str">
            <v>H</v>
          </cell>
          <cell r="Q388" t="str">
            <v>H</v>
          </cell>
          <cell r="R388" t="str">
            <v>H</v>
          </cell>
          <cell r="S388" t="str">
            <v>H</v>
          </cell>
          <cell r="T388" t="str">
            <v>H</v>
          </cell>
          <cell r="U388" t="str">
            <v>H</v>
          </cell>
          <cell r="V388" t="str">
            <v>H</v>
          </cell>
          <cell r="W388" t="str">
            <v>H</v>
          </cell>
        </row>
        <row r="389">
          <cell r="A389">
            <v>44655</v>
          </cell>
          <cell r="B389">
            <v>65600</v>
          </cell>
          <cell r="C389">
            <v>67000</v>
          </cell>
          <cell r="D389">
            <v>66400</v>
          </cell>
          <cell r="E389">
            <v>61800</v>
          </cell>
          <cell r="F389">
            <v>67400</v>
          </cell>
          <cell r="G389" t="str">
            <v>-</v>
          </cell>
          <cell r="H389">
            <v>64500</v>
          </cell>
          <cell r="I389">
            <v>63900</v>
          </cell>
          <cell r="J389">
            <v>66300</v>
          </cell>
          <cell r="K389" t="str">
            <v>-</v>
          </cell>
          <cell r="L389">
            <v>63600</v>
          </cell>
          <cell r="M389">
            <v>66800</v>
          </cell>
          <cell r="N389">
            <v>63500</v>
          </cell>
          <cell r="O389" t="str">
            <v>-</v>
          </cell>
          <cell r="P389">
            <v>61000</v>
          </cell>
          <cell r="Q389">
            <v>61300</v>
          </cell>
          <cell r="R389">
            <v>61200</v>
          </cell>
          <cell r="S389">
            <v>64600</v>
          </cell>
          <cell r="T389">
            <v>63700</v>
          </cell>
          <cell r="U389">
            <v>65800</v>
          </cell>
          <cell r="V389">
            <v>66800</v>
          </cell>
          <cell r="W389">
            <v>69000</v>
          </cell>
        </row>
        <row r="390">
          <cell r="A390">
            <v>44656</v>
          </cell>
          <cell r="B390">
            <v>65300</v>
          </cell>
          <cell r="C390">
            <v>67000</v>
          </cell>
          <cell r="D390">
            <v>65200</v>
          </cell>
          <cell r="E390">
            <v>61000</v>
          </cell>
          <cell r="F390">
            <v>66700</v>
          </cell>
          <cell r="G390" t="str">
            <v>-</v>
          </cell>
          <cell r="H390">
            <v>64500</v>
          </cell>
          <cell r="I390">
            <v>63700</v>
          </cell>
          <cell r="J390">
            <v>65200</v>
          </cell>
          <cell r="K390" t="str">
            <v>-</v>
          </cell>
          <cell r="L390">
            <v>63600</v>
          </cell>
          <cell r="M390">
            <v>66800</v>
          </cell>
          <cell r="N390">
            <v>62700</v>
          </cell>
          <cell r="O390" t="str">
            <v>-</v>
          </cell>
          <cell r="P390">
            <v>60000</v>
          </cell>
          <cell r="Q390">
            <v>60500</v>
          </cell>
          <cell r="R390">
            <v>60800</v>
          </cell>
          <cell r="S390">
            <v>63800</v>
          </cell>
          <cell r="T390">
            <v>63000</v>
          </cell>
          <cell r="U390">
            <v>65300</v>
          </cell>
          <cell r="V390">
            <v>66400</v>
          </cell>
          <cell r="W390">
            <v>68800</v>
          </cell>
        </row>
        <row r="391">
          <cell r="A391">
            <v>44657</v>
          </cell>
          <cell r="B391">
            <v>65200</v>
          </cell>
          <cell r="C391">
            <v>66500</v>
          </cell>
          <cell r="D391">
            <v>64200</v>
          </cell>
          <cell r="E391">
            <v>60000</v>
          </cell>
          <cell r="F391">
            <v>65400</v>
          </cell>
          <cell r="G391" t="str">
            <v>-</v>
          </cell>
          <cell r="H391">
            <v>64000</v>
          </cell>
          <cell r="I391">
            <v>63100</v>
          </cell>
          <cell r="J391">
            <v>64200</v>
          </cell>
          <cell r="K391" t="str">
            <v>-</v>
          </cell>
          <cell r="L391">
            <v>63000</v>
          </cell>
          <cell r="M391">
            <v>65800</v>
          </cell>
          <cell r="N391">
            <v>60600</v>
          </cell>
          <cell r="O391" t="str">
            <v>-</v>
          </cell>
          <cell r="P391">
            <v>59500</v>
          </cell>
          <cell r="Q391">
            <v>59700</v>
          </cell>
          <cell r="R391">
            <v>59600</v>
          </cell>
          <cell r="S391">
            <v>62800</v>
          </cell>
          <cell r="T391">
            <v>63000</v>
          </cell>
          <cell r="U391">
            <v>64800</v>
          </cell>
          <cell r="V391">
            <v>65700</v>
          </cell>
          <cell r="W391">
            <v>68200</v>
          </cell>
        </row>
        <row r="392">
          <cell r="A392">
            <v>44658</v>
          </cell>
          <cell r="B392">
            <v>64900</v>
          </cell>
          <cell r="C392">
            <v>66500</v>
          </cell>
          <cell r="D392">
            <v>64200</v>
          </cell>
          <cell r="E392">
            <v>60500</v>
          </cell>
          <cell r="F392">
            <v>64300</v>
          </cell>
          <cell r="G392" t="str">
            <v>-</v>
          </cell>
          <cell r="H392">
            <v>64000</v>
          </cell>
          <cell r="I392">
            <v>62700</v>
          </cell>
          <cell r="J392">
            <v>63300</v>
          </cell>
          <cell r="K392" t="str">
            <v>-</v>
          </cell>
          <cell r="L392">
            <v>62600</v>
          </cell>
          <cell r="M392">
            <v>64800</v>
          </cell>
          <cell r="N392">
            <v>60600</v>
          </cell>
          <cell r="O392" t="str">
            <v>-</v>
          </cell>
          <cell r="P392">
            <v>59700</v>
          </cell>
          <cell r="Q392">
            <v>59700</v>
          </cell>
          <cell r="R392">
            <v>58900</v>
          </cell>
          <cell r="S392">
            <v>63300</v>
          </cell>
          <cell r="T392">
            <v>62800</v>
          </cell>
          <cell r="U392" t="str">
            <v>-</v>
          </cell>
          <cell r="V392">
            <v>65700</v>
          </cell>
          <cell r="W392">
            <v>68200</v>
          </cell>
        </row>
        <row r="393">
          <cell r="A393">
            <v>44659</v>
          </cell>
          <cell r="B393">
            <v>64900</v>
          </cell>
          <cell r="C393">
            <v>66000</v>
          </cell>
          <cell r="D393">
            <v>63800</v>
          </cell>
          <cell r="E393">
            <v>60000</v>
          </cell>
          <cell r="F393">
            <v>64100</v>
          </cell>
          <cell r="G393" t="str">
            <v>-</v>
          </cell>
          <cell r="H393">
            <v>63500</v>
          </cell>
          <cell r="I393">
            <v>62100</v>
          </cell>
          <cell r="J393">
            <v>63300</v>
          </cell>
          <cell r="K393" t="str">
            <v>-</v>
          </cell>
          <cell r="L393">
            <v>62000</v>
          </cell>
          <cell r="M393">
            <v>64800</v>
          </cell>
          <cell r="N393">
            <v>60200</v>
          </cell>
          <cell r="O393" t="str">
            <v>-</v>
          </cell>
          <cell r="P393">
            <v>59200</v>
          </cell>
          <cell r="Q393">
            <v>59100</v>
          </cell>
          <cell r="R393">
            <v>58800</v>
          </cell>
          <cell r="S393">
            <v>62800</v>
          </cell>
          <cell r="T393">
            <v>61800</v>
          </cell>
          <cell r="U393">
            <v>63800</v>
          </cell>
          <cell r="V393">
            <v>65700</v>
          </cell>
          <cell r="W393">
            <v>68200</v>
          </cell>
        </row>
        <row r="394">
          <cell r="A394">
            <v>44660</v>
          </cell>
          <cell r="B394">
            <v>64600</v>
          </cell>
          <cell r="C394">
            <v>65000</v>
          </cell>
          <cell r="D394">
            <v>62700</v>
          </cell>
          <cell r="E394">
            <v>59700</v>
          </cell>
          <cell r="F394">
            <v>64100</v>
          </cell>
          <cell r="G394" t="str">
            <v>-</v>
          </cell>
          <cell r="H394">
            <v>63000</v>
          </cell>
          <cell r="I394">
            <v>61900</v>
          </cell>
          <cell r="J394">
            <v>63300</v>
          </cell>
          <cell r="K394" t="str">
            <v>-</v>
          </cell>
          <cell r="L394">
            <v>62000</v>
          </cell>
          <cell r="M394">
            <v>64800</v>
          </cell>
          <cell r="N394">
            <v>60400</v>
          </cell>
          <cell r="O394" t="str">
            <v>-</v>
          </cell>
          <cell r="P394">
            <v>58800</v>
          </cell>
          <cell r="Q394">
            <v>59100</v>
          </cell>
          <cell r="R394">
            <v>58600</v>
          </cell>
          <cell r="S394">
            <v>62500</v>
          </cell>
          <cell r="T394">
            <v>61800</v>
          </cell>
          <cell r="U394">
            <v>63800</v>
          </cell>
          <cell r="V394">
            <v>65700</v>
          </cell>
          <cell r="W394">
            <v>68200</v>
          </cell>
        </row>
        <row r="395">
          <cell r="A395">
            <v>44661</v>
          </cell>
          <cell r="B395" t="str">
            <v>H</v>
          </cell>
          <cell r="C395" t="str">
            <v>H</v>
          </cell>
          <cell r="D395" t="str">
            <v>H</v>
          </cell>
          <cell r="E395" t="str">
            <v>H</v>
          </cell>
          <cell r="F395" t="str">
            <v>H</v>
          </cell>
          <cell r="G395" t="str">
            <v>H</v>
          </cell>
          <cell r="H395" t="str">
            <v>H</v>
          </cell>
          <cell r="I395" t="str">
            <v>H</v>
          </cell>
          <cell r="J395" t="str">
            <v>H</v>
          </cell>
          <cell r="K395" t="str">
            <v>H</v>
          </cell>
          <cell r="L395" t="str">
            <v>H</v>
          </cell>
          <cell r="M395" t="str">
            <v>H</v>
          </cell>
          <cell r="N395" t="str">
            <v>H</v>
          </cell>
          <cell r="O395" t="str">
            <v>H</v>
          </cell>
          <cell r="P395" t="str">
            <v>H</v>
          </cell>
          <cell r="Q395" t="str">
            <v>H</v>
          </cell>
          <cell r="R395" t="str">
            <v>H</v>
          </cell>
          <cell r="S395" t="str">
            <v>H</v>
          </cell>
          <cell r="T395" t="str">
            <v>H</v>
          </cell>
          <cell r="U395" t="str">
            <v>H</v>
          </cell>
          <cell r="V395" t="str">
            <v>H</v>
          </cell>
          <cell r="W395" t="str">
            <v>H</v>
          </cell>
        </row>
        <row r="396">
          <cell r="A396">
            <v>44662</v>
          </cell>
          <cell r="B396">
            <v>64300</v>
          </cell>
          <cell r="C396">
            <v>64800</v>
          </cell>
          <cell r="D396">
            <v>61200</v>
          </cell>
          <cell r="E396">
            <v>58700</v>
          </cell>
          <cell r="F396">
            <v>63700</v>
          </cell>
          <cell r="G396" t="str">
            <v>-</v>
          </cell>
          <cell r="H396">
            <v>62000</v>
          </cell>
          <cell r="I396">
            <v>60800</v>
          </cell>
          <cell r="J396">
            <v>62200</v>
          </cell>
          <cell r="K396" t="str">
            <v>-</v>
          </cell>
          <cell r="L396">
            <v>61100</v>
          </cell>
          <cell r="M396">
            <v>63800</v>
          </cell>
          <cell r="N396">
            <v>58700</v>
          </cell>
          <cell r="O396" t="str">
            <v>-</v>
          </cell>
          <cell r="P396">
            <v>57500</v>
          </cell>
          <cell r="Q396">
            <v>58000</v>
          </cell>
          <cell r="R396">
            <v>57800</v>
          </cell>
          <cell r="S396">
            <v>61500</v>
          </cell>
          <cell r="T396">
            <v>61000</v>
          </cell>
          <cell r="U396">
            <v>63000</v>
          </cell>
          <cell r="V396">
            <v>65200</v>
          </cell>
          <cell r="W396">
            <v>67700</v>
          </cell>
        </row>
        <row r="397">
          <cell r="A397">
            <v>44663</v>
          </cell>
          <cell r="B397">
            <v>64100</v>
          </cell>
          <cell r="C397">
            <v>64000</v>
          </cell>
          <cell r="D397">
            <v>60500</v>
          </cell>
          <cell r="E397">
            <v>58300</v>
          </cell>
          <cell r="F397">
            <v>62300</v>
          </cell>
          <cell r="G397" t="str">
            <v>-</v>
          </cell>
          <cell r="H397">
            <v>61500</v>
          </cell>
          <cell r="I397">
            <v>59800</v>
          </cell>
          <cell r="J397">
            <v>60500</v>
          </cell>
          <cell r="K397" t="str">
            <v>-</v>
          </cell>
          <cell r="L397">
            <v>60000</v>
          </cell>
          <cell r="M397">
            <v>62300</v>
          </cell>
          <cell r="N397">
            <v>58000</v>
          </cell>
          <cell r="O397" t="str">
            <v>-</v>
          </cell>
          <cell r="P397">
            <v>57000</v>
          </cell>
          <cell r="Q397">
            <v>58400</v>
          </cell>
          <cell r="R397">
            <v>57300</v>
          </cell>
          <cell r="S397">
            <v>61100</v>
          </cell>
          <cell r="T397">
            <v>60800</v>
          </cell>
          <cell r="U397">
            <v>62300</v>
          </cell>
          <cell r="V397">
            <v>64800</v>
          </cell>
          <cell r="W397">
            <v>67200</v>
          </cell>
        </row>
        <row r="398">
          <cell r="A398">
            <v>44664</v>
          </cell>
          <cell r="B398">
            <v>64600</v>
          </cell>
          <cell r="C398">
            <v>64500</v>
          </cell>
          <cell r="D398">
            <v>61500</v>
          </cell>
          <cell r="E398">
            <v>59700</v>
          </cell>
          <cell r="F398">
            <v>62600</v>
          </cell>
          <cell r="G398" t="str">
            <v>-</v>
          </cell>
          <cell r="H398">
            <v>62000</v>
          </cell>
          <cell r="I398">
            <v>60800</v>
          </cell>
          <cell r="J398">
            <v>61700</v>
          </cell>
          <cell r="K398" t="str">
            <v>-</v>
          </cell>
          <cell r="L398">
            <v>61000</v>
          </cell>
          <cell r="M398">
            <v>63100</v>
          </cell>
          <cell r="N398">
            <v>60000</v>
          </cell>
          <cell r="O398" t="str">
            <v>-</v>
          </cell>
          <cell r="P398">
            <v>59000</v>
          </cell>
          <cell r="Q398">
            <v>59100</v>
          </cell>
          <cell r="R398">
            <v>58500</v>
          </cell>
          <cell r="S398">
            <v>62500</v>
          </cell>
          <cell r="T398">
            <v>61700</v>
          </cell>
          <cell r="U398">
            <v>62800</v>
          </cell>
          <cell r="V398">
            <v>64800</v>
          </cell>
          <cell r="W398">
            <v>67200</v>
          </cell>
        </row>
        <row r="399">
          <cell r="A399">
            <v>44665</v>
          </cell>
          <cell r="B399">
            <v>64900</v>
          </cell>
          <cell r="C399">
            <v>65000</v>
          </cell>
          <cell r="D399">
            <v>61500</v>
          </cell>
          <cell r="E399">
            <v>59700</v>
          </cell>
          <cell r="F399">
            <v>63000</v>
          </cell>
          <cell r="G399" t="str">
            <v>-</v>
          </cell>
          <cell r="H399">
            <v>62000</v>
          </cell>
          <cell r="I399">
            <v>61400</v>
          </cell>
          <cell r="J399">
            <v>61700</v>
          </cell>
          <cell r="K399" t="str">
            <v>-</v>
          </cell>
          <cell r="L399">
            <v>61500</v>
          </cell>
          <cell r="M399">
            <v>63400</v>
          </cell>
          <cell r="N399">
            <v>60000</v>
          </cell>
          <cell r="O399" t="str">
            <v>-</v>
          </cell>
          <cell r="P399">
            <v>59200</v>
          </cell>
          <cell r="Q399">
            <v>59500</v>
          </cell>
          <cell r="R399">
            <v>59000</v>
          </cell>
          <cell r="S399">
            <v>62500</v>
          </cell>
          <cell r="T399">
            <v>62000</v>
          </cell>
          <cell r="U399">
            <v>62800</v>
          </cell>
          <cell r="V399">
            <v>64500</v>
          </cell>
          <cell r="W399">
            <v>67000</v>
          </cell>
        </row>
        <row r="400">
          <cell r="A400">
            <v>44666</v>
          </cell>
          <cell r="B400">
            <v>65500</v>
          </cell>
          <cell r="C400">
            <v>66000</v>
          </cell>
          <cell r="D400">
            <v>62000</v>
          </cell>
          <cell r="E400">
            <v>61500</v>
          </cell>
          <cell r="F400">
            <v>63400</v>
          </cell>
          <cell r="G400" t="str">
            <v>-</v>
          </cell>
          <cell r="H400">
            <v>63500</v>
          </cell>
          <cell r="I400">
            <v>62500</v>
          </cell>
          <cell r="J400">
            <v>63200</v>
          </cell>
          <cell r="K400" t="str">
            <v>-</v>
          </cell>
          <cell r="L400">
            <v>63000</v>
          </cell>
          <cell r="M400">
            <v>64400</v>
          </cell>
          <cell r="N400">
            <v>62500</v>
          </cell>
          <cell r="O400" t="str">
            <v>-</v>
          </cell>
          <cell r="P400">
            <v>61000</v>
          </cell>
          <cell r="Q400">
            <v>60600</v>
          </cell>
          <cell r="R400">
            <v>60500</v>
          </cell>
          <cell r="S400">
            <v>64500</v>
          </cell>
          <cell r="T400">
            <v>62800</v>
          </cell>
          <cell r="U400">
            <v>63800</v>
          </cell>
          <cell r="V400">
            <v>64800</v>
          </cell>
          <cell r="W400">
            <v>67400</v>
          </cell>
        </row>
        <row r="401">
          <cell r="A401">
            <v>44667</v>
          </cell>
          <cell r="B401">
            <v>65500</v>
          </cell>
          <cell r="C401">
            <v>66000</v>
          </cell>
          <cell r="D401">
            <v>64700</v>
          </cell>
          <cell r="E401">
            <v>61500</v>
          </cell>
          <cell r="F401">
            <v>64100</v>
          </cell>
          <cell r="G401" t="str">
            <v>-</v>
          </cell>
          <cell r="H401">
            <v>64500</v>
          </cell>
          <cell r="I401">
            <v>64000</v>
          </cell>
          <cell r="J401">
            <v>63200</v>
          </cell>
          <cell r="K401" t="str">
            <v>-</v>
          </cell>
          <cell r="L401">
            <v>64500</v>
          </cell>
          <cell r="M401">
            <v>64400</v>
          </cell>
          <cell r="N401">
            <v>63000</v>
          </cell>
          <cell r="O401" t="str">
            <v>-</v>
          </cell>
          <cell r="P401">
            <v>60500</v>
          </cell>
          <cell r="Q401">
            <v>60800</v>
          </cell>
          <cell r="R401">
            <v>61500</v>
          </cell>
          <cell r="S401">
            <v>64500</v>
          </cell>
          <cell r="T401">
            <v>63400</v>
          </cell>
          <cell r="U401">
            <v>64800</v>
          </cell>
          <cell r="V401">
            <v>65200</v>
          </cell>
          <cell r="W401">
            <v>67800</v>
          </cell>
        </row>
        <row r="402">
          <cell r="A402">
            <v>44668</v>
          </cell>
          <cell r="B402" t="str">
            <v>H</v>
          </cell>
          <cell r="C402" t="str">
            <v>H</v>
          </cell>
          <cell r="D402" t="str">
            <v>H</v>
          </cell>
          <cell r="E402" t="str">
            <v>H</v>
          </cell>
          <cell r="F402" t="str">
            <v>H</v>
          </cell>
          <cell r="G402" t="str">
            <v>H</v>
          </cell>
          <cell r="H402" t="str">
            <v>H</v>
          </cell>
          <cell r="I402" t="str">
            <v>H</v>
          </cell>
          <cell r="J402" t="str">
            <v>H</v>
          </cell>
          <cell r="K402" t="str">
            <v>H</v>
          </cell>
          <cell r="L402" t="str">
            <v>H</v>
          </cell>
          <cell r="M402" t="str">
            <v>H</v>
          </cell>
          <cell r="N402" t="str">
            <v>H</v>
          </cell>
          <cell r="O402" t="str">
            <v>H</v>
          </cell>
          <cell r="P402" t="str">
            <v>H</v>
          </cell>
          <cell r="Q402" t="str">
            <v>H</v>
          </cell>
          <cell r="R402" t="str">
            <v>H</v>
          </cell>
          <cell r="S402" t="str">
            <v>H</v>
          </cell>
          <cell r="T402" t="str">
            <v>H</v>
          </cell>
          <cell r="U402" t="str">
            <v>H</v>
          </cell>
          <cell r="V402" t="str">
            <v>H</v>
          </cell>
          <cell r="W402" t="str">
            <v>H</v>
          </cell>
        </row>
        <row r="403">
          <cell r="A403">
            <v>44669</v>
          </cell>
          <cell r="B403">
            <v>66700</v>
          </cell>
          <cell r="C403">
            <v>67000</v>
          </cell>
          <cell r="D403">
            <v>66800</v>
          </cell>
          <cell r="E403">
            <v>63300</v>
          </cell>
          <cell r="F403">
            <v>66700</v>
          </cell>
          <cell r="G403" t="str">
            <v>-</v>
          </cell>
          <cell r="H403">
            <v>65000</v>
          </cell>
          <cell r="I403">
            <v>65900</v>
          </cell>
          <cell r="J403">
            <v>65200</v>
          </cell>
          <cell r="K403" t="str">
            <v>-</v>
          </cell>
          <cell r="L403">
            <v>65600</v>
          </cell>
          <cell r="M403">
            <v>66100</v>
          </cell>
          <cell r="N403">
            <v>65500</v>
          </cell>
          <cell r="O403" t="str">
            <v>-</v>
          </cell>
          <cell r="P403">
            <v>62500</v>
          </cell>
          <cell r="Q403">
            <v>63200</v>
          </cell>
          <cell r="R403">
            <v>63000</v>
          </cell>
          <cell r="S403">
            <v>66000</v>
          </cell>
          <cell r="T403">
            <v>66000</v>
          </cell>
          <cell r="U403">
            <v>66300</v>
          </cell>
          <cell r="V403">
            <v>66300</v>
          </cell>
          <cell r="W403">
            <v>68900</v>
          </cell>
        </row>
        <row r="404">
          <cell r="A404">
            <v>44670</v>
          </cell>
          <cell r="B404">
            <v>66700</v>
          </cell>
          <cell r="C404">
            <v>67000</v>
          </cell>
          <cell r="D404">
            <v>66800</v>
          </cell>
          <cell r="E404">
            <v>62800</v>
          </cell>
          <cell r="F404">
            <v>66700</v>
          </cell>
          <cell r="G404" t="str">
            <v>-</v>
          </cell>
          <cell r="H404">
            <v>64500</v>
          </cell>
          <cell r="I404">
            <v>66500</v>
          </cell>
          <cell r="J404">
            <v>65200</v>
          </cell>
          <cell r="K404" t="str">
            <v>-</v>
          </cell>
          <cell r="L404">
            <v>66400</v>
          </cell>
          <cell r="M404">
            <v>66300</v>
          </cell>
          <cell r="N404">
            <v>64800</v>
          </cell>
          <cell r="O404" t="str">
            <v>-</v>
          </cell>
          <cell r="P404">
            <v>62500</v>
          </cell>
          <cell r="Q404">
            <v>63200</v>
          </cell>
          <cell r="R404">
            <v>62900</v>
          </cell>
          <cell r="S404">
            <v>65600</v>
          </cell>
          <cell r="T404">
            <v>66000</v>
          </cell>
          <cell r="U404">
            <v>66300</v>
          </cell>
          <cell r="V404">
            <v>66300</v>
          </cell>
          <cell r="W404">
            <v>68900</v>
          </cell>
        </row>
        <row r="405">
          <cell r="A405">
            <v>44671</v>
          </cell>
          <cell r="B405">
            <v>66000</v>
          </cell>
          <cell r="C405">
            <v>66000</v>
          </cell>
          <cell r="D405">
            <v>66700</v>
          </cell>
          <cell r="E405">
            <v>62300</v>
          </cell>
          <cell r="F405">
            <v>66300</v>
          </cell>
          <cell r="G405" t="str">
            <v>-</v>
          </cell>
          <cell r="H405">
            <v>64500</v>
          </cell>
          <cell r="I405">
            <v>66300</v>
          </cell>
          <cell r="J405">
            <v>65200</v>
          </cell>
          <cell r="K405" t="str">
            <v>-</v>
          </cell>
          <cell r="L405">
            <v>66000</v>
          </cell>
          <cell r="M405">
            <v>66300</v>
          </cell>
          <cell r="N405">
            <v>64300</v>
          </cell>
          <cell r="O405" t="str">
            <v>-</v>
          </cell>
          <cell r="P405">
            <v>61500</v>
          </cell>
          <cell r="Q405">
            <v>63200</v>
          </cell>
          <cell r="R405">
            <v>62200</v>
          </cell>
          <cell r="S405">
            <v>65000</v>
          </cell>
          <cell r="T405">
            <v>66000</v>
          </cell>
          <cell r="U405">
            <v>65800</v>
          </cell>
          <cell r="V405">
            <v>66300</v>
          </cell>
          <cell r="W405">
            <v>68900</v>
          </cell>
        </row>
        <row r="406">
          <cell r="A406">
            <v>44672</v>
          </cell>
          <cell r="B406">
            <v>66000</v>
          </cell>
          <cell r="C406">
            <v>66000</v>
          </cell>
          <cell r="D406">
            <v>66700</v>
          </cell>
          <cell r="E406">
            <v>61800</v>
          </cell>
          <cell r="F406">
            <v>66300</v>
          </cell>
          <cell r="G406" t="str">
            <v>-</v>
          </cell>
          <cell r="H406">
            <v>64500</v>
          </cell>
          <cell r="I406">
            <v>66300</v>
          </cell>
          <cell r="J406">
            <v>65200</v>
          </cell>
          <cell r="K406" t="str">
            <v>-</v>
          </cell>
          <cell r="L406">
            <v>66000</v>
          </cell>
          <cell r="M406">
            <v>66300</v>
          </cell>
          <cell r="N406">
            <v>64300</v>
          </cell>
          <cell r="O406" t="str">
            <v>-</v>
          </cell>
          <cell r="P406">
            <v>61800</v>
          </cell>
          <cell r="Q406">
            <v>63000</v>
          </cell>
          <cell r="R406">
            <v>62400</v>
          </cell>
          <cell r="S406">
            <v>64800</v>
          </cell>
          <cell r="T406">
            <v>65300</v>
          </cell>
          <cell r="U406">
            <v>65800</v>
          </cell>
          <cell r="V406">
            <v>66300</v>
          </cell>
          <cell r="W406">
            <v>68900</v>
          </cell>
        </row>
        <row r="407">
          <cell r="A407">
            <v>44673</v>
          </cell>
          <cell r="B407">
            <v>65300</v>
          </cell>
          <cell r="C407">
            <v>65500</v>
          </cell>
          <cell r="D407">
            <v>66700</v>
          </cell>
          <cell r="E407">
            <v>60500</v>
          </cell>
          <cell r="F407">
            <v>66200</v>
          </cell>
          <cell r="G407" t="str">
            <v>-</v>
          </cell>
          <cell r="H407">
            <v>64000</v>
          </cell>
          <cell r="I407">
            <v>65500</v>
          </cell>
          <cell r="J407">
            <v>64900</v>
          </cell>
          <cell r="K407" t="str">
            <v>-</v>
          </cell>
          <cell r="L407">
            <v>65400</v>
          </cell>
          <cell r="M407">
            <v>65800</v>
          </cell>
          <cell r="N407">
            <v>63500</v>
          </cell>
          <cell r="O407" t="str">
            <v>-</v>
          </cell>
          <cell r="P407">
            <v>60500</v>
          </cell>
          <cell r="Q407">
            <v>62000</v>
          </cell>
          <cell r="R407">
            <v>61500</v>
          </cell>
          <cell r="S407">
            <v>63500</v>
          </cell>
          <cell r="T407">
            <v>64500</v>
          </cell>
          <cell r="U407">
            <v>63800</v>
          </cell>
          <cell r="V407">
            <v>66000</v>
          </cell>
          <cell r="W407">
            <v>68700</v>
          </cell>
        </row>
        <row r="408">
          <cell r="A408">
            <v>44674</v>
          </cell>
          <cell r="B408">
            <v>64500</v>
          </cell>
          <cell r="C408">
            <v>65500</v>
          </cell>
          <cell r="D408">
            <v>65200</v>
          </cell>
          <cell r="E408">
            <v>60500</v>
          </cell>
          <cell r="F408">
            <v>66000</v>
          </cell>
          <cell r="G408" t="str">
            <v>-</v>
          </cell>
          <cell r="H408">
            <v>63500</v>
          </cell>
          <cell r="I408">
            <v>64300</v>
          </cell>
          <cell r="J408">
            <v>64100</v>
          </cell>
          <cell r="K408" t="str">
            <v>-</v>
          </cell>
          <cell r="L408">
            <v>63800</v>
          </cell>
          <cell r="M408">
            <v>64800</v>
          </cell>
          <cell r="N408">
            <v>62100</v>
          </cell>
          <cell r="O408" t="str">
            <v>-</v>
          </cell>
          <cell r="P408">
            <v>60000</v>
          </cell>
          <cell r="Q408">
            <v>61200</v>
          </cell>
          <cell r="R408">
            <v>60700</v>
          </cell>
          <cell r="S408">
            <v>63500</v>
          </cell>
          <cell r="T408">
            <v>64000</v>
          </cell>
          <cell r="U408">
            <v>63800</v>
          </cell>
          <cell r="V408">
            <v>66000</v>
          </cell>
          <cell r="W408">
            <v>68500</v>
          </cell>
        </row>
        <row r="409">
          <cell r="A409">
            <v>44675</v>
          </cell>
          <cell r="B409" t="str">
            <v>H</v>
          </cell>
          <cell r="C409" t="str">
            <v>H</v>
          </cell>
          <cell r="D409" t="str">
            <v>H</v>
          </cell>
          <cell r="E409" t="str">
            <v>H</v>
          </cell>
          <cell r="F409" t="str">
            <v>H</v>
          </cell>
          <cell r="G409" t="str">
            <v>H</v>
          </cell>
          <cell r="H409" t="str">
            <v>H</v>
          </cell>
          <cell r="I409" t="str">
            <v>H</v>
          </cell>
          <cell r="J409" t="str">
            <v>H</v>
          </cell>
          <cell r="K409" t="str">
            <v>H</v>
          </cell>
          <cell r="L409" t="str">
            <v>H</v>
          </cell>
          <cell r="M409" t="str">
            <v>H</v>
          </cell>
          <cell r="N409" t="str">
            <v>H</v>
          </cell>
          <cell r="O409" t="str">
            <v>H</v>
          </cell>
          <cell r="P409" t="str">
            <v>H</v>
          </cell>
          <cell r="Q409" t="str">
            <v>H</v>
          </cell>
          <cell r="R409" t="str">
            <v>H</v>
          </cell>
          <cell r="S409" t="str">
            <v>H</v>
          </cell>
          <cell r="T409" t="str">
            <v>H</v>
          </cell>
          <cell r="U409" t="str">
            <v>H</v>
          </cell>
          <cell r="V409" t="str">
            <v>H</v>
          </cell>
          <cell r="W409" t="str">
            <v>H</v>
          </cell>
        </row>
        <row r="410">
          <cell r="A410">
            <v>44676</v>
          </cell>
          <cell r="B410">
            <v>64300</v>
          </cell>
          <cell r="C410">
            <v>64800</v>
          </cell>
          <cell r="D410">
            <v>63700</v>
          </cell>
          <cell r="E410">
            <v>59500</v>
          </cell>
          <cell r="F410">
            <v>64800</v>
          </cell>
          <cell r="G410" t="str">
            <v>-</v>
          </cell>
          <cell r="H410">
            <v>63000</v>
          </cell>
          <cell r="I410">
            <v>62600</v>
          </cell>
          <cell r="J410">
            <v>63700</v>
          </cell>
          <cell r="K410" t="str">
            <v>-</v>
          </cell>
          <cell r="L410">
            <v>62700</v>
          </cell>
          <cell r="M410">
            <v>64300</v>
          </cell>
          <cell r="N410">
            <v>61200</v>
          </cell>
          <cell r="O410" t="str">
            <v>-</v>
          </cell>
          <cell r="P410">
            <v>58500</v>
          </cell>
          <cell r="Q410">
            <v>60000</v>
          </cell>
          <cell r="R410">
            <v>60300</v>
          </cell>
          <cell r="S410">
            <v>62300</v>
          </cell>
          <cell r="T410">
            <v>63700</v>
          </cell>
          <cell r="U410">
            <v>62800</v>
          </cell>
          <cell r="V410">
            <v>65200</v>
          </cell>
          <cell r="W410">
            <v>67600</v>
          </cell>
        </row>
        <row r="411">
          <cell r="A411">
            <v>44677</v>
          </cell>
          <cell r="B411">
            <v>63600</v>
          </cell>
          <cell r="C411">
            <v>64800</v>
          </cell>
          <cell r="D411">
            <v>62500</v>
          </cell>
          <cell r="E411">
            <v>59000</v>
          </cell>
          <cell r="F411">
            <v>63900</v>
          </cell>
          <cell r="G411" t="str">
            <v>-</v>
          </cell>
          <cell r="H411">
            <v>63000</v>
          </cell>
          <cell r="I411">
            <v>62200</v>
          </cell>
          <cell r="J411">
            <v>63100</v>
          </cell>
          <cell r="K411" t="str">
            <v>-</v>
          </cell>
          <cell r="L411">
            <v>62000</v>
          </cell>
          <cell r="M411">
            <v>63400</v>
          </cell>
          <cell r="N411">
            <v>60000</v>
          </cell>
          <cell r="O411" t="str">
            <v>-</v>
          </cell>
          <cell r="P411">
            <v>58000</v>
          </cell>
          <cell r="Q411">
            <v>60000</v>
          </cell>
          <cell r="R411">
            <v>59500</v>
          </cell>
          <cell r="S411">
            <v>61800</v>
          </cell>
          <cell r="T411">
            <v>63000</v>
          </cell>
          <cell r="U411">
            <v>62800</v>
          </cell>
          <cell r="V411">
            <v>65200</v>
          </cell>
          <cell r="W411">
            <v>67600</v>
          </cell>
        </row>
        <row r="412">
          <cell r="A412">
            <v>44678</v>
          </cell>
          <cell r="B412">
            <v>63500</v>
          </cell>
          <cell r="C412">
            <v>64500</v>
          </cell>
          <cell r="D412">
            <v>62000</v>
          </cell>
          <cell r="E412">
            <v>58500</v>
          </cell>
          <cell r="F412">
            <v>64200</v>
          </cell>
          <cell r="G412" t="str">
            <v>-</v>
          </cell>
          <cell r="H412">
            <v>62500</v>
          </cell>
          <cell r="I412">
            <v>61500</v>
          </cell>
          <cell r="J412">
            <v>62700</v>
          </cell>
          <cell r="K412" t="str">
            <v>-</v>
          </cell>
          <cell r="L412">
            <v>61000</v>
          </cell>
          <cell r="M412">
            <v>63400</v>
          </cell>
          <cell r="N412">
            <v>59000</v>
          </cell>
          <cell r="O412" t="str">
            <v>-</v>
          </cell>
          <cell r="P412">
            <v>58000</v>
          </cell>
          <cell r="Q412">
            <v>60200</v>
          </cell>
          <cell r="R412">
            <v>58700</v>
          </cell>
          <cell r="S412">
            <v>61300</v>
          </cell>
          <cell r="T412">
            <v>62500</v>
          </cell>
          <cell r="U412">
            <v>62800</v>
          </cell>
          <cell r="V412">
            <v>65200</v>
          </cell>
          <cell r="W412">
            <v>67600</v>
          </cell>
        </row>
        <row r="413">
          <cell r="A413">
            <v>44679</v>
          </cell>
          <cell r="B413">
            <v>63800</v>
          </cell>
          <cell r="C413">
            <v>64700</v>
          </cell>
          <cell r="D413">
            <v>62500</v>
          </cell>
          <cell r="E413">
            <v>60000</v>
          </cell>
          <cell r="F413">
            <v>64200</v>
          </cell>
          <cell r="G413" t="str">
            <v>-</v>
          </cell>
          <cell r="H413">
            <v>63000</v>
          </cell>
          <cell r="I413">
            <v>62000</v>
          </cell>
          <cell r="J413">
            <v>63000</v>
          </cell>
          <cell r="K413" t="str">
            <v>-</v>
          </cell>
          <cell r="L413">
            <v>62300</v>
          </cell>
          <cell r="M413">
            <v>63800</v>
          </cell>
          <cell r="N413">
            <v>60500</v>
          </cell>
          <cell r="O413" t="str">
            <v>-</v>
          </cell>
          <cell r="P413">
            <v>59500</v>
          </cell>
          <cell r="Q413">
            <v>60400</v>
          </cell>
          <cell r="R413">
            <v>59700</v>
          </cell>
          <cell r="S413">
            <v>62800</v>
          </cell>
          <cell r="T413">
            <v>62800</v>
          </cell>
          <cell r="U413">
            <v>63800</v>
          </cell>
          <cell r="V413">
            <v>65500</v>
          </cell>
          <cell r="W413">
            <v>67900</v>
          </cell>
        </row>
        <row r="414">
          <cell r="A414">
            <v>44680</v>
          </cell>
          <cell r="B414">
            <v>64500</v>
          </cell>
          <cell r="C414">
            <v>65200</v>
          </cell>
          <cell r="D414">
            <v>65000</v>
          </cell>
          <cell r="E414">
            <v>61000</v>
          </cell>
          <cell r="F414">
            <v>64800</v>
          </cell>
          <cell r="G414" t="str">
            <v>-</v>
          </cell>
          <cell r="H414">
            <v>63500</v>
          </cell>
          <cell r="I414">
            <v>63800</v>
          </cell>
          <cell r="J414">
            <v>63300</v>
          </cell>
          <cell r="K414" t="str">
            <v>-</v>
          </cell>
          <cell r="L414">
            <v>65000</v>
          </cell>
          <cell r="M414">
            <v>64200</v>
          </cell>
          <cell r="N414">
            <v>62500</v>
          </cell>
          <cell r="O414" t="str">
            <v>-</v>
          </cell>
          <cell r="P414">
            <v>60500</v>
          </cell>
          <cell r="Q414">
            <v>60900</v>
          </cell>
          <cell r="R414">
            <v>60800</v>
          </cell>
          <cell r="S414">
            <v>63800</v>
          </cell>
          <cell r="T414">
            <v>63500</v>
          </cell>
          <cell r="U414">
            <v>64800</v>
          </cell>
          <cell r="V414">
            <v>65700</v>
          </cell>
          <cell r="W414">
            <v>68000</v>
          </cell>
        </row>
        <row r="415">
          <cell r="A415">
            <v>44681</v>
          </cell>
          <cell r="B415">
            <v>64100</v>
          </cell>
          <cell r="C415">
            <v>65500</v>
          </cell>
          <cell r="D415">
            <v>65000</v>
          </cell>
          <cell r="E415">
            <v>60500</v>
          </cell>
          <cell r="F415">
            <v>64800</v>
          </cell>
          <cell r="G415" t="str">
            <v>-</v>
          </cell>
          <cell r="H415">
            <v>63500</v>
          </cell>
          <cell r="I415">
            <v>63500</v>
          </cell>
          <cell r="J415">
            <v>63300</v>
          </cell>
          <cell r="K415" t="str">
            <v>-</v>
          </cell>
          <cell r="L415">
            <v>64600</v>
          </cell>
          <cell r="M415">
            <v>64700</v>
          </cell>
          <cell r="N415">
            <v>62500</v>
          </cell>
          <cell r="O415" t="str">
            <v>-</v>
          </cell>
          <cell r="P415">
            <v>60000</v>
          </cell>
          <cell r="Q415">
            <v>60700</v>
          </cell>
          <cell r="R415">
            <v>60200</v>
          </cell>
          <cell r="S415">
            <v>63300</v>
          </cell>
          <cell r="T415">
            <v>63300</v>
          </cell>
          <cell r="U415" t="str">
            <v>-</v>
          </cell>
          <cell r="V415">
            <v>65700</v>
          </cell>
          <cell r="W415">
            <v>68000</v>
          </cell>
        </row>
        <row r="416">
          <cell r="A416">
            <v>44682</v>
          </cell>
          <cell r="B416" t="str">
            <v>H</v>
          </cell>
          <cell r="C416" t="str">
            <v>H</v>
          </cell>
          <cell r="D416" t="str">
            <v>H</v>
          </cell>
          <cell r="E416" t="str">
            <v>H</v>
          </cell>
          <cell r="F416" t="str">
            <v>H</v>
          </cell>
          <cell r="G416" t="str">
            <v>H</v>
          </cell>
          <cell r="H416" t="str">
            <v>H</v>
          </cell>
          <cell r="I416" t="str">
            <v>H</v>
          </cell>
          <cell r="J416" t="str">
            <v>H</v>
          </cell>
          <cell r="K416" t="str">
            <v>H</v>
          </cell>
          <cell r="L416" t="str">
            <v>H</v>
          </cell>
          <cell r="M416" t="str">
            <v>H</v>
          </cell>
          <cell r="N416" t="str">
            <v>H</v>
          </cell>
          <cell r="O416" t="str">
            <v>H</v>
          </cell>
          <cell r="P416" t="str">
            <v>H</v>
          </cell>
          <cell r="Q416" t="str">
            <v>H</v>
          </cell>
          <cell r="R416" t="str">
            <v>H</v>
          </cell>
          <cell r="S416" t="str">
            <v>H</v>
          </cell>
          <cell r="T416" t="str">
            <v>H</v>
          </cell>
          <cell r="U416" t="str">
            <v>H</v>
          </cell>
          <cell r="V416" t="str">
            <v>H</v>
          </cell>
          <cell r="W416" t="str">
            <v>H</v>
          </cell>
        </row>
        <row r="417">
          <cell r="A417">
            <v>44683</v>
          </cell>
          <cell r="B417">
            <v>62900</v>
          </cell>
          <cell r="C417">
            <v>65000</v>
          </cell>
          <cell r="D417">
            <v>65200</v>
          </cell>
          <cell r="E417">
            <v>60500</v>
          </cell>
          <cell r="F417">
            <v>64800</v>
          </cell>
          <cell r="G417" t="str">
            <v>-</v>
          </cell>
          <cell r="H417">
            <v>63000</v>
          </cell>
          <cell r="I417">
            <v>63500</v>
          </cell>
          <cell r="J417">
            <v>63300</v>
          </cell>
          <cell r="K417" t="str">
            <v>-</v>
          </cell>
          <cell r="L417">
            <v>64300</v>
          </cell>
          <cell r="M417">
            <v>64700</v>
          </cell>
          <cell r="N417">
            <v>62500</v>
          </cell>
          <cell r="O417" t="str">
            <v>-</v>
          </cell>
          <cell r="P417">
            <v>60000</v>
          </cell>
          <cell r="Q417">
            <v>60600</v>
          </cell>
          <cell r="R417">
            <v>60000</v>
          </cell>
          <cell r="S417">
            <v>63300</v>
          </cell>
          <cell r="T417">
            <v>63000</v>
          </cell>
          <cell r="U417">
            <v>64500</v>
          </cell>
          <cell r="V417">
            <v>65700</v>
          </cell>
          <cell r="W417">
            <v>68000</v>
          </cell>
        </row>
        <row r="418">
          <cell r="A418">
            <v>44684</v>
          </cell>
          <cell r="B418">
            <v>62900</v>
          </cell>
          <cell r="C418">
            <v>65000</v>
          </cell>
          <cell r="D418">
            <v>65000</v>
          </cell>
          <cell r="E418">
            <v>60000</v>
          </cell>
          <cell r="F418">
            <v>64600</v>
          </cell>
          <cell r="G418" t="str">
            <v>-</v>
          </cell>
          <cell r="H418">
            <v>63000</v>
          </cell>
          <cell r="I418">
            <v>63200</v>
          </cell>
          <cell r="J418">
            <v>63000</v>
          </cell>
          <cell r="K418" t="str">
            <v>-</v>
          </cell>
          <cell r="L418">
            <v>64000</v>
          </cell>
          <cell r="M418">
            <v>64700</v>
          </cell>
          <cell r="N418">
            <v>62000</v>
          </cell>
          <cell r="O418" t="str">
            <v>-</v>
          </cell>
          <cell r="P418">
            <v>59500</v>
          </cell>
          <cell r="Q418">
            <v>60200</v>
          </cell>
          <cell r="R418">
            <v>59700</v>
          </cell>
          <cell r="S418">
            <v>62800</v>
          </cell>
          <cell r="T418">
            <v>62800</v>
          </cell>
          <cell r="U418">
            <v>63800</v>
          </cell>
          <cell r="V418">
            <v>65700</v>
          </cell>
          <cell r="W418">
            <v>68000</v>
          </cell>
        </row>
        <row r="419">
          <cell r="A419">
            <v>44685</v>
          </cell>
          <cell r="B419">
            <v>62000</v>
          </cell>
          <cell r="C419">
            <v>64500</v>
          </cell>
          <cell r="D419">
            <v>64000</v>
          </cell>
          <cell r="E419">
            <v>59000</v>
          </cell>
          <cell r="F419">
            <v>64100</v>
          </cell>
          <cell r="G419" t="str">
            <v>-</v>
          </cell>
          <cell r="H419">
            <v>63000</v>
          </cell>
          <cell r="I419">
            <v>62500</v>
          </cell>
          <cell r="J419">
            <v>62900</v>
          </cell>
          <cell r="K419" t="str">
            <v>-</v>
          </cell>
          <cell r="L419">
            <v>63200</v>
          </cell>
          <cell r="M419">
            <v>64200</v>
          </cell>
          <cell r="N419">
            <v>60500</v>
          </cell>
          <cell r="O419" t="str">
            <v>-</v>
          </cell>
          <cell r="P419">
            <v>58600</v>
          </cell>
          <cell r="Q419">
            <v>59500</v>
          </cell>
          <cell r="R419">
            <v>59000</v>
          </cell>
          <cell r="S419">
            <v>61800</v>
          </cell>
          <cell r="T419">
            <v>62000</v>
          </cell>
          <cell r="U419">
            <v>63300</v>
          </cell>
          <cell r="V419">
            <v>65000</v>
          </cell>
          <cell r="W419">
            <v>67500</v>
          </cell>
        </row>
        <row r="420">
          <cell r="A420">
            <v>44686</v>
          </cell>
          <cell r="B420">
            <v>61800</v>
          </cell>
          <cell r="C420">
            <v>64000</v>
          </cell>
          <cell r="D420">
            <v>63500</v>
          </cell>
          <cell r="E420">
            <v>58500</v>
          </cell>
          <cell r="F420">
            <v>63300</v>
          </cell>
          <cell r="G420" t="str">
            <v>-</v>
          </cell>
          <cell r="H420">
            <v>62500</v>
          </cell>
          <cell r="I420">
            <v>62000</v>
          </cell>
          <cell r="J420">
            <v>62000</v>
          </cell>
          <cell r="K420" t="str">
            <v>-</v>
          </cell>
          <cell r="L420">
            <v>62200</v>
          </cell>
          <cell r="M420">
            <v>63000</v>
          </cell>
          <cell r="N420">
            <v>60200</v>
          </cell>
          <cell r="O420" t="str">
            <v>-</v>
          </cell>
          <cell r="P420">
            <v>58000</v>
          </cell>
          <cell r="Q420">
            <v>59000</v>
          </cell>
          <cell r="R420">
            <v>58300</v>
          </cell>
          <cell r="S420">
            <v>61300</v>
          </cell>
          <cell r="T420">
            <v>61500</v>
          </cell>
          <cell r="U420">
            <v>63000</v>
          </cell>
          <cell r="V420">
            <v>64400</v>
          </cell>
          <cell r="W420">
            <v>66900</v>
          </cell>
        </row>
        <row r="421">
          <cell r="A421">
            <v>44687</v>
          </cell>
          <cell r="B421">
            <v>62300</v>
          </cell>
          <cell r="C421">
            <v>64500</v>
          </cell>
          <cell r="D421">
            <v>63500</v>
          </cell>
          <cell r="E421">
            <v>59000</v>
          </cell>
          <cell r="F421">
            <v>63500</v>
          </cell>
          <cell r="G421" t="str">
            <v>-</v>
          </cell>
          <cell r="H421">
            <v>62500</v>
          </cell>
          <cell r="I421">
            <v>62000</v>
          </cell>
          <cell r="J421">
            <v>62300</v>
          </cell>
          <cell r="K421" t="str">
            <v>-</v>
          </cell>
          <cell r="L421">
            <v>62200</v>
          </cell>
          <cell r="M421">
            <v>63300</v>
          </cell>
          <cell r="N421">
            <v>61200</v>
          </cell>
          <cell r="O421" t="str">
            <v>-</v>
          </cell>
          <cell r="P421">
            <v>58500</v>
          </cell>
          <cell r="Q421">
            <v>59000</v>
          </cell>
          <cell r="R421">
            <v>58700</v>
          </cell>
          <cell r="S421">
            <v>61800</v>
          </cell>
          <cell r="T421">
            <v>61500</v>
          </cell>
          <cell r="U421">
            <v>62800</v>
          </cell>
          <cell r="V421">
            <v>64400</v>
          </cell>
          <cell r="W421">
            <v>66600</v>
          </cell>
        </row>
        <row r="422">
          <cell r="A422">
            <v>44688</v>
          </cell>
          <cell r="B422">
            <v>61500</v>
          </cell>
          <cell r="C422">
            <v>64300</v>
          </cell>
          <cell r="D422">
            <v>64200</v>
          </cell>
          <cell r="E422">
            <v>59700</v>
          </cell>
          <cell r="F422">
            <v>63700</v>
          </cell>
          <cell r="G422" t="str">
            <v>-</v>
          </cell>
          <cell r="H422">
            <v>62500</v>
          </cell>
          <cell r="I422">
            <v>61500</v>
          </cell>
          <cell r="J422">
            <v>62300</v>
          </cell>
          <cell r="K422" t="str">
            <v>-</v>
          </cell>
          <cell r="L422">
            <v>62200</v>
          </cell>
          <cell r="M422">
            <v>63300</v>
          </cell>
          <cell r="N422">
            <v>61000</v>
          </cell>
          <cell r="O422" t="str">
            <v>-</v>
          </cell>
          <cell r="P422">
            <v>58500</v>
          </cell>
          <cell r="Q422">
            <v>59200</v>
          </cell>
          <cell r="R422">
            <v>58800</v>
          </cell>
          <cell r="S422">
            <v>62500</v>
          </cell>
          <cell r="T422">
            <v>61800</v>
          </cell>
          <cell r="U422">
            <v>62800</v>
          </cell>
          <cell r="V422">
            <v>64400</v>
          </cell>
          <cell r="W422">
            <v>66600</v>
          </cell>
        </row>
        <row r="423">
          <cell r="A423">
            <v>44689</v>
          </cell>
          <cell r="B423" t="str">
            <v>H</v>
          </cell>
          <cell r="C423" t="str">
            <v>H</v>
          </cell>
          <cell r="D423" t="str">
            <v>H</v>
          </cell>
          <cell r="E423" t="str">
            <v>H</v>
          </cell>
          <cell r="F423" t="str">
            <v>H</v>
          </cell>
          <cell r="G423" t="str">
            <v>H</v>
          </cell>
          <cell r="H423" t="str">
            <v>H</v>
          </cell>
          <cell r="I423" t="str">
            <v>H</v>
          </cell>
          <cell r="J423" t="str">
            <v>H</v>
          </cell>
          <cell r="K423" t="str">
            <v>H</v>
          </cell>
          <cell r="L423" t="str">
            <v>H</v>
          </cell>
          <cell r="M423" t="str">
            <v>H</v>
          </cell>
          <cell r="N423" t="str">
            <v>H</v>
          </cell>
          <cell r="O423" t="str">
            <v>H</v>
          </cell>
          <cell r="P423" t="str">
            <v>H</v>
          </cell>
          <cell r="Q423" t="str">
            <v>H</v>
          </cell>
          <cell r="R423" t="str">
            <v>H</v>
          </cell>
          <cell r="S423" t="str">
            <v>H</v>
          </cell>
          <cell r="T423" t="str">
            <v>H</v>
          </cell>
          <cell r="U423" t="str">
            <v>H</v>
          </cell>
          <cell r="V423" t="str">
            <v>H</v>
          </cell>
          <cell r="W423" t="str">
            <v>H</v>
          </cell>
        </row>
        <row r="424">
          <cell r="A424">
            <v>44690</v>
          </cell>
          <cell r="B424">
            <v>61500</v>
          </cell>
          <cell r="C424">
            <v>64200</v>
          </cell>
          <cell r="D424">
            <v>65000</v>
          </cell>
          <cell r="E424">
            <v>59000</v>
          </cell>
          <cell r="F424">
            <v>63500</v>
          </cell>
          <cell r="G424" t="str">
            <v>-</v>
          </cell>
          <cell r="H424">
            <v>62500</v>
          </cell>
          <cell r="I424">
            <v>61500</v>
          </cell>
          <cell r="J424">
            <v>61900</v>
          </cell>
          <cell r="K424" t="str">
            <v>-</v>
          </cell>
          <cell r="L424">
            <v>62500</v>
          </cell>
          <cell r="M424">
            <v>62800</v>
          </cell>
          <cell r="N424">
            <v>60000</v>
          </cell>
          <cell r="O424" t="str">
            <v>-</v>
          </cell>
          <cell r="P424">
            <v>58000</v>
          </cell>
          <cell r="Q424">
            <v>59000</v>
          </cell>
          <cell r="R424">
            <v>58700</v>
          </cell>
          <cell r="S424">
            <v>61800</v>
          </cell>
          <cell r="T424">
            <v>61300</v>
          </cell>
          <cell r="U424">
            <v>62800</v>
          </cell>
          <cell r="V424">
            <v>64000</v>
          </cell>
          <cell r="W424">
            <v>66300</v>
          </cell>
        </row>
        <row r="425">
          <cell r="A425">
            <v>44691</v>
          </cell>
          <cell r="B425">
            <v>60700</v>
          </cell>
          <cell r="C425">
            <v>64000</v>
          </cell>
          <cell r="D425">
            <v>63500</v>
          </cell>
          <cell r="E425">
            <v>58000</v>
          </cell>
          <cell r="F425">
            <v>63200</v>
          </cell>
          <cell r="G425" t="str">
            <v>-</v>
          </cell>
          <cell r="H425">
            <v>62000</v>
          </cell>
          <cell r="I425">
            <v>60600</v>
          </cell>
          <cell r="J425">
            <v>61200</v>
          </cell>
          <cell r="K425" t="str">
            <v>-</v>
          </cell>
          <cell r="L425">
            <v>62000</v>
          </cell>
          <cell r="M425">
            <v>62300</v>
          </cell>
          <cell r="N425">
            <v>59500</v>
          </cell>
          <cell r="O425" t="str">
            <v>-</v>
          </cell>
          <cell r="P425">
            <v>56900</v>
          </cell>
          <cell r="Q425">
            <v>58500</v>
          </cell>
          <cell r="R425">
            <v>57900</v>
          </cell>
          <cell r="S425">
            <v>60800</v>
          </cell>
          <cell r="T425">
            <v>60700</v>
          </cell>
          <cell r="U425">
            <v>62800</v>
          </cell>
          <cell r="V425">
            <v>63800</v>
          </cell>
          <cell r="W425">
            <v>66100</v>
          </cell>
        </row>
        <row r="426">
          <cell r="A426">
            <v>44692</v>
          </cell>
          <cell r="B426">
            <v>60700</v>
          </cell>
          <cell r="C426">
            <v>63500</v>
          </cell>
          <cell r="D426">
            <v>61700</v>
          </cell>
          <cell r="E426">
            <v>57000</v>
          </cell>
          <cell r="F426">
            <v>63000</v>
          </cell>
          <cell r="G426" t="str">
            <v>-</v>
          </cell>
          <cell r="H426">
            <v>61500</v>
          </cell>
          <cell r="I426">
            <v>60300</v>
          </cell>
          <cell r="J426">
            <v>59900</v>
          </cell>
          <cell r="K426" t="str">
            <v>-</v>
          </cell>
          <cell r="L426">
            <v>61000</v>
          </cell>
          <cell r="M426">
            <v>61300</v>
          </cell>
          <cell r="N426">
            <v>59000</v>
          </cell>
          <cell r="O426" t="str">
            <v>-</v>
          </cell>
          <cell r="P426">
            <v>56900</v>
          </cell>
          <cell r="Q426">
            <v>58200</v>
          </cell>
          <cell r="R426">
            <v>57500</v>
          </cell>
          <cell r="S426">
            <v>59800</v>
          </cell>
          <cell r="T426">
            <v>60200</v>
          </cell>
          <cell r="U426">
            <v>61300</v>
          </cell>
          <cell r="V426">
            <v>63400</v>
          </cell>
          <cell r="W426">
            <v>65800</v>
          </cell>
        </row>
        <row r="427">
          <cell r="A427">
            <v>44693</v>
          </cell>
          <cell r="B427">
            <v>60200</v>
          </cell>
          <cell r="C427">
            <v>63000</v>
          </cell>
          <cell r="D427">
            <v>62000</v>
          </cell>
          <cell r="E427">
            <v>57500</v>
          </cell>
          <cell r="F427">
            <v>61700</v>
          </cell>
          <cell r="G427" t="str">
            <v>-</v>
          </cell>
          <cell r="H427">
            <v>61500</v>
          </cell>
          <cell r="I427">
            <v>59400</v>
          </cell>
          <cell r="J427">
            <v>59300</v>
          </cell>
          <cell r="K427" t="str">
            <v>-</v>
          </cell>
          <cell r="L427">
            <v>61000</v>
          </cell>
          <cell r="M427">
            <v>60600</v>
          </cell>
          <cell r="N427">
            <v>59000</v>
          </cell>
          <cell r="O427" t="str">
            <v>-</v>
          </cell>
          <cell r="P427">
            <v>57000</v>
          </cell>
          <cell r="Q427">
            <v>57700</v>
          </cell>
          <cell r="R427">
            <v>57500</v>
          </cell>
          <cell r="S427">
            <v>60300</v>
          </cell>
          <cell r="T427">
            <v>60000</v>
          </cell>
          <cell r="U427">
            <v>61300</v>
          </cell>
          <cell r="V427">
            <v>63300</v>
          </cell>
          <cell r="W427">
            <v>65800</v>
          </cell>
        </row>
        <row r="428">
          <cell r="A428">
            <v>44694</v>
          </cell>
          <cell r="B428">
            <v>60200</v>
          </cell>
          <cell r="C428">
            <v>63000</v>
          </cell>
          <cell r="D428">
            <v>62000</v>
          </cell>
          <cell r="E428">
            <v>57000</v>
          </cell>
          <cell r="F428">
            <v>61700</v>
          </cell>
          <cell r="G428" t="str">
            <v>-</v>
          </cell>
          <cell r="H428">
            <v>61500</v>
          </cell>
          <cell r="I428">
            <v>59400</v>
          </cell>
          <cell r="J428">
            <v>59300</v>
          </cell>
          <cell r="K428" t="str">
            <v>-</v>
          </cell>
          <cell r="L428">
            <v>61000</v>
          </cell>
          <cell r="M428">
            <v>60600</v>
          </cell>
          <cell r="N428">
            <v>59000</v>
          </cell>
          <cell r="O428" t="str">
            <v>-</v>
          </cell>
          <cell r="P428">
            <v>57000</v>
          </cell>
          <cell r="Q428">
            <v>57700</v>
          </cell>
          <cell r="R428">
            <v>57500</v>
          </cell>
          <cell r="S428">
            <v>59800</v>
          </cell>
          <cell r="T428">
            <v>60000</v>
          </cell>
          <cell r="U428">
            <v>61300</v>
          </cell>
          <cell r="V428">
            <v>62800</v>
          </cell>
          <cell r="W428">
            <v>65400</v>
          </cell>
        </row>
        <row r="429">
          <cell r="A429">
            <v>44695</v>
          </cell>
          <cell r="B429">
            <v>60200</v>
          </cell>
          <cell r="C429">
            <v>63000</v>
          </cell>
          <cell r="D429">
            <v>62000</v>
          </cell>
          <cell r="E429">
            <v>57000</v>
          </cell>
          <cell r="F429">
            <v>61700</v>
          </cell>
          <cell r="G429" t="str">
            <v>-</v>
          </cell>
          <cell r="H429">
            <v>61000</v>
          </cell>
          <cell r="I429">
            <v>59400</v>
          </cell>
          <cell r="J429">
            <v>59300</v>
          </cell>
          <cell r="K429" t="str">
            <v>-</v>
          </cell>
          <cell r="L429">
            <v>61000</v>
          </cell>
          <cell r="M429">
            <v>60600</v>
          </cell>
          <cell r="N429">
            <v>59000</v>
          </cell>
          <cell r="O429" t="str">
            <v>-</v>
          </cell>
          <cell r="P429">
            <v>56900</v>
          </cell>
          <cell r="Q429">
            <v>57700</v>
          </cell>
          <cell r="R429">
            <v>57200</v>
          </cell>
          <cell r="S429">
            <v>59800</v>
          </cell>
          <cell r="T429">
            <v>60000</v>
          </cell>
          <cell r="U429">
            <v>61300</v>
          </cell>
          <cell r="V429">
            <v>62800</v>
          </cell>
          <cell r="W429">
            <v>65400</v>
          </cell>
        </row>
        <row r="430">
          <cell r="A430">
            <v>44696</v>
          </cell>
          <cell r="B430" t="str">
            <v>H</v>
          </cell>
          <cell r="C430" t="str">
            <v>H</v>
          </cell>
          <cell r="D430" t="str">
            <v>H</v>
          </cell>
          <cell r="E430" t="str">
            <v>H</v>
          </cell>
          <cell r="F430" t="str">
            <v>H</v>
          </cell>
          <cell r="G430" t="str">
            <v>H</v>
          </cell>
          <cell r="H430" t="str">
            <v>H</v>
          </cell>
          <cell r="I430" t="str">
            <v>H</v>
          </cell>
          <cell r="J430" t="str">
            <v>H</v>
          </cell>
          <cell r="K430" t="str">
            <v>H</v>
          </cell>
          <cell r="L430" t="str">
            <v>H</v>
          </cell>
          <cell r="M430" t="str">
            <v>H</v>
          </cell>
          <cell r="N430" t="str">
            <v>H</v>
          </cell>
          <cell r="O430" t="str">
            <v>H</v>
          </cell>
          <cell r="P430" t="str">
            <v>H</v>
          </cell>
          <cell r="Q430" t="str">
            <v>H</v>
          </cell>
          <cell r="R430" t="str">
            <v>H</v>
          </cell>
          <cell r="S430" t="str">
            <v>H</v>
          </cell>
          <cell r="T430" t="str">
            <v>H</v>
          </cell>
          <cell r="U430" t="str">
            <v>H</v>
          </cell>
          <cell r="V430" t="str">
            <v>H</v>
          </cell>
          <cell r="W430" t="str">
            <v>H</v>
          </cell>
        </row>
        <row r="431">
          <cell r="A431">
            <v>44697</v>
          </cell>
          <cell r="B431">
            <v>60000</v>
          </cell>
          <cell r="C431">
            <v>62500</v>
          </cell>
          <cell r="D431">
            <v>60700</v>
          </cell>
          <cell r="E431">
            <v>56500</v>
          </cell>
          <cell r="F431">
            <v>61500</v>
          </cell>
          <cell r="G431" t="str">
            <v>-</v>
          </cell>
          <cell r="H431">
            <v>60500</v>
          </cell>
          <cell r="I431">
            <v>58800</v>
          </cell>
          <cell r="J431">
            <v>59200</v>
          </cell>
          <cell r="K431" t="str">
            <v>-</v>
          </cell>
          <cell r="L431">
            <v>60500</v>
          </cell>
          <cell r="M431">
            <v>60600</v>
          </cell>
          <cell r="N431">
            <v>57800</v>
          </cell>
          <cell r="O431" t="str">
            <v>-</v>
          </cell>
          <cell r="P431">
            <v>56000</v>
          </cell>
          <cell r="Q431">
            <v>57400</v>
          </cell>
          <cell r="R431">
            <v>56600</v>
          </cell>
          <cell r="S431">
            <v>59300</v>
          </cell>
          <cell r="T431">
            <v>59500</v>
          </cell>
          <cell r="U431">
            <v>60800</v>
          </cell>
          <cell r="V431">
            <v>62000</v>
          </cell>
          <cell r="W431">
            <v>64500</v>
          </cell>
        </row>
        <row r="432">
          <cell r="A432">
            <v>44698</v>
          </cell>
          <cell r="B432">
            <v>59700</v>
          </cell>
          <cell r="C432">
            <v>62000</v>
          </cell>
          <cell r="D432">
            <v>59600</v>
          </cell>
          <cell r="E432">
            <v>55500</v>
          </cell>
          <cell r="F432">
            <v>60200</v>
          </cell>
          <cell r="G432" t="str">
            <v>-</v>
          </cell>
          <cell r="H432">
            <v>60000</v>
          </cell>
          <cell r="I432">
            <v>57800</v>
          </cell>
          <cell r="J432">
            <v>58400</v>
          </cell>
          <cell r="K432" t="str">
            <v>-</v>
          </cell>
          <cell r="L432">
            <v>59600</v>
          </cell>
          <cell r="M432">
            <v>59400</v>
          </cell>
          <cell r="N432">
            <v>57200</v>
          </cell>
          <cell r="O432" t="str">
            <v>-</v>
          </cell>
          <cell r="P432">
            <v>55000</v>
          </cell>
          <cell r="Q432">
            <v>56500</v>
          </cell>
          <cell r="R432">
            <v>55800</v>
          </cell>
          <cell r="S432">
            <v>58300</v>
          </cell>
          <cell r="T432">
            <v>58800</v>
          </cell>
          <cell r="U432">
            <v>59800</v>
          </cell>
          <cell r="V432">
            <v>61500</v>
          </cell>
          <cell r="W432">
            <v>64000</v>
          </cell>
        </row>
        <row r="433">
          <cell r="A433">
            <v>44699</v>
          </cell>
          <cell r="B433">
            <v>59700</v>
          </cell>
          <cell r="C433">
            <v>61500</v>
          </cell>
          <cell r="D433">
            <v>59600</v>
          </cell>
          <cell r="E433">
            <v>55000</v>
          </cell>
          <cell r="F433">
            <v>60200</v>
          </cell>
          <cell r="G433" t="str">
            <v>-</v>
          </cell>
          <cell r="H433">
            <v>59300</v>
          </cell>
          <cell r="I433">
            <v>57500</v>
          </cell>
          <cell r="J433">
            <v>58100</v>
          </cell>
          <cell r="K433" t="str">
            <v>-</v>
          </cell>
          <cell r="L433">
            <v>59500</v>
          </cell>
          <cell r="M433">
            <v>59000</v>
          </cell>
          <cell r="N433">
            <v>56500</v>
          </cell>
          <cell r="O433" t="str">
            <v>-</v>
          </cell>
          <cell r="P433">
            <v>54500</v>
          </cell>
          <cell r="Q433">
            <v>56300</v>
          </cell>
          <cell r="R433">
            <v>55300</v>
          </cell>
          <cell r="S433">
            <v>57800</v>
          </cell>
          <cell r="T433">
            <v>58800</v>
          </cell>
          <cell r="U433">
            <v>59800</v>
          </cell>
          <cell r="V433">
            <v>61500</v>
          </cell>
          <cell r="W433">
            <v>64000</v>
          </cell>
        </row>
        <row r="434">
          <cell r="A434">
            <v>44700</v>
          </cell>
          <cell r="B434">
            <v>59200</v>
          </cell>
          <cell r="C434">
            <v>61500</v>
          </cell>
          <cell r="D434">
            <v>60000</v>
          </cell>
          <cell r="E434">
            <v>55000</v>
          </cell>
          <cell r="F434">
            <v>60200</v>
          </cell>
          <cell r="G434" t="str">
            <v>-</v>
          </cell>
          <cell r="H434">
            <v>59000</v>
          </cell>
          <cell r="I434">
            <v>57500</v>
          </cell>
          <cell r="J434">
            <v>57000</v>
          </cell>
          <cell r="K434" t="str">
            <v>-</v>
          </cell>
          <cell r="L434">
            <v>59500</v>
          </cell>
          <cell r="M434">
            <v>58700</v>
          </cell>
          <cell r="N434">
            <v>56700</v>
          </cell>
          <cell r="O434" t="str">
            <v>-</v>
          </cell>
          <cell r="P434">
            <v>54900</v>
          </cell>
          <cell r="Q434">
            <v>56000</v>
          </cell>
          <cell r="R434">
            <v>55000</v>
          </cell>
          <cell r="S434">
            <v>57800</v>
          </cell>
          <cell r="T434">
            <v>58000</v>
          </cell>
          <cell r="U434">
            <v>59800</v>
          </cell>
          <cell r="V434">
            <v>60600</v>
          </cell>
          <cell r="W434">
            <v>63100</v>
          </cell>
        </row>
        <row r="435">
          <cell r="A435">
            <v>44701</v>
          </cell>
          <cell r="B435">
            <v>59600</v>
          </cell>
          <cell r="C435">
            <v>61500</v>
          </cell>
          <cell r="D435">
            <v>60000</v>
          </cell>
          <cell r="E435">
            <v>55500</v>
          </cell>
          <cell r="F435">
            <v>60200</v>
          </cell>
          <cell r="G435" t="str">
            <v>-</v>
          </cell>
          <cell r="H435">
            <v>59000</v>
          </cell>
          <cell r="I435">
            <v>57900</v>
          </cell>
          <cell r="J435">
            <v>57000</v>
          </cell>
          <cell r="K435" t="str">
            <v>-</v>
          </cell>
          <cell r="L435">
            <v>60000</v>
          </cell>
          <cell r="M435">
            <v>58500</v>
          </cell>
          <cell r="N435">
            <v>57500</v>
          </cell>
          <cell r="O435" t="str">
            <v>-</v>
          </cell>
          <cell r="P435">
            <v>54900</v>
          </cell>
          <cell r="Q435">
            <v>56000</v>
          </cell>
          <cell r="R435">
            <v>55300</v>
          </cell>
          <cell r="S435">
            <v>58300</v>
          </cell>
          <cell r="T435">
            <v>58000</v>
          </cell>
          <cell r="U435">
            <v>59800</v>
          </cell>
          <cell r="V435">
            <v>60600</v>
          </cell>
          <cell r="W435">
            <v>63100</v>
          </cell>
        </row>
        <row r="436">
          <cell r="A436">
            <v>44702</v>
          </cell>
          <cell r="B436">
            <v>59600</v>
          </cell>
          <cell r="C436">
            <v>61500</v>
          </cell>
          <cell r="D436">
            <v>60200</v>
          </cell>
          <cell r="E436">
            <v>55500</v>
          </cell>
          <cell r="F436">
            <v>60000</v>
          </cell>
          <cell r="G436" t="str">
            <v>-</v>
          </cell>
          <cell r="H436">
            <v>58500</v>
          </cell>
          <cell r="I436">
            <v>57600</v>
          </cell>
          <cell r="J436">
            <v>57000</v>
          </cell>
          <cell r="K436" t="str">
            <v>-</v>
          </cell>
          <cell r="L436">
            <v>59500</v>
          </cell>
          <cell r="M436">
            <v>58500</v>
          </cell>
          <cell r="N436">
            <v>57000</v>
          </cell>
          <cell r="O436" t="str">
            <v>-</v>
          </cell>
          <cell r="P436">
            <v>54500</v>
          </cell>
          <cell r="Q436">
            <v>55500</v>
          </cell>
          <cell r="R436">
            <v>55300</v>
          </cell>
          <cell r="S436">
            <v>58300</v>
          </cell>
          <cell r="T436">
            <v>58000</v>
          </cell>
          <cell r="U436">
            <v>59800</v>
          </cell>
          <cell r="V436">
            <v>60600</v>
          </cell>
          <cell r="W436">
            <v>63100</v>
          </cell>
        </row>
        <row r="437">
          <cell r="A437">
            <v>44703</v>
          </cell>
          <cell r="B437" t="str">
            <v>H</v>
          </cell>
          <cell r="C437" t="str">
            <v>H</v>
          </cell>
          <cell r="D437" t="str">
            <v>H</v>
          </cell>
          <cell r="E437" t="str">
            <v>H</v>
          </cell>
          <cell r="F437" t="str">
            <v>H</v>
          </cell>
          <cell r="G437" t="str">
            <v>H</v>
          </cell>
          <cell r="H437" t="str">
            <v>H</v>
          </cell>
          <cell r="I437" t="str">
            <v>H</v>
          </cell>
          <cell r="J437" t="str">
            <v>H</v>
          </cell>
          <cell r="K437" t="str">
            <v>H</v>
          </cell>
          <cell r="L437" t="str">
            <v>H</v>
          </cell>
          <cell r="M437" t="str">
            <v>H</v>
          </cell>
          <cell r="N437" t="str">
            <v>H</v>
          </cell>
          <cell r="O437" t="str">
            <v>H</v>
          </cell>
          <cell r="P437" t="str">
            <v>H</v>
          </cell>
          <cell r="Q437" t="str">
            <v>H</v>
          </cell>
          <cell r="R437" t="str">
            <v>H</v>
          </cell>
          <cell r="S437" t="str">
            <v>H</v>
          </cell>
          <cell r="T437" t="str">
            <v>H</v>
          </cell>
          <cell r="U437" t="str">
            <v>H</v>
          </cell>
          <cell r="V437" t="str">
            <v>H</v>
          </cell>
          <cell r="W437" t="str">
            <v>H</v>
          </cell>
        </row>
        <row r="438">
          <cell r="A438">
            <v>44704</v>
          </cell>
          <cell r="B438">
            <v>58700</v>
          </cell>
          <cell r="C438">
            <v>60000</v>
          </cell>
          <cell r="D438">
            <v>58200</v>
          </cell>
          <cell r="E438">
            <v>52000</v>
          </cell>
          <cell r="F438">
            <v>55500</v>
          </cell>
          <cell r="G438" t="str">
            <v>-</v>
          </cell>
          <cell r="H438">
            <v>55500</v>
          </cell>
          <cell r="I438">
            <v>56500</v>
          </cell>
          <cell r="J438">
            <v>53200</v>
          </cell>
          <cell r="K438" t="str">
            <v>-</v>
          </cell>
          <cell r="L438">
            <v>57300</v>
          </cell>
          <cell r="M438">
            <v>55900</v>
          </cell>
          <cell r="N438">
            <v>55000</v>
          </cell>
          <cell r="O438" t="str">
            <v>-</v>
          </cell>
          <cell r="P438">
            <v>51500</v>
          </cell>
          <cell r="Q438">
            <v>53500</v>
          </cell>
          <cell r="R438">
            <v>51800</v>
          </cell>
          <cell r="S438">
            <v>54700</v>
          </cell>
          <cell r="T438">
            <v>56000</v>
          </cell>
          <cell r="U438">
            <v>57800</v>
          </cell>
          <cell r="V438">
            <v>59700</v>
          </cell>
          <cell r="W438">
            <v>61800</v>
          </cell>
        </row>
        <row r="439">
          <cell r="A439">
            <v>44705</v>
          </cell>
          <cell r="B439">
            <v>55500</v>
          </cell>
          <cell r="C439">
            <v>59500</v>
          </cell>
          <cell r="D439">
            <v>57000</v>
          </cell>
          <cell r="E439">
            <v>52000</v>
          </cell>
          <cell r="F439">
            <v>55400</v>
          </cell>
          <cell r="G439" t="str">
            <v>-</v>
          </cell>
          <cell r="H439">
            <v>55500</v>
          </cell>
          <cell r="I439">
            <v>55200</v>
          </cell>
          <cell r="J439">
            <v>53200</v>
          </cell>
          <cell r="K439" t="str">
            <v>-</v>
          </cell>
          <cell r="L439">
            <v>56000</v>
          </cell>
          <cell r="M439">
            <v>55900</v>
          </cell>
          <cell r="N439">
            <v>54000</v>
          </cell>
          <cell r="O439" t="str">
            <v>-</v>
          </cell>
          <cell r="P439">
            <v>51200</v>
          </cell>
          <cell r="Q439">
            <v>53000</v>
          </cell>
          <cell r="R439">
            <v>51800</v>
          </cell>
          <cell r="S439">
            <v>54700</v>
          </cell>
          <cell r="T439">
            <v>55500</v>
          </cell>
          <cell r="U439">
            <v>56800</v>
          </cell>
          <cell r="V439">
            <v>57100</v>
          </cell>
          <cell r="W439">
            <v>59500</v>
          </cell>
        </row>
        <row r="440">
          <cell r="A440">
            <v>44706</v>
          </cell>
          <cell r="B440">
            <v>53700</v>
          </cell>
          <cell r="C440">
            <v>59000</v>
          </cell>
          <cell r="D440">
            <v>54700</v>
          </cell>
          <cell r="E440">
            <v>51000</v>
          </cell>
          <cell r="F440">
            <v>55300</v>
          </cell>
          <cell r="G440" t="str">
            <v>-</v>
          </cell>
          <cell r="H440">
            <v>55000</v>
          </cell>
          <cell r="I440">
            <v>53200</v>
          </cell>
          <cell r="J440">
            <v>53000</v>
          </cell>
          <cell r="K440" t="str">
            <v>-</v>
          </cell>
          <cell r="L440">
            <v>54500</v>
          </cell>
          <cell r="M440">
            <v>55000</v>
          </cell>
          <cell r="N440">
            <v>51700</v>
          </cell>
          <cell r="O440" t="str">
            <v>-</v>
          </cell>
          <cell r="P440">
            <v>51200</v>
          </cell>
          <cell r="Q440">
            <v>51800</v>
          </cell>
          <cell r="R440">
            <v>51500</v>
          </cell>
          <cell r="S440">
            <v>53800</v>
          </cell>
          <cell r="T440">
            <v>54200</v>
          </cell>
          <cell r="U440">
            <v>56800</v>
          </cell>
          <cell r="V440">
            <v>56800</v>
          </cell>
          <cell r="W440">
            <v>59300</v>
          </cell>
        </row>
        <row r="441">
          <cell r="A441">
            <v>44707</v>
          </cell>
          <cell r="B441">
            <v>53700</v>
          </cell>
          <cell r="C441">
            <v>59000</v>
          </cell>
          <cell r="D441">
            <v>53700</v>
          </cell>
          <cell r="E441">
            <v>50000</v>
          </cell>
          <cell r="F441">
            <v>54600</v>
          </cell>
          <cell r="G441" t="str">
            <v>-</v>
          </cell>
          <cell r="H441">
            <v>54500</v>
          </cell>
          <cell r="I441">
            <v>52600</v>
          </cell>
          <cell r="J441">
            <v>53000</v>
          </cell>
          <cell r="K441" t="str">
            <v>-</v>
          </cell>
          <cell r="L441">
            <v>54000</v>
          </cell>
          <cell r="M441">
            <v>55000</v>
          </cell>
          <cell r="N441">
            <v>50600</v>
          </cell>
          <cell r="O441" t="str">
            <v>-</v>
          </cell>
          <cell r="P441">
            <v>49100</v>
          </cell>
          <cell r="Q441">
            <v>50800</v>
          </cell>
          <cell r="R441">
            <v>50000</v>
          </cell>
          <cell r="S441">
            <v>52800</v>
          </cell>
          <cell r="T441">
            <v>53400</v>
          </cell>
          <cell r="U441">
            <v>54800</v>
          </cell>
          <cell r="V441">
            <v>56300</v>
          </cell>
          <cell r="W441">
            <v>58800</v>
          </cell>
        </row>
        <row r="442">
          <cell r="A442">
            <v>44708</v>
          </cell>
          <cell r="B442">
            <v>53300</v>
          </cell>
          <cell r="C442">
            <v>58000</v>
          </cell>
          <cell r="D442">
            <v>53700</v>
          </cell>
          <cell r="E442">
            <v>49500</v>
          </cell>
          <cell r="F442">
            <v>54600</v>
          </cell>
          <cell r="G442" t="str">
            <v>-</v>
          </cell>
          <cell r="H442">
            <v>54000</v>
          </cell>
          <cell r="I442">
            <v>51500</v>
          </cell>
          <cell r="J442">
            <v>53000</v>
          </cell>
          <cell r="K442" t="str">
            <v>-</v>
          </cell>
          <cell r="L442">
            <v>53500</v>
          </cell>
          <cell r="M442">
            <v>55000</v>
          </cell>
          <cell r="N442">
            <v>50600</v>
          </cell>
          <cell r="O442" t="str">
            <v>-</v>
          </cell>
          <cell r="P442">
            <v>48500</v>
          </cell>
          <cell r="Q442">
            <v>49500</v>
          </cell>
          <cell r="R442">
            <v>49500</v>
          </cell>
          <cell r="S442">
            <v>52300</v>
          </cell>
          <cell r="T442">
            <v>52600</v>
          </cell>
          <cell r="U442">
            <v>54800</v>
          </cell>
          <cell r="V442">
            <v>56300</v>
          </cell>
          <cell r="W442">
            <v>58500</v>
          </cell>
        </row>
        <row r="443">
          <cell r="A443">
            <v>44709</v>
          </cell>
          <cell r="B443">
            <v>53500</v>
          </cell>
          <cell r="C443">
            <v>57000</v>
          </cell>
          <cell r="D443">
            <v>53700</v>
          </cell>
          <cell r="E443">
            <v>49500</v>
          </cell>
          <cell r="F443">
            <v>54600</v>
          </cell>
          <cell r="G443" t="str">
            <v>-</v>
          </cell>
          <cell r="H443">
            <v>53000</v>
          </cell>
          <cell r="I443">
            <v>51500</v>
          </cell>
          <cell r="J443">
            <v>53200</v>
          </cell>
          <cell r="K443" t="str">
            <v>-</v>
          </cell>
          <cell r="L443">
            <v>53300</v>
          </cell>
          <cell r="M443">
            <v>55000</v>
          </cell>
          <cell r="N443">
            <v>51200</v>
          </cell>
          <cell r="O443" t="str">
            <v>-</v>
          </cell>
          <cell r="P443">
            <v>49300</v>
          </cell>
          <cell r="Q443">
            <v>49700</v>
          </cell>
          <cell r="R443">
            <v>49500</v>
          </cell>
          <cell r="S443">
            <v>52300</v>
          </cell>
          <cell r="T443">
            <v>52800</v>
          </cell>
          <cell r="U443">
            <v>54800</v>
          </cell>
          <cell r="V443">
            <v>55800</v>
          </cell>
          <cell r="W443">
            <v>58200</v>
          </cell>
        </row>
        <row r="444">
          <cell r="A444">
            <v>44710</v>
          </cell>
          <cell r="B444" t="str">
            <v>H</v>
          </cell>
          <cell r="C444" t="str">
            <v>H</v>
          </cell>
          <cell r="D444" t="str">
            <v>H</v>
          </cell>
          <cell r="E444" t="str">
            <v>H</v>
          </cell>
          <cell r="F444" t="str">
            <v>H</v>
          </cell>
          <cell r="G444" t="str">
            <v>H</v>
          </cell>
          <cell r="H444" t="str">
            <v>H</v>
          </cell>
          <cell r="I444" t="str">
            <v>H</v>
          </cell>
          <cell r="J444" t="str">
            <v>H</v>
          </cell>
          <cell r="K444" t="str">
            <v>H</v>
          </cell>
          <cell r="L444" t="str">
            <v>H</v>
          </cell>
          <cell r="M444" t="str">
            <v>H</v>
          </cell>
          <cell r="N444" t="str">
            <v>H</v>
          </cell>
          <cell r="O444" t="str">
            <v>H</v>
          </cell>
          <cell r="P444" t="str">
            <v>H</v>
          </cell>
          <cell r="Q444" t="str">
            <v>H</v>
          </cell>
          <cell r="R444" t="str">
            <v>H</v>
          </cell>
          <cell r="S444" t="str">
            <v>H</v>
          </cell>
          <cell r="T444" t="str">
            <v>H</v>
          </cell>
          <cell r="U444" t="str">
            <v>H</v>
          </cell>
          <cell r="V444" t="str">
            <v>H</v>
          </cell>
          <cell r="W444" t="str">
            <v>H</v>
          </cell>
        </row>
        <row r="445">
          <cell r="A445">
            <v>44711</v>
          </cell>
          <cell r="B445">
            <v>53900</v>
          </cell>
          <cell r="C445">
            <v>56500</v>
          </cell>
          <cell r="D445">
            <v>55000</v>
          </cell>
          <cell r="E445">
            <v>50500</v>
          </cell>
          <cell r="F445">
            <v>54600</v>
          </cell>
          <cell r="G445" t="str">
            <v>-</v>
          </cell>
          <cell r="H445">
            <v>53000</v>
          </cell>
          <cell r="I445">
            <v>52400</v>
          </cell>
          <cell r="J445">
            <v>53800</v>
          </cell>
          <cell r="K445" t="str">
            <v>-</v>
          </cell>
          <cell r="L445">
            <v>54500</v>
          </cell>
          <cell r="M445">
            <v>55300</v>
          </cell>
          <cell r="N445">
            <v>52500</v>
          </cell>
          <cell r="O445" t="str">
            <v>-</v>
          </cell>
          <cell r="P445">
            <v>50500</v>
          </cell>
          <cell r="Q445">
            <v>50700</v>
          </cell>
          <cell r="R445">
            <v>50200</v>
          </cell>
          <cell r="S445">
            <v>53300</v>
          </cell>
          <cell r="T445">
            <v>53300</v>
          </cell>
          <cell r="U445">
            <v>54800</v>
          </cell>
          <cell r="V445">
            <v>55800</v>
          </cell>
          <cell r="W445">
            <v>58200</v>
          </cell>
        </row>
        <row r="446">
          <cell r="A446">
            <v>44712</v>
          </cell>
          <cell r="B446">
            <v>54000</v>
          </cell>
          <cell r="C446">
            <v>56000</v>
          </cell>
          <cell r="D446">
            <v>54500</v>
          </cell>
          <cell r="E446">
            <v>50000</v>
          </cell>
          <cell r="F446">
            <v>54800</v>
          </cell>
          <cell r="G446" t="str">
            <v>-</v>
          </cell>
          <cell r="H446">
            <v>53000</v>
          </cell>
          <cell r="I446">
            <v>52200</v>
          </cell>
          <cell r="J446">
            <v>54000</v>
          </cell>
          <cell r="K446" t="str">
            <v>-</v>
          </cell>
          <cell r="L446">
            <v>54300</v>
          </cell>
          <cell r="M446">
            <v>55700</v>
          </cell>
          <cell r="N446">
            <v>52000</v>
          </cell>
          <cell r="O446" t="str">
            <v>-</v>
          </cell>
          <cell r="P446">
            <v>49500</v>
          </cell>
          <cell r="Q446">
            <v>50000</v>
          </cell>
          <cell r="R446">
            <v>50000</v>
          </cell>
          <cell r="S446">
            <v>52800</v>
          </cell>
          <cell r="T446">
            <v>53300</v>
          </cell>
          <cell r="U446">
            <v>54800</v>
          </cell>
          <cell r="V446">
            <v>55800</v>
          </cell>
          <cell r="W446">
            <v>58200</v>
          </cell>
        </row>
        <row r="447">
          <cell r="A447">
            <v>44713</v>
          </cell>
          <cell r="B447">
            <v>54000</v>
          </cell>
          <cell r="C447">
            <v>55500</v>
          </cell>
          <cell r="D447">
            <v>54000</v>
          </cell>
          <cell r="E447">
            <v>48500</v>
          </cell>
          <cell r="F447">
            <v>54800</v>
          </cell>
          <cell r="G447" t="str">
            <v>-</v>
          </cell>
          <cell r="H447">
            <v>52500</v>
          </cell>
          <cell r="I447">
            <v>51200</v>
          </cell>
          <cell r="J447">
            <v>54000</v>
          </cell>
          <cell r="K447" t="str">
            <v>-</v>
          </cell>
          <cell r="L447">
            <v>53200</v>
          </cell>
          <cell r="M447">
            <v>55700</v>
          </cell>
          <cell r="N447">
            <v>51000</v>
          </cell>
          <cell r="O447" t="str">
            <v>-</v>
          </cell>
          <cell r="P447">
            <v>49000</v>
          </cell>
          <cell r="Q447">
            <v>49400</v>
          </cell>
          <cell r="R447">
            <v>49200</v>
          </cell>
          <cell r="S447">
            <v>51300</v>
          </cell>
          <cell r="T447">
            <v>52500</v>
          </cell>
          <cell r="U447">
            <v>52800</v>
          </cell>
          <cell r="V447">
            <v>55800</v>
          </cell>
          <cell r="W447">
            <v>58200</v>
          </cell>
        </row>
        <row r="448">
          <cell r="A448">
            <v>44714</v>
          </cell>
          <cell r="B448">
            <v>54000</v>
          </cell>
          <cell r="C448">
            <v>55000</v>
          </cell>
          <cell r="D448">
            <v>54000</v>
          </cell>
          <cell r="E448">
            <v>49000</v>
          </cell>
          <cell r="F448">
            <v>54200</v>
          </cell>
          <cell r="G448" t="str">
            <v>-</v>
          </cell>
          <cell r="H448">
            <v>52000</v>
          </cell>
          <cell r="I448">
            <v>51200</v>
          </cell>
          <cell r="J448">
            <v>54000</v>
          </cell>
          <cell r="K448" t="str">
            <v>-</v>
          </cell>
          <cell r="L448">
            <v>53200</v>
          </cell>
          <cell r="M448">
            <v>55700</v>
          </cell>
          <cell r="N448">
            <v>51000</v>
          </cell>
          <cell r="O448" t="str">
            <v>-</v>
          </cell>
          <cell r="P448">
            <v>49100</v>
          </cell>
          <cell r="Q448">
            <v>49400</v>
          </cell>
          <cell r="R448">
            <v>49200</v>
          </cell>
          <cell r="S448">
            <v>51800</v>
          </cell>
          <cell r="T448">
            <v>52500</v>
          </cell>
          <cell r="U448">
            <v>52800</v>
          </cell>
          <cell r="V448">
            <v>55000</v>
          </cell>
          <cell r="W448">
            <v>57400</v>
          </cell>
        </row>
        <row r="449">
          <cell r="A449">
            <v>44715</v>
          </cell>
          <cell r="B449">
            <v>54000</v>
          </cell>
          <cell r="C449">
            <v>55000</v>
          </cell>
          <cell r="D449">
            <v>55000</v>
          </cell>
          <cell r="E449">
            <v>50000</v>
          </cell>
          <cell r="F449">
            <v>54300</v>
          </cell>
          <cell r="G449" t="str">
            <v>-</v>
          </cell>
          <cell r="H449">
            <v>52500</v>
          </cell>
          <cell r="I449">
            <v>52200</v>
          </cell>
          <cell r="J449">
            <v>54000</v>
          </cell>
          <cell r="K449" t="str">
            <v>-</v>
          </cell>
          <cell r="L449">
            <v>54300</v>
          </cell>
          <cell r="M449">
            <v>55400</v>
          </cell>
          <cell r="N449">
            <v>53000</v>
          </cell>
          <cell r="O449" t="str">
            <v>-</v>
          </cell>
          <cell r="P449">
            <v>49200</v>
          </cell>
          <cell r="Q449">
            <v>49800</v>
          </cell>
          <cell r="R449">
            <v>49600</v>
          </cell>
          <cell r="S449">
            <v>52800</v>
          </cell>
          <cell r="T449">
            <v>52800</v>
          </cell>
          <cell r="U449">
            <v>52800</v>
          </cell>
          <cell r="V449">
            <v>55000</v>
          </cell>
          <cell r="W449">
            <v>57400</v>
          </cell>
        </row>
        <row r="450">
          <cell r="A450">
            <v>44716</v>
          </cell>
          <cell r="B450">
            <v>54000</v>
          </cell>
          <cell r="C450">
            <v>55000</v>
          </cell>
          <cell r="D450">
            <v>55000</v>
          </cell>
          <cell r="E450">
            <v>49500</v>
          </cell>
          <cell r="F450">
            <v>54300</v>
          </cell>
          <cell r="G450" t="str">
            <v>-</v>
          </cell>
          <cell r="H450">
            <v>52000</v>
          </cell>
          <cell r="I450">
            <v>52300</v>
          </cell>
          <cell r="J450">
            <v>54000</v>
          </cell>
          <cell r="K450" t="str">
            <v>-</v>
          </cell>
          <cell r="L450">
            <v>54300</v>
          </cell>
          <cell r="M450">
            <v>55200</v>
          </cell>
          <cell r="N450">
            <v>52300</v>
          </cell>
          <cell r="O450" t="str">
            <v>-</v>
          </cell>
          <cell r="P450">
            <v>49400</v>
          </cell>
          <cell r="Q450">
            <v>50000</v>
          </cell>
          <cell r="R450">
            <v>49500</v>
          </cell>
          <cell r="S450">
            <v>52300</v>
          </cell>
          <cell r="T450">
            <v>52800</v>
          </cell>
          <cell r="U450">
            <v>52800</v>
          </cell>
          <cell r="V450">
            <v>55000</v>
          </cell>
          <cell r="W450">
            <v>57400</v>
          </cell>
        </row>
        <row r="451">
          <cell r="A451">
            <v>44717</v>
          </cell>
          <cell r="B451" t="str">
            <v>H</v>
          </cell>
          <cell r="C451" t="str">
            <v>H</v>
          </cell>
          <cell r="D451" t="str">
            <v>H</v>
          </cell>
          <cell r="E451" t="str">
            <v>H</v>
          </cell>
          <cell r="F451" t="str">
            <v>H</v>
          </cell>
          <cell r="G451" t="str">
            <v>H</v>
          </cell>
          <cell r="H451" t="str">
            <v>H</v>
          </cell>
          <cell r="I451" t="str">
            <v>H</v>
          </cell>
          <cell r="J451" t="str">
            <v>H</v>
          </cell>
          <cell r="K451" t="str">
            <v>H</v>
          </cell>
          <cell r="L451" t="str">
            <v>H</v>
          </cell>
          <cell r="M451" t="str">
            <v>H</v>
          </cell>
          <cell r="N451" t="str">
            <v>H</v>
          </cell>
          <cell r="O451" t="str">
            <v>H</v>
          </cell>
          <cell r="P451" t="str">
            <v>H</v>
          </cell>
          <cell r="Q451" t="str">
            <v>H</v>
          </cell>
          <cell r="R451" t="str">
            <v>H</v>
          </cell>
          <cell r="S451" t="str">
            <v>H</v>
          </cell>
          <cell r="T451" t="str">
            <v>H</v>
          </cell>
          <cell r="U451" t="str">
            <v>H</v>
          </cell>
          <cell r="V451" t="str">
            <v>H</v>
          </cell>
          <cell r="W451" t="str">
            <v>H</v>
          </cell>
        </row>
        <row r="452">
          <cell r="A452">
            <v>44718</v>
          </cell>
          <cell r="B452">
            <v>54000</v>
          </cell>
          <cell r="C452">
            <v>54700</v>
          </cell>
          <cell r="D452">
            <v>55700</v>
          </cell>
          <cell r="E452">
            <v>49500</v>
          </cell>
          <cell r="F452">
            <v>54300</v>
          </cell>
          <cell r="G452" t="str">
            <v>-</v>
          </cell>
          <cell r="H452">
            <v>52500</v>
          </cell>
          <cell r="I452">
            <v>53000</v>
          </cell>
          <cell r="J452">
            <v>54000</v>
          </cell>
          <cell r="K452" t="str">
            <v>-</v>
          </cell>
          <cell r="L452">
            <v>54300</v>
          </cell>
          <cell r="M452">
            <v>54900</v>
          </cell>
          <cell r="N452">
            <v>52700</v>
          </cell>
          <cell r="O452" t="str">
            <v>-</v>
          </cell>
          <cell r="P452">
            <v>49200</v>
          </cell>
          <cell r="Q452">
            <v>50000</v>
          </cell>
          <cell r="R452">
            <v>49600</v>
          </cell>
          <cell r="S452">
            <v>52300</v>
          </cell>
          <cell r="T452">
            <v>52800</v>
          </cell>
          <cell r="U452">
            <v>52800</v>
          </cell>
          <cell r="V452">
            <v>55000</v>
          </cell>
          <cell r="W452">
            <v>57400</v>
          </cell>
        </row>
        <row r="453">
          <cell r="A453">
            <v>44719</v>
          </cell>
          <cell r="B453">
            <v>54000</v>
          </cell>
          <cell r="C453">
            <v>54500</v>
          </cell>
          <cell r="D453">
            <v>55700</v>
          </cell>
          <cell r="E453">
            <v>49500</v>
          </cell>
          <cell r="F453">
            <v>54300</v>
          </cell>
          <cell r="G453" t="str">
            <v>-</v>
          </cell>
          <cell r="H453">
            <v>52000</v>
          </cell>
          <cell r="I453">
            <v>53000</v>
          </cell>
          <cell r="J453">
            <v>54000</v>
          </cell>
          <cell r="K453" t="str">
            <v>-</v>
          </cell>
          <cell r="L453">
            <v>54300</v>
          </cell>
          <cell r="M453">
            <v>54700</v>
          </cell>
          <cell r="N453">
            <v>52700</v>
          </cell>
          <cell r="O453" t="str">
            <v>-</v>
          </cell>
          <cell r="P453">
            <v>48850</v>
          </cell>
          <cell r="Q453">
            <v>49900</v>
          </cell>
          <cell r="R453">
            <v>49000</v>
          </cell>
          <cell r="S453">
            <v>52300</v>
          </cell>
          <cell r="T453">
            <v>52800</v>
          </cell>
          <cell r="U453">
            <v>52800</v>
          </cell>
          <cell r="V453">
            <v>54500</v>
          </cell>
          <cell r="W453">
            <v>57000</v>
          </cell>
        </row>
        <row r="454">
          <cell r="A454">
            <v>44720</v>
          </cell>
          <cell r="B454">
            <v>53800</v>
          </cell>
          <cell r="C454">
            <v>54500</v>
          </cell>
          <cell r="D454">
            <v>55500</v>
          </cell>
          <cell r="E454">
            <v>49000</v>
          </cell>
          <cell r="F454">
            <v>54300</v>
          </cell>
          <cell r="G454" t="str">
            <v>-</v>
          </cell>
          <cell r="H454">
            <v>52000</v>
          </cell>
          <cell r="I454">
            <v>52700</v>
          </cell>
          <cell r="J454">
            <v>54000</v>
          </cell>
          <cell r="K454" t="str">
            <v>-</v>
          </cell>
          <cell r="L454">
            <v>53800</v>
          </cell>
          <cell r="M454">
            <v>54400</v>
          </cell>
          <cell r="N454">
            <v>52300</v>
          </cell>
          <cell r="O454" t="str">
            <v>-</v>
          </cell>
          <cell r="P454">
            <v>48500</v>
          </cell>
          <cell r="Q454">
            <v>49900</v>
          </cell>
          <cell r="R454">
            <v>48800</v>
          </cell>
          <cell r="S454">
            <v>51800</v>
          </cell>
          <cell r="T454">
            <v>52800</v>
          </cell>
          <cell r="U454">
            <v>52800</v>
          </cell>
          <cell r="V454">
            <v>54300</v>
          </cell>
          <cell r="W454">
            <v>56800</v>
          </cell>
        </row>
        <row r="455">
          <cell r="A455">
            <v>44721</v>
          </cell>
          <cell r="B455">
            <v>53700</v>
          </cell>
          <cell r="C455">
            <v>54000</v>
          </cell>
          <cell r="D455">
            <v>54700</v>
          </cell>
          <cell r="E455">
            <v>49000</v>
          </cell>
          <cell r="F455">
            <v>54000</v>
          </cell>
          <cell r="G455" t="str">
            <v>-</v>
          </cell>
          <cell r="H455">
            <v>52000</v>
          </cell>
          <cell r="I455">
            <v>52700</v>
          </cell>
          <cell r="J455">
            <v>53800</v>
          </cell>
          <cell r="K455" t="str">
            <v>-</v>
          </cell>
          <cell r="L455">
            <v>53800</v>
          </cell>
          <cell r="M455">
            <v>54100</v>
          </cell>
          <cell r="N455">
            <v>52000</v>
          </cell>
          <cell r="O455" t="str">
            <v>-</v>
          </cell>
          <cell r="P455">
            <v>48500</v>
          </cell>
          <cell r="Q455">
            <v>49500</v>
          </cell>
          <cell r="R455">
            <v>48600</v>
          </cell>
          <cell r="S455">
            <v>51800</v>
          </cell>
          <cell r="T455">
            <v>52300</v>
          </cell>
          <cell r="U455">
            <v>52300</v>
          </cell>
          <cell r="V455">
            <v>54300</v>
          </cell>
          <cell r="W455">
            <v>56800</v>
          </cell>
        </row>
        <row r="456">
          <cell r="A456">
            <v>44722</v>
          </cell>
          <cell r="B456">
            <v>53700</v>
          </cell>
          <cell r="C456">
            <v>53500</v>
          </cell>
          <cell r="D456">
            <v>55000</v>
          </cell>
          <cell r="E456">
            <v>48500</v>
          </cell>
          <cell r="F456">
            <v>53800</v>
          </cell>
          <cell r="G456" t="str">
            <v>-</v>
          </cell>
          <cell r="H456">
            <v>52000</v>
          </cell>
          <cell r="I456">
            <v>53000</v>
          </cell>
          <cell r="J456">
            <v>53800</v>
          </cell>
          <cell r="K456" t="str">
            <v>-</v>
          </cell>
          <cell r="L456">
            <v>53900</v>
          </cell>
          <cell r="M456">
            <v>53900</v>
          </cell>
          <cell r="N456">
            <v>52200</v>
          </cell>
          <cell r="O456" t="str">
            <v>-</v>
          </cell>
          <cell r="P456">
            <v>48700</v>
          </cell>
          <cell r="Q456">
            <v>49600</v>
          </cell>
          <cell r="R456">
            <v>48600</v>
          </cell>
          <cell r="S456">
            <v>51250</v>
          </cell>
          <cell r="T456">
            <v>52300</v>
          </cell>
          <cell r="U456">
            <v>52300</v>
          </cell>
          <cell r="V456">
            <v>54300</v>
          </cell>
          <cell r="W456">
            <v>56800</v>
          </cell>
        </row>
        <row r="457">
          <cell r="A457">
            <v>44723</v>
          </cell>
          <cell r="B457">
            <v>53700</v>
          </cell>
          <cell r="C457">
            <v>53000</v>
          </cell>
          <cell r="D457">
            <v>55000</v>
          </cell>
          <cell r="E457">
            <v>48700</v>
          </cell>
          <cell r="F457">
            <v>53800</v>
          </cell>
          <cell r="G457" t="str">
            <v>-</v>
          </cell>
          <cell r="H457">
            <v>52000</v>
          </cell>
          <cell r="I457">
            <v>53300</v>
          </cell>
          <cell r="J457">
            <v>53800</v>
          </cell>
          <cell r="K457" t="str">
            <v>-</v>
          </cell>
          <cell r="L457">
            <v>54000</v>
          </cell>
          <cell r="M457">
            <v>53400</v>
          </cell>
          <cell r="N457">
            <v>52800</v>
          </cell>
          <cell r="O457" t="str">
            <v>-</v>
          </cell>
          <cell r="P457">
            <v>48700</v>
          </cell>
          <cell r="Q457">
            <v>49900</v>
          </cell>
          <cell r="R457">
            <v>48500</v>
          </cell>
          <cell r="S457">
            <v>51500</v>
          </cell>
          <cell r="T457">
            <v>52600</v>
          </cell>
          <cell r="U457">
            <v>52200</v>
          </cell>
          <cell r="V457">
            <v>54300</v>
          </cell>
          <cell r="W457">
            <v>56800</v>
          </cell>
        </row>
        <row r="458">
          <cell r="A458">
            <v>44724</v>
          </cell>
          <cell r="B458" t="str">
            <v>H</v>
          </cell>
          <cell r="C458" t="str">
            <v>H</v>
          </cell>
          <cell r="D458" t="str">
            <v>H</v>
          </cell>
          <cell r="E458" t="str">
            <v>H</v>
          </cell>
          <cell r="F458" t="str">
            <v>H</v>
          </cell>
          <cell r="G458" t="str">
            <v>H</v>
          </cell>
          <cell r="H458" t="str">
            <v>H</v>
          </cell>
          <cell r="I458" t="str">
            <v>H</v>
          </cell>
          <cell r="J458" t="str">
            <v>H</v>
          </cell>
          <cell r="K458" t="str">
            <v>H</v>
          </cell>
          <cell r="L458" t="str">
            <v>H</v>
          </cell>
          <cell r="M458" t="str">
            <v>H</v>
          </cell>
          <cell r="N458" t="str">
            <v>H</v>
          </cell>
          <cell r="O458" t="str">
            <v>H</v>
          </cell>
          <cell r="P458" t="str">
            <v>H</v>
          </cell>
          <cell r="Q458" t="str">
            <v>H</v>
          </cell>
          <cell r="R458" t="str">
            <v>H</v>
          </cell>
          <cell r="S458" t="str">
            <v>H</v>
          </cell>
          <cell r="T458" t="str">
            <v>H</v>
          </cell>
          <cell r="U458" t="str">
            <v>H</v>
          </cell>
          <cell r="V458" t="str">
            <v>H</v>
          </cell>
          <cell r="W458" t="str">
            <v>H</v>
          </cell>
        </row>
        <row r="459">
          <cell r="A459">
            <v>44725</v>
          </cell>
          <cell r="B459">
            <v>54000</v>
          </cell>
          <cell r="C459">
            <v>53000</v>
          </cell>
          <cell r="D459">
            <v>56200</v>
          </cell>
          <cell r="E459">
            <v>49500</v>
          </cell>
          <cell r="F459">
            <v>53800</v>
          </cell>
          <cell r="G459" t="str">
            <v>-</v>
          </cell>
          <cell r="H459">
            <v>52500</v>
          </cell>
          <cell r="I459">
            <v>53600</v>
          </cell>
          <cell r="J459">
            <v>53800</v>
          </cell>
          <cell r="K459" t="str">
            <v>-</v>
          </cell>
          <cell r="L459">
            <v>54400</v>
          </cell>
          <cell r="M459">
            <v>52900</v>
          </cell>
          <cell r="N459">
            <v>54000</v>
          </cell>
          <cell r="O459" t="str">
            <v>-</v>
          </cell>
          <cell r="P459">
            <v>49500</v>
          </cell>
          <cell r="Q459">
            <v>50100</v>
          </cell>
          <cell r="R459">
            <v>49300</v>
          </cell>
          <cell r="S459">
            <v>52300</v>
          </cell>
          <cell r="T459">
            <v>52900</v>
          </cell>
          <cell r="U459">
            <v>52300</v>
          </cell>
          <cell r="V459">
            <v>54300</v>
          </cell>
          <cell r="W459">
            <v>56800</v>
          </cell>
        </row>
        <row r="460">
          <cell r="A460">
            <v>44726</v>
          </cell>
          <cell r="B460">
            <v>54000</v>
          </cell>
          <cell r="C460">
            <v>53000</v>
          </cell>
          <cell r="D460">
            <v>56200</v>
          </cell>
          <cell r="E460">
            <v>49500</v>
          </cell>
          <cell r="F460">
            <v>53700</v>
          </cell>
          <cell r="G460" t="str">
            <v>-</v>
          </cell>
          <cell r="H460">
            <v>53000</v>
          </cell>
          <cell r="I460">
            <v>53800</v>
          </cell>
          <cell r="J460">
            <v>53800</v>
          </cell>
          <cell r="K460" t="str">
            <v>-</v>
          </cell>
          <cell r="L460">
            <v>54400</v>
          </cell>
          <cell r="M460">
            <v>52600</v>
          </cell>
          <cell r="N460">
            <v>53600</v>
          </cell>
          <cell r="O460" t="str">
            <v>-</v>
          </cell>
          <cell r="P460">
            <v>49500</v>
          </cell>
          <cell r="Q460">
            <v>50100</v>
          </cell>
          <cell r="R460">
            <v>49300</v>
          </cell>
          <cell r="S460">
            <v>52300</v>
          </cell>
          <cell r="T460">
            <v>53100</v>
          </cell>
          <cell r="U460">
            <v>52300</v>
          </cell>
          <cell r="V460">
            <v>54500</v>
          </cell>
          <cell r="W460">
            <v>56800</v>
          </cell>
        </row>
        <row r="461">
          <cell r="A461">
            <v>44727</v>
          </cell>
          <cell r="B461">
            <v>54000</v>
          </cell>
          <cell r="C461">
            <v>53000</v>
          </cell>
          <cell r="D461">
            <v>56200</v>
          </cell>
          <cell r="E461">
            <v>49500</v>
          </cell>
          <cell r="F461">
            <v>54200</v>
          </cell>
          <cell r="G461" t="str">
            <v>-</v>
          </cell>
          <cell r="H461">
            <v>52500</v>
          </cell>
          <cell r="I461">
            <v>53800</v>
          </cell>
          <cell r="J461">
            <v>53800</v>
          </cell>
          <cell r="K461" t="str">
            <v>-</v>
          </cell>
          <cell r="L461">
            <v>54400</v>
          </cell>
          <cell r="M461">
            <v>52600</v>
          </cell>
          <cell r="N461">
            <v>53500</v>
          </cell>
          <cell r="O461" t="str">
            <v>-</v>
          </cell>
          <cell r="P461">
            <v>49800</v>
          </cell>
          <cell r="Q461">
            <v>50400</v>
          </cell>
          <cell r="R461">
            <v>49500</v>
          </cell>
          <cell r="S461">
            <v>52300</v>
          </cell>
          <cell r="T461">
            <v>53100</v>
          </cell>
          <cell r="U461">
            <v>52300</v>
          </cell>
          <cell r="V461">
            <v>54500</v>
          </cell>
          <cell r="W461">
            <v>56800</v>
          </cell>
        </row>
        <row r="462">
          <cell r="A462">
            <v>44728</v>
          </cell>
          <cell r="B462">
            <v>54000</v>
          </cell>
          <cell r="C462">
            <v>53000</v>
          </cell>
          <cell r="D462">
            <v>56600</v>
          </cell>
          <cell r="E462">
            <v>50000</v>
          </cell>
          <cell r="F462">
            <v>54200</v>
          </cell>
          <cell r="G462" t="str">
            <v>-</v>
          </cell>
          <cell r="H462">
            <v>53000</v>
          </cell>
          <cell r="I462">
            <v>54100</v>
          </cell>
          <cell r="J462">
            <v>53800</v>
          </cell>
          <cell r="K462" t="str">
            <v>-</v>
          </cell>
          <cell r="L462">
            <v>54600</v>
          </cell>
          <cell r="M462">
            <v>52400</v>
          </cell>
          <cell r="N462">
            <v>53800</v>
          </cell>
          <cell r="O462" t="str">
            <v>-</v>
          </cell>
          <cell r="P462">
            <v>50500</v>
          </cell>
          <cell r="Q462">
            <v>51000</v>
          </cell>
          <cell r="R462">
            <v>50200</v>
          </cell>
          <cell r="S462">
            <v>52800</v>
          </cell>
          <cell r="T462">
            <v>53700</v>
          </cell>
          <cell r="U462">
            <v>53800</v>
          </cell>
          <cell r="V462">
            <v>54500</v>
          </cell>
          <cell r="W462">
            <v>56800</v>
          </cell>
        </row>
        <row r="463">
          <cell r="A463">
            <v>44729</v>
          </cell>
          <cell r="B463">
            <v>54000</v>
          </cell>
          <cell r="C463">
            <v>54000</v>
          </cell>
          <cell r="D463">
            <v>56700</v>
          </cell>
          <cell r="E463">
            <v>50500</v>
          </cell>
          <cell r="F463">
            <v>55000</v>
          </cell>
          <cell r="G463" t="str">
            <v>-</v>
          </cell>
          <cell r="H463">
            <v>53500</v>
          </cell>
          <cell r="I463">
            <v>54200</v>
          </cell>
          <cell r="J463">
            <v>53800</v>
          </cell>
          <cell r="K463" t="str">
            <v>-</v>
          </cell>
          <cell r="L463">
            <v>55000</v>
          </cell>
          <cell r="M463">
            <v>52400</v>
          </cell>
          <cell r="N463">
            <v>54300</v>
          </cell>
          <cell r="O463" t="str">
            <v>-</v>
          </cell>
          <cell r="P463">
            <v>50600</v>
          </cell>
          <cell r="Q463">
            <v>51200</v>
          </cell>
          <cell r="R463">
            <v>50700</v>
          </cell>
          <cell r="S463">
            <v>53300</v>
          </cell>
          <cell r="T463">
            <v>53900</v>
          </cell>
          <cell r="U463">
            <v>54300</v>
          </cell>
          <cell r="V463">
            <v>54800</v>
          </cell>
          <cell r="W463">
            <v>57300</v>
          </cell>
        </row>
        <row r="464">
          <cell r="A464">
            <v>44730</v>
          </cell>
          <cell r="B464">
            <v>54000</v>
          </cell>
          <cell r="C464">
            <v>54500</v>
          </cell>
          <cell r="D464">
            <v>57000</v>
          </cell>
          <cell r="E464">
            <v>50500</v>
          </cell>
          <cell r="F464">
            <v>55700</v>
          </cell>
          <cell r="G464" t="str">
            <v>-</v>
          </cell>
          <cell r="H464">
            <v>54000</v>
          </cell>
          <cell r="I464">
            <v>55000</v>
          </cell>
          <cell r="J464">
            <v>53800</v>
          </cell>
          <cell r="K464" t="str">
            <v>-</v>
          </cell>
          <cell r="L464">
            <v>55300</v>
          </cell>
          <cell r="M464">
            <v>52600</v>
          </cell>
          <cell r="N464">
            <v>54500</v>
          </cell>
          <cell r="O464" t="str">
            <v>-</v>
          </cell>
          <cell r="P464">
            <v>50300</v>
          </cell>
          <cell r="Q464">
            <v>51400</v>
          </cell>
          <cell r="R464">
            <v>50700</v>
          </cell>
          <cell r="S464">
            <v>53300</v>
          </cell>
          <cell r="T464">
            <v>54200</v>
          </cell>
          <cell r="U464">
            <v>54200</v>
          </cell>
          <cell r="V464">
            <v>54800</v>
          </cell>
          <cell r="W464">
            <v>57300</v>
          </cell>
        </row>
        <row r="465">
          <cell r="A465">
            <v>44731</v>
          </cell>
          <cell r="B465" t="str">
            <v>H</v>
          </cell>
          <cell r="C465" t="str">
            <v>H</v>
          </cell>
          <cell r="D465" t="str">
            <v>H</v>
          </cell>
          <cell r="E465" t="str">
            <v>H</v>
          </cell>
          <cell r="F465" t="str">
            <v>H</v>
          </cell>
          <cell r="G465" t="str">
            <v>H</v>
          </cell>
          <cell r="H465" t="str">
            <v>H</v>
          </cell>
          <cell r="I465" t="str">
            <v>H</v>
          </cell>
          <cell r="J465" t="str">
            <v>H</v>
          </cell>
          <cell r="K465" t="str">
            <v>H</v>
          </cell>
          <cell r="L465" t="str">
            <v>H</v>
          </cell>
          <cell r="M465" t="str">
            <v>H</v>
          </cell>
          <cell r="N465" t="str">
            <v>H</v>
          </cell>
          <cell r="O465" t="str">
            <v>H</v>
          </cell>
          <cell r="P465" t="str">
            <v>H</v>
          </cell>
          <cell r="Q465" t="str">
            <v>H</v>
          </cell>
          <cell r="R465" t="str">
            <v>H</v>
          </cell>
          <cell r="S465" t="str">
            <v>H</v>
          </cell>
          <cell r="T465" t="str">
            <v>H</v>
          </cell>
          <cell r="U465" t="str">
            <v>H</v>
          </cell>
          <cell r="V465" t="str">
            <v>H</v>
          </cell>
          <cell r="W465" t="str">
            <v>H</v>
          </cell>
        </row>
        <row r="466">
          <cell r="A466">
            <v>44732</v>
          </cell>
          <cell r="B466">
            <v>54000</v>
          </cell>
          <cell r="C466">
            <v>54500</v>
          </cell>
          <cell r="D466">
            <v>56500</v>
          </cell>
          <cell r="E466">
            <v>50500</v>
          </cell>
          <cell r="F466">
            <v>56200</v>
          </cell>
          <cell r="G466" t="str">
            <v>-</v>
          </cell>
          <cell r="H466">
            <v>53500</v>
          </cell>
          <cell r="I466">
            <v>54900</v>
          </cell>
          <cell r="J466">
            <v>53800</v>
          </cell>
          <cell r="K466" t="str">
            <v>-</v>
          </cell>
          <cell r="L466">
            <v>55300</v>
          </cell>
          <cell r="M466">
            <v>52600</v>
          </cell>
          <cell r="N466">
            <v>54000</v>
          </cell>
          <cell r="O466" t="str">
            <v>-</v>
          </cell>
          <cell r="P466">
            <v>49900</v>
          </cell>
          <cell r="Q466">
            <v>51000</v>
          </cell>
          <cell r="R466">
            <v>50500</v>
          </cell>
          <cell r="S466">
            <v>53300</v>
          </cell>
          <cell r="T466">
            <v>53700</v>
          </cell>
          <cell r="U466">
            <v>54200</v>
          </cell>
          <cell r="V466">
            <v>54500</v>
          </cell>
          <cell r="W466">
            <v>57100</v>
          </cell>
        </row>
        <row r="467">
          <cell r="A467">
            <v>44733</v>
          </cell>
          <cell r="B467">
            <v>53700</v>
          </cell>
          <cell r="C467">
            <v>54500</v>
          </cell>
          <cell r="D467">
            <v>55200</v>
          </cell>
          <cell r="E467">
            <v>50000</v>
          </cell>
          <cell r="F467">
            <v>56200</v>
          </cell>
          <cell r="G467" t="str">
            <v>-</v>
          </cell>
          <cell r="H467">
            <v>53500</v>
          </cell>
          <cell r="I467">
            <v>54500</v>
          </cell>
          <cell r="J467">
            <v>53800</v>
          </cell>
          <cell r="K467" t="str">
            <v>-</v>
          </cell>
          <cell r="L467">
            <v>54800</v>
          </cell>
          <cell r="M467">
            <v>52400</v>
          </cell>
          <cell r="N467">
            <v>52500</v>
          </cell>
          <cell r="O467" t="str">
            <v>-</v>
          </cell>
          <cell r="P467">
            <v>49700</v>
          </cell>
          <cell r="Q467">
            <v>50900</v>
          </cell>
          <cell r="R467">
            <v>50500</v>
          </cell>
          <cell r="S467">
            <v>52800</v>
          </cell>
          <cell r="T467">
            <v>53700</v>
          </cell>
          <cell r="U467">
            <v>54200</v>
          </cell>
          <cell r="V467">
            <v>54300</v>
          </cell>
          <cell r="W467">
            <v>56800</v>
          </cell>
        </row>
        <row r="468">
          <cell r="A468">
            <v>44734</v>
          </cell>
          <cell r="B468">
            <v>53700</v>
          </cell>
          <cell r="C468">
            <v>54500</v>
          </cell>
          <cell r="D468">
            <v>55200</v>
          </cell>
          <cell r="E468">
            <v>50500</v>
          </cell>
          <cell r="F468">
            <v>56200</v>
          </cell>
          <cell r="G468" t="str">
            <v>-</v>
          </cell>
          <cell r="H468">
            <v>53500</v>
          </cell>
          <cell r="I468">
            <v>54500</v>
          </cell>
          <cell r="J468">
            <v>53800</v>
          </cell>
          <cell r="K468" t="str">
            <v>-</v>
          </cell>
          <cell r="L468">
            <v>55000</v>
          </cell>
          <cell r="M468">
            <v>52100</v>
          </cell>
          <cell r="N468">
            <v>53000</v>
          </cell>
          <cell r="O468" t="str">
            <v>-</v>
          </cell>
          <cell r="P468">
            <v>50500</v>
          </cell>
          <cell r="Q468">
            <v>51100</v>
          </cell>
          <cell r="R468">
            <v>50800</v>
          </cell>
          <cell r="S468">
            <v>53300</v>
          </cell>
          <cell r="T468">
            <v>53900</v>
          </cell>
          <cell r="U468">
            <v>54300</v>
          </cell>
          <cell r="V468">
            <v>54300</v>
          </cell>
          <cell r="W468">
            <v>56800</v>
          </cell>
        </row>
        <row r="469">
          <cell r="A469">
            <v>44735</v>
          </cell>
          <cell r="B469">
            <v>53700</v>
          </cell>
          <cell r="C469">
            <v>55000</v>
          </cell>
          <cell r="D469">
            <v>56500</v>
          </cell>
          <cell r="E469">
            <v>51500</v>
          </cell>
          <cell r="F469">
            <v>56200</v>
          </cell>
          <cell r="G469" t="str">
            <v>-</v>
          </cell>
          <cell r="H469">
            <v>54000</v>
          </cell>
          <cell r="I469">
            <v>55300</v>
          </cell>
          <cell r="J469">
            <v>53800</v>
          </cell>
          <cell r="K469" t="str">
            <v>-</v>
          </cell>
          <cell r="L469">
            <v>55500</v>
          </cell>
          <cell r="M469">
            <v>52100</v>
          </cell>
          <cell r="N469">
            <v>54000</v>
          </cell>
          <cell r="O469" t="str">
            <v>-</v>
          </cell>
          <cell r="P469">
            <v>51000</v>
          </cell>
          <cell r="Q469">
            <v>51400</v>
          </cell>
          <cell r="R469">
            <v>51500</v>
          </cell>
          <cell r="S469">
            <v>54300</v>
          </cell>
          <cell r="T469">
            <v>54200</v>
          </cell>
          <cell r="U469">
            <v>54500</v>
          </cell>
          <cell r="V469">
            <v>54300</v>
          </cell>
          <cell r="W469">
            <v>56800</v>
          </cell>
        </row>
        <row r="470">
          <cell r="A470">
            <v>44736</v>
          </cell>
          <cell r="B470">
            <v>53800</v>
          </cell>
          <cell r="C470">
            <v>55000</v>
          </cell>
          <cell r="D470">
            <v>56500</v>
          </cell>
          <cell r="E470">
            <v>52000</v>
          </cell>
          <cell r="F470">
            <v>57100</v>
          </cell>
          <cell r="G470" t="str">
            <v>-</v>
          </cell>
          <cell r="H470">
            <v>55000</v>
          </cell>
          <cell r="I470">
            <v>55600</v>
          </cell>
          <cell r="J470">
            <v>53900</v>
          </cell>
          <cell r="K470" t="str">
            <v>-</v>
          </cell>
          <cell r="L470">
            <v>56000</v>
          </cell>
          <cell r="M470">
            <v>52700</v>
          </cell>
          <cell r="N470">
            <v>54300</v>
          </cell>
          <cell r="O470" t="str">
            <v>-</v>
          </cell>
          <cell r="P470">
            <v>51300</v>
          </cell>
          <cell r="Q470">
            <v>51600</v>
          </cell>
          <cell r="R470">
            <v>51800</v>
          </cell>
          <cell r="S470">
            <v>54800</v>
          </cell>
          <cell r="T470">
            <v>54500</v>
          </cell>
          <cell r="U470">
            <v>54800</v>
          </cell>
          <cell r="V470">
            <v>55700</v>
          </cell>
          <cell r="W470">
            <v>58000</v>
          </cell>
        </row>
        <row r="471">
          <cell r="A471">
            <v>44737</v>
          </cell>
          <cell r="B471">
            <v>53800</v>
          </cell>
          <cell r="C471">
            <v>55500</v>
          </cell>
          <cell r="D471">
            <v>56700</v>
          </cell>
          <cell r="E471">
            <v>52000</v>
          </cell>
          <cell r="F471">
            <v>57100</v>
          </cell>
          <cell r="G471" t="str">
            <v>-</v>
          </cell>
          <cell r="H471">
            <v>55000</v>
          </cell>
          <cell r="I471">
            <v>55500</v>
          </cell>
          <cell r="J471">
            <v>54400</v>
          </cell>
          <cell r="K471" t="str">
            <v>-</v>
          </cell>
          <cell r="L471">
            <v>56000</v>
          </cell>
          <cell r="M471">
            <v>53100</v>
          </cell>
          <cell r="N471">
            <v>54200</v>
          </cell>
          <cell r="O471" t="str">
            <v>-</v>
          </cell>
          <cell r="P471">
            <v>51300</v>
          </cell>
          <cell r="Q471">
            <v>51500</v>
          </cell>
          <cell r="R471">
            <v>51700</v>
          </cell>
          <cell r="S471">
            <v>54800</v>
          </cell>
          <cell r="T471">
            <v>54300</v>
          </cell>
          <cell r="U471">
            <v>54800</v>
          </cell>
          <cell r="V471">
            <v>56000</v>
          </cell>
          <cell r="W471">
            <v>58300</v>
          </cell>
        </row>
        <row r="472">
          <cell r="A472">
            <v>44738</v>
          </cell>
          <cell r="B472" t="str">
            <v>H</v>
          </cell>
          <cell r="C472" t="str">
            <v>H</v>
          </cell>
          <cell r="D472" t="str">
            <v>H</v>
          </cell>
          <cell r="E472" t="str">
            <v>H</v>
          </cell>
          <cell r="F472" t="str">
            <v>H</v>
          </cell>
          <cell r="G472" t="str">
            <v>H</v>
          </cell>
          <cell r="H472" t="str">
            <v>H</v>
          </cell>
          <cell r="I472" t="str">
            <v>H</v>
          </cell>
          <cell r="J472" t="str">
            <v>H</v>
          </cell>
          <cell r="K472" t="str">
            <v>H</v>
          </cell>
          <cell r="L472" t="str">
            <v>H</v>
          </cell>
          <cell r="M472" t="str">
            <v>H</v>
          </cell>
          <cell r="N472" t="str">
            <v>H</v>
          </cell>
          <cell r="O472" t="str">
            <v>H</v>
          </cell>
          <cell r="P472" t="str">
            <v>H</v>
          </cell>
          <cell r="Q472" t="str">
            <v>H</v>
          </cell>
          <cell r="R472" t="str">
            <v>H</v>
          </cell>
          <cell r="S472" t="str">
            <v>H</v>
          </cell>
          <cell r="T472" t="str">
            <v>H</v>
          </cell>
          <cell r="U472" t="str">
            <v>H</v>
          </cell>
          <cell r="V472" t="str">
            <v>H</v>
          </cell>
          <cell r="W472" t="str">
            <v>H</v>
          </cell>
        </row>
        <row r="473">
          <cell r="A473">
            <v>44739</v>
          </cell>
          <cell r="B473">
            <v>53800</v>
          </cell>
          <cell r="C473">
            <v>56000</v>
          </cell>
          <cell r="D473">
            <v>57000</v>
          </cell>
          <cell r="E473">
            <v>52800</v>
          </cell>
          <cell r="F473">
            <v>57100</v>
          </cell>
          <cell r="G473" t="str">
            <v>-</v>
          </cell>
          <cell r="H473">
            <v>55000</v>
          </cell>
          <cell r="I473">
            <v>55900</v>
          </cell>
          <cell r="J473">
            <v>54900</v>
          </cell>
          <cell r="K473" t="str">
            <v>-</v>
          </cell>
          <cell r="L473">
            <v>56500</v>
          </cell>
          <cell r="M473">
            <v>53700</v>
          </cell>
          <cell r="N473">
            <v>55000</v>
          </cell>
          <cell r="O473" t="str">
            <v>-</v>
          </cell>
          <cell r="P473">
            <v>52500</v>
          </cell>
          <cell r="Q473">
            <v>52600</v>
          </cell>
          <cell r="R473">
            <v>53000</v>
          </cell>
          <cell r="S473">
            <v>55500</v>
          </cell>
          <cell r="T473">
            <v>55000</v>
          </cell>
          <cell r="U473">
            <v>55000</v>
          </cell>
          <cell r="V473">
            <v>56000</v>
          </cell>
          <cell r="W473">
            <v>58300</v>
          </cell>
        </row>
        <row r="474">
          <cell r="A474">
            <v>44740</v>
          </cell>
          <cell r="B474">
            <v>54200</v>
          </cell>
          <cell r="C474">
            <v>57000</v>
          </cell>
          <cell r="D474">
            <v>57400</v>
          </cell>
          <cell r="E474">
            <v>53500</v>
          </cell>
          <cell r="F474">
            <v>57400</v>
          </cell>
          <cell r="G474" t="str">
            <v>-</v>
          </cell>
          <cell r="H474">
            <v>55500</v>
          </cell>
          <cell r="I474">
            <v>56000</v>
          </cell>
          <cell r="J474">
            <v>55100</v>
          </cell>
          <cell r="K474" t="str">
            <v>-</v>
          </cell>
          <cell r="L474">
            <v>56900</v>
          </cell>
          <cell r="M474">
            <v>54500</v>
          </cell>
          <cell r="N474">
            <v>55400</v>
          </cell>
          <cell r="O474" t="str">
            <v>-</v>
          </cell>
          <cell r="P474">
            <v>53000</v>
          </cell>
          <cell r="Q474">
            <v>52800</v>
          </cell>
          <cell r="R474">
            <v>53200</v>
          </cell>
          <cell r="S474">
            <v>56300</v>
          </cell>
          <cell r="T474">
            <v>55500</v>
          </cell>
          <cell r="U474">
            <v>55800</v>
          </cell>
          <cell r="V474">
            <v>56500</v>
          </cell>
          <cell r="W474">
            <v>58800</v>
          </cell>
        </row>
        <row r="475">
          <cell r="A475">
            <v>44741</v>
          </cell>
          <cell r="B475">
            <v>54600</v>
          </cell>
          <cell r="C475">
            <v>57000</v>
          </cell>
          <cell r="D475">
            <v>57400</v>
          </cell>
          <cell r="E475">
            <v>53500</v>
          </cell>
          <cell r="F475">
            <v>57500</v>
          </cell>
          <cell r="G475" t="str">
            <v>-</v>
          </cell>
          <cell r="H475">
            <v>56000</v>
          </cell>
          <cell r="I475">
            <v>56000</v>
          </cell>
          <cell r="J475">
            <v>55100</v>
          </cell>
          <cell r="K475" t="str">
            <v>-</v>
          </cell>
          <cell r="L475">
            <v>56900</v>
          </cell>
          <cell r="M475">
            <v>54800</v>
          </cell>
          <cell r="N475">
            <v>55200</v>
          </cell>
          <cell r="O475" t="str">
            <v>-</v>
          </cell>
          <cell r="P475">
            <v>52700</v>
          </cell>
          <cell r="Q475">
            <v>52800</v>
          </cell>
          <cell r="R475">
            <v>53000</v>
          </cell>
          <cell r="S475">
            <v>56300</v>
          </cell>
          <cell r="T475">
            <v>55500</v>
          </cell>
          <cell r="U475">
            <v>55800</v>
          </cell>
          <cell r="V475">
            <v>56500</v>
          </cell>
          <cell r="W475">
            <v>58800</v>
          </cell>
        </row>
        <row r="476">
          <cell r="A476">
            <v>44742</v>
          </cell>
          <cell r="B476">
            <v>54500</v>
          </cell>
          <cell r="C476">
            <v>57000</v>
          </cell>
          <cell r="D476">
            <v>56900</v>
          </cell>
          <cell r="E476">
            <v>53000</v>
          </cell>
          <cell r="F476">
            <v>57500</v>
          </cell>
          <cell r="G476" t="str">
            <v>-</v>
          </cell>
          <cell r="H476">
            <v>55500</v>
          </cell>
          <cell r="I476">
            <v>55700</v>
          </cell>
          <cell r="J476">
            <v>55100</v>
          </cell>
          <cell r="K476" t="str">
            <v>-</v>
          </cell>
          <cell r="L476">
            <v>56500</v>
          </cell>
          <cell r="M476">
            <v>54800</v>
          </cell>
          <cell r="N476">
            <v>54500</v>
          </cell>
          <cell r="O476" t="str">
            <v>-</v>
          </cell>
          <cell r="P476">
            <v>53000</v>
          </cell>
          <cell r="Q476">
            <v>52800</v>
          </cell>
          <cell r="R476">
            <v>52800</v>
          </cell>
          <cell r="S476">
            <v>55800</v>
          </cell>
          <cell r="T476">
            <v>55500</v>
          </cell>
          <cell r="U476">
            <v>55800</v>
          </cell>
          <cell r="V476">
            <v>56500</v>
          </cell>
          <cell r="W476">
            <v>58800</v>
          </cell>
        </row>
        <row r="477">
          <cell r="A477">
            <v>44743</v>
          </cell>
          <cell r="B477">
            <v>54500</v>
          </cell>
          <cell r="C477">
            <v>57500</v>
          </cell>
          <cell r="D477">
            <v>56900</v>
          </cell>
          <cell r="E477">
            <v>53500</v>
          </cell>
          <cell r="F477">
            <v>57500</v>
          </cell>
          <cell r="G477" t="str">
            <v>-</v>
          </cell>
          <cell r="H477">
            <v>56500</v>
          </cell>
          <cell r="I477">
            <v>55700</v>
          </cell>
          <cell r="J477">
            <v>55100</v>
          </cell>
          <cell r="K477" t="str">
            <v>-</v>
          </cell>
          <cell r="L477">
            <v>56800</v>
          </cell>
          <cell r="M477">
            <v>54800</v>
          </cell>
          <cell r="N477">
            <v>54800</v>
          </cell>
          <cell r="O477" t="str">
            <v>-</v>
          </cell>
          <cell r="P477">
            <v>52700</v>
          </cell>
          <cell r="Q477">
            <v>52600</v>
          </cell>
          <cell r="R477">
            <v>52800</v>
          </cell>
          <cell r="S477">
            <v>56300</v>
          </cell>
          <cell r="T477">
            <v>55500</v>
          </cell>
          <cell r="U477">
            <v>55800</v>
          </cell>
          <cell r="V477">
            <v>56500</v>
          </cell>
          <cell r="W477">
            <v>58800</v>
          </cell>
        </row>
        <row r="478">
          <cell r="A478">
            <v>44744</v>
          </cell>
          <cell r="B478">
            <v>54900</v>
          </cell>
          <cell r="C478">
            <v>58000</v>
          </cell>
          <cell r="D478">
            <v>56900</v>
          </cell>
          <cell r="E478">
            <v>53500</v>
          </cell>
          <cell r="F478">
            <v>57500</v>
          </cell>
          <cell r="G478" t="str">
            <v>-</v>
          </cell>
          <cell r="H478">
            <v>56500</v>
          </cell>
          <cell r="I478">
            <v>55700</v>
          </cell>
          <cell r="J478">
            <v>55100</v>
          </cell>
          <cell r="K478" t="str">
            <v>-</v>
          </cell>
          <cell r="L478">
            <v>57000</v>
          </cell>
          <cell r="M478">
            <v>54800</v>
          </cell>
          <cell r="N478">
            <v>55000</v>
          </cell>
          <cell r="O478" t="str">
            <v>-</v>
          </cell>
          <cell r="P478">
            <v>52400</v>
          </cell>
          <cell r="Q478">
            <v>52600</v>
          </cell>
          <cell r="R478">
            <v>53000</v>
          </cell>
          <cell r="S478">
            <v>56300</v>
          </cell>
          <cell r="T478">
            <v>55500</v>
          </cell>
          <cell r="U478">
            <v>55800</v>
          </cell>
          <cell r="V478">
            <v>57200</v>
          </cell>
          <cell r="W478">
            <v>59500</v>
          </cell>
        </row>
        <row r="479">
          <cell r="A479">
            <v>44745</v>
          </cell>
          <cell r="B479" t="str">
            <v>H</v>
          </cell>
          <cell r="C479" t="str">
            <v>H</v>
          </cell>
          <cell r="D479" t="str">
            <v>H</v>
          </cell>
          <cell r="E479" t="str">
            <v>H</v>
          </cell>
          <cell r="F479" t="str">
            <v>H</v>
          </cell>
          <cell r="G479" t="str">
            <v>H</v>
          </cell>
          <cell r="H479" t="str">
            <v>H</v>
          </cell>
          <cell r="I479" t="str">
            <v>H</v>
          </cell>
          <cell r="J479" t="str">
            <v>H</v>
          </cell>
          <cell r="K479" t="str">
            <v>H</v>
          </cell>
          <cell r="L479" t="str">
            <v>H</v>
          </cell>
          <cell r="M479" t="str">
            <v>H</v>
          </cell>
          <cell r="N479" t="str">
            <v>H</v>
          </cell>
          <cell r="O479" t="str">
            <v>H</v>
          </cell>
          <cell r="P479" t="str">
            <v>H</v>
          </cell>
          <cell r="Q479" t="str">
            <v>H</v>
          </cell>
          <cell r="R479" t="str">
            <v>H</v>
          </cell>
          <cell r="S479" t="str">
            <v>H</v>
          </cell>
          <cell r="T479" t="str">
            <v>H</v>
          </cell>
          <cell r="U479" t="str">
            <v>H</v>
          </cell>
          <cell r="V479" t="str">
            <v>H</v>
          </cell>
          <cell r="W479" t="str">
            <v>H</v>
          </cell>
        </row>
        <row r="480">
          <cell r="A480">
            <v>44746</v>
          </cell>
          <cell r="B480">
            <v>54900</v>
          </cell>
          <cell r="C480">
            <v>58000</v>
          </cell>
          <cell r="D480">
            <v>57000</v>
          </cell>
          <cell r="E480">
            <v>53500</v>
          </cell>
          <cell r="F480">
            <v>57500</v>
          </cell>
          <cell r="G480" t="str">
            <v>-</v>
          </cell>
          <cell r="H480">
            <v>56000</v>
          </cell>
          <cell r="I480">
            <v>55700</v>
          </cell>
          <cell r="J480">
            <v>55100</v>
          </cell>
          <cell r="K480" t="str">
            <v>-</v>
          </cell>
          <cell r="L480">
            <v>57000</v>
          </cell>
          <cell r="M480">
            <v>54400</v>
          </cell>
          <cell r="N480">
            <v>54300</v>
          </cell>
          <cell r="O480" t="str">
            <v>-</v>
          </cell>
          <cell r="P480">
            <v>52100</v>
          </cell>
          <cell r="Q480">
            <v>52300</v>
          </cell>
          <cell r="R480">
            <v>52800</v>
          </cell>
          <cell r="S480">
            <v>56300</v>
          </cell>
          <cell r="T480">
            <v>55000</v>
          </cell>
          <cell r="U480">
            <v>55800</v>
          </cell>
          <cell r="V480">
            <v>57500</v>
          </cell>
          <cell r="W480">
            <v>59700</v>
          </cell>
        </row>
        <row r="481">
          <cell r="A481">
            <v>44747</v>
          </cell>
          <cell r="B481">
            <v>54900</v>
          </cell>
          <cell r="C481">
            <v>58300</v>
          </cell>
          <cell r="D481">
            <v>56500</v>
          </cell>
          <cell r="E481">
            <v>53500</v>
          </cell>
          <cell r="F481">
            <v>57500</v>
          </cell>
          <cell r="G481" t="str">
            <v>-</v>
          </cell>
          <cell r="H481">
            <v>56000</v>
          </cell>
          <cell r="I481">
            <v>56000</v>
          </cell>
          <cell r="J481">
            <v>55100</v>
          </cell>
          <cell r="K481" t="str">
            <v>-</v>
          </cell>
          <cell r="L481">
            <v>57000</v>
          </cell>
          <cell r="M481">
            <v>54400</v>
          </cell>
          <cell r="N481">
            <v>54300</v>
          </cell>
          <cell r="O481" t="str">
            <v>-</v>
          </cell>
          <cell r="P481">
            <v>52600</v>
          </cell>
          <cell r="Q481">
            <v>52400</v>
          </cell>
          <cell r="R481">
            <v>53000</v>
          </cell>
          <cell r="S481">
            <v>56300</v>
          </cell>
          <cell r="T481">
            <v>55000</v>
          </cell>
          <cell r="U481">
            <v>55800</v>
          </cell>
          <cell r="V481">
            <v>57500</v>
          </cell>
          <cell r="W481">
            <v>59700</v>
          </cell>
        </row>
        <row r="482">
          <cell r="A482">
            <v>44748</v>
          </cell>
          <cell r="B482">
            <v>55400</v>
          </cell>
          <cell r="C482">
            <v>58300</v>
          </cell>
          <cell r="D482">
            <v>56700</v>
          </cell>
          <cell r="E482">
            <v>53500</v>
          </cell>
          <cell r="F482">
            <v>57500</v>
          </cell>
          <cell r="G482" t="str">
            <v>-</v>
          </cell>
          <cell r="H482">
            <v>56000</v>
          </cell>
          <cell r="I482">
            <v>55800</v>
          </cell>
          <cell r="J482">
            <v>55700</v>
          </cell>
          <cell r="K482" t="str">
            <v>-</v>
          </cell>
          <cell r="L482">
            <v>56800</v>
          </cell>
          <cell r="M482">
            <v>55000</v>
          </cell>
          <cell r="N482">
            <v>54300</v>
          </cell>
          <cell r="O482" t="str">
            <v>-</v>
          </cell>
          <cell r="P482">
            <v>52300</v>
          </cell>
          <cell r="Q482">
            <v>52600</v>
          </cell>
          <cell r="R482">
            <v>53000</v>
          </cell>
          <cell r="S482">
            <v>56300</v>
          </cell>
          <cell r="T482">
            <v>54900</v>
          </cell>
          <cell r="U482">
            <v>55800</v>
          </cell>
          <cell r="V482">
            <v>57500</v>
          </cell>
          <cell r="W482">
            <v>59700</v>
          </cell>
        </row>
        <row r="483">
          <cell r="A483">
            <v>44749</v>
          </cell>
          <cell r="B483">
            <v>55800</v>
          </cell>
          <cell r="C483">
            <v>58200</v>
          </cell>
          <cell r="D483">
            <v>57200</v>
          </cell>
          <cell r="E483">
            <v>54500</v>
          </cell>
          <cell r="F483">
            <v>57700</v>
          </cell>
          <cell r="G483" t="str">
            <v>-</v>
          </cell>
          <cell r="H483">
            <v>56500</v>
          </cell>
          <cell r="I483">
            <v>56400</v>
          </cell>
          <cell r="J483">
            <v>55700</v>
          </cell>
          <cell r="K483" t="str">
            <v>-</v>
          </cell>
          <cell r="L483">
            <v>57200</v>
          </cell>
          <cell r="M483">
            <v>55300</v>
          </cell>
          <cell r="N483">
            <v>54800</v>
          </cell>
          <cell r="O483" t="str">
            <v>-</v>
          </cell>
          <cell r="P483">
            <v>53200</v>
          </cell>
          <cell r="Q483">
            <v>53300</v>
          </cell>
          <cell r="R483">
            <v>53200</v>
          </cell>
          <cell r="S483">
            <v>57200</v>
          </cell>
          <cell r="T483">
            <v>55300</v>
          </cell>
          <cell r="U483">
            <v>55800</v>
          </cell>
          <cell r="V483">
            <v>57500</v>
          </cell>
          <cell r="W483">
            <v>59700</v>
          </cell>
        </row>
        <row r="484">
          <cell r="A484">
            <v>44750</v>
          </cell>
          <cell r="B484">
            <v>56300</v>
          </cell>
          <cell r="C484">
            <v>58500</v>
          </cell>
          <cell r="D484">
            <v>58000</v>
          </cell>
          <cell r="E484">
            <v>56000</v>
          </cell>
          <cell r="F484">
            <v>58300</v>
          </cell>
          <cell r="G484" t="str">
            <v>-</v>
          </cell>
          <cell r="H484">
            <v>57000</v>
          </cell>
          <cell r="I484">
            <v>57400</v>
          </cell>
          <cell r="J484">
            <v>56300</v>
          </cell>
          <cell r="K484" t="str">
            <v>-</v>
          </cell>
          <cell r="L484">
            <v>58400</v>
          </cell>
          <cell r="M484">
            <v>55500</v>
          </cell>
          <cell r="N484">
            <v>55800</v>
          </cell>
          <cell r="O484" t="str">
            <v>-</v>
          </cell>
          <cell r="P484">
            <v>53800</v>
          </cell>
          <cell r="Q484">
            <v>53900</v>
          </cell>
          <cell r="R484">
            <v>54200</v>
          </cell>
          <cell r="S484">
            <v>58800</v>
          </cell>
          <cell r="T484">
            <v>55800</v>
          </cell>
          <cell r="U484">
            <v>56800</v>
          </cell>
          <cell r="V484">
            <v>57800</v>
          </cell>
          <cell r="W484">
            <v>60100</v>
          </cell>
        </row>
        <row r="485">
          <cell r="A485">
            <v>44751</v>
          </cell>
          <cell r="B485">
            <v>56700</v>
          </cell>
          <cell r="C485">
            <v>59000</v>
          </cell>
          <cell r="D485">
            <v>58500</v>
          </cell>
          <cell r="E485">
            <v>56000</v>
          </cell>
          <cell r="F485">
            <v>58200</v>
          </cell>
          <cell r="G485" t="str">
            <v>-</v>
          </cell>
          <cell r="H485">
            <v>57500</v>
          </cell>
          <cell r="I485">
            <v>57500</v>
          </cell>
          <cell r="J485">
            <v>56500</v>
          </cell>
          <cell r="K485" t="str">
            <v>-</v>
          </cell>
          <cell r="L485">
            <v>58800</v>
          </cell>
          <cell r="M485">
            <v>55700</v>
          </cell>
          <cell r="N485">
            <v>56600</v>
          </cell>
          <cell r="O485" t="str">
            <v>-</v>
          </cell>
          <cell r="P485">
            <v>53800</v>
          </cell>
          <cell r="Q485">
            <v>54100</v>
          </cell>
          <cell r="R485">
            <v>54000</v>
          </cell>
          <cell r="S485">
            <v>58800</v>
          </cell>
          <cell r="T485">
            <v>56300</v>
          </cell>
          <cell r="U485">
            <v>56800</v>
          </cell>
          <cell r="V485">
            <v>57800</v>
          </cell>
          <cell r="W485">
            <v>60100</v>
          </cell>
        </row>
        <row r="486">
          <cell r="A486">
            <v>44752</v>
          </cell>
          <cell r="B486" t="str">
            <v>H</v>
          </cell>
          <cell r="C486" t="str">
            <v>H</v>
          </cell>
          <cell r="D486" t="str">
            <v>H</v>
          </cell>
          <cell r="E486" t="str">
            <v>H</v>
          </cell>
          <cell r="F486" t="str">
            <v>H</v>
          </cell>
          <cell r="G486" t="str">
            <v>H</v>
          </cell>
          <cell r="H486" t="str">
            <v>H</v>
          </cell>
          <cell r="I486" t="str">
            <v>H</v>
          </cell>
          <cell r="J486" t="str">
            <v>H</v>
          </cell>
          <cell r="K486" t="str">
            <v>H</v>
          </cell>
          <cell r="L486" t="str">
            <v>H</v>
          </cell>
          <cell r="M486" t="str">
            <v>H</v>
          </cell>
          <cell r="N486" t="str">
            <v>H</v>
          </cell>
          <cell r="O486" t="str">
            <v>H</v>
          </cell>
          <cell r="P486" t="str">
            <v>H</v>
          </cell>
          <cell r="Q486" t="str">
            <v>H</v>
          </cell>
          <cell r="R486" t="str">
            <v>H</v>
          </cell>
          <cell r="S486" t="str">
            <v>H</v>
          </cell>
          <cell r="T486" t="str">
            <v>H</v>
          </cell>
          <cell r="U486" t="str">
            <v>H</v>
          </cell>
          <cell r="V486" t="str">
            <v>H</v>
          </cell>
          <cell r="W486" t="str">
            <v>H</v>
          </cell>
        </row>
        <row r="487">
          <cell r="A487">
            <v>44753</v>
          </cell>
          <cell r="B487">
            <v>56700</v>
          </cell>
          <cell r="C487">
            <v>59200</v>
          </cell>
          <cell r="D487">
            <v>58800</v>
          </cell>
          <cell r="E487">
            <v>56500</v>
          </cell>
          <cell r="F487">
            <v>58200</v>
          </cell>
          <cell r="G487" t="str">
            <v>-</v>
          </cell>
          <cell r="H487">
            <v>57500</v>
          </cell>
          <cell r="I487">
            <v>57800</v>
          </cell>
          <cell r="J487">
            <v>56500</v>
          </cell>
          <cell r="K487" t="str">
            <v>-</v>
          </cell>
          <cell r="L487">
            <v>59400</v>
          </cell>
          <cell r="M487">
            <v>55700</v>
          </cell>
          <cell r="N487">
            <v>57000</v>
          </cell>
          <cell r="O487" t="str">
            <v>-</v>
          </cell>
          <cell r="P487">
            <v>54100</v>
          </cell>
          <cell r="Q487">
            <v>54600</v>
          </cell>
          <cell r="R487">
            <v>54300</v>
          </cell>
          <cell r="S487">
            <v>59200</v>
          </cell>
          <cell r="T487">
            <v>56500</v>
          </cell>
          <cell r="U487">
            <v>57300</v>
          </cell>
          <cell r="V487">
            <v>57800</v>
          </cell>
          <cell r="W487">
            <v>60100</v>
          </cell>
        </row>
        <row r="488">
          <cell r="A488">
            <v>44754</v>
          </cell>
          <cell r="B488">
            <v>57600</v>
          </cell>
          <cell r="C488">
            <v>59700</v>
          </cell>
          <cell r="D488">
            <v>59500</v>
          </cell>
          <cell r="E488">
            <v>56500</v>
          </cell>
          <cell r="F488">
            <v>58200</v>
          </cell>
          <cell r="G488" t="str">
            <v>-</v>
          </cell>
          <cell r="H488">
            <v>58000</v>
          </cell>
          <cell r="I488">
            <v>58000</v>
          </cell>
          <cell r="J488">
            <v>56500</v>
          </cell>
          <cell r="K488" t="str">
            <v>-</v>
          </cell>
          <cell r="L488">
            <v>59700</v>
          </cell>
          <cell r="M488">
            <v>55700</v>
          </cell>
          <cell r="N488">
            <v>57800</v>
          </cell>
          <cell r="O488" t="str">
            <v>-</v>
          </cell>
          <cell r="P488">
            <v>55200</v>
          </cell>
          <cell r="Q488">
            <v>55500</v>
          </cell>
          <cell r="R488">
            <v>55500</v>
          </cell>
          <cell r="S488">
            <v>59300</v>
          </cell>
          <cell r="T488">
            <v>57500</v>
          </cell>
          <cell r="U488">
            <v>57300</v>
          </cell>
          <cell r="V488">
            <v>58500</v>
          </cell>
          <cell r="W488">
            <v>60800</v>
          </cell>
        </row>
        <row r="489">
          <cell r="A489">
            <v>44755</v>
          </cell>
          <cell r="B489">
            <v>57600</v>
          </cell>
          <cell r="C489">
            <v>59700</v>
          </cell>
          <cell r="D489">
            <v>59500</v>
          </cell>
          <cell r="E489">
            <v>56000</v>
          </cell>
          <cell r="F489">
            <v>58200</v>
          </cell>
          <cell r="G489" t="str">
            <v>-</v>
          </cell>
          <cell r="H489">
            <v>57500</v>
          </cell>
          <cell r="I489">
            <v>58000</v>
          </cell>
          <cell r="J489">
            <v>56500</v>
          </cell>
          <cell r="K489" t="str">
            <v>-</v>
          </cell>
          <cell r="L489">
            <v>59700</v>
          </cell>
          <cell r="M489">
            <v>55700</v>
          </cell>
          <cell r="N489">
            <v>57800</v>
          </cell>
          <cell r="O489" t="str">
            <v>-</v>
          </cell>
          <cell r="P489">
            <v>55200</v>
          </cell>
          <cell r="Q489">
            <v>55100</v>
          </cell>
          <cell r="R489">
            <v>55300</v>
          </cell>
          <cell r="S489">
            <v>58800</v>
          </cell>
          <cell r="T489">
            <v>57300</v>
          </cell>
          <cell r="U489">
            <v>57300</v>
          </cell>
          <cell r="V489">
            <v>58500</v>
          </cell>
          <cell r="W489">
            <v>60800</v>
          </cell>
        </row>
        <row r="490">
          <cell r="A490">
            <v>44756</v>
          </cell>
          <cell r="B490">
            <v>57600</v>
          </cell>
          <cell r="C490">
            <v>59500</v>
          </cell>
          <cell r="D490">
            <v>59200</v>
          </cell>
          <cell r="E490">
            <v>55000</v>
          </cell>
          <cell r="F490">
            <v>58200</v>
          </cell>
          <cell r="G490" t="str">
            <v>-</v>
          </cell>
          <cell r="H490">
            <v>57000</v>
          </cell>
          <cell r="I490">
            <v>57800</v>
          </cell>
          <cell r="J490">
            <v>56500</v>
          </cell>
          <cell r="K490" t="str">
            <v>-</v>
          </cell>
          <cell r="L490">
            <v>59300</v>
          </cell>
          <cell r="M490">
            <v>55700</v>
          </cell>
          <cell r="N490">
            <v>56300</v>
          </cell>
          <cell r="O490" t="str">
            <v>-</v>
          </cell>
          <cell r="P490">
            <v>54500</v>
          </cell>
          <cell r="Q490">
            <v>54400</v>
          </cell>
          <cell r="R490">
            <v>54800</v>
          </cell>
          <cell r="S490">
            <v>57700</v>
          </cell>
          <cell r="T490">
            <v>56800</v>
          </cell>
          <cell r="U490">
            <v>56800</v>
          </cell>
          <cell r="V490">
            <v>58500</v>
          </cell>
          <cell r="W490">
            <v>60800</v>
          </cell>
        </row>
        <row r="491">
          <cell r="A491">
            <v>44757</v>
          </cell>
          <cell r="B491">
            <v>57000</v>
          </cell>
          <cell r="C491">
            <v>59000</v>
          </cell>
          <cell r="D491">
            <v>58700</v>
          </cell>
          <cell r="E491">
            <v>55000</v>
          </cell>
          <cell r="F491">
            <v>57800</v>
          </cell>
          <cell r="G491" t="str">
            <v>-</v>
          </cell>
          <cell r="H491">
            <v>57000</v>
          </cell>
          <cell r="I491">
            <v>57300</v>
          </cell>
          <cell r="J491">
            <v>56200</v>
          </cell>
          <cell r="K491" t="str">
            <v>-</v>
          </cell>
          <cell r="L491">
            <v>59200</v>
          </cell>
          <cell r="M491">
            <v>55700</v>
          </cell>
          <cell r="N491">
            <v>56300</v>
          </cell>
          <cell r="O491" t="str">
            <v>-</v>
          </cell>
          <cell r="P491">
            <v>54500</v>
          </cell>
          <cell r="Q491">
            <v>53900</v>
          </cell>
          <cell r="R491">
            <v>54000</v>
          </cell>
          <cell r="S491">
            <v>57700</v>
          </cell>
          <cell r="T491">
            <v>56300</v>
          </cell>
          <cell r="U491">
            <v>55800</v>
          </cell>
          <cell r="V491">
            <v>58200</v>
          </cell>
          <cell r="W491">
            <v>60500</v>
          </cell>
        </row>
        <row r="492">
          <cell r="A492">
            <v>44758</v>
          </cell>
          <cell r="B492">
            <v>56300</v>
          </cell>
          <cell r="C492">
            <v>59000</v>
          </cell>
          <cell r="D492">
            <v>58200</v>
          </cell>
          <cell r="E492">
            <v>54500</v>
          </cell>
          <cell r="F492">
            <v>57500</v>
          </cell>
          <cell r="G492" t="str">
            <v>-</v>
          </cell>
          <cell r="H492">
            <v>56000</v>
          </cell>
          <cell r="I492">
            <v>57000</v>
          </cell>
          <cell r="J492">
            <v>56100</v>
          </cell>
          <cell r="K492" t="str">
            <v>-</v>
          </cell>
          <cell r="L492">
            <v>58000</v>
          </cell>
          <cell r="M492">
            <v>55700</v>
          </cell>
          <cell r="N492">
            <v>56000</v>
          </cell>
          <cell r="O492" t="str">
            <v>-</v>
          </cell>
          <cell r="P492">
            <v>53500</v>
          </cell>
          <cell r="Q492">
            <v>53500</v>
          </cell>
          <cell r="R492">
            <v>53500</v>
          </cell>
          <cell r="S492">
            <v>57200</v>
          </cell>
          <cell r="T492">
            <v>55500</v>
          </cell>
          <cell r="U492" t="str">
            <v>-</v>
          </cell>
          <cell r="V492">
            <v>58000</v>
          </cell>
          <cell r="W492">
            <v>60300</v>
          </cell>
        </row>
        <row r="493">
          <cell r="A493">
            <v>44759</v>
          </cell>
          <cell r="B493" t="str">
            <v>H</v>
          </cell>
          <cell r="C493" t="str">
            <v>H</v>
          </cell>
          <cell r="D493" t="str">
            <v>H</v>
          </cell>
          <cell r="E493" t="str">
            <v>H</v>
          </cell>
          <cell r="F493" t="str">
            <v>H</v>
          </cell>
          <cell r="G493" t="str">
            <v>H</v>
          </cell>
          <cell r="H493" t="str">
            <v>H</v>
          </cell>
          <cell r="I493" t="str">
            <v>H</v>
          </cell>
          <cell r="J493" t="str">
            <v>H</v>
          </cell>
          <cell r="K493" t="str">
            <v>H</v>
          </cell>
          <cell r="L493" t="str">
            <v>H</v>
          </cell>
          <cell r="M493" t="str">
            <v>H</v>
          </cell>
          <cell r="N493" t="str">
            <v>H</v>
          </cell>
          <cell r="O493" t="str">
            <v>H</v>
          </cell>
          <cell r="P493" t="str">
            <v>H</v>
          </cell>
          <cell r="Q493" t="str">
            <v>H</v>
          </cell>
          <cell r="R493" t="str">
            <v>H</v>
          </cell>
          <cell r="S493" t="str">
            <v>H</v>
          </cell>
          <cell r="T493" t="str">
            <v>H</v>
          </cell>
          <cell r="U493" t="str">
            <v>H</v>
          </cell>
          <cell r="V493" t="str">
            <v>H</v>
          </cell>
          <cell r="W493" t="str">
            <v>H</v>
          </cell>
        </row>
        <row r="494">
          <cell r="A494">
            <v>44760</v>
          </cell>
          <cell r="B494">
            <v>56000</v>
          </cell>
          <cell r="C494">
            <v>58500</v>
          </cell>
          <cell r="D494">
            <v>58300</v>
          </cell>
          <cell r="E494">
            <v>54000</v>
          </cell>
          <cell r="F494">
            <v>56000</v>
          </cell>
          <cell r="G494" t="str">
            <v>-</v>
          </cell>
          <cell r="H494">
            <v>56000</v>
          </cell>
          <cell r="I494">
            <v>57000</v>
          </cell>
          <cell r="J494">
            <v>55100</v>
          </cell>
          <cell r="K494" t="str">
            <v>-</v>
          </cell>
          <cell r="L494">
            <v>58000</v>
          </cell>
          <cell r="M494">
            <v>54700</v>
          </cell>
          <cell r="N494">
            <v>56200</v>
          </cell>
          <cell r="O494" t="str">
            <v>-</v>
          </cell>
          <cell r="P494">
            <v>52600</v>
          </cell>
          <cell r="Q494">
            <v>52700</v>
          </cell>
          <cell r="R494">
            <v>52800</v>
          </cell>
          <cell r="S494">
            <v>56700</v>
          </cell>
          <cell r="T494">
            <v>55000</v>
          </cell>
          <cell r="U494">
            <v>55800</v>
          </cell>
          <cell r="V494">
            <v>57600</v>
          </cell>
          <cell r="W494">
            <v>60000</v>
          </cell>
        </row>
        <row r="495">
          <cell r="A495">
            <v>44761</v>
          </cell>
          <cell r="B495">
            <v>55800</v>
          </cell>
          <cell r="C495">
            <v>58000</v>
          </cell>
          <cell r="D495">
            <v>58000</v>
          </cell>
          <cell r="E495">
            <v>53500</v>
          </cell>
          <cell r="F495">
            <v>56000</v>
          </cell>
          <cell r="G495" t="str">
            <v>-</v>
          </cell>
          <cell r="H495">
            <v>55500</v>
          </cell>
          <cell r="I495">
            <v>56500</v>
          </cell>
          <cell r="J495">
            <v>55000</v>
          </cell>
          <cell r="K495" t="str">
            <v>-</v>
          </cell>
          <cell r="L495">
            <v>57500</v>
          </cell>
          <cell r="M495">
            <v>54400</v>
          </cell>
          <cell r="N495">
            <v>55200</v>
          </cell>
          <cell r="O495" t="str">
            <v>-</v>
          </cell>
          <cell r="P495">
            <v>51900</v>
          </cell>
          <cell r="Q495">
            <v>52100</v>
          </cell>
          <cell r="R495">
            <v>52300</v>
          </cell>
          <cell r="S495">
            <v>56200</v>
          </cell>
          <cell r="T495">
            <v>54800</v>
          </cell>
          <cell r="U495">
            <v>55300</v>
          </cell>
          <cell r="V495">
            <v>57300</v>
          </cell>
          <cell r="W495">
            <v>59700</v>
          </cell>
        </row>
        <row r="496">
          <cell r="A496">
            <v>44762</v>
          </cell>
          <cell r="B496">
            <v>55500</v>
          </cell>
          <cell r="C496">
            <v>57500</v>
          </cell>
          <cell r="D496">
            <v>57000</v>
          </cell>
          <cell r="E496">
            <v>53000</v>
          </cell>
          <cell r="F496">
            <v>56000</v>
          </cell>
          <cell r="G496" t="str">
            <v>-</v>
          </cell>
          <cell r="H496">
            <v>55500</v>
          </cell>
          <cell r="I496">
            <v>56100</v>
          </cell>
          <cell r="J496">
            <v>55000</v>
          </cell>
          <cell r="K496" t="str">
            <v>-</v>
          </cell>
          <cell r="L496">
            <v>57000</v>
          </cell>
          <cell r="M496">
            <v>54400</v>
          </cell>
          <cell r="N496">
            <v>55200</v>
          </cell>
          <cell r="O496" t="str">
            <v>-</v>
          </cell>
          <cell r="P496">
            <v>51800</v>
          </cell>
          <cell r="Q496">
            <v>51900</v>
          </cell>
          <cell r="R496">
            <v>52300</v>
          </cell>
          <cell r="S496">
            <v>55700</v>
          </cell>
          <cell r="T496">
            <v>53900</v>
          </cell>
          <cell r="U496">
            <v>54800</v>
          </cell>
          <cell r="V496">
            <v>56700</v>
          </cell>
          <cell r="W496">
            <v>59200</v>
          </cell>
        </row>
        <row r="497">
          <cell r="A497">
            <v>44763</v>
          </cell>
          <cell r="B497">
            <v>55000</v>
          </cell>
          <cell r="C497">
            <v>57500</v>
          </cell>
          <cell r="D497">
            <v>56800</v>
          </cell>
          <cell r="E497">
            <v>52500</v>
          </cell>
          <cell r="F497">
            <v>56000</v>
          </cell>
          <cell r="G497" t="str">
            <v>-</v>
          </cell>
          <cell r="H497">
            <v>55000</v>
          </cell>
          <cell r="I497">
            <v>55800</v>
          </cell>
          <cell r="J497">
            <v>54500</v>
          </cell>
          <cell r="K497" t="str">
            <v>-</v>
          </cell>
          <cell r="L497">
            <v>56500</v>
          </cell>
          <cell r="M497">
            <v>53800</v>
          </cell>
          <cell r="N497">
            <v>55000</v>
          </cell>
          <cell r="O497" t="str">
            <v>-</v>
          </cell>
          <cell r="P497">
            <v>51300</v>
          </cell>
          <cell r="Q497">
            <v>51300</v>
          </cell>
          <cell r="R497">
            <v>51500</v>
          </cell>
          <cell r="S497">
            <v>55200</v>
          </cell>
          <cell r="T497">
            <v>53900</v>
          </cell>
          <cell r="U497">
            <v>54000</v>
          </cell>
          <cell r="V497">
            <v>56500</v>
          </cell>
          <cell r="W497">
            <v>58900</v>
          </cell>
        </row>
        <row r="498">
          <cell r="A498">
            <v>44764</v>
          </cell>
          <cell r="B498">
            <v>54600</v>
          </cell>
          <cell r="C498">
            <v>57000</v>
          </cell>
          <cell r="D498">
            <v>56800</v>
          </cell>
          <cell r="E498">
            <v>52500</v>
          </cell>
          <cell r="F498">
            <v>55800</v>
          </cell>
          <cell r="G498" t="str">
            <v>-</v>
          </cell>
          <cell r="H498">
            <v>55000</v>
          </cell>
          <cell r="I498">
            <v>55800</v>
          </cell>
          <cell r="J498">
            <v>54000</v>
          </cell>
          <cell r="K498" t="str">
            <v>-</v>
          </cell>
          <cell r="L498">
            <v>56500</v>
          </cell>
          <cell r="M498">
            <v>52800</v>
          </cell>
          <cell r="N498">
            <v>55000</v>
          </cell>
          <cell r="O498" t="str">
            <v>-</v>
          </cell>
          <cell r="P498">
            <v>51000</v>
          </cell>
          <cell r="Q498">
            <v>51200</v>
          </cell>
          <cell r="R498">
            <v>51500</v>
          </cell>
          <cell r="S498">
            <v>55200</v>
          </cell>
          <cell r="T498">
            <v>53900</v>
          </cell>
          <cell r="U498">
            <v>54000</v>
          </cell>
          <cell r="V498">
            <v>56500</v>
          </cell>
          <cell r="W498">
            <v>58900</v>
          </cell>
        </row>
        <row r="499">
          <cell r="A499">
            <v>44765</v>
          </cell>
          <cell r="B499">
            <v>54300</v>
          </cell>
          <cell r="C499">
            <v>57000</v>
          </cell>
          <cell r="D499">
            <v>56500</v>
          </cell>
          <cell r="E499">
            <v>52500</v>
          </cell>
          <cell r="F499">
            <v>55800</v>
          </cell>
          <cell r="G499" t="str">
            <v>-</v>
          </cell>
          <cell r="H499">
            <v>54500</v>
          </cell>
          <cell r="I499">
            <v>55300</v>
          </cell>
          <cell r="J499">
            <v>54000</v>
          </cell>
          <cell r="K499" t="str">
            <v>-</v>
          </cell>
          <cell r="L499">
            <v>56000</v>
          </cell>
          <cell r="M499">
            <v>52600</v>
          </cell>
          <cell r="N499">
            <v>54700</v>
          </cell>
          <cell r="O499" t="str">
            <v>-</v>
          </cell>
          <cell r="P499">
            <v>50700</v>
          </cell>
          <cell r="Q499">
            <v>51000</v>
          </cell>
          <cell r="R499">
            <v>51500</v>
          </cell>
          <cell r="S499">
            <v>55200</v>
          </cell>
          <cell r="T499">
            <v>53500</v>
          </cell>
          <cell r="U499">
            <v>53800</v>
          </cell>
          <cell r="V499">
            <v>56500</v>
          </cell>
          <cell r="W499">
            <v>58900</v>
          </cell>
        </row>
        <row r="500">
          <cell r="A500">
            <v>44766</v>
          </cell>
          <cell r="B500" t="str">
            <v>H</v>
          </cell>
          <cell r="C500" t="str">
            <v>H</v>
          </cell>
          <cell r="D500" t="str">
            <v>H</v>
          </cell>
          <cell r="E500" t="str">
            <v>H</v>
          </cell>
          <cell r="F500" t="str">
            <v>H</v>
          </cell>
          <cell r="G500" t="str">
            <v>H</v>
          </cell>
          <cell r="H500" t="str">
            <v>H</v>
          </cell>
          <cell r="I500" t="str">
            <v>H</v>
          </cell>
          <cell r="J500" t="str">
            <v>H</v>
          </cell>
          <cell r="K500" t="str">
            <v>H</v>
          </cell>
          <cell r="L500" t="str">
            <v>H</v>
          </cell>
          <cell r="M500" t="str">
            <v>H</v>
          </cell>
          <cell r="N500" t="str">
            <v>H</v>
          </cell>
          <cell r="O500" t="str">
            <v>H</v>
          </cell>
          <cell r="P500" t="str">
            <v>H</v>
          </cell>
          <cell r="Q500" t="str">
            <v>H</v>
          </cell>
          <cell r="R500" t="str">
            <v>H</v>
          </cell>
          <cell r="S500" t="str">
            <v>H</v>
          </cell>
          <cell r="T500" t="str">
            <v>H</v>
          </cell>
          <cell r="U500" t="str">
            <v>H</v>
          </cell>
          <cell r="V500" t="str">
            <v>H</v>
          </cell>
          <cell r="W500" t="str">
            <v>H</v>
          </cell>
        </row>
        <row r="501">
          <cell r="A501">
            <v>44767</v>
          </cell>
          <cell r="B501">
            <v>54300</v>
          </cell>
          <cell r="C501">
            <v>56500</v>
          </cell>
          <cell r="D501">
            <v>56500</v>
          </cell>
          <cell r="E501">
            <v>51700</v>
          </cell>
          <cell r="F501">
            <v>55600</v>
          </cell>
          <cell r="G501" t="str">
            <v>-</v>
          </cell>
          <cell r="H501">
            <v>54500</v>
          </cell>
          <cell r="I501">
            <v>55000</v>
          </cell>
          <cell r="J501">
            <v>54300</v>
          </cell>
          <cell r="K501" t="str">
            <v>-</v>
          </cell>
          <cell r="L501">
            <v>56000</v>
          </cell>
          <cell r="M501">
            <v>52800</v>
          </cell>
          <cell r="N501">
            <v>54200</v>
          </cell>
          <cell r="O501" t="str">
            <v>-</v>
          </cell>
          <cell r="P501">
            <v>50700</v>
          </cell>
          <cell r="Q501">
            <v>50800</v>
          </cell>
          <cell r="R501">
            <v>51600</v>
          </cell>
          <cell r="S501">
            <v>54400</v>
          </cell>
          <cell r="T501">
            <v>53500</v>
          </cell>
          <cell r="U501">
            <v>54000</v>
          </cell>
          <cell r="V501">
            <v>56000</v>
          </cell>
          <cell r="W501">
            <v>58300</v>
          </cell>
        </row>
        <row r="502">
          <cell r="A502">
            <v>44768</v>
          </cell>
          <cell r="B502">
            <v>54600</v>
          </cell>
          <cell r="C502">
            <v>56800</v>
          </cell>
          <cell r="D502">
            <v>57000</v>
          </cell>
          <cell r="E502">
            <v>53000</v>
          </cell>
          <cell r="F502">
            <v>56300</v>
          </cell>
          <cell r="G502" t="str">
            <v>-</v>
          </cell>
          <cell r="H502">
            <v>54500</v>
          </cell>
          <cell r="I502">
            <v>55500</v>
          </cell>
          <cell r="J502">
            <v>54700</v>
          </cell>
          <cell r="K502" t="str">
            <v>-</v>
          </cell>
          <cell r="L502">
            <v>57000</v>
          </cell>
          <cell r="M502">
            <v>53200</v>
          </cell>
          <cell r="N502">
            <v>55200</v>
          </cell>
          <cell r="O502" t="str">
            <v>-</v>
          </cell>
          <cell r="P502">
            <v>51500</v>
          </cell>
          <cell r="Q502">
            <v>51500</v>
          </cell>
          <cell r="R502">
            <v>52100</v>
          </cell>
          <cell r="S502">
            <v>55700</v>
          </cell>
          <cell r="T502">
            <v>53900</v>
          </cell>
          <cell r="U502">
            <v>54000</v>
          </cell>
          <cell r="V502">
            <v>56000</v>
          </cell>
          <cell r="W502">
            <v>58300</v>
          </cell>
        </row>
        <row r="503">
          <cell r="A503">
            <v>44769</v>
          </cell>
          <cell r="B503">
            <v>55000</v>
          </cell>
          <cell r="C503">
            <v>57300</v>
          </cell>
          <cell r="D503">
            <v>57500</v>
          </cell>
          <cell r="E503">
            <v>53500</v>
          </cell>
          <cell r="F503">
            <v>56800</v>
          </cell>
          <cell r="G503" t="str">
            <v>-</v>
          </cell>
          <cell r="H503">
            <v>54500</v>
          </cell>
          <cell r="I503">
            <v>55600</v>
          </cell>
          <cell r="J503">
            <v>54700</v>
          </cell>
          <cell r="K503" t="str">
            <v>-</v>
          </cell>
          <cell r="L503">
            <v>57300</v>
          </cell>
          <cell r="M503">
            <v>53200</v>
          </cell>
          <cell r="N503">
            <v>55500</v>
          </cell>
          <cell r="O503" t="str">
            <v>-</v>
          </cell>
          <cell r="P503">
            <v>51700</v>
          </cell>
          <cell r="Q503">
            <v>51700</v>
          </cell>
          <cell r="R503">
            <v>52100</v>
          </cell>
          <cell r="S503">
            <v>56200</v>
          </cell>
          <cell r="T503">
            <v>54300</v>
          </cell>
          <cell r="U503">
            <v>55300</v>
          </cell>
          <cell r="V503">
            <v>56500</v>
          </cell>
          <cell r="W503">
            <v>58800</v>
          </cell>
        </row>
        <row r="504">
          <cell r="A504">
            <v>44770</v>
          </cell>
          <cell r="B504">
            <v>55000</v>
          </cell>
          <cell r="C504">
            <v>57500</v>
          </cell>
          <cell r="D504">
            <v>57500</v>
          </cell>
          <cell r="E504">
            <v>53500</v>
          </cell>
          <cell r="F504">
            <v>57100</v>
          </cell>
          <cell r="G504" t="str">
            <v>-</v>
          </cell>
          <cell r="H504">
            <v>55500</v>
          </cell>
          <cell r="I504">
            <v>55600</v>
          </cell>
          <cell r="J504">
            <v>55100</v>
          </cell>
          <cell r="K504" t="str">
            <v>-</v>
          </cell>
          <cell r="L504">
            <v>57700</v>
          </cell>
          <cell r="M504">
            <v>53600</v>
          </cell>
          <cell r="N504">
            <v>55700</v>
          </cell>
          <cell r="O504" t="str">
            <v>-</v>
          </cell>
          <cell r="P504">
            <v>51700</v>
          </cell>
          <cell r="Q504">
            <v>52000</v>
          </cell>
          <cell r="R504">
            <v>52700</v>
          </cell>
          <cell r="S504">
            <v>56200</v>
          </cell>
          <cell r="T504">
            <v>54500</v>
          </cell>
          <cell r="U504">
            <v>55300</v>
          </cell>
          <cell r="V504">
            <v>56500</v>
          </cell>
          <cell r="W504">
            <v>58800</v>
          </cell>
        </row>
        <row r="505">
          <cell r="A505">
            <v>44771</v>
          </cell>
          <cell r="B505">
            <v>55000</v>
          </cell>
          <cell r="C505">
            <v>57700</v>
          </cell>
          <cell r="D505">
            <v>57700</v>
          </cell>
          <cell r="E505">
            <v>53500</v>
          </cell>
          <cell r="F505">
            <v>57100</v>
          </cell>
          <cell r="G505" t="str">
            <v>-</v>
          </cell>
          <cell r="H505">
            <v>55500</v>
          </cell>
          <cell r="I505">
            <v>56000</v>
          </cell>
          <cell r="J505">
            <v>55100</v>
          </cell>
          <cell r="K505" t="str">
            <v>-</v>
          </cell>
          <cell r="L505">
            <v>58000</v>
          </cell>
          <cell r="M505">
            <v>53800</v>
          </cell>
          <cell r="N505">
            <v>55700</v>
          </cell>
          <cell r="O505" t="str">
            <v>-</v>
          </cell>
          <cell r="P505">
            <v>52300</v>
          </cell>
          <cell r="Q505">
            <v>52500</v>
          </cell>
          <cell r="R505">
            <v>53000</v>
          </cell>
          <cell r="S505">
            <v>56200</v>
          </cell>
          <cell r="T505">
            <v>55000</v>
          </cell>
          <cell r="U505">
            <v>55800</v>
          </cell>
          <cell r="V505">
            <v>56500</v>
          </cell>
          <cell r="W505">
            <v>58800</v>
          </cell>
        </row>
        <row r="506">
          <cell r="A506">
            <v>44772</v>
          </cell>
          <cell r="B506">
            <v>55000</v>
          </cell>
          <cell r="C506">
            <v>57700</v>
          </cell>
          <cell r="D506">
            <v>57400</v>
          </cell>
          <cell r="E506">
            <v>53000</v>
          </cell>
          <cell r="F506">
            <v>57100</v>
          </cell>
          <cell r="G506" t="str">
            <v>-</v>
          </cell>
          <cell r="H506">
            <v>55000</v>
          </cell>
          <cell r="I506">
            <v>55900</v>
          </cell>
          <cell r="J506">
            <v>55100</v>
          </cell>
          <cell r="K506" t="str">
            <v>-</v>
          </cell>
          <cell r="L506">
            <v>57500</v>
          </cell>
          <cell r="M506">
            <v>54000</v>
          </cell>
          <cell r="N506">
            <v>55100</v>
          </cell>
          <cell r="O506" t="str">
            <v>-</v>
          </cell>
          <cell r="P506">
            <v>52300</v>
          </cell>
          <cell r="Q506">
            <v>52400</v>
          </cell>
          <cell r="R506">
            <v>52500</v>
          </cell>
          <cell r="S506">
            <v>55700</v>
          </cell>
          <cell r="T506">
            <v>55000</v>
          </cell>
          <cell r="U506">
            <v>55800</v>
          </cell>
          <cell r="V506">
            <v>56500</v>
          </cell>
          <cell r="W506">
            <v>58800</v>
          </cell>
        </row>
        <row r="507">
          <cell r="A507">
            <v>44773</v>
          </cell>
          <cell r="B507" t="str">
            <v>H</v>
          </cell>
          <cell r="C507" t="str">
            <v>H</v>
          </cell>
          <cell r="D507" t="str">
            <v>H</v>
          </cell>
          <cell r="E507" t="str">
            <v>H</v>
          </cell>
          <cell r="F507" t="str">
            <v>H</v>
          </cell>
          <cell r="G507" t="str">
            <v>H</v>
          </cell>
          <cell r="H507" t="str">
            <v>H</v>
          </cell>
          <cell r="I507" t="str">
            <v>H</v>
          </cell>
          <cell r="J507" t="str">
            <v>H</v>
          </cell>
          <cell r="K507" t="str">
            <v>H</v>
          </cell>
          <cell r="L507" t="str">
            <v>H</v>
          </cell>
          <cell r="M507" t="str">
            <v>H</v>
          </cell>
          <cell r="N507" t="str">
            <v>H</v>
          </cell>
          <cell r="O507" t="str">
            <v>H</v>
          </cell>
          <cell r="P507" t="str">
            <v>H</v>
          </cell>
          <cell r="Q507" t="str">
            <v>H</v>
          </cell>
          <cell r="R507" t="str">
            <v>H</v>
          </cell>
          <cell r="S507" t="str">
            <v>H</v>
          </cell>
          <cell r="T507" t="str">
            <v>H</v>
          </cell>
          <cell r="U507" t="str">
            <v>H</v>
          </cell>
          <cell r="V507" t="str">
            <v>H</v>
          </cell>
          <cell r="W507" t="str">
            <v>H</v>
          </cell>
        </row>
        <row r="508">
          <cell r="A508">
            <v>44774</v>
          </cell>
          <cell r="B508">
            <v>55300</v>
          </cell>
          <cell r="C508">
            <v>57500</v>
          </cell>
          <cell r="D508">
            <v>57800</v>
          </cell>
          <cell r="E508">
            <v>53500</v>
          </cell>
          <cell r="F508">
            <v>56900</v>
          </cell>
          <cell r="G508" t="str">
            <v>-</v>
          </cell>
          <cell r="H508">
            <v>55000</v>
          </cell>
          <cell r="I508">
            <v>56200</v>
          </cell>
          <cell r="J508">
            <v>55800</v>
          </cell>
          <cell r="K508" t="str">
            <v>-</v>
          </cell>
          <cell r="L508">
            <v>57900</v>
          </cell>
          <cell r="M508">
            <v>54800</v>
          </cell>
          <cell r="N508">
            <v>55500</v>
          </cell>
          <cell r="O508" t="str">
            <v>-</v>
          </cell>
          <cell r="P508">
            <v>52400</v>
          </cell>
          <cell r="Q508">
            <v>52900</v>
          </cell>
          <cell r="R508">
            <v>52800</v>
          </cell>
          <cell r="S508">
            <v>56200</v>
          </cell>
          <cell r="T508">
            <v>55500</v>
          </cell>
          <cell r="U508">
            <v>55800</v>
          </cell>
          <cell r="V508">
            <v>56600</v>
          </cell>
          <cell r="W508">
            <v>58900</v>
          </cell>
        </row>
        <row r="509">
          <cell r="A509">
            <v>44775</v>
          </cell>
          <cell r="B509">
            <v>55600</v>
          </cell>
          <cell r="C509">
            <v>57500</v>
          </cell>
          <cell r="D509">
            <v>58000</v>
          </cell>
          <cell r="E509">
            <v>54000</v>
          </cell>
          <cell r="F509">
            <v>57000</v>
          </cell>
          <cell r="G509" t="str">
            <v>-</v>
          </cell>
          <cell r="H509">
            <v>55500</v>
          </cell>
          <cell r="I509">
            <v>56200</v>
          </cell>
          <cell r="J509">
            <v>56000</v>
          </cell>
          <cell r="K509" t="str">
            <v>-</v>
          </cell>
          <cell r="L509">
            <v>58100</v>
          </cell>
          <cell r="M509">
            <v>55600</v>
          </cell>
          <cell r="N509">
            <v>55900</v>
          </cell>
          <cell r="O509" t="str">
            <v>-</v>
          </cell>
          <cell r="P509">
            <v>52800</v>
          </cell>
          <cell r="Q509">
            <v>53000</v>
          </cell>
          <cell r="R509">
            <v>52900</v>
          </cell>
          <cell r="S509">
            <v>56700</v>
          </cell>
          <cell r="T509">
            <v>55500</v>
          </cell>
          <cell r="U509">
            <v>55800</v>
          </cell>
          <cell r="V509">
            <v>56600</v>
          </cell>
          <cell r="W509">
            <v>58900</v>
          </cell>
        </row>
        <row r="510">
          <cell r="A510">
            <v>44776</v>
          </cell>
          <cell r="B510">
            <v>55900</v>
          </cell>
          <cell r="C510">
            <v>57500</v>
          </cell>
          <cell r="D510">
            <v>58500</v>
          </cell>
          <cell r="E510">
            <v>53750</v>
          </cell>
          <cell r="F510">
            <v>57000</v>
          </cell>
          <cell r="G510" t="str">
            <v>-</v>
          </cell>
          <cell r="H510">
            <v>55000</v>
          </cell>
          <cell r="I510">
            <v>56500</v>
          </cell>
          <cell r="J510">
            <v>56000</v>
          </cell>
          <cell r="K510" t="str">
            <v>-</v>
          </cell>
          <cell r="L510">
            <v>58500</v>
          </cell>
          <cell r="M510">
            <v>56500</v>
          </cell>
          <cell r="N510">
            <v>56100</v>
          </cell>
          <cell r="O510" t="str">
            <v>-</v>
          </cell>
          <cell r="P510">
            <v>52800</v>
          </cell>
          <cell r="Q510">
            <v>52700</v>
          </cell>
          <cell r="R510">
            <v>53200</v>
          </cell>
          <cell r="S510">
            <v>56200</v>
          </cell>
          <cell r="T510">
            <v>55700</v>
          </cell>
          <cell r="U510">
            <v>55800</v>
          </cell>
          <cell r="V510">
            <v>56600</v>
          </cell>
          <cell r="W510">
            <v>58900</v>
          </cell>
        </row>
        <row r="511">
          <cell r="A511">
            <v>44777</v>
          </cell>
          <cell r="B511">
            <v>55900</v>
          </cell>
          <cell r="C511">
            <v>57500</v>
          </cell>
          <cell r="D511">
            <v>58200</v>
          </cell>
          <cell r="E511">
            <v>53300</v>
          </cell>
          <cell r="F511">
            <v>57100</v>
          </cell>
          <cell r="G511" t="str">
            <v>-</v>
          </cell>
          <cell r="H511">
            <v>55000</v>
          </cell>
          <cell r="I511">
            <v>56300</v>
          </cell>
          <cell r="J511">
            <v>56000</v>
          </cell>
          <cell r="K511" t="str">
            <v>-</v>
          </cell>
          <cell r="L511">
            <v>58500</v>
          </cell>
          <cell r="M511">
            <v>56500</v>
          </cell>
          <cell r="N511">
            <v>55500</v>
          </cell>
          <cell r="O511" t="str">
            <v>-</v>
          </cell>
          <cell r="P511">
            <v>52100</v>
          </cell>
          <cell r="Q511">
            <v>52300</v>
          </cell>
          <cell r="R511">
            <v>52800</v>
          </cell>
          <cell r="S511">
            <v>56000</v>
          </cell>
          <cell r="T511">
            <v>55500</v>
          </cell>
          <cell r="U511">
            <v>55800</v>
          </cell>
          <cell r="V511">
            <v>56600</v>
          </cell>
          <cell r="W511">
            <v>58900</v>
          </cell>
        </row>
        <row r="512">
          <cell r="A512">
            <v>44778</v>
          </cell>
          <cell r="B512">
            <v>55900</v>
          </cell>
          <cell r="C512">
            <v>57500</v>
          </cell>
          <cell r="D512">
            <v>57700</v>
          </cell>
          <cell r="E512">
            <v>52800</v>
          </cell>
          <cell r="F512">
            <v>57000</v>
          </cell>
          <cell r="G512" t="str">
            <v>-</v>
          </cell>
          <cell r="H512">
            <v>55000</v>
          </cell>
          <cell r="I512">
            <v>56000</v>
          </cell>
          <cell r="J512">
            <v>55800</v>
          </cell>
          <cell r="K512" t="str">
            <v>-</v>
          </cell>
          <cell r="L512">
            <v>58100</v>
          </cell>
          <cell r="M512">
            <v>56500</v>
          </cell>
          <cell r="N512">
            <v>54700</v>
          </cell>
          <cell r="O512" t="str">
            <v>-</v>
          </cell>
          <cell r="P512">
            <v>51700</v>
          </cell>
          <cell r="Q512">
            <v>51500</v>
          </cell>
          <cell r="R512">
            <v>52000</v>
          </cell>
          <cell r="S512">
            <v>55500</v>
          </cell>
          <cell r="T512">
            <v>55000</v>
          </cell>
          <cell r="U512">
            <v>54800</v>
          </cell>
          <cell r="V512">
            <v>56600</v>
          </cell>
          <cell r="W512">
            <v>58900</v>
          </cell>
        </row>
        <row r="513">
          <cell r="A513">
            <v>44779</v>
          </cell>
          <cell r="B513">
            <v>55700</v>
          </cell>
          <cell r="C513">
            <v>57200</v>
          </cell>
          <cell r="D513">
            <v>57400</v>
          </cell>
          <cell r="E513">
            <v>52300</v>
          </cell>
          <cell r="F513">
            <v>56800</v>
          </cell>
          <cell r="G513" t="str">
            <v>-</v>
          </cell>
          <cell r="H513">
            <v>55000</v>
          </cell>
          <cell r="I513">
            <v>55700</v>
          </cell>
          <cell r="J513">
            <v>55700</v>
          </cell>
          <cell r="K513" t="str">
            <v>-</v>
          </cell>
          <cell r="L513">
            <v>57500</v>
          </cell>
          <cell r="M513">
            <v>55400</v>
          </cell>
          <cell r="N513">
            <v>54400</v>
          </cell>
          <cell r="O513" t="str">
            <v>-</v>
          </cell>
          <cell r="P513">
            <v>51000</v>
          </cell>
          <cell r="Q513">
            <v>51400</v>
          </cell>
          <cell r="R513">
            <v>51800</v>
          </cell>
          <cell r="S513">
            <v>55000</v>
          </cell>
          <cell r="T513">
            <v>54200</v>
          </cell>
          <cell r="U513">
            <v>54800</v>
          </cell>
          <cell r="V513">
            <v>56500</v>
          </cell>
          <cell r="W513">
            <v>58800</v>
          </cell>
        </row>
        <row r="514">
          <cell r="A514">
            <v>44780</v>
          </cell>
          <cell r="B514" t="str">
            <v>H</v>
          </cell>
          <cell r="C514" t="str">
            <v>H</v>
          </cell>
          <cell r="D514" t="str">
            <v>H</v>
          </cell>
          <cell r="E514" t="str">
            <v>H</v>
          </cell>
          <cell r="F514" t="str">
            <v>H</v>
          </cell>
          <cell r="G514" t="str">
            <v>H</v>
          </cell>
          <cell r="H514" t="str">
            <v>H</v>
          </cell>
          <cell r="I514" t="str">
            <v>H</v>
          </cell>
          <cell r="J514" t="str">
            <v>H</v>
          </cell>
          <cell r="K514" t="str">
            <v>H</v>
          </cell>
          <cell r="L514" t="str">
            <v>H</v>
          </cell>
          <cell r="M514" t="str">
            <v>H</v>
          </cell>
          <cell r="N514" t="str">
            <v>H</v>
          </cell>
          <cell r="O514" t="str">
            <v>H</v>
          </cell>
          <cell r="P514" t="str">
            <v>H</v>
          </cell>
          <cell r="Q514" t="str">
            <v>H</v>
          </cell>
          <cell r="R514" t="str">
            <v>H</v>
          </cell>
          <cell r="S514" t="str">
            <v>H</v>
          </cell>
          <cell r="T514" t="str">
            <v>H</v>
          </cell>
          <cell r="U514" t="str">
            <v>H</v>
          </cell>
          <cell r="V514" t="str">
            <v>H</v>
          </cell>
          <cell r="W514" t="str">
            <v>H</v>
          </cell>
        </row>
        <row r="515">
          <cell r="A515">
            <v>44781</v>
          </cell>
          <cell r="B515">
            <v>55700</v>
          </cell>
          <cell r="C515">
            <v>57000</v>
          </cell>
          <cell r="D515">
            <v>56400</v>
          </cell>
          <cell r="E515">
            <v>52000</v>
          </cell>
          <cell r="F515">
            <v>56700</v>
          </cell>
          <cell r="G515" t="str">
            <v>-</v>
          </cell>
          <cell r="H515">
            <v>55000</v>
          </cell>
          <cell r="I515">
            <v>55300</v>
          </cell>
          <cell r="J515">
            <v>55500</v>
          </cell>
          <cell r="K515" t="str">
            <v>-</v>
          </cell>
          <cell r="L515">
            <v>56900</v>
          </cell>
          <cell r="M515">
            <v>55200</v>
          </cell>
          <cell r="N515">
            <v>54200</v>
          </cell>
          <cell r="O515" t="str">
            <v>-</v>
          </cell>
          <cell r="P515">
            <v>50500</v>
          </cell>
          <cell r="Q515">
            <v>51400</v>
          </cell>
          <cell r="R515">
            <v>51300</v>
          </cell>
          <cell r="S515">
            <v>54500</v>
          </cell>
          <cell r="T515" t="str">
            <v>-</v>
          </cell>
          <cell r="U515">
            <v>54300</v>
          </cell>
          <cell r="V515">
            <v>56100</v>
          </cell>
          <cell r="W515">
            <v>58300</v>
          </cell>
        </row>
        <row r="516">
          <cell r="A516">
            <v>44782</v>
          </cell>
          <cell r="B516">
            <v>55500</v>
          </cell>
          <cell r="C516">
            <v>56700</v>
          </cell>
          <cell r="D516">
            <v>56200</v>
          </cell>
          <cell r="E516">
            <v>51700</v>
          </cell>
          <cell r="F516">
            <v>56600</v>
          </cell>
          <cell r="G516" t="str">
            <v>-</v>
          </cell>
          <cell r="H516">
            <v>54500</v>
          </cell>
          <cell r="I516">
            <v>55300</v>
          </cell>
          <cell r="J516">
            <v>55500</v>
          </cell>
          <cell r="K516" t="str">
            <v>-</v>
          </cell>
          <cell r="L516">
            <v>56900</v>
          </cell>
          <cell r="M516">
            <v>55200</v>
          </cell>
          <cell r="N516">
            <v>54200</v>
          </cell>
          <cell r="O516" t="str">
            <v>-</v>
          </cell>
          <cell r="P516">
            <v>51050</v>
          </cell>
          <cell r="Q516">
            <v>51600</v>
          </cell>
          <cell r="R516">
            <v>51000</v>
          </cell>
          <cell r="S516">
            <v>54200</v>
          </cell>
          <cell r="T516">
            <v>54000</v>
          </cell>
          <cell r="U516">
            <v>54300</v>
          </cell>
          <cell r="V516">
            <v>56100</v>
          </cell>
          <cell r="W516">
            <v>58300</v>
          </cell>
        </row>
        <row r="517">
          <cell r="A517">
            <v>44783</v>
          </cell>
          <cell r="B517">
            <v>56000</v>
          </cell>
          <cell r="C517">
            <v>57000</v>
          </cell>
          <cell r="D517">
            <v>56600</v>
          </cell>
          <cell r="E517">
            <v>52700</v>
          </cell>
          <cell r="F517">
            <v>56800</v>
          </cell>
          <cell r="G517" t="str">
            <v>-</v>
          </cell>
          <cell r="H517">
            <v>55000</v>
          </cell>
          <cell r="I517">
            <v>55700</v>
          </cell>
          <cell r="J517">
            <v>56000</v>
          </cell>
          <cell r="K517" t="str">
            <v>-</v>
          </cell>
          <cell r="L517">
            <v>57500</v>
          </cell>
          <cell r="M517">
            <v>55900</v>
          </cell>
          <cell r="N517">
            <v>54400</v>
          </cell>
          <cell r="O517" t="str">
            <v>-</v>
          </cell>
          <cell r="P517">
            <v>51700</v>
          </cell>
          <cell r="Q517">
            <v>52000</v>
          </cell>
          <cell r="R517">
            <v>51800</v>
          </cell>
          <cell r="S517">
            <v>55200</v>
          </cell>
          <cell r="T517">
            <v>54500</v>
          </cell>
          <cell r="U517">
            <v>54800</v>
          </cell>
          <cell r="V517">
            <v>56100</v>
          </cell>
          <cell r="W517">
            <v>58300</v>
          </cell>
        </row>
        <row r="518">
          <cell r="A518">
            <v>44784</v>
          </cell>
          <cell r="B518" t="str">
            <v>H</v>
          </cell>
          <cell r="C518" t="str">
            <v>H</v>
          </cell>
          <cell r="D518" t="str">
            <v>H</v>
          </cell>
          <cell r="E518" t="str">
            <v>H</v>
          </cell>
          <cell r="F518" t="str">
            <v>H</v>
          </cell>
          <cell r="G518" t="str">
            <v>H</v>
          </cell>
          <cell r="H518" t="str">
            <v>H</v>
          </cell>
          <cell r="I518" t="str">
            <v>H</v>
          </cell>
          <cell r="J518" t="str">
            <v>H</v>
          </cell>
          <cell r="K518" t="str">
            <v>H</v>
          </cell>
          <cell r="L518" t="str">
            <v>H</v>
          </cell>
          <cell r="M518" t="str">
            <v>H</v>
          </cell>
          <cell r="N518" t="str">
            <v>H</v>
          </cell>
          <cell r="O518" t="str">
            <v>H</v>
          </cell>
          <cell r="P518" t="str">
            <v>H</v>
          </cell>
          <cell r="Q518" t="str">
            <v>H</v>
          </cell>
          <cell r="R518" t="str">
            <v>H</v>
          </cell>
          <cell r="S518" t="str">
            <v>H</v>
          </cell>
          <cell r="T518" t="str">
            <v>H</v>
          </cell>
          <cell r="U518" t="str">
            <v>H</v>
          </cell>
          <cell r="V518" t="str">
            <v>H</v>
          </cell>
          <cell r="W518" t="str">
            <v>H</v>
          </cell>
        </row>
        <row r="519">
          <cell r="A519">
            <v>44785</v>
          </cell>
          <cell r="B519">
            <v>56600</v>
          </cell>
          <cell r="C519">
            <v>57000</v>
          </cell>
          <cell r="D519">
            <v>57200</v>
          </cell>
          <cell r="E519">
            <v>53500</v>
          </cell>
          <cell r="F519">
            <v>56900</v>
          </cell>
          <cell r="G519" t="str">
            <v>-</v>
          </cell>
          <cell r="H519">
            <v>55000</v>
          </cell>
          <cell r="I519">
            <v>56200</v>
          </cell>
          <cell r="J519">
            <v>56000</v>
          </cell>
          <cell r="K519" t="str">
            <v>-</v>
          </cell>
          <cell r="L519">
            <v>58100</v>
          </cell>
          <cell r="M519">
            <v>56100</v>
          </cell>
          <cell r="N519">
            <v>55000</v>
          </cell>
          <cell r="O519" t="str">
            <v>-</v>
          </cell>
          <cell r="P519">
            <v>52000</v>
          </cell>
          <cell r="Q519">
            <v>52700</v>
          </cell>
          <cell r="R519">
            <v>52500</v>
          </cell>
          <cell r="S519">
            <v>56000</v>
          </cell>
          <cell r="T519">
            <v>55200</v>
          </cell>
          <cell r="U519">
            <v>54800</v>
          </cell>
          <cell r="V519">
            <v>56800</v>
          </cell>
          <cell r="W519">
            <v>58900</v>
          </cell>
        </row>
        <row r="520">
          <cell r="A520">
            <v>44786</v>
          </cell>
          <cell r="B520">
            <v>56600</v>
          </cell>
          <cell r="C520">
            <v>57000</v>
          </cell>
          <cell r="D520">
            <v>57300</v>
          </cell>
          <cell r="E520">
            <v>53000</v>
          </cell>
          <cell r="F520">
            <v>57100</v>
          </cell>
          <cell r="G520" t="str">
            <v>-</v>
          </cell>
          <cell r="H520">
            <v>55000</v>
          </cell>
          <cell r="I520">
            <v>56100</v>
          </cell>
          <cell r="J520">
            <v>56200</v>
          </cell>
          <cell r="K520" t="str">
            <v>-</v>
          </cell>
          <cell r="L520">
            <v>58100</v>
          </cell>
          <cell r="M520">
            <v>56600</v>
          </cell>
          <cell r="N520">
            <v>55200</v>
          </cell>
          <cell r="O520" t="str">
            <v>-</v>
          </cell>
          <cell r="P520">
            <v>52000</v>
          </cell>
          <cell r="Q520">
            <v>52400</v>
          </cell>
          <cell r="R520">
            <v>52500</v>
          </cell>
          <cell r="S520">
            <v>55700</v>
          </cell>
          <cell r="T520">
            <v>55200</v>
          </cell>
          <cell r="U520">
            <v>54800</v>
          </cell>
          <cell r="V520">
            <v>56800</v>
          </cell>
          <cell r="W520">
            <v>58900</v>
          </cell>
        </row>
        <row r="521">
          <cell r="A521">
            <v>44787</v>
          </cell>
          <cell r="B521" t="str">
            <v>H</v>
          </cell>
          <cell r="C521" t="str">
            <v>H</v>
          </cell>
          <cell r="D521" t="str">
            <v>H</v>
          </cell>
          <cell r="E521" t="str">
            <v>H</v>
          </cell>
          <cell r="F521" t="str">
            <v>H</v>
          </cell>
          <cell r="G521" t="str">
            <v>H</v>
          </cell>
          <cell r="H521" t="str">
            <v>H</v>
          </cell>
          <cell r="I521" t="str">
            <v>H</v>
          </cell>
          <cell r="J521" t="str">
            <v>H</v>
          </cell>
          <cell r="K521" t="str">
            <v>H</v>
          </cell>
          <cell r="L521" t="str">
            <v>H</v>
          </cell>
          <cell r="M521" t="str">
            <v>H</v>
          </cell>
          <cell r="N521" t="str">
            <v>H</v>
          </cell>
          <cell r="O521" t="str">
            <v>H</v>
          </cell>
          <cell r="P521" t="str">
            <v>H</v>
          </cell>
          <cell r="Q521" t="str">
            <v>H</v>
          </cell>
          <cell r="R521" t="str">
            <v>H</v>
          </cell>
          <cell r="S521" t="str">
            <v>H</v>
          </cell>
          <cell r="T521" t="str">
            <v>H</v>
          </cell>
          <cell r="U521" t="str">
            <v>H</v>
          </cell>
          <cell r="V521" t="str">
            <v>H</v>
          </cell>
          <cell r="W521" t="str">
            <v>H</v>
          </cell>
        </row>
        <row r="522">
          <cell r="A522">
            <v>44788</v>
          </cell>
          <cell r="B522" t="str">
            <v>H</v>
          </cell>
          <cell r="C522" t="str">
            <v>H</v>
          </cell>
          <cell r="D522" t="str">
            <v>H</v>
          </cell>
          <cell r="E522" t="str">
            <v>H</v>
          </cell>
          <cell r="F522" t="str">
            <v>H</v>
          </cell>
          <cell r="G522" t="str">
            <v>H</v>
          </cell>
          <cell r="H522" t="str">
            <v>H</v>
          </cell>
          <cell r="I522" t="str">
            <v>H</v>
          </cell>
          <cell r="J522" t="str">
            <v>H</v>
          </cell>
          <cell r="K522" t="str">
            <v>H</v>
          </cell>
          <cell r="L522" t="str">
            <v>H</v>
          </cell>
          <cell r="M522" t="str">
            <v>H</v>
          </cell>
          <cell r="N522" t="str">
            <v>H</v>
          </cell>
          <cell r="O522" t="str">
            <v>H</v>
          </cell>
          <cell r="P522" t="str">
            <v>H</v>
          </cell>
          <cell r="Q522" t="str">
            <v>H</v>
          </cell>
          <cell r="R522" t="str">
            <v>H</v>
          </cell>
          <cell r="S522" t="str">
            <v>H</v>
          </cell>
          <cell r="T522" t="str">
            <v>H</v>
          </cell>
          <cell r="U522" t="str">
            <v>H</v>
          </cell>
          <cell r="V522" t="str">
            <v>H</v>
          </cell>
          <cell r="W522" t="str">
            <v>H</v>
          </cell>
        </row>
        <row r="523">
          <cell r="A523">
            <v>44789</v>
          </cell>
          <cell r="B523">
            <v>56600</v>
          </cell>
          <cell r="C523">
            <v>57000</v>
          </cell>
          <cell r="D523">
            <v>57700</v>
          </cell>
          <cell r="E523">
            <v>53700</v>
          </cell>
          <cell r="F523">
            <v>57100</v>
          </cell>
          <cell r="G523" t="str">
            <v>-</v>
          </cell>
          <cell r="H523">
            <v>55500</v>
          </cell>
          <cell r="I523">
            <v>56500</v>
          </cell>
          <cell r="J523">
            <v>56200</v>
          </cell>
          <cell r="K523" t="str">
            <v>-</v>
          </cell>
          <cell r="L523">
            <v>58500</v>
          </cell>
          <cell r="M523">
            <v>56600</v>
          </cell>
          <cell r="N523">
            <v>55500</v>
          </cell>
          <cell r="O523" t="str">
            <v>-</v>
          </cell>
          <cell r="P523">
            <v>52500</v>
          </cell>
          <cell r="Q523">
            <v>52700</v>
          </cell>
          <cell r="R523">
            <v>52800</v>
          </cell>
          <cell r="S523">
            <v>56200</v>
          </cell>
          <cell r="T523">
            <v>55500</v>
          </cell>
          <cell r="U523">
            <v>55500</v>
          </cell>
          <cell r="V523">
            <v>56800</v>
          </cell>
          <cell r="W523">
            <v>58800</v>
          </cell>
        </row>
        <row r="524">
          <cell r="A524">
            <v>44790</v>
          </cell>
          <cell r="B524">
            <v>56600</v>
          </cell>
          <cell r="C524">
            <v>57000</v>
          </cell>
          <cell r="D524">
            <v>57400</v>
          </cell>
          <cell r="E524">
            <v>53000</v>
          </cell>
          <cell r="F524">
            <v>57300</v>
          </cell>
          <cell r="G524" t="str">
            <v>-</v>
          </cell>
          <cell r="H524">
            <v>55500</v>
          </cell>
          <cell r="I524">
            <v>56300</v>
          </cell>
          <cell r="J524">
            <v>56200</v>
          </cell>
          <cell r="K524" t="str">
            <v>-</v>
          </cell>
          <cell r="L524">
            <v>58200</v>
          </cell>
          <cell r="M524">
            <v>56600</v>
          </cell>
          <cell r="N524">
            <v>55200</v>
          </cell>
          <cell r="O524" t="str">
            <v>-</v>
          </cell>
          <cell r="P524">
            <v>52200</v>
          </cell>
          <cell r="Q524">
            <v>52600</v>
          </cell>
          <cell r="R524">
            <v>52800</v>
          </cell>
          <cell r="S524">
            <v>55500</v>
          </cell>
          <cell r="T524">
            <v>55500</v>
          </cell>
          <cell r="U524">
            <v>54800</v>
          </cell>
          <cell r="V524">
            <v>56800</v>
          </cell>
          <cell r="W524">
            <v>58800</v>
          </cell>
        </row>
        <row r="525">
          <cell r="A525">
            <v>44791</v>
          </cell>
          <cell r="B525">
            <v>56600</v>
          </cell>
          <cell r="C525">
            <v>56700</v>
          </cell>
          <cell r="D525">
            <v>57400</v>
          </cell>
          <cell r="E525">
            <v>52500</v>
          </cell>
          <cell r="F525">
            <v>57300</v>
          </cell>
          <cell r="G525" t="str">
            <v>-</v>
          </cell>
          <cell r="H525">
            <v>55000</v>
          </cell>
          <cell r="I525">
            <v>56000</v>
          </cell>
          <cell r="J525">
            <v>56000</v>
          </cell>
          <cell r="K525" t="str">
            <v>-</v>
          </cell>
          <cell r="L525">
            <v>57800</v>
          </cell>
          <cell r="M525">
            <v>56200</v>
          </cell>
          <cell r="N525">
            <v>54900</v>
          </cell>
          <cell r="O525" t="str">
            <v>-</v>
          </cell>
          <cell r="P525">
            <v>52000</v>
          </cell>
          <cell r="Q525">
            <v>52000</v>
          </cell>
          <cell r="R525">
            <v>52200</v>
          </cell>
          <cell r="S525">
            <v>55000</v>
          </cell>
          <cell r="T525">
            <v>55000</v>
          </cell>
          <cell r="U525">
            <v>53800</v>
          </cell>
          <cell r="V525">
            <v>56800</v>
          </cell>
          <cell r="W525">
            <v>58800</v>
          </cell>
        </row>
        <row r="526">
          <cell r="A526">
            <v>44792</v>
          </cell>
          <cell r="B526" t="str">
            <v>-</v>
          </cell>
          <cell r="C526">
            <v>56500</v>
          </cell>
          <cell r="D526">
            <v>57200</v>
          </cell>
          <cell r="E526">
            <v>52500</v>
          </cell>
          <cell r="F526">
            <v>57100</v>
          </cell>
          <cell r="G526" t="str">
            <v>-</v>
          </cell>
          <cell r="H526">
            <v>55000</v>
          </cell>
          <cell r="I526">
            <v>55600</v>
          </cell>
          <cell r="J526">
            <v>55600</v>
          </cell>
          <cell r="K526" t="str">
            <v>-</v>
          </cell>
          <cell r="L526">
            <v>57600</v>
          </cell>
          <cell r="M526">
            <v>56200</v>
          </cell>
          <cell r="N526">
            <v>54500</v>
          </cell>
          <cell r="O526" t="str">
            <v>-</v>
          </cell>
          <cell r="P526">
            <v>51900</v>
          </cell>
          <cell r="Q526">
            <v>51900</v>
          </cell>
          <cell r="R526">
            <v>52000</v>
          </cell>
          <cell r="S526">
            <v>55000</v>
          </cell>
          <cell r="T526">
            <v>54500</v>
          </cell>
          <cell r="U526">
            <v>53800</v>
          </cell>
          <cell r="V526">
            <v>56800</v>
          </cell>
          <cell r="W526">
            <v>58800</v>
          </cell>
        </row>
        <row r="527">
          <cell r="A527">
            <v>44793</v>
          </cell>
          <cell r="B527">
            <v>56600</v>
          </cell>
          <cell r="C527">
            <v>56500</v>
          </cell>
          <cell r="D527">
            <v>57200</v>
          </cell>
          <cell r="E527">
            <v>52000</v>
          </cell>
          <cell r="F527">
            <v>57100</v>
          </cell>
          <cell r="G527" t="str">
            <v>-</v>
          </cell>
          <cell r="H527">
            <v>54500</v>
          </cell>
          <cell r="I527">
            <v>55400</v>
          </cell>
          <cell r="J527">
            <v>55200</v>
          </cell>
          <cell r="K527" t="str">
            <v>-</v>
          </cell>
          <cell r="L527">
            <v>57400</v>
          </cell>
          <cell r="M527">
            <v>55800</v>
          </cell>
          <cell r="N527">
            <v>54200</v>
          </cell>
          <cell r="O527" t="str">
            <v>-</v>
          </cell>
          <cell r="P527">
            <v>51500</v>
          </cell>
          <cell r="Q527">
            <v>51700</v>
          </cell>
          <cell r="R527">
            <v>51700</v>
          </cell>
          <cell r="S527">
            <v>54500</v>
          </cell>
          <cell r="T527">
            <v>54300</v>
          </cell>
          <cell r="U527">
            <v>53800</v>
          </cell>
          <cell r="V527">
            <v>56800</v>
          </cell>
          <cell r="W527">
            <v>58800</v>
          </cell>
        </row>
        <row r="528">
          <cell r="A528">
            <v>44794</v>
          </cell>
          <cell r="B528" t="str">
            <v>H</v>
          </cell>
          <cell r="C528" t="str">
            <v>H</v>
          </cell>
          <cell r="D528" t="str">
            <v>H</v>
          </cell>
          <cell r="E528" t="str">
            <v>H</v>
          </cell>
          <cell r="F528" t="str">
            <v>H</v>
          </cell>
          <cell r="G528" t="str">
            <v>H</v>
          </cell>
          <cell r="H528" t="str">
            <v>H</v>
          </cell>
          <cell r="I528" t="str">
            <v>H</v>
          </cell>
          <cell r="J528" t="str">
            <v>H</v>
          </cell>
          <cell r="K528" t="str">
            <v>H</v>
          </cell>
          <cell r="L528" t="str">
            <v>H</v>
          </cell>
          <cell r="M528" t="str">
            <v>H</v>
          </cell>
          <cell r="N528" t="str">
            <v>H</v>
          </cell>
          <cell r="O528" t="str">
            <v>H</v>
          </cell>
          <cell r="P528" t="str">
            <v>H</v>
          </cell>
          <cell r="Q528" t="str">
            <v>H</v>
          </cell>
          <cell r="R528" t="str">
            <v>H</v>
          </cell>
          <cell r="S528" t="str">
            <v>H</v>
          </cell>
          <cell r="T528" t="str">
            <v>H</v>
          </cell>
          <cell r="U528" t="str">
            <v>H</v>
          </cell>
          <cell r="V528" t="str">
            <v>H</v>
          </cell>
          <cell r="W528" t="str">
            <v>H</v>
          </cell>
        </row>
        <row r="529">
          <cell r="A529">
            <v>44795</v>
          </cell>
          <cell r="B529">
            <v>56800</v>
          </cell>
          <cell r="C529">
            <v>56500</v>
          </cell>
          <cell r="D529">
            <v>56900</v>
          </cell>
          <cell r="E529">
            <v>52000</v>
          </cell>
          <cell r="F529">
            <v>56800</v>
          </cell>
          <cell r="G529" t="str">
            <v>-</v>
          </cell>
          <cell r="H529">
            <v>54500</v>
          </cell>
          <cell r="I529">
            <v>55100</v>
          </cell>
          <cell r="J529">
            <v>55000</v>
          </cell>
          <cell r="K529" t="str">
            <v>-</v>
          </cell>
          <cell r="L529">
            <v>57000</v>
          </cell>
          <cell r="M529">
            <v>55500</v>
          </cell>
          <cell r="N529">
            <v>54200</v>
          </cell>
          <cell r="O529" t="str">
            <v>-</v>
          </cell>
          <cell r="P529">
            <v>51300</v>
          </cell>
          <cell r="Q529">
            <v>51500</v>
          </cell>
          <cell r="R529">
            <v>51500</v>
          </cell>
          <cell r="S529">
            <v>54500</v>
          </cell>
          <cell r="T529">
            <v>54200</v>
          </cell>
          <cell r="U529">
            <v>53800</v>
          </cell>
          <cell r="V529">
            <v>56400</v>
          </cell>
          <cell r="W529">
            <v>58500</v>
          </cell>
        </row>
        <row r="530">
          <cell r="A530">
            <v>44796</v>
          </cell>
          <cell r="B530">
            <v>56600</v>
          </cell>
          <cell r="C530">
            <v>56500</v>
          </cell>
          <cell r="D530">
            <v>56400</v>
          </cell>
          <cell r="E530">
            <v>51500</v>
          </cell>
          <cell r="F530">
            <v>56800</v>
          </cell>
          <cell r="G530" t="str">
            <v>-</v>
          </cell>
          <cell r="H530">
            <v>54000</v>
          </cell>
          <cell r="I530">
            <v>54400</v>
          </cell>
          <cell r="J530">
            <v>54700</v>
          </cell>
          <cell r="K530" t="str">
            <v>-</v>
          </cell>
          <cell r="L530">
            <v>56300</v>
          </cell>
          <cell r="M530">
            <v>55400</v>
          </cell>
          <cell r="N530">
            <v>53500</v>
          </cell>
          <cell r="O530">
            <v>52000</v>
          </cell>
          <cell r="P530">
            <v>50900</v>
          </cell>
          <cell r="Q530">
            <v>51200</v>
          </cell>
          <cell r="R530">
            <v>51000</v>
          </cell>
          <cell r="S530">
            <v>54000</v>
          </cell>
          <cell r="T530">
            <v>53700</v>
          </cell>
          <cell r="U530">
            <v>52800</v>
          </cell>
          <cell r="V530">
            <v>56200</v>
          </cell>
          <cell r="W530">
            <v>58300</v>
          </cell>
        </row>
        <row r="531">
          <cell r="A531">
            <v>44797</v>
          </cell>
          <cell r="B531">
            <v>56600</v>
          </cell>
          <cell r="C531">
            <v>56500</v>
          </cell>
          <cell r="D531">
            <v>56400</v>
          </cell>
          <cell r="E531">
            <v>51800</v>
          </cell>
          <cell r="F531">
            <v>56800</v>
          </cell>
          <cell r="G531" t="str">
            <v>-</v>
          </cell>
          <cell r="H531">
            <v>54000</v>
          </cell>
          <cell r="I531">
            <v>54700</v>
          </cell>
          <cell r="J531">
            <v>55200</v>
          </cell>
          <cell r="K531" t="str">
            <v>-</v>
          </cell>
          <cell r="L531">
            <v>56300</v>
          </cell>
          <cell r="M531">
            <v>55800</v>
          </cell>
          <cell r="N531">
            <v>53700</v>
          </cell>
          <cell r="O531">
            <v>52250</v>
          </cell>
          <cell r="P531">
            <v>51200</v>
          </cell>
          <cell r="Q531">
            <v>51500</v>
          </cell>
          <cell r="R531">
            <v>51200</v>
          </cell>
          <cell r="S531">
            <v>54300</v>
          </cell>
          <cell r="T531">
            <v>54000</v>
          </cell>
          <cell r="U531">
            <v>52800</v>
          </cell>
          <cell r="V531">
            <v>56000</v>
          </cell>
          <cell r="W531">
            <v>58100</v>
          </cell>
        </row>
        <row r="532">
          <cell r="A532">
            <v>44798</v>
          </cell>
          <cell r="B532">
            <v>56000</v>
          </cell>
          <cell r="C532">
            <v>56200</v>
          </cell>
          <cell r="D532">
            <v>56100</v>
          </cell>
          <cell r="E532">
            <v>51200</v>
          </cell>
          <cell r="F532">
            <v>56800</v>
          </cell>
          <cell r="G532" t="str">
            <v>-</v>
          </cell>
          <cell r="H532">
            <v>54000</v>
          </cell>
          <cell r="I532">
            <v>54200</v>
          </cell>
          <cell r="J532">
            <v>55200</v>
          </cell>
          <cell r="K532" t="str">
            <v>-</v>
          </cell>
          <cell r="L532">
            <v>55500</v>
          </cell>
          <cell r="M532">
            <v>55800</v>
          </cell>
          <cell r="N532">
            <v>53000</v>
          </cell>
          <cell r="O532">
            <v>51900</v>
          </cell>
          <cell r="P532">
            <v>51000</v>
          </cell>
          <cell r="Q532">
            <v>51300</v>
          </cell>
          <cell r="R532">
            <v>50800</v>
          </cell>
          <cell r="S532">
            <v>53700</v>
          </cell>
          <cell r="T532">
            <v>53800</v>
          </cell>
          <cell r="U532">
            <v>52800</v>
          </cell>
          <cell r="V532">
            <v>56000</v>
          </cell>
          <cell r="W532">
            <v>58100</v>
          </cell>
        </row>
        <row r="533">
          <cell r="A533">
            <v>44799</v>
          </cell>
          <cell r="B533">
            <v>55700</v>
          </cell>
          <cell r="C533">
            <v>56200</v>
          </cell>
          <cell r="D533">
            <v>56100</v>
          </cell>
          <cell r="E533">
            <v>51200</v>
          </cell>
          <cell r="F533">
            <v>56600</v>
          </cell>
          <cell r="G533" t="str">
            <v>-</v>
          </cell>
          <cell r="H533">
            <v>54000</v>
          </cell>
          <cell r="I533">
            <v>54200</v>
          </cell>
          <cell r="J533">
            <v>55200</v>
          </cell>
          <cell r="K533" t="str">
            <v>-</v>
          </cell>
          <cell r="L533">
            <v>55500</v>
          </cell>
          <cell r="M533">
            <v>55500</v>
          </cell>
          <cell r="N533">
            <v>53500</v>
          </cell>
          <cell r="O533">
            <v>52200</v>
          </cell>
          <cell r="P533">
            <v>51000</v>
          </cell>
          <cell r="Q533">
            <v>50900</v>
          </cell>
          <cell r="R533">
            <v>51100</v>
          </cell>
          <cell r="S533">
            <v>53700</v>
          </cell>
          <cell r="T533">
            <v>53800</v>
          </cell>
          <cell r="U533">
            <v>52800</v>
          </cell>
          <cell r="V533">
            <v>56000</v>
          </cell>
          <cell r="W533">
            <v>58100</v>
          </cell>
        </row>
        <row r="534">
          <cell r="A534">
            <v>44800</v>
          </cell>
          <cell r="B534">
            <v>55200</v>
          </cell>
          <cell r="C534">
            <v>56000</v>
          </cell>
          <cell r="D534">
            <v>56100</v>
          </cell>
          <cell r="E534">
            <v>51000</v>
          </cell>
          <cell r="F534">
            <v>56600</v>
          </cell>
          <cell r="G534" t="str">
            <v>-</v>
          </cell>
          <cell r="H534">
            <v>54000</v>
          </cell>
          <cell r="I534">
            <v>54200</v>
          </cell>
          <cell r="J534">
            <v>55000</v>
          </cell>
          <cell r="K534" t="str">
            <v>-</v>
          </cell>
          <cell r="L534">
            <v>55600</v>
          </cell>
          <cell r="M534">
            <v>55500</v>
          </cell>
          <cell r="N534">
            <v>53500</v>
          </cell>
          <cell r="O534">
            <v>52000</v>
          </cell>
          <cell r="P534">
            <v>51000</v>
          </cell>
          <cell r="Q534">
            <v>50900</v>
          </cell>
          <cell r="R534">
            <v>51100</v>
          </cell>
          <cell r="S534">
            <v>53500</v>
          </cell>
          <cell r="T534">
            <v>53800</v>
          </cell>
          <cell r="U534">
            <v>52800</v>
          </cell>
          <cell r="V534">
            <v>56000</v>
          </cell>
          <cell r="W534">
            <v>58100</v>
          </cell>
        </row>
        <row r="535">
          <cell r="A535">
            <v>44801</v>
          </cell>
          <cell r="B535" t="str">
            <v>H</v>
          </cell>
          <cell r="C535" t="str">
            <v>H</v>
          </cell>
          <cell r="D535" t="str">
            <v>H</v>
          </cell>
          <cell r="E535" t="str">
            <v>H</v>
          </cell>
          <cell r="F535" t="str">
            <v>H</v>
          </cell>
          <cell r="G535" t="str">
            <v>H</v>
          </cell>
          <cell r="H535" t="str">
            <v>H</v>
          </cell>
          <cell r="I535" t="str">
            <v>H</v>
          </cell>
          <cell r="J535" t="str">
            <v>H</v>
          </cell>
          <cell r="K535" t="str">
            <v>H</v>
          </cell>
          <cell r="L535" t="str">
            <v>H</v>
          </cell>
          <cell r="M535" t="str">
            <v>H</v>
          </cell>
          <cell r="N535" t="str">
            <v>H</v>
          </cell>
          <cell r="O535" t="str">
            <v>H</v>
          </cell>
          <cell r="P535" t="str">
            <v>H</v>
          </cell>
          <cell r="Q535" t="str">
            <v>H</v>
          </cell>
          <cell r="R535" t="str">
            <v>H</v>
          </cell>
          <cell r="S535" t="str">
            <v>H</v>
          </cell>
          <cell r="T535" t="str">
            <v>H</v>
          </cell>
          <cell r="U535" t="str">
            <v>H</v>
          </cell>
          <cell r="V535" t="str">
            <v>H</v>
          </cell>
          <cell r="W535" t="str">
            <v>H</v>
          </cell>
        </row>
        <row r="536">
          <cell r="A536">
            <v>44802</v>
          </cell>
          <cell r="B536">
            <v>55000</v>
          </cell>
          <cell r="C536">
            <v>56000</v>
          </cell>
          <cell r="D536">
            <v>55500</v>
          </cell>
          <cell r="E536">
            <v>51000</v>
          </cell>
          <cell r="F536">
            <v>55900</v>
          </cell>
          <cell r="G536" t="str">
            <v>-</v>
          </cell>
          <cell r="H536">
            <v>53500</v>
          </cell>
          <cell r="I536">
            <v>53700</v>
          </cell>
          <cell r="J536">
            <v>54500</v>
          </cell>
          <cell r="K536" t="str">
            <v>-</v>
          </cell>
          <cell r="L536">
            <v>55200</v>
          </cell>
          <cell r="M536">
            <v>55500</v>
          </cell>
          <cell r="N536">
            <v>52500</v>
          </cell>
          <cell r="O536">
            <v>51800</v>
          </cell>
          <cell r="P536">
            <v>50500</v>
          </cell>
          <cell r="Q536">
            <v>50500</v>
          </cell>
          <cell r="R536">
            <v>50700</v>
          </cell>
          <cell r="S536">
            <v>53500</v>
          </cell>
          <cell r="T536">
            <v>53500</v>
          </cell>
          <cell r="U536">
            <v>52800</v>
          </cell>
          <cell r="V536">
            <v>55700</v>
          </cell>
          <cell r="W536">
            <v>57800</v>
          </cell>
        </row>
        <row r="537">
          <cell r="A537">
            <v>44803</v>
          </cell>
          <cell r="B537">
            <v>54800</v>
          </cell>
          <cell r="C537">
            <v>55700</v>
          </cell>
          <cell r="D537">
            <v>54600</v>
          </cell>
          <cell r="E537">
            <v>50500</v>
          </cell>
          <cell r="F537">
            <v>55800</v>
          </cell>
          <cell r="G537" t="str">
            <v>-</v>
          </cell>
          <cell r="H537">
            <v>53500</v>
          </cell>
          <cell r="I537">
            <v>53400</v>
          </cell>
          <cell r="J537">
            <v>54500</v>
          </cell>
          <cell r="K537" t="str">
            <v>-</v>
          </cell>
          <cell r="L537">
            <v>54100</v>
          </cell>
          <cell r="M537">
            <v>55500</v>
          </cell>
          <cell r="N537">
            <v>52000</v>
          </cell>
          <cell r="O537">
            <v>51800</v>
          </cell>
          <cell r="P537">
            <v>50100</v>
          </cell>
          <cell r="Q537">
            <v>50400</v>
          </cell>
          <cell r="R537">
            <v>50500</v>
          </cell>
          <cell r="S537">
            <v>53000</v>
          </cell>
          <cell r="T537">
            <v>53400</v>
          </cell>
          <cell r="U537">
            <v>52500</v>
          </cell>
          <cell r="V537">
            <v>55600</v>
          </cell>
          <cell r="W537">
            <v>57800</v>
          </cell>
        </row>
        <row r="538">
          <cell r="A538">
            <v>44804</v>
          </cell>
          <cell r="B538">
            <v>54800</v>
          </cell>
          <cell r="C538" t="str">
            <v>-</v>
          </cell>
          <cell r="D538">
            <v>54600</v>
          </cell>
          <cell r="E538">
            <v>50500</v>
          </cell>
          <cell r="F538">
            <v>55800</v>
          </cell>
          <cell r="G538" t="str">
            <v>-</v>
          </cell>
          <cell r="H538">
            <v>53500</v>
          </cell>
          <cell r="I538">
            <v>53400</v>
          </cell>
          <cell r="J538">
            <v>54500</v>
          </cell>
          <cell r="K538" t="str">
            <v>-</v>
          </cell>
          <cell r="L538">
            <v>54000</v>
          </cell>
          <cell r="M538" t="str">
            <v>-</v>
          </cell>
          <cell r="N538">
            <v>52000</v>
          </cell>
          <cell r="O538">
            <v>51800</v>
          </cell>
          <cell r="P538">
            <v>50500</v>
          </cell>
          <cell r="Q538">
            <v>50600</v>
          </cell>
          <cell r="R538">
            <v>50500</v>
          </cell>
          <cell r="S538">
            <v>53000</v>
          </cell>
          <cell r="T538">
            <v>53500</v>
          </cell>
          <cell r="U538">
            <v>52300</v>
          </cell>
          <cell r="V538">
            <v>55400</v>
          </cell>
          <cell r="W538">
            <v>57800</v>
          </cell>
        </row>
        <row r="539">
          <cell r="A539">
            <v>44805</v>
          </cell>
          <cell r="B539">
            <v>54800</v>
          </cell>
          <cell r="C539">
            <v>55700</v>
          </cell>
          <cell r="D539">
            <v>55300</v>
          </cell>
          <cell r="E539">
            <v>50700</v>
          </cell>
          <cell r="F539">
            <v>55300</v>
          </cell>
          <cell r="G539" t="str">
            <v>-</v>
          </cell>
          <cell r="H539">
            <v>53500</v>
          </cell>
          <cell r="I539">
            <v>53700</v>
          </cell>
          <cell r="J539">
            <v>54500</v>
          </cell>
          <cell r="K539" t="str">
            <v>-</v>
          </cell>
          <cell r="L539">
            <v>54500</v>
          </cell>
          <cell r="M539">
            <v>55500</v>
          </cell>
          <cell r="N539">
            <v>52200</v>
          </cell>
          <cell r="O539">
            <v>52000</v>
          </cell>
          <cell r="P539">
            <v>50500</v>
          </cell>
          <cell r="Q539">
            <v>50800</v>
          </cell>
          <cell r="R539">
            <v>50750</v>
          </cell>
          <cell r="S539">
            <v>53200</v>
          </cell>
          <cell r="T539">
            <v>53700</v>
          </cell>
          <cell r="U539">
            <v>52300</v>
          </cell>
          <cell r="V539">
            <v>55200</v>
          </cell>
          <cell r="W539">
            <v>57300</v>
          </cell>
        </row>
        <row r="540">
          <cell r="A540">
            <v>44806</v>
          </cell>
          <cell r="B540">
            <v>55000</v>
          </cell>
          <cell r="C540">
            <v>55700</v>
          </cell>
          <cell r="D540">
            <v>55300</v>
          </cell>
          <cell r="E540">
            <v>51000</v>
          </cell>
          <cell r="F540">
            <v>55300</v>
          </cell>
          <cell r="G540" t="str">
            <v>-</v>
          </cell>
          <cell r="H540">
            <v>53500</v>
          </cell>
          <cell r="I540">
            <v>53700</v>
          </cell>
          <cell r="J540">
            <v>54500</v>
          </cell>
          <cell r="K540" t="str">
            <v>-</v>
          </cell>
          <cell r="L540">
            <v>54300</v>
          </cell>
          <cell r="M540">
            <v>55500</v>
          </cell>
          <cell r="N540">
            <v>52200</v>
          </cell>
          <cell r="O540">
            <v>52500</v>
          </cell>
          <cell r="P540">
            <v>50600</v>
          </cell>
          <cell r="Q540">
            <v>50800</v>
          </cell>
          <cell r="R540">
            <v>50750</v>
          </cell>
          <cell r="S540">
            <v>53500</v>
          </cell>
          <cell r="T540">
            <v>53700</v>
          </cell>
          <cell r="U540">
            <v>52300</v>
          </cell>
          <cell r="V540">
            <v>55200</v>
          </cell>
          <cell r="W540">
            <v>57300</v>
          </cell>
        </row>
        <row r="541">
          <cell r="A541">
            <v>44807</v>
          </cell>
          <cell r="B541">
            <v>55200</v>
          </cell>
          <cell r="C541">
            <v>55700</v>
          </cell>
          <cell r="D541">
            <v>55500</v>
          </cell>
          <cell r="E541">
            <v>51200</v>
          </cell>
          <cell r="F541">
            <v>55300</v>
          </cell>
          <cell r="G541" t="str">
            <v>-</v>
          </cell>
          <cell r="H541">
            <v>54000</v>
          </cell>
          <cell r="I541">
            <v>54000</v>
          </cell>
          <cell r="J541">
            <v>54500</v>
          </cell>
          <cell r="K541" t="str">
            <v>-</v>
          </cell>
          <cell r="L541">
            <v>54800</v>
          </cell>
          <cell r="M541">
            <v>55500</v>
          </cell>
          <cell r="N541">
            <v>52700</v>
          </cell>
          <cell r="O541">
            <v>52500</v>
          </cell>
          <cell r="P541">
            <v>50700</v>
          </cell>
          <cell r="Q541">
            <v>50900</v>
          </cell>
          <cell r="R541">
            <v>51000</v>
          </cell>
          <cell r="S541">
            <v>53700</v>
          </cell>
          <cell r="T541">
            <v>53900</v>
          </cell>
          <cell r="U541">
            <v>52800</v>
          </cell>
          <cell r="V541">
            <v>54900</v>
          </cell>
          <cell r="W541">
            <v>57100</v>
          </cell>
        </row>
        <row r="542">
          <cell r="A542">
            <v>44808</v>
          </cell>
          <cell r="B542" t="str">
            <v>H</v>
          </cell>
          <cell r="C542" t="str">
            <v>H</v>
          </cell>
          <cell r="D542" t="str">
            <v>H</v>
          </cell>
          <cell r="E542" t="str">
            <v>H</v>
          </cell>
          <cell r="F542" t="str">
            <v>H</v>
          </cell>
          <cell r="G542" t="str">
            <v>H</v>
          </cell>
          <cell r="H542" t="str">
            <v>H</v>
          </cell>
          <cell r="I542" t="str">
            <v>H</v>
          </cell>
          <cell r="J542" t="str">
            <v>H</v>
          </cell>
          <cell r="K542" t="str">
            <v>H</v>
          </cell>
          <cell r="L542" t="str">
            <v>H</v>
          </cell>
          <cell r="M542" t="str">
            <v>H</v>
          </cell>
          <cell r="N542" t="str">
            <v>H</v>
          </cell>
          <cell r="O542" t="str">
            <v>H</v>
          </cell>
          <cell r="P542" t="str">
            <v>H</v>
          </cell>
          <cell r="Q542" t="str">
            <v>H</v>
          </cell>
          <cell r="R542" t="str">
            <v>H</v>
          </cell>
          <cell r="S542" t="str">
            <v>H</v>
          </cell>
          <cell r="T542" t="str">
            <v>H</v>
          </cell>
          <cell r="U542" t="str">
            <v>H</v>
          </cell>
          <cell r="V542" t="str">
            <v>H</v>
          </cell>
          <cell r="W542" t="str">
            <v>H</v>
          </cell>
        </row>
        <row r="543">
          <cell r="A543">
            <v>44809</v>
          </cell>
          <cell r="B543">
            <v>55200</v>
          </cell>
          <cell r="C543">
            <v>55500</v>
          </cell>
          <cell r="D543">
            <v>55200</v>
          </cell>
          <cell r="E543">
            <v>51000</v>
          </cell>
          <cell r="F543">
            <v>55300</v>
          </cell>
          <cell r="G543" t="str">
            <v>-</v>
          </cell>
          <cell r="H543">
            <v>53500</v>
          </cell>
          <cell r="I543">
            <v>53700</v>
          </cell>
          <cell r="J543">
            <v>54500</v>
          </cell>
          <cell r="K543" t="str">
            <v>-</v>
          </cell>
          <cell r="L543">
            <v>54300</v>
          </cell>
          <cell r="M543">
            <v>55500</v>
          </cell>
          <cell r="N543">
            <v>51800</v>
          </cell>
          <cell r="O543">
            <v>52300</v>
          </cell>
          <cell r="P543">
            <v>50400</v>
          </cell>
          <cell r="Q543">
            <v>50700</v>
          </cell>
          <cell r="R543">
            <v>50500</v>
          </cell>
          <cell r="S543">
            <v>53500</v>
          </cell>
          <cell r="T543">
            <v>53900</v>
          </cell>
          <cell r="U543">
            <v>52300</v>
          </cell>
          <cell r="V543">
            <v>54900</v>
          </cell>
          <cell r="W543">
            <v>57100</v>
          </cell>
        </row>
        <row r="544">
          <cell r="A544">
            <v>44810</v>
          </cell>
          <cell r="B544">
            <v>54700</v>
          </cell>
          <cell r="C544">
            <v>55500</v>
          </cell>
          <cell r="D544">
            <v>55000</v>
          </cell>
          <cell r="E544">
            <v>51000</v>
          </cell>
          <cell r="F544">
            <v>55300</v>
          </cell>
          <cell r="G544" t="str">
            <v>-</v>
          </cell>
          <cell r="H544">
            <v>53500</v>
          </cell>
          <cell r="I544">
            <v>53800</v>
          </cell>
          <cell r="J544">
            <v>54500</v>
          </cell>
          <cell r="K544" t="str">
            <v>-</v>
          </cell>
          <cell r="L544">
            <v>54700</v>
          </cell>
          <cell r="M544">
            <v>55100</v>
          </cell>
          <cell r="N544">
            <v>52200</v>
          </cell>
          <cell r="O544">
            <v>52500</v>
          </cell>
          <cell r="P544">
            <v>50500</v>
          </cell>
          <cell r="Q544">
            <v>50800</v>
          </cell>
          <cell r="R544">
            <v>50800</v>
          </cell>
          <cell r="S544">
            <v>53500</v>
          </cell>
          <cell r="T544">
            <v>53700</v>
          </cell>
          <cell r="U544">
            <v>52300</v>
          </cell>
          <cell r="V544">
            <v>54900</v>
          </cell>
          <cell r="W544">
            <v>57100</v>
          </cell>
        </row>
        <row r="545">
          <cell r="A545">
            <v>44811</v>
          </cell>
          <cell r="B545">
            <v>54700</v>
          </cell>
          <cell r="C545">
            <v>55300</v>
          </cell>
          <cell r="D545">
            <v>54700</v>
          </cell>
          <cell r="E545">
            <v>50800</v>
          </cell>
          <cell r="F545">
            <v>55100</v>
          </cell>
          <cell r="G545" t="str">
            <v>-</v>
          </cell>
          <cell r="H545">
            <v>53500</v>
          </cell>
          <cell r="I545">
            <v>53800</v>
          </cell>
          <cell r="J545">
            <v>54300</v>
          </cell>
          <cell r="K545" t="str">
            <v>-</v>
          </cell>
          <cell r="L545">
            <v>54700</v>
          </cell>
          <cell r="M545">
            <v>54800</v>
          </cell>
          <cell r="N545">
            <v>52200</v>
          </cell>
          <cell r="O545">
            <v>52500</v>
          </cell>
          <cell r="P545">
            <v>50400</v>
          </cell>
          <cell r="Q545">
            <v>50900</v>
          </cell>
          <cell r="R545">
            <v>50700</v>
          </cell>
          <cell r="S545">
            <v>53300</v>
          </cell>
          <cell r="T545">
            <v>53600</v>
          </cell>
          <cell r="U545">
            <v>52300</v>
          </cell>
          <cell r="V545">
            <v>54500</v>
          </cell>
          <cell r="W545">
            <v>56700</v>
          </cell>
        </row>
        <row r="546">
          <cell r="A546">
            <v>44812</v>
          </cell>
          <cell r="B546">
            <v>54700</v>
          </cell>
          <cell r="C546">
            <v>55000</v>
          </cell>
          <cell r="D546">
            <v>55000</v>
          </cell>
          <cell r="E546">
            <v>50800</v>
          </cell>
          <cell r="F546">
            <v>55000</v>
          </cell>
          <cell r="G546" t="str">
            <v>-</v>
          </cell>
          <cell r="H546">
            <v>53500</v>
          </cell>
          <cell r="I546">
            <v>54200</v>
          </cell>
          <cell r="J546">
            <v>54300</v>
          </cell>
          <cell r="K546" t="str">
            <v>-</v>
          </cell>
          <cell r="L546">
            <v>55100</v>
          </cell>
          <cell r="M546">
            <v>54500</v>
          </cell>
          <cell r="N546">
            <v>52500</v>
          </cell>
          <cell r="O546">
            <v>52500</v>
          </cell>
          <cell r="P546">
            <v>50900</v>
          </cell>
          <cell r="Q546">
            <v>51200</v>
          </cell>
          <cell r="R546">
            <v>51000</v>
          </cell>
          <cell r="S546">
            <v>53300</v>
          </cell>
          <cell r="T546">
            <v>53800</v>
          </cell>
          <cell r="U546">
            <v>52300</v>
          </cell>
          <cell r="V546">
            <v>54500</v>
          </cell>
          <cell r="W546">
            <v>56700</v>
          </cell>
        </row>
        <row r="547">
          <cell r="A547">
            <v>44813</v>
          </cell>
          <cell r="B547">
            <v>54500</v>
          </cell>
          <cell r="C547">
            <v>55000</v>
          </cell>
          <cell r="D547">
            <v>55000</v>
          </cell>
          <cell r="E547">
            <v>50200</v>
          </cell>
          <cell r="F547">
            <v>55000</v>
          </cell>
          <cell r="G547" t="str">
            <v>-</v>
          </cell>
          <cell r="H547">
            <v>53500</v>
          </cell>
          <cell r="I547">
            <v>54100</v>
          </cell>
          <cell r="J547">
            <v>54300</v>
          </cell>
          <cell r="K547" t="str">
            <v>-</v>
          </cell>
          <cell r="L547">
            <v>55100</v>
          </cell>
          <cell r="M547">
            <v>54500</v>
          </cell>
          <cell r="N547">
            <v>52500</v>
          </cell>
          <cell r="O547">
            <v>52300</v>
          </cell>
          <cell r="P547">
            <v>50700</v>
          </cell>
          <cell r="Q547">
            <v>51200</v>
          </cell>
          <cell r="R547">
            <v>51000</v>
          </cell>
          <cell r="S547">
            <v>52700</v>
          </cell>
          <cell r="T547">
            <v>53800</v>
          </cell>
          <cell r="U547">
            <v>52300</v>
          </cell>
          <cell r="V547">
            <v>54300</v>
          </cell>
          <cell r="W547">
            <v>56700</v>
          </cell>
        </row>
        <row r="548">
          <cell r="A548">
            <v>44814</v>
          </cell>
          <cell r="B548">
            <v>54300</v>
          </cell>
          <cell r="C548">
            <v>55000</v>
          </cell>
          <cell r="D548">
            <v>55600</v>
          </cell>
          <cell r="E548">
            <v>50500</v>
          </cell>
          <cell r="F548">
            <v>55000</v>
          </cell>
          <cell r="G548" t="str">
            <v>-</v>
          </cell>
          <cell r="H548">
            <v>53500</v>
          </cell>
          <cell r="I548">
            <v>54200</v>
          </cell>
          <cell r="J548">
            <v>54300</v>
          </cell>
          <cell r="K548" t="str">
            <v>-</v>
          </cell>
          <cell r="L548">
            <v>55300</v>
          </cell>
          <cell r="M548">
            <v>54500</v>
          </cell>
          <cell r="N548">
            <v>53000</v>
          </cell>
          <cell r="O548">
            <v>52000</v>
          </cell>
          <cell r="P548">
            <v>51000</v>
          </cell>
          <cell r="Q548">
            <v>51500</v>
          </cell>
          <cell r="R548">
            <v>51100</v>
          </cell>
          <cell r="S548">
            <v>53000</v>
          </cell>
          <cell r="T548">
            <v>54000</v>
          </cell>
          <cell r="U548">
            <v>52300</v>
          </cell>
          <cell r="V548">
            <v>54200</v>
          </cell>
          <cell r="W548">
            <v>56700</v>
          </cell>
        </row>
        <row r="549">
          <cell r="A549">
            <v>44815</v>
          </cell>
          <cell r="B549" t="str">
            <v>H</v>
          </cell>
          <cell r="C549" t="str">
            <v>H</v>
          </cell>
          <cell r="D549" t="str">
            <v>H</v>
          </cell>
          <cell r="E549" t="str">
            <v>H</v>
          </cell>
          <cell r="F549" t="str">
            <v>H</v>
          </cell>
          <cell r="G549" t="str">
            <v>H</v>
          </cell>
          <cell r="H549" t="str">
            <v>H</v>
          </cell>
          <cell r="I549" t="str">
            <v>H</v>
          </cell>
          <cell r="J549" t="str">
            <v>H</v>
          </cell>
          <cell r="K549" t="str">
            <v>H</v>
          </cell>
          <cell r="L549" t="str">
            <v>H</v>
          </cell>
          <cell r="M549" t="str">
            <v>H</v>
          </cell>
          <cell r="N549" t="str">
            <v>H</v>
          </cell>
          <cell r="O549" t="str">
            <v>H</v>
          </cell>
          <cell r="P549" t="str">
            <v>H</v>
          </cell>
          <cell r="Q549" t="str">
            <v>H</v>
          </cell>
          <cell r="R549" t="str">
            <v>H</v>
          </cell>
          <cell r="S549" t="str">
            <v>H</v>
          </cell>
          <cell r="T549" t="str">
            <v>H</v>
          </cell>
          <cell r="U549" t="str">
            <v>H</v>
          </cell>
          <cell r="V549" t="str">
            <v>H</v>
          </cell>
          <cell r="W549" t="str">
            <v>H</v>
          </cell>
        </row>
        <row r="550">
          <cell r="A550">
            <v>44816</v>
          </cell>
          <cell r="B550">
            <v>54300</v>
          </cell>
          <cell r="C550">
            <v>55300</v>
          </cell>
          <cell r="D550">
            <v>55700</v>
          </cell>
          <cell r="E550">
            <v>50500</v>
          </cell>
          <cell r="F550">
            <v>54800</v>
          </cell>
          <cell r="G550" t="str">
            <v>-</v>
          </cell>
          <cell r="H550">
            <v>53500</v>
          </cell>
          <cell r="I550">
            <v>53800</v>
          </cell>
          <cell r="J550">
            <v>54300</v>
          </cell>
          <cell r="K550" t="str">
            <v>-</v>
          </cell>
          <cell r="L550">
            <v>55100</v>
          </cell>
          <cell r="M550">
            <v>54500</v>
          </cell>
          <cell r="N550">
            <v>52800</v>
          </cell>
          <cell r="O550">
            <v>52000</v>
          </cell>
          <cell r="P550">
            <v>51000</v>
          </cell>
          <cell r="Q550">
            <v>51400</v>
          </cell>
          <cell r="R550">
            <v>50700</v>
          </cell>
          <cell r="S550">
            <v>53000</v>
          </cell>
          <cell r="T550">
            <v>54000</v>
          </cell>
          <cell r="U550">
            <v>52300</v>
          </cell>
          <cell r="V550">
            <v>54100</v>
          </cell>
          <cell r="W550">
            <v>56500</v>
          </cell>
        </row>
        <row r="551">
          <cell r="A551">
            <v>44817</v>
          </cell>
          <cell r="B551">
            <v>54600</v>
          </cell>
          <cell r="C551">
            <v>55300</v>
          </cell>
          <cell r="D551">
            <v>55900</v>
          </cell>
          <cell r="E551">
            <v>50600</v>
          </cell>
          <cell r="F551">
            <v>54800</v>
          </cell>
          <cell r="G551" t="str">
            <v>-</v>
          </cell>
          <cell r="H551">
            <v>53000</v>
          </cell>
          <cell r="I551">
            <v>54000</v>
          </cell>
          <cell r="J551">
            <v>54300</v>
          </cell>
          <cell r="K551" t="str">
            <v>-</v>
          </cell>
          <cell r="L551">
            <v>55400</v>
          </cell>
          <cell r="M551">
            <v>54300</v>
          </cell>
          <cell r="N551">
            <v>53200</v>
          </cell>
          <cell r="O551">
            <v>52100</v>
          </cell>
          <cell r="P551">
            <v>51350</v>
          </cell>
          <cell r="Q551">
            <v>51800</v>
          </cell>
          <cell r="R551">
            <v>51000</v>
          </cell>
          <cell r="S551">
            <v>53100</v>
          </cell>
          <cell r="T551">
            <v>54100</v>
          </cell>
          <cell r="U551">
            <v>52300</v>
          </cell>
          <cell r="V551">
            <v>54100</v>
          </cell>
          <cell r="W551">
            <v>56500</v>
          </cell>
        </row>
        <row r="552">
          <cell r="A552">
            <v>44818</v>
          </cell>
          <cell r="B552">
            <v>54600</v>
          </cell>
          <cell r="C552">
            <v>55200</v>
          </cell>
          <cell r="D552">
            <v>55900</v>
          </cell>
          <cell r="E552">
            <v>51100</v>
          </cell>
          <cell r="F552">
            <v>55200</v>
          </cell>
          <cell r="G552" t="str">
            <v>-</v>
          </cell>
          <cell r="H552">
            <v>53500</v>
          </cell>
          <cell r="I552">
            <v>54400</v>
          </cell>
          <cell r="J552">
            <v>54700</v>
          </cell>
          <cell r="K552" t="str">
            <v>-</v>
          </cell>
          <cell r="L552">
            <v>55700</v>
          </cell>
          <cell r="M552">
            <v>54500</v>
          </cell>
          <cell r="N552">
            <v>53500</v>
          </cell>
          <cell r="O552">
            <v>52400</v>
          </cell>
          <cell r="P552">
            <v>51700</v>
          </cell>
          <cell r="Q552">
            <v>52000</v>
          </cell>
          <cell r="R552">
            <v>51500</v>
          </cell>
          <cell r="S552">
            <v>53600</v>
          </cell>
          <cell r="T552">
            <v>54500</v>
          </cell>
          <cell r="U552">
            <v>52500</v>
          </cell>
          <cell r="V552">
            <v>54100</v>
          </cell>
          <cell r="W552">
            <v>56500</v>
          </cell>
        </row>
        <row r="553">
          <cell r="A553">
            <v>44819</v>
          </cell>
          <cell r="B553">
            <v>54600</v>
          </cell>
          <cell r="C553">
            <v>55200</v>
          </cell>
          <cell r="D553">
            <v>55900</v>
          </cell>
          <cell r="E553">
            <v>51300</v>
          </cell>
          <cell r="F553">
            <v>55300</v>
          </cell>
          <cell r="G553" t="str">
            <v>-</v>
          </cell>
          <cell r="H553">
            <v>53500</v>
          </cell>
          <cell r="I553">
            <v>54500</v>
          </cell>
          <cell r="J553">
            <v>54900</v>
          </cell>
          <cell r="K553" t="str">
            <v>-</v>
          </cell>
          <cell r="L553">
            <v>55700</v>
          </cell>
          <cell r="M553">
            <v>54800</v>
          </cell>
          <cell r="N553">
            <v>53500</v>
          </cell>
          <cell r="O553">
            <v>52700</v>
          </cell>
          <cell r="P553">
            <v>51500</v>
          </cell>
          <cell r="Q553">
            <v>52000</v>
          </cell>
          <cell r="R553">
            <v>51700</v>
          </cell>
          <cell r="S553">
            <v>53600</v>
          </cell>
          <cell r="T553">
            <v>54500</v>
          </cell>
          <cell r="U553">
            <v>52500</v>
          </cell>
          <cell r="V553">
            <v>54400</v>
          </cell>
          <cell r="W553">
            <v>56500</v>
          </cell>
        </row>
        <row r="554">
          <cell r="A554">
            <v>44820</v>
          </cell>
          <cell r="B554">
            <v>54600</v>
          </cell>
          <cell r="C554">
            <v>55200</v>
          </cell>
          <cell r="D554">
            <v>55750</v>
          </cell>
          <cell r="E554">
            <v>51000</v>
          </cell>
          <cell r="F554">
            <v>55300</v>
          </cell>
          <cell r="G554" t="str">
            <v>-</v>
          </cell>
          <cell r="H554">
            <v>53500</v>
          </cell>
          <cell r="I554">
            <v>54600</v>
          </cell>
          <cell r="J554">
            <v>54900</v>
          </cell>
          <cell r="K554" t="str">
            <v>-</v>
          </cell>
          <cell r="L554">
            <v>55800</v>
          </cell>
          <cell r="M554">
            <v>54800</v>
          </cell>
          <cell r="N554">
            <v>53500</v>
          </cell>
          <cell r="O554">
            <v>52500</v>
          </cell>
          <cell r="P554">
            <v>51800</v>
          </cell>
          <cell r="Q554">
            <v>51800</v>
          </cell>
          <cell r="R554">
            <v>51700</v>
          </cell>
          <cell r="S554">
            <v>53500</v>
          </cell>
          <cell r="T554">
            <v>54400</v>
          </cell>
          <cell r="U554">
            <v>52300</v>
          </cell>
          <cell r="V554">
            <v>54400</v>
          </cell>
          <cell r="W554">
            <v>56500</v>
          </cell>
        </row>
        <row r="555">
          <cell r="A555">
            <v>44821</v>
          </cell>
          <cell r="B555">
            <v>54400</v>
          </cell>
          <cell r="C555">
            <v>55000</v>
          </cell>
          <cell r="D555">
            <v>55600</v>
          </cell>
          <cell r="E555">
            <v>51000</v>
          </cell>
          <cell r="F555">
            <v>55300</v>
          </cell>
          <cell r="G555" t="str">
            <v>-</v>
          </cell>
          <cell r="H555">
            <v>53500</v>
          </cell>
          <cell r="I555">
            <v>54400</v>
          </cell>
          <cell r="J555">
            <v>54900</v>
          </cell>
          <cell r="K555" t="str">
            <v>-</v>
          </cell>
          <cell r="L555">
            <v>55400</v>
          </cell>
          <cell r="M555">
            <v>54800</v>
          </cell>
          <cell r="N555">
            <v>53000</v>
          </cell>
          <cell r="O555">
            <v>52100</v>
          </cell>
          <cell r="P555">
            <v>51500</v>
          </cell>
          <cell r="Q555">
            <v>51800</v>
          </cell>
          <cell r="R555" t="str">
            <v>-</v>
          </cell>
          <cell r="S555">
            <v>53500</v>
          </cell>
          <cell r="T555">
            <v>54400</v>
          </cell>
          <cell r="U555" t="str">
            <v>-</v>
          </cell>
          <cell r="V555">
            <v>54300</v>
          </cell>
          <cell r="W555">
            <v>56300</v>
          </cell>
        </row>
        <row r="556">
          <cell r="A556">
            <v>44822</v>
          </cell>
          <cell r="B556" t="str">
            <v>H</v>
          </cell>
          <cell r="C556" t="str">
            <v>H</v>
          </cell>
          <cell r="D556" t="str">
            <v>H</v>
          </cell>
          <cell r="E556" t="str">
            <v>H</v>
          </cell>
          <cell r="F556" t="str">
            <v>H</v>
          </cell>
          <cell r="G556" t="str">
            <v>H</v>
          </cell>
          <cell r="H556" t="str">
            <v>H</v>
          </cell>
          <cell r="I556" t="str">
            <v>H</v>
          </cell>
          <cell r="J556" t="str">
            <v>H</v>
          </cell>
          <cell r="K556" t="str">
            <v>H</v>
          </cell>
          <cell r="L556" t="str">
            <v>H</v>
          </cell>
          <cell r="M556" t="str">
            <v>H</v>
          </cell>
          <cell r="N556" t="str">
            <v>H</v>
          </cell>
          <cell r="O556" t="str">
            <v>H</v>
          </cell>
          <cell r="P556" t="str">
            <v>H</v>
          </cell>
          <cell r="Q556" t="str">
            <v>H</v>
          </cell>
          <cell r="R556" t="str">
            <v>H</v>
          </cell>
          <cell r="S556" t="str">
            <v>H</v>
          </cell>
          <cell r="T556" t="str">
            <v>H</v>
          </cell>
          <cell r="U556" t="str">
            <v>H</v>
          </cell>
          <cell r="V556" t="str">
            <v>H</v>
          </cell>
          <cell r="W556" t="str">
            <v>H</v>
          </cell>
        </row>
        <row r="557">
          <cell r="A557">
            <v>44823</v>
          </cell>
          <cell r="B557">
            <v>54400</v>
          </cell>
          <cell r="C557">
            <v>55000</v>
          </cell>
          <cell r="D557">
            <v>55600</v>
          </cell>
          <cell r="E557">
            <v>50800</v>
          </cell>
          <cell r="F557">
            <v>55300</v>
          </cell>
          <cell r="G557" t="str">
            <v>-</v>
          </cell>
          <cell r="H557">
            <v>53000</v>
          </cell>
          <cell r="I557">
            <v>54300</v>
          </cell>
          <cell r="J557">
            <v>54900</v>
          </cell>
          <cell r="K557" t="str">
            <v>-</v>
          </cell>
          <cell r="L557">
            <v>55400</v>
          </cell>
          <cell r="M557">
            <v>54800</v>
          </cell>
          <cell r="N557">
            <v>52800</v>
          </cell>
          <cell r="O557">
            <v>51900</v>
          </cell>
          <cell r="P557">
            <v>51400</v>
          </cell>
          <cell r="Q557">
            <v>51500</v>
          </cell>
          <cell r="R557">
            <v>51500</v>
          </cell>
          <cell r="S557">
            <v>53300</v>
          </cell>
          <cell r="T557">
            <v>54200</v>
          </cell>
          <cell r="U557">
            <v>52300</v>
          </cell>
          <cell r="V557">
            <v>54300</v>
          </cell>
          <cell r="W557">
            <v>56000</v>
          </cell>
        </row>
        <row r="558">
          <cell r="A558">
            <v>44824</v>
          </cell>
          <cell r="B558">
            <v>54100</v>
          </cell>
          <cell r="C558">
            <v>55000</v>
          </cell>
          <cell r="D558">
            <v>54600</v>
          </cell>
          <cell r="E558">
            <v>50500</v>
          </cell>
          <cell r="F558">
            <v>55100</v>
          </cell>
          <cell r="G558" t="str">
            <v>-</v>
          </cell>
          <cell r="H558">
            <v>53000</v>
          </cell>
          <cell r="I558">
            <v>54000</v>
          </cell>
          <cell r="J558">
            <v>54900</v>
          </cell>
          <cell r="K558" t="str">
            <v>-</v>
          </cell>
          <cell r="L558">
            <v>55000</v>
          </cell>
          <cell r="M558">
            <v>54800</v>
          </cell>
          <cell r="N558">
            <v>52200</v>
          </cell>
          <cell r="O558">
            <v>51500</v>
          </cell>
          <cell r="P558">
            <v>51000</v>
          </cell>
          <cell r="Q558">
            <v>51300</v>
          </cell>
          <cell r="R558">
            <v>51000</v>
          </cell>
          <cell r="S558">
            <v>53000</v>
          </cell>
          <cell r="T558">
            <v>54000</v>
          </cell>
          <cell r="U558">
            <v>52300</v>
          </cell>
          <cell r="V558">
            <v>54200</v>
          </cell>
          <cell r="W558">
            <v>56000</v>
          </cell>
        </row>
        <row r="559">
          <cell r="A559">
            <v>44825</v>
          </cell>
          <cell r="B559">
            <v>54100</v>
          </cell>
          <cell r="C559">
            <v>55000</v>
          </cell>
          <cell r="D559">
            <v>54200</v>
          </cell>
          <cell r="E559">
            <v>50500</v>
          </cell>
          <cell r="F559">
            <v>55100</v>
          </cell>
          <cell r="G559" t="str">
            <v>-</v>
          </cell>
          <cell r="H559">
            <v>52500</v>
          </cell>
          <cell r="I559">
            <v>53800</v>
          </cell>
          <cell r="J559">
            <v>54800</v>
          </cell>
          <cell r="K559" t="str">
            <v>-</v>
          </cell>
          <cell r="L559">
            <v>55000</v>
          </cell>
          <cell r="M559">
            <v>54500</v>
          </cell>
          <cell r="N559">
            <v>52000</v>
          </cell>
          <cell r="O559">
            <v>51500</v>
          </cell>
          <cell r="P559">
            <v>51000</v>
          </cell>
          <cell r="Q559">
            <v>51300</v>
          </cell>
          <cell r="R559">
            <v>51000</v>
          </cell>
          <cell r="S559">
            <v>53000</v>
          </cell>
          <cell r="T559">
            <v>53900</v>
          </cell>
          <cell r="U559">
            <v>52300</v>
          </cell>
          <cell r="V559">
            <v>54200</v>
          </cell>
          <cell r="W559">
            <v>56000</v>
          </cell>
        </row>
        <row r="560">
          <cell r="A560">
            <v>44826</v>
          </cell>
          <cell r="B560">
            <v>53800</v>
          </cell>
          <cell r="C560">
            <v>55000</v>
          </cell>
          <cell r="D560">
            <v>54000</v>
          </cell>
          <cell r="E560">
            <v>50000</v>
          </cell>
          <cell r="F560">
            <v>54900</v>
          </cell>
          <cell r="G560" t="str">
            <v>-</v>
          </cell>
          <cell r="H560">
            <v>52500</v>
          </cell>
          <cell r="I560">
            <v>53300</v>
          </cell>
          <cell r="J560">
            <v>54800</v>
          </cell>
          <cell r="K560" t="str">
            <v>-</v>
          </cell>
          <cell r="L560">
            <v>54500</v>
          </cell>
          <cell r="M560">
            <v>54000</v>
          </cell>
          <cell r="N560">
            <v>51400</v>
          </cell>
          <cell r="O560">
            <v>51300</v>
          </cell>
          <cell r="P560">
            <v>51100</v>
          </cell>
          <cell r="Q560">
            <v>51300</v>
          </cell>
          <cell r="R560">
            <v>50800</v>
          </cell>
          <cell r="S560">
            <v>52500</v>
          </cell>
          <cell r="T560">
            <v>53700</v>
          </cell>
          <cell r="U560">
            <v>52300</v>
          </cell>
          <cell r="V560">
            <v>54200</v>
          </cell>
          <cell r="W560">
            <v>56000</v>
          </cell>
        </row>
        <row r="561">
          <cell r="A561">
            <v>44827</v>
          </cell>
          <cell r="B561">
            <v>53800</v>
          </cell>
          <cell r="C561">
            <v>55000</v>
          </cell>
          <cell r="D561">
            <v>53700</v>
          </cell>
          <cell r="E561">
            <v>50000</v>
          </cell>
          <cell r="F561">
            <v>55000</v>
          </cell>
          <cell r="G561" t="str">
            <v>-</v>
          </cell>
          <cell r="H561">
            <v>52000</v>
          </cell>
          <cell r="I561">
            <v>53200</v>
          </cell>
          <cell r="J561">
            <v>54500</v>
          </cell>
          <cell r="K561" t="str">
            <v>-</v>
          </cell>
          <cell r="L561">
            <v>54300</v>
          </cell>
          <cell r="M561">
            <v>53800</v>
          </cell>
          <cell r="N561">
            <v>51600</v>
          </cell>
          <cell r="O561">
            <v>51200</v>
          </cell>
          <cell r="P561">
            <v>51300</v>
          </cell>
          <cell r="Q561">
            <v>51400</v>
          </cell>
          <cell r="R561">
            <v>50700</v>
          </cell>
          <cell r="S561">
            <v>52500</v>
          </cell>
          <cell r="T561">
            <v>53700</v>
          </cell>
          <cell r="U561">
            <v>52300</v>
          </cell>
          <cell r="V561">
            <v>54100</v>
          </cell>
          <cell r="W561">
            <v>55900</v>
          </cell>
        </row>
        <row r="562">
          <cell r="A562">
            <v>44828</v>
          </cell>
          <cell r="B562">
            <v>54300</v>
          </cell>
          <cell r="C562">
            <v>55000</v>
          </cell>
          <cell r="D562">
            <v>54000</v>
          </cell>
          <cell r="E562">
            <v>50500</v>
          </cell>
          <cell r="F562">
            <v>55000</v>
          </cell>
          <cell r="G562" t="str">
            <v>-</v>
          </cell>
          <cell r="H562">
            <v>52500</v>
          </cell>
          <cell r="I562">
            <v>53800</v>
          </cell>
          <cell r="J562">
            <v>54500</v>
          </cell>
          <cell r="K562" t="str">
            <v>-</v>
          </cell>
          <cell r="L562">
            <v>54800</v>
          </cell>
          <cell r="M562">
            <v>54000</v>
          </cell>
          <cell r="N562">
            <v>51900</v>
          </cell>
          <cell r="O562">
            <v>51500</v>
          </cell>
          <cell r="P562">
            <v>51600</v>
          </cell>
          <cell r="Q562">
            <v>51800</v>
          </cell>
          <cell r="R562">
            <v>51500</v>
          </cell>
          <cell r="S562">
            <v>53000</v>
          </cell>
          <cell r="T562">
            <v>54100</v>
          </cell>
          <cell r="U562">
            <v>52300</v>
          </cell>
          <cell r="V562">
            <v>54100</v>
          </cell>
          <cell r="W562">
            <v>55900</v>
          </cell>
        </row>
        <row r="563">
          <cell r="A563">
            <v>44829</v>
          </cell>
          <cell r="B563" t="str">
            <v>H</v>
          </cell>
          <cell r="C563" t="str">
            <v>H</v>
          </cell>
          <cell r="D563" t="str">
            <v>H</v>
          </cell>
          <cell r="E563" t="str">
            <v>H</v>
          </cell>
          <cell r="F563" t="str">
            <v>H</v>
          </cell>
          <cell r="G563" t="str">
            <v>H</v>
          </cell>
          <cell r="H563" t="str">
            <v>H</v>
          </cell>
          <cell r="I563" t="str">
            <v>H</v>
          </cell>
          <cell r="J563" t="str">
            <v>H</v>
          </cell>
          <cell r="K563" t="str">
            <v>H</v>
          </cell>
          <cell r="L563" t="str">
            <v>H</v>
          </cell>
          <cell r="M563" t="str">
            <v>H</v>
          </cell>
          <cell r="N563" t="str">
            <v>H</v>
          </cell>
          <cell r="O563" t="str">
            <v>H</v>
          </cell>
          <cell r="P563" t="str">
            <v>H</v>
          </cell>
          <cell r="Q563" t="str">
            <v>H</v>
          </cell>
          <cell r="R563" t="str">
            <v>H</v>
          </cell>
          <cell r="S563" t="str">
            <v>H</v>
          </cell>
          <cell r="T563" t="str">
            <v>H</v>
          </cell>
          <cell r="U563" t="str">
            <v>H</v>
          </cell>
          <cell r="V563" t="str">
            <v>H</v>
          </cell>
          <cell r="W563" t="str">
            <v>H</v>
          </cell>
        </row>
        <row r="564">
          <cell r="A564">
            <v>44830</v>
          </cell>
          <cell r="B564">
            <v>54500</v>
          </cell>
          <cell r="C564">
            <v>55000</v>
          </cell>
          <cell r="D564">
            <v>54000</v>
          </cell>
          <cell r="E564">
            <v>50500</v>
          </cell>
          <cell r="F564">
            <v>55000</v>
          </cell>
          <cell r="G564" t="str">
            <v>-</v>
          </cell>
          <cell r="H564">
            <v>52500</v>
          </cell>
          <cell r="I564">
            <v>53800</v>
          </cell>
          <cell r="J564">
            <v>54800</v>
          </cell>
          <cell r="K564" t="str">
            <v>-</v>
          </cell>
          <cell r="L564">
            <v>55000</v>
          </cell>
          <cell r="M564">
            <v>54200</v>
          </cell>
          <cell r="N564">
            <v>52000</v>
          </cell>
          <cell r="O564">
            <v>51500</v>
          </cell>
          <cell r="P564">
            <v>51700</v>
          </cell>
          <cell r="Q564">
            <v>51800</v>
          </cell>
          <cell r="R564">
            <v>51500</v>
          </cell>
          <cell r="S564">
            <v>53000</v>
          </cell>
          <cell r="T564">
            <v>54100</v>
          </cell>
          <cell r="U564">
            <v>52300</v>
          </cell>
          <cell r="V564">
            <v>54300</v>
          </cell>
          <cell r="W564">
            <v>56100</v>
          </cell>
        </row>
        <row r="565">
          <cell r="A565">
            <v>44831</v>
          </cell>
          <cell r="B565">
            <v>55300</v>
          </cell>
          <cell r="C565">
            <v>54800</v>
          </cell>
          <cell r="D565">
            <v>54700</v>
          </cell>
          <cell r="E565">
            <v>51000</v>
          </cell>
          <cell r="F565">
            <v>55000</v>
          </cell>
          <cell r="G565" t="str">
            <v>-</v>
          </cell>
          <cell r="H565">
            <v>52500</v>
          </cell>
          <cell r="I565">
            <v>54100</v>
          </cell>
          <cell r="J565">
            <v>54900</v>
          </cell>
          <cell r="K565" t="str">
            <v>-</v>
          </cell>
          <cell r="L565">
            <v>55400</v>
          </cell>
          <cell r="M565">
            <v>54900</v>
          </cell>
          <cell r="N565">
            <v>52400</v>
          </cell>
          <cell r="O565">
            <v>51700</v>
          </cell>
          <cell r="P565">
            <v>51700</v>
          </cell>
          <cell r="Q565">
            <v>52000</v>
          </cell>
          <cell r="R565">
            <v>51700</v>
          </cell>
          <cell r="S565">
            <v>53500</v>
          </cell>
          <cell r="T565">
            <v>54200</v>
          </cell>
          <cell r="U565">
            <v>52800</v>
          </cell>
          <cell r="V565">
            <v>54300</v>
          </cell>
          <cell r="W565">
            <v>56100</v>
          </cell>
        </row>
        <row r="566">
          <cell r="A566">
            <v>44832</v>
          </cell>
          <cell r="B566">
            <v>55300</v>
          </cell>
          <cell r="C566">
            <v>54500</v>
          </cell>
          <cell r="D566">
            <v>55000</v>
          </cell>
          <cell r="E566">
            <v>51100</v>
          </cell>
          <cell r="F566">
            <v>55300</v>
          </cell>
          <cell r="G566" t="str">
            <v>-</v>
          </cell>
          <cell r="H566">
            <v>52500</v>
          </cell>
          <cell r="I566">
            <v>54100</v>
          </cell>
          <cell r="J566">
            <v>55200</v>
          </cell>
          <cell r="K566" t="str">
            <v>-</v>
          </cell>
          <cell r="L566">
            <v>55400</v>
          </cell>
          <cell r="M566">
            <v>55300</v>
          </cell>
          <cell r="N566">
            <v>52600</v>
          </cell>
          <cell r="O566">
            <v>51800</v>
          </cell>
          <cell r="P566">
            <v>51900</v>
          </cell>
          <cell r="Q566">
            <v>52000</v>
          </cell>
          <cell r="R566">
            <v>52000</v>
          </cell>
          <cell r="S566">
            <v>53500</v>
          </cell>
          <cell r="T566">
            <v>54500</v>
          </cell>
          <cell r="U566">
            <v>52800</v>
          </cell>
          <cell r="V566">
            <v>54500</v>
          </cell>
          <cell r="W566">
            <v>56200</v>
          </cell>
        </row>
        <row r="567">
          <cell r="A567">
            <v>44833</v>
          </cell>
          <cell r="B567">
            <v>55300</v>
          </cell>
          <cell r="C567">
            <v>54500</v>
          </cell>
          <cell r="D567">
            <v>55000</v>
          </cell>
          <cell r="E567">
            <v>50900</v>
          </cell>
          <cell r="F567">
            <v>55700</v>
          </cell>
          <cell r="G567" t="str">
            <v>-</v>
          </cell>
          <cell r="H567">
            <v>52500</v>
          </cell>
          <cell r="I567">
            <v>54100</v>
          </cell>
          <cell r="J567">
            <v>55700</v>
          </cell>
          <cell r="K567" t="str">
            <v>-</v>
          </cell>
          <cell r="L567">
            <v>55200</v>
          </cell>
          <cell r="M567">
            <v>55300</v>
          </cell>
          <cell r="N567">
            <v>52500</v>
          </cell>
          <cell r="O567">
            <v>51600</v>
          </cell>
          <cell r="P567">
            <v>51700</v>
          </cell>
          <cell r="Q567">
            <v>51900</v>
          </cell>
          <cell r="R567">
            <v>51700</v>
          </cell>
          <cell r="S567">
            <v>53400</v>
          </cell>
          <cell r="T567">
            <v>54500</v>
          </cell>
          <cell r="U567">
            <v>52800</v>
          </cell>
          <cell r="V567">
            <v>54500</v>
          </cell>
          <cell r="W567">
            <v>56400</v>
          </cell>
        </row>
        <row r="568">
          <cell r="A568">
            <v>44834</v>
          </cell>
          <cell r="B568">
            <v>55500</v>
          </cell>
          <cell r="C568">
            <v>54500</v>
          </cell>
          <cell r="D568">
            <v>55200</v>
          </cell>
          <cell r="E568">
            <v>51400</v>
          </cell>
          <cell r="F568">
            <v>55700</v>
          </cell>
          <cell r="G568" t="str">
            <v>-</v>
          </cell>
          <cell r="H568">
            <v>52500</v>
          </cell>
          <cell r="I568">
            <v>54300</v>
          </cell>
          <cell r="J568">
            <v>55700</v>
          </cell>
          <cell r="K568" t="str">
            <v>-</v>
          </cell>
          <cell r="L568">
            <v>55600</v>
          </cell>
          <cell r="M568">
            <v>55500</v>
          </cell>
          <cell r="N568">
            <v>53000</v>
          </cell>
          <cell r="O568">
            <v>51800</v>
          </cell>
          <cell r="P568">
            <v>51900</v>
          </cell>
          <cell r="Q568">
            <v>52000</v>
          </cell>
          <cell r="R568">
            <v>52000</v>
          </cell>
          <cell r="S568">
            <v>53900</v>
          </cell>
          <cell r="T568">
            <v>54800</v>
          </cell>
          <cell r="U568">
            <v>52800</v>
          </cell>
          <cell r="V568">
            <v>54700</v>
          </cell>
          <cell r="W568">
            <v>56800</v>
          </cell>
        </row>
        <row r="569">
          <cell r="A569">
            <v>44835</v>
          </cell>
          <cell r="B569">
            <v>55500</v>
          </cell>
          <cell r="C569">
            <v>54500</v>
          </cell>
          <cell r="D569">
            <v>55200</v>
          </cell>
          <cell r="E569">
            <v>51400</v>
          </cell>
          <cell r="F569">
            <v>55700</v>
          </cell>
          <cell r="G569" t="str">
            <v>-</v>
          </cell>
          <cell r="H569">
            <v>52500</v>
          </cell>
          <cell r="I569">
            <v>54400</v>
          </cell>
          <cell r="J569">
            <v>55500</v>
          </cell>
          <cell r="K569" t="str">
            <v>-</v>
          </cell>
          <cell r="L569">
            <v>55600</v>
          </cell>
          <cell r="M569">
            <v>55500</v>
          </cell>
          <cell r="N569">
            <v>53100</v>
          </cell>
          <cell r="O569">
            <v>51800</v>
          </cell>
          <cell r="P569">
            <v>52000</v>
          </cell>
          <cell r="Q569">
            <v>52100</v>
          </cell>
          <cell r="R569">
            <v>52000</v>
          </cell>
          <cell r="S569">
            <v>53900</v>
          </cell>
          <cell r="T569">
            <v>55000</v>
          </cell>
          <cell r="U569">
            <v>52800</v>
          </cell>
          <cell r="V569">
            <v>54700</v>
          </cell>
          <cell r="W569">
            <v>56700</v>
          </cell>
        </row>
        <row r="570">
          <cell r="A570">
            <v>44836</v>
          </cell>
          <cell r="B570" t="str">
            <v>H</v>
          </cell>
          <cell r="C570" t="str">
            <v>H</v>
          </cell>
          <cell r="D570" t="str">
            <v>H</v>
          </cell>
          <cell r="E570" t="str">
            <v>H</v>
          </cell>
          <cell r="F570" t="str">
            <v>H</v>
          </cell>
          <cell r="G570" t="str">
            <v>H</v>
          </cell>
          <cell r="H570" t="str">
            <v>H</v>
          </cell>
          <cell r="I570" t="str">
            <v>H</v>
          </cell>
          <cell r="J570" t="str">
            <v>H</v>
          </cell>
          <cell r="K570" t="str">
            <v>H</v>
          </cell>
          <cell r="L570" t="str">
            <v>H</v>
          </cell>
          <cell r="M570" t="str">
            <v>H</v>
          </cell>
          <cell r="N570" t="str">
            <v>H</v>
          </cell>
          <cell r="O570" t="str">
            <v>H</v>
          </cell>
          <cell r="P570" t="str">
            <v>H</v>
          </cell>
          <cell r="Q570" t="str">
            <v>H</v>
          </cell>
          <cell r="R570" t="str">
            <v>H</v>
          </cell>
          <cell r="S570" t="str">
            <v>H</v>
          </cell>
          <cell r="T570" t="str">
            <v>H</v>
          </cell>
          <cell r="U570" t="str">
            <v>H</v>
          </cell>
          <cell r="V570" t="str">
            <v>H</v>
          </cell>
          <cell r="W570" t="str">
            <v>H</v>
          </cell>
        </row>
        <row r="571">
          <cell r="A571">
            <v>44837</v>
          </cell>
          <cell r="B571">
            <v>55500</v>
          </cell>
          <cell r="C571">
            <v>54500</v>
          </cell>
          <cell r="D571">
            <v>55200</v>
          </cell>
          <cell r="E571" t="str">
            <v>-</v>
          </cell>
          <cell r="F571">
            <v>55800</v>
          </cell>
          <cell r="G571" t="str">
            <v>-</v>
          </cell>
          <cell r="H571">
            <v>53000</v>
          </cell>
          <cell r="I571">
            <v>54300</v>
          </cell>
          <cell r="J571">
            <v>55500</v>
          </cell>
          <cell r="K571" t="str">
            <v>-</v>
          </cell>
          <cell r="L571">
            <v>55400</v>
          </cell>
          <cell r="M571">
            <v>55500</v>
          </cell>
          <cell r="N571">
            <v>52700</v>
          </cell>
          <cell r="O571">
            <v>51500</v>
          </cell>
          <cell r="P571">
            <v>52000</v>
          </cell>
          <cell r="Q571">
            <v>51900</v>
          </cell>
          <cell r="R571">
            <v>52000</v>
          </cell>
          <cell r="S571" t="str">
            <v>-</v>
          </cell>
          <cell r="T571">
            <v>55000</v>
          </cell>
          <cell r="U571">
            <v>52800</v>
          </cell>
          <cell r="V571">
            <v>54900</v>
          </cell>
          <cell r="W571">
            <v>57000</v>
          </cell>
        </row>
        <row r="572">
          <cell r="A572">
            <v>44838</v>
          </cell>
          <cell r="B572">
            <v>55600</v>
          </cell>
          <cell r="C572">
            <v>54500</v>
          </cell>
          <cell r="D572">
            <v>54900</v>
          </cell>
          <cell r="E572" t="str">
            <v>-</v>
          </cell>
          <cell r="F572">
            <v>55800</v>
          </cell>
          <cell r="G572" t="str">
            <v>-</v>
          </cell>
          <cell r="H572">
            <v>53000</v>
          </cell>
          <cell r="I572">
            <v>54100</v>
          </cell>
          <cell r="J572">
            <v>55500</v>
          </cell>
          <cell r="K572" t="str">
            <v>-</v>
          </cell>
          <cell r="L572">
            <v>55400</v>
          </cell>
          <cell r="M572">
            <v>55500</v>
          </cell>
          <cell r="N572">
            <v>52300</v>
          </cell>
          <cell r="O572">
            <v>51500</v>
          </cell>
          <cell r="P572">
            <v>52000</v>
          </cell>
          <cell r="Q572">
            <v>52000</v>
          </cell>
          <cell r="R572" t="str">
            <v>-</v>
          </cell>
          <cell r="S572" t="str">
            <v>-</v>
          </cell>
          <cell r="T572">
            <v>55000</v>
          </cell>
          <cell r="U572" t="str">
            <v>-</v>
          </cell>
          <cell r="V572">
            <v>54900</v>
          </cell>
          <cell r="W572">
            <v>57000</v>
          </cell>
        </row>
        <row r="573">
          <cell r="A573">
            <v>44839</v>
          </cell>
          <cell r="B573" t="str">
            <v>H</v>
          </cell>
          <cell r="C573" t="str">
            <v>H</v>
          </cell>
          <cell r="D573" t="str">
            <v>H</v>
          </cell>
          <cell r="E573" t="str">
            <v>H</v>
          </cell>
          <cell r="F573" t="str">
            <v>H</v>
          </cell>
          <cell r="G573" t="str">
            <v>H</v>
          </cell>
          <cell r="H573" t="str">
            <v>H</v>
          </cell>
          <cell r="I573" t="str">
            <v>H</v>
          </cell>
          <cell r="J573" t="str">
            <v>H</v>
          </cell>
          <cell r="K573" t="str">
            <v>H</v>
          </cell>
          <cell r="L573" t="str">
            <v>H</v>
          </cell>
          <cell r="M573" t="str">
            <v>H</v>
          </cell>
          <cell r="N573" t="str">
            <v>H</v>
          </cell>
          <cell r="O573" t="str">
            <v>H</v>
          </cell>
          <cell r="P573" t="str">
            <v>H</v>
          </cell>
          <cell r="Q573" t="str">
            <v>H</v>
          </cell>
          <cell r="R573" t="str">
            <v>H</v>
          </cell>
          <cell r="S573" t="str">
            <v>H</v>
          </cell>
          <cell r="T573" t="str">
            <v>H</v>
          </cell>
          <cell r="U573" t="str">
            <v>H</v>
          </cell>
          <cell r="V573" t="str">
            <v>H</v>
          </cell>
          <cell r="W573" t="str">
            <v>H</v>
          </cell>
        </row>
        <row r="574">
          <cell r="A574">
            <v>44840</v>
          </cell>
          <cell r="B574">
            <v>55800</v>
          </cell>
          <cell r="C574">
            <v>54500</v>
          </cell>
          <cell r="D574">
            <v>55200</v>
          </cell>
          <cell r="E574">
            <v>51800</v>
          </cell>
          <cell r="F574">
            <v>55800</v>
          </cell>
          <cell r="G574" t="str">
            <v>-</v>
          </cell>
          <cell r="H574">
            <v>53500</v>
          </cell>
          <cell r="I574">
            <v>54300</v>
          </cell>
          <cell r="J574">
            <v>55100</v>
          </cell>
          <cell r="K574" t="str">
            <v>-</v>
          </cell>
          <cell r="L574">
            <v>55500</v>
          </cell>
          <cell r="M574">
            <v>55600</v>
          </cell>
          <cell r="N574">
            <v>52800</v>
          </cell>
          <cell r="O574">
            <v>52500</v>
          </cell>
          <cell r="P574">
            <v>52100</v>
          </cell>
          <cell r="Q574">
            <v>52200</v>
          </cell>
          <cell r="R574">
            <v>52200</v>
          </cell>
          <cell r="S574">
            <v>54300</v>
          </cell>
          <cell r="T574">
            <v>55000</v>
          </cell>
          <cell r="U574">
            <v>53300</v>
          </cell>
          <cell r="V574">
            <v>54900</v>
          </cell>
          <cell r="W574">
            <v>57000</v>
          </cell>
        </row>
        <row r="575">
          <cell r="A575">
            <v>44841</v>
          </cell>
          <cell r="B575">
            <v>55900</v>
          </cell>
          <cell r="C575">
            <v>54500</v>
          </cell>
          <cell r="D575">
            <v>55200</v>
          </cell>
          <cell r="E575">
            <v>51800</v>
          </cell>
          <cell r="F575">
            <v>55800</v>
          </cell>
          <cell r="G575" t="str">
            <v>-</v>
          </cell>
          <cell r="H575">
            <v>53500</v>
          </cell>
          <cell r="I575">
            <v>54300</v>
          </cell>
          <cell r="J575">
            <v>55200</v>
          </cell>
          <cell r="K575" t="str">
            <v>-</v>
          </cell>
          <cell r="L575">
            <v>55500</v>
          </cell>
          <cell r="M575">
            <v>55700</v>
          </cell>
          <cell r="N575">
            <v>52700</v>
          </cell>
          <cell r="O575">
            <v>52500</v>
          </cell>
          <cell r="P575">
            <v>52000</v>
          </cell>
          <cell r="Q575">
            <v>52200</v>
          </cell>
          <cell r="R575">
            <v>52000</v>
          </cell>
          <cell r="S575">
            <v>54300</v>
          </cell>
          <cell r="T575">
            <v>55000</v>
          </cell>
          <cell r="U575">
            <v>53300</v>
          </cell>
          <cell r="V575">
            <v>54900</v>
          </cell>
          <cell r="W575">
            <v>57000</v>
          </cell>
        </row>
        <row r="576">
          <cell r="A576">
            <v>44842</v>
          </cell>
          <cell r="B576">
            <v>56200</v>
          </cell>
          <cell r="C576">
            <v>54500</v>
          </cell>
          <cell r="D576">
            <v>55500</v>
          </cell>
          <cell r="E576">
            <v>51800</v>
          </cell>
          <cell r="F576">
            <v>55800</v>
          </cell>
          <cell r="G576" t="str">
            <v>-</v>
          </cell>
          <cell r="H576">
            <v>53500</v>
          </cell>
          <cell r="I576">
            <v>54300</v>
          </cell>
          <cell r="J576">
            <v>55300</v>
          </cell>
          <cell r="K576" t="str">
            <v>-</v>
          </cell>
          <cell r="L576">
            <v>55600</v>
          </cell>
          <cell r="M576">
            <v>56000</v>
          </cell>
          <cell r="N576">
            <v>53100</v>
          </cell>
          <cell r="O576">
            <v>52700</v>
          </cell>
          <cell r="P576">
            <v>52000</v>
          </cell>
          <cell r="Q576">
            <v>52200</v>
          </cell>
          <cell r="R576">
            <v>52000</v>
          </cell>
          <cell r="S576">
            <v>54300</v>
          </cell>
          <cell r="T576">
            <v>55200</v>
          </cell>
          <cell r="U576">
            <v>53300</v>
          </cell>
          <cell r="V576">
            <v>55300</v>
          </cell>
          <cell r="W576">
            <v>57400</v>
          </cell>
        </row>
        <row r="577">
          <cell r="A577">
            <v>44843</v>
          </cell>
          <cell r="B577" t="str">
            <v>H</v>
          </cell>
          <cell r="C577" t="str">
            <v>H</v>
          </cell>
          <cell r="D577" t="str">
            <v>H</v>
          </cell>
          <cell r="E577" t="str">
            <v>H</v>
          </cell>
          <cell r="F577" t="str">
            <v>H</v>
          </cell>
          <cell r="G577" t="str">
            <v>H</v>
          </cell>
          <cell r="H577" t="str">
            <v>H</v>
          </cell>
          <cell r="I577" t="str">
            <v>H</v>
          </cell>
          <cell r="J577" t="str">
            <v>H</v>
          </cell>
          <cell r="K577" t="str">
            <v>H</v>
          </cell>
          <cell r="L577" t="str">
            <v>H</v>
          </cell>
          <cell r="M577" t="str">
            <v>H</v>
          </cell>
          <cell r="N577" t="str">
            <v>H</v>
          </cell>
          <cell r="O577" t="str">
            <v>H</v>
          </cell>
          <cell r="P577" t="str">
            <v>H</v>
          </cell>
          <cell r="Q577" t="str">
            <v>H</v>
          </cell>
          <cell r="R577" t="str">
            <v>H</v>
          </cell>
          <cell r="S577" t="str">
            <v>H</v>
          </cell>
          <cell r="T577" t="str">
            <v>H</v>
          </cell>
          <cell r="U577" t="str">
            <v>H</v>
          </cell>
          <cell r="V577" t="str">
            <v>H</v>
          </cell>
          <cell r="W577" t="str">
            <v>H</v>
          </cell>
        </row>
        <row r="578">
          <cell r="A578">
            <v>44844</v>
          </cell>
          <cell r="B578">
            <v>56200</v>
          </cell>
          <cell r="C578">
            <v>54800</v>
          </cell>
          <cell r="D578">
            <v>55400</v>
          </cell>
          <cell r="E578">
            <v>51800</v>
          </cell>
          <cell r="F578">
            <v>55800</v>
          </cell>
          <cell r="G578" t="str">
            <v>-</v>
          </cell>
          <cell r="H578">
            <v>53500</v>
          </cell>
          <cell r="I578">
            <v>54300</v>
          </cell>
          <cell r="J578">
            <v>55300</v>
          </cell>
          <cell r="K578" t="str">
            <v>-</v>
          </cell>
          <cell r="L578">
            <v>55700</v>
          </cell>
          <cell r="M578">
            <v>56000</v>
          </cell>
          <cell r="N578">
            <v>52800</v>
          </cell>
          <cell r="O578">
            <v>52600</v>
          </cell>
          <cell r="P578">
            <v>52000</v>
          </cell>
          <cell r="Q578">
            <v>52000</v>
          </cell>
          <cell r="R578">
            <v>52000</v>
          </cell>
          <cell r="S578">
            <v>54300</v>
          </cell>
          <cell r="T578">
            <v>55200</v>
          </cell>
          <cell r="U578">
            <v>53300</v>
          </cell>
          <cell r="V578">
            <v>55300</v>
          </cell>
          <cell r="W578">
            <v>57400</v>
          </cell>
        </row>
        <row r="579">
          <cell r="A579">
            <v>44845</v>
          </cell>
          <cell r="B579">
            <v>56200</v>
          </cell>
          <cell r="C579">
            <v>54800</v>
          </cell>
          <cell r="D579">
            <v>54800</v>
          </cell>
          <cell r="E579">
            <v>51500</v>
          </cell>
          <cell r="F579">
            <v>55800</v>
          </cell>
          <cell r="G579" t="str">
            <v>-</v>
          </cell>
          <cell r="H579">
            <v>53200</v>
          </cell>
          <cell r="I579">
            <v>54200</v>
          </cell>
          <cell r="J579">
            <v>55300</v>
          </cell>
          <cell r="K579" t="str">
            <v>-</v>
          </cell>
          <cell r="L579">
            <v>55600</v>
          </cell>
          <cell r="M579">
            <v>56000</v>
          </cell>
          <cell r="N579">
            <v>52800</v>
          </cell>
          <cell r="O579">
            <v>52300</v>
          </cell>
          <cell r="P579">
            <v>51700</v>
          </cell>
          <cell r="Q579">
            <v>51900</v>
          </cell>
          <cell r="R579">
            <v>51800</v>
          </cell>
          <cell r="S579">
            <v>54000</v>
          </cell>
          <cell r="T579">
            <v>55000</v>
          </cell>
          <cell r="U579">
            <v>53300</v>
          </cell>
          <cell r="V579">
            <v>55200</v>
          </cell>
          <cell r="W579">
            <v>57400</v>
          </cell>
        </row>
        <row r="580">
          <cell r="A580">
            <v>44846</v>
          </cell>
          <cell r="B580">
            <v>55900</v>
          </cell>
          <cell r="C580">
            <v>54700</v>
          </cell>
          <cell r="D580">
            <v>54600</v>
          </cell>
          <cell r="E580">
            <v>51200</v>
          </cell>
          <cell r="F580">
            <v>55700</v>
          </cell>
          <cell r="G580" t="str">
            <v>-</v>
          </cell>
          <cell r="H580">
            <v>53000</v>
          </cell>
          <cell r="I580">
            <v>54000</v>
          </cell>
          <cell r="J580">
            <v>55200</v>
          </cell>
          <cell r="K580" t="str">
            <v>-</v>
          </cell>
          <cell r="L580">
            <v>55300</v>
          </cell>
          <cell r="M580">
            <v>56000</v>
          </cell>
          <cell r="N580">
            <v>52600</v>
          </cell>
          <cell r="O580">
            <v>52100</v>
          </cell>
          <cell r="P580">
            <v>51700</v>
          </cell>
          <cell r="Q580">
            <v>51600</v>
          </cell>
          <cell r="R580">
            <v>51800</v>
          </cell>
          <cell r="S580">
            <v>53700</v>
          </cell>
          <cell r="T580">
            <v>54500</v>
          </cell>
          <cell r="U580">
            <v>53300</v>
          </cell>
          <cell r="V580">
            <v>55000</v>
          </cell>
          <cell r="W580">
            <v>57400</v>
          </cell>
        </row>
        <row r="581">
          <cell r="A581">
            <v>44847</v>
          </cell>
          <cell r="B581">
            <v>55500</v>
          </cell>
          <cell r="C581">
            <v>54500</v>
          </cell>
          <cell r="D581">
            <v>54100</v>
          </cell>
          <cell r="E581">
            <v>50800</v>
          </cell>
          <cell r="F581">
            <v>55700</v>
          </cell>
          <cell r="G581" t="str">
            <v>-</v>
          </cell>
          <cell r="H581">
            <v>53000</v>
          </cell>
          <cell r="I581">
            <v>53600</v>
          </cell>
          <cell r="J581">
            <v>55000</v>
          </cell>
          <cell r="K581" t="str">
            <v>-</v>
          </cell>
          <cell r="L581">
            <v>55000</v>
          </cell>
          <cell r="M581">
            <v>56000</v>
          </cell>
          <cell r="N581">
            <v>52000</v>
          </cell>
          <cell r="O581">
            <v>51800</v>
          </cell>
          <cell r="P581">
            <v>51000</v>
          </cell>
          <cell r="Q581">
            <v>51200</v>
          </cell>
          <cell r="R581">
            <v>51200</v>
          </cell>
          <cell r="S581">
            <v>53300</v>
          </cell>
          <cell r="T581">
            <v>54300</v>
          </cell>
          <cell r="U581">
            <v>53300</v>
          </cell>
          <cell r="V581">
            <v>55000</v>
          </cell>
          <cell r="W581">
            <v>57300</v>
          </cell>
        </row>
        <row r="582">
          <cell r="A582">
            <v>44848</v>
          </cell>
          <cell r="B582">
            <v>55400</v>
          </cell>
          <cell r="C582">
            <v>54500</v>
          </cell>
          <cell r="D582">
            <v>54500</v>
          </cell>
          <cell r="E582">
            <v>50800</v>
          </cell>
          <cell r="F582">
            <v>55500</v>
          </cell>
          <cell r="G582" t="str">
            <v>-</v>
          </cell>
          <cell r="H582">
            <v>52500</v>
          </cell>
          <cell r="I582">
            <v>53600</v>
          </cell>
          <cell r="J582">
            <v>55000</v>
          </cell>
          <cell r="K582" t="str">
            <v>-</v>
          </cell>
          <cell r="L582">
            <v>55000</v>
          </cell>
          <cell r="M582">
            <v>56000</v>
          </cell>
          <cell r="N582">
            <v>52000</v>
          </cell>
          <cell r="O582">
            <v>51700</v>
          </cell>
          <cell r="P582">
            <v>50800</v>
          </cell>
          <cell r="Q582">
            <v>51000</v>
          </cell>
          <cell r="R582">
            <v>51200</v>
          </cell>
          <cell r="S582">
            <v>53300</v>
          </cell>
          <cell r="T582">
            <v>54000</v>
          </cell>
          <cell r="U582">
            <v>53300</v>
          </cell>
          <cell r="V582">
            <v>55000</v>
          </cell>
          <cell r="W582">
            <v>57300</v>
          </cell>
        </row>
        <row r="583">
          <cell r="A583">
            <v>44849</v>
          </cell>
          <cell r="B583">
            <v>55400</v>
          </cell>
          <cell r="C583">
            <v>54500</v>
          </cell>
          <cell r="D583">
            <v>54300</v>
          </cell>
          <cell r="E583">
            <v>50500</v>
          </cell>
          <cell r="F583">
            <v>55300</v>
          </cell>
          <cell r="G583" t="str">
            <v>-</v>
          </cell>
          <cell r="H583">
            <v>52500</v>
          </cell>
          <cell r="I583">
            <v>53300</v>
          </cell>
          <cell r="J583">
            <v>54500</v>
          </cell>
          <cell r="K583" t="str">
            <v>-</v>
          </cell>
          <cell r="L583">
            <v>54800</v>
          </cell>
          <cell r="M583">
            <v>56000</v>
          </cell>
          <cell r="N583">
            <v>51600</v>
          </cell>
          <cell r="O583">
            <v>51500</v>
          </cell>
          <cell r="P583">
            <v>50300</v>
          </cell>
          <cell r="Q583">
            <v>50900</v>
          </cell>
          <cell r="R583">
            <v>50400</v>
          </cell>
          <cell r="S583">
            <v>53000</v>
          </cell>
          <cell r="T583">
            <v>53800</v>
          </cell>
          <cell r="U583">
            <v>52800</v>
          </cell>
          <cell r="V583">
            <v>54800</v>
          </cell>
          <cell r="W583">
            <v>57200</v>
          </cell>
        </row>
        <row r="584">
          <cell r="A584">
            <v>44850</v>
          </cell>
          <cell r="B584" t="str">
            <v>H</v>
          </cell>
          <cell r="C584" t="str">
            <v>H</v>
          </cell>
          <cell r="D584" t="str">
            <v>H</v>
          </cell>
          <cell r="E584" t="str">
            <v>H</v>
          </cell>
          <cell r="F584" t="str">
            <v>H</v>
          </cell>
          <cell r="G584" t="str">
            <v>H</v>
          </cell>
          <cell r="H584" t="str">
            <v>H</v>
          </cell>
          <cell r="I584" t="str">
            <v>H</v>
          </cell>
          <cell r="J584" t="str">
            <v>H</v>
          </cell>
          <cell r="K584" t="str">
            <v>H</v>
          </cell>
          <cell r="L584" t="str">
            <v>H</v>
          </cell>
          <cell r="M584" t="str">
            <v>H</v>
          </cell>
          <cell r="N584" t="str">
            <v>H</v>
          </cell>
          <cell r="O584" t="str">
            <v>H</v>
          </cell>
          <cell r="P584" t="str">
            <v>H</v>
          </cell>
          <cell r="Q584" t="str">
            <v>H</v>
          </cell>
          <cell r="R584" t="str">
            <v>H</v>
          </cell>
          <cell r="S584" t="str">
            <v>H</v>
          </cell>
          <cell r="T584" t="str">
            <v>H</v>
          </cell>
          <cell r="U584" t="str">
            <v>H</v>
          </cell>
          <cell r="V584" t="str">
            <v>H</v>
          </cell>
          <cell r="W584" t="str">
            <v>H</v>
          </cell>
        </row>
        <row r="585">
          <cell r="A585">
            <v>44851</v>
          </cell>
          <cell r="B585">
            <v>55200</v>
          </cell>
          <cell r="C585">
            <v>54500</v>
          </cell>
          <cell r="D585">
            <v>53800</v>
          </cell>
          <cell r="E585">
            <v>50200</v>
          </cell>
          <cell r="F585">
            <v>54700</v>
          </cell>
          <cell r="G585" t="str">
            <v>-</v>
          </cell>
          <cell r="H585">
            <v>52000</v>
          </cell>
          <cell r="I585">
            <v>53200</v>
          </cell>
          <cell r="J585">
            <v>54500</v>
          </cell>
          <cell r="K585" t="str">
            <v>-</v>
          </cell>
          <cell r="L585">
            <v>54300</v>
          </cell>
          <cell r="M585">
            <v>55500</v>
          </cell>
          <cell r="N585">
            <v>51500</v>
          </cell>
          <cell r="O585">
            <v>51500</v>
          </cell>
          <cell r="P585">
            <v>50400</v>
          </cell>
          <cell r="Q585">
            <v>50500</v>
          </cell>
          <cell r="R585">
            <v>50400</v>
          </cell>
          <cell r="S585">
            <v>52700</v>
          </cell>
          <cell r="T585">
            <v>53500</v>
          </cell>
          <cell r="U585">
            <v>52800</v>
          </cell>
          <cell r="V585">
            <v>54500</v>
          </cell>
          <cell r="W585">
            <v>57000</v>
          </cell>
        </row>
        <row r="586">
          <cell r="A586">
            <v>44852</v>
          </cell>
          <cell r="B586">
            <v>55000</v>
          </cell>
          <cell r="C586">
            <v>54500</v>
          </cell>
          <cell r="D586">
            <v>53300</v>
          </cell>
          <cell r="E586">
            <v>50000</v>
          </cell>
          <cell r="F586">
            <v>54700</v>
          </cell>
          <cell r="G586" t="str">
            <v>-</v>
          </cell>
          <cell r="H586">
            <v>52000</v>
          </cell>
          <cell r="I586">
            <v>53000</v>
          </cell>
          <cell r="J586">
            <v>54000</v>
          </cell>
          <cell r="K586" t="str">
            <v>-</v>
          </cell>
          <cell r="L586">
            <v>54000</v>
          </cell>
          <cell r="M586">
            <v>55100</v>
          </cell>
          <cell r="N586">
            <v>51200</v>
          </cell>
          <cell r="O586">
            <v>51300</v>
          </cell>
          <cell r="P586">
            <v>50000</v>
          </cell>
          <cell r="Q586">
            <v>50300</v>
          </cell>
          <cell r="R586">
            <v>50100</v>
          </cell>
          <cell r="S586">
            <v>52500</v>
          </cell>
          <cell r="T586">
            <v>53300</v>
          </cell>
          <cell r="U586">
            <v>52300</v>
          </cell>
          <cell r="V586">
            <v>54500</v>
          </cell>
          <cell r="W586">
            <v>57000</v>
          </cell>
        </row>
        <row r="587">
          <cell r="A587">
            <v>44853</v>
          </cell>
          <cell r="B587">
            <v>54900</v>
          </cell>
          <cell r="C587">
            <v>54500</v>
          </cell>
          <cell r="D587">
            <v>53300</v>
          </cell>
          <cell r="E587">
            <v>50300</v>
          </cell>
          <cell r="F587">
            <v>54700</v>
          </cell>
          <cell r="G587" t="str">
            <v>-</v>
          </cell>
          <cell r="H587">
            <v>52000</v>
          </cell>
          <cell r="I587">
            <v>53100</v>
          </cell>
          <cell r="J587">
            <v>54000</v>
          </cell>
          <cell r="K587" t="str">
            <v>-</v>
          </cell>
          <cell r="L587">
            <v>54200</v>
          </cell>
          <cell r="M587">
            <v>55100</v>
          </cell>
          <cell r="N587">
            <v>51500</v>
          </cell>
          <cell r="O587">
            <v>51300</v>
          </cell>
          <cell r="P587">
            <v>50000</v>
          </cell>
          <cell r="Q587">
            <v>50000</v>
          </cell>
          <cell r="R587">
            <v>50300</v>
          </cell>
          <cell r="S587">
            <v>52800</v>
          </cell>
          <cell r="T587">
            <v>53000</v>
          </cell>
          <cell r="U587">
            <v>52300</v>
          </cell>
          <cell r="V587">
            <v>54500</v>
          </cell>
          <cell r="W587">
            <v>56700</v>
          </cell>
        </row>
        <row r="588">
          <cell r="A588">
            <v>44854</v>
          </cell>
          <cell r="B588">
            <v>54900</v>
          </cell>
          <cell r="C588">
            <v>54000</v>
          </cell>
          <cell r="D588">
            <v>53500</v>
          </cell>
          <cell r="E588">
            <v>50200</v>
          </cell>
          <cell r="F588">
            <v>54700</v>
          </cell>
          <cell r="G588" t="str">
            <v>-</v>
          </cell>
          <cell r="H588">
            <v>52000</v>
          </cell>
          <cell r="I588">
            <v>52700</v>
          </cell>
          <cell r="J588">
            <v>54500</v>
          </cell>
          <cell r="K588" t="str">
            <v>-</v>
          </cell>
          <cell r="L588">
            <v>53900</v>
          </cell>
          <cell r="M588">
            <v>55100</v>
          </cell>
          <cell r="N588">
            <v>51200</v>
          </cell>
          <cell r="O588">
            <v>51300</v>
          </cell>
          <cell r="P588">
            <v>50000</v>
          </cell>
          <cell r="Q588">
            <v>50000</v>
          </cell>
          <cell r="R588">
            <v>50000</v>
          </cell>
          <cell r="S588">
            <v>52700</v>
          </cell>
          <cell r="T588">
            <v>53000</v>
          </cell>
          <cell r="U588">
            <v>52300</v>
          </cell>
          <cell r="V588">
            <v>54500</v>
          </cell>
          <cell r="W588">
            <v>56700</v>
          </cell>
        </row>
        <row r="589">
          <cell r="A589">
            <v>44855</v>
          </cell>
          <cell r="B589">
            <v>54900</v>
          </cell>
          <cell r="C589">
            <v>54000</v>
          </cell>
          <cell r="D589">
            <v>53800</v>
          </cell>
          <cell r="E589">
            <v>50500</v>
          </cell>
          <cell r="F589">
            <v>54900</v>
          </cell>
          <cell r="G589" t="str">
            <v>-</v>
          </cell>
          <cell r="H589">
            <v>52000</v>
          </cell>
          <cell r="I589">
            <v>52900</v>
          </cell>
          <cell r="J589">
            <v>54500</v>
          </cell>
          <cell r="K589" t="str">
            <v>-</v>
          </cell>
          <cell r="L589">
            <v>54100</v>
          </cell>
          <cell r="M589">
            <v>55600</v>
          </cell>
          <cell r="N589">
            <v>51500</v>
          </cell>
          <cell r="O589">
            <v>51500</v>
          </cell>
          <cell r="P589">
            <v>50200</v>
          </cell>
          <cell r="Q589">
            <v>50400</v>
          </cell>
          <cell r="R589">
            <v>50300</v>
          </cell>
          <cell r="S589">
            <v>53000</v>
          </cell>
          <cell r="T589">
            <v>53400</v>
          </cell>
          <cell r="U589" t="str">
            <v>-</v>
          </cell>
          <cell r="V589">
            <v>54500</v>
          </cell>
          <cell r="W589">
            <v>56700</v>
          </cell>
        </row>
        <row r="590">
          <cell r="A590">
            <v>44856</v>
          </cell>
          <cell r="B590">
            <v>54900</v>
          </cell>
          <cell r="C590">
            <v>54300</v>
          </cell>
          <cell r="D590">
            <v>54200</v>
          </cell>
          <cell r="E590">
            <v>50800</v>
          </cell>
          <cell r="F590">
            <v>54900</v>
          </cell>
          <cell r="G590" t="str">
            <v>-</v>
          </cell>
          <cell r="H590">
            <v>52000</v>
          </cell>
          <cell r="I590">
            <v>53100</v>
          </cell>
          <cell r="J590">
            <v>54500</v>
          </cell>
          <cell r="K590" t="str">
            <v>-</v>
          </cell>
          <cell r="L590">
            <v>54500</v>
          </cell>
          <cell r="M590">
            <v>55600</v>
          </cell>
          <cell r="N590">
            <v>51800</v>
          </cell>
          <cell r="O590">
            <v>51800</v>
          </cell>
          <cell r="P590">
            <v>50700</v>
          </cell>
          <cell r="Q590">
            <v>50900</v>
          </cell>
          <cell r="R590">
            <v>50500</v>
          </cell>
          <cell r="S590">
            <v>53300</v>
          </cell>
          <cell r="T590">
            <v>53700</v>
          </cell>
          <cell r="U590">
            <v>52800</v>
          </cell>
          <cell r="V590">
            <v>54500</v>
          </cell>
          <cell r="W590">
            <v>56700</v>
          </cell>
        </row>
        <row r="591">
          <cell r="A591">
            <v>44857</v>
          </cell>
          <cell r="B591" t="str">
            <v>H</v>
          </cell>
          <cell r="C591" t="str">
            <v>H</v>
          </cell>
          <cell r="D591" t="str">
            <v>H</v>
          </cell>
          <cell r="E591" t="str">
            <v>H</v>
          </cell>
          <cell r="F591" t="str">
            <v>H</v>
          </cell>
          <cell r="G591" t="str">
            <v>H</v>
          </cell>
          <cell r="H591" t="str">
            <v>H</v>
          </cell>
          <cell r="I591" t="str">
            <v>H</v>
          </cell>
          <cell r="J591" t="str">
            <v>H</v>
          </cell>
          <cell r="K591" t="str">
            <v>H</v>
          </cell>
          <cell r="L591" t="str">
            <v>H</v>
          </cell>
          <cell r="M591" t="str">
            <v>H</v>
          </cell>
          <cell r="N591" t="str">
            <v>H</v>
          </cell>
          <cell r="O591" t="str">
            <v>H</v>
          </cell>
          <cell r="P591" t="str">
            <v>H</v>
          </cell>
          <cell r="Q591" t="str">
            <v>H</v>
          </cell>
          <cell r="R591" t="str">
            <v>H</v>
          </cell>
          <cell r="S591" t="str">
            <v>H</v>
          </cell>
          <cell r="T591" t="str">
            <v>H</v>
          </cell>
          <cell r="U591" t="str">
            <v>H</v>
          </cell>
          <cell r="V591" t="str">
            <v>H</v>
          </cell>
          <cell r="W591" t="str">
            <v>H</v>
          </cell>
        </row>
        <row r="592">
          <cell r="A592">
            <v>44858</v>
          </cell>
          <cell r="B592" t="str">
            <v>H</v>
          </cell>
          <cell r="C592" t="str">
            <v>H</v>
          </cell>
          <cell r="D592" t="str">
            <v>H</v>
          </cell>
          <cell r="E592" t="str">
            <v>H</v>
          </cell>
          <cell r="F592" t="str">
            <v>H</v>
          </cell>
          <cell r="G592" t="str">
            <v>H</v>
          </cell>
          <cell r="H592" t="str">
            <v>H</v>
          </cell>
          <cell r="I592" t="str">
            <v>H</v>
          </cell>
          <cell r="J592" t="str">
            <v>H</v>
          </cell>
          <cell r="K592" t="str">
            <v>H</v>
          </cell>
          <cell r="L592" t="str">
            <v>H</v>
          </cell>
          <cell r="M592" t="str">
            <v>H</v>
          </cell>
          <cell r="N592" t="str">
            <v>H</v>
          </cell>
          <cell r="O592" t="str">
            <v>H</v>
          </cell>
          <cell r="P592" t="str">
            <v>H</v>
          </cell>
          <cell r="Q592" t="str">
            <v>H</v>
          </cell>
          <cell r="R592" t="str">
            <v>H</v>
          </cell>
          <cell r="S592" t="str">
            <v>H</v>
          </cell>
          <cell r="T592" t="str">
            <v>H</v>
          </cell>
          <cell r="U592" t="str">
            <v>H</v>
          </cell>
          <cell r="V592" t="str">
            <v>H</v>
          </cell>
          <cell r="W592" t="str">
            <v>H</v>
          </cell>
        </row>
        <row r="593">
          <cell r="A593">
            <v>44859</v>
          </cell>
          <cell r="B593" t="str">
            <v>H</v>
          </cell>
          <cell r="C593" t="str">
            <v>H</v>
          </cell>
          <cell r="D593" t="str">
            <v>H</v>
          </cell>
          <cell r="E593" t="str">
            <v>H</v>
          </cell>
          <cell r="F593" t="str">
            <v>H</v>
          </cell>
          <cell r="G593" t="str">
            <v>H</v>
          </cell>
          <cell r="H593" t="str">
            <v>H</v>
          </cell>
          <cell r="I593" t="str">
            <v>H</v>
          </cell>
          <cell r="J593" t="str">
            <v>H</v>
          </cell>
          <cell r="K593" t="str">
            <v>H</v>
          </cell>
          <cell r="L593" t="str">
            <v>H</v>
          </cell>
          <cell r="M593" t="str">
            <v>H</v>
          </cell>
          <cell r="N593" t="str">
            <v>H</v>
          </cell>
          <cell r="O593" t="str">
            <v>H</v>
          </cell>
          <cell r="P593" t="str">
            <v>H</v>
          </cell>
          <cell r="Q593" t="str">
            <v>H</v>
          </cell>
          <cell r="R593" t="str">
            <v>H</v>
          </cell>
          <cell r="S593" t="str">
            <v>H</v>
          </cell>
          <cell r="T593" t="str">
            <v>H</v>
          </cell>
          <cell r="U593" t="str">
            <v>H</v>
          </cell>
          <cell r="V593" t="str">
            <v>H</v>
          </cell>
          <cell r="W593" t="str">
            <v>H</v>
          </cell>
        </row>
        <row r="594">
          <cell r="A594">
            <v>44860</v>
          </cell>
          <cell r="B594" t="str">
            <v>-</v>
          </cell>
          <cell r="C594">
            <v>54300</v>
          </cell>
          <cell r="D594">
            <v>53600</v>
          </cell>
          <cell r="E594">
            <v>50500</v>
          </cell>
          <cell r="F594">
            <v>55200</v>
          </cell>
          <cell r="G594" t="str">
            <v>-</v>
          </cell>
          <cell r="H594">
            <v>52500</v>
          </cell>
          <cell r="I594">
            <v>53100</v>
          </cell>
          <cell r="J594">
            <v>54500</v>
          </cell>
          <cell r="K594" t="str">
            <v>-</v>
          </cell>
          <cell r="L594">
            <v>54200</v>
          </cell>
          <cell r="M594" t="str">
            <v>-</v>
          </cell>
          <cell r="N594" t="str">
            <v>-</v>
          </cell>
          <cell r="O594" t="str">
            <v>-</v>
          </cell>
          <cell r="P594">
            <v>50700</v>
          </cell>
          <cell r="Q594">
            <v>50900</v>
          </cell>
          <cell r="R594">
            <v>51000</v>
          </cell>
          <cell r="S594">
            <v>53000</v>
          </cell>
          <cell r="T594">
            <v>53700</v>
          </cell>
          <cell r="U594">
            <v>52300</v>
          </cell>
          <cell r="V594">
            <v>54500</v>
          </cell>
          <cell r="W594">
            <v>56700</v>
          </cell>
        </row>
        <row r="595">
          <cell r="A595">
            <v>44861</v>
          </cell>
          <cell r="B595">
            <v>54900</v>
          </cell>
          <cell r="C595">
            <v>54300</v>
          </cell>
          <cell r="D595">
            <v>53800</v>
          </cell>
          <cell r="E595">
            <v>50500</v>
          </cell>
          <cell r="F595">
            <v>55200</v>
          </cell>
          <cell r="G595" t="str">
            <v>-</v>
          </cell>
          <cell r="H595">
            <v>52000</v>
          </cell>
          <cell r="I595">
            <v>53100</v>
          </cell>
          <cell r="J595">
            <v>54500</v>
          </cell>
          <cell r="K595" t="str">
            <v>-</v>
          </cell>
          <cell r="L595">
            <v>54200</v>
          </cell>
          <cell r="M595">
            <v>55600</v>
          </cell>
          <cell r="N595">
            <v>51700</v>
          </cell>
          <cell r="O595" t="str">
            <v>-</v>
          </cell>
          <cell r="P595">
            <v>50500</v>
          </cell>
          <cell r="Q595">
            <v>50800</v>
          </cell>
          <cell r="R595">
            <v>50500</v>
          </cell>
          <cell r="S595">
            <v>53000</v>
          </cell>
          <cell r="T595">
            <v>53700</v>
          </cell>
          <cell r="U595">
            <v>52300</v>
          </cell>
          <cell r="V595">
            <v>54500</v>
          </cell>
          <cell r="W595">
            <v>56700</v>
          </cell>
        </row>
        <row r="596">
          <cell r="A596">
            <v>44862</v>
          </cell>
          <cell r="B596">
            <v>54900</v>
          </cell>
          <cell r="C596">
            <v>54200</v>
          </cell>
          <cell r="D596">
            <v>53500</v>
          </cell>
          <cell r="E596">
            <v>50200</v>
          </cell>
          <cell r="F596">
            <v>55100</v>
          </cell>
          <cell r="G596" t="str">
            <v>-</v>
          </cell>
          <cell r="H596">
            <v>52000</v>
          </cell>
          <cell r="I596">
            <v>53100</v>
          </cell>
          <cell r="J596">
            <v>54500</v>
          </cell>
          <cell r="K596" t="str">
            <v>-</v>
          </cell>
          <cell r="L596">
            <v>53800</v>
          </cell>
          <cell r="M596">
            <v>55600</v>
          </cell>
          <cell r="N596">
            <v>51400</v>
          </cell>
          <cell r="O596" t="str">
            <v>-</v>
          </cell>
          <cell r="P596">
            <v>50400</v>
          </cell>
          <cell r="Q596">
            <v>50500</v>
          </cell>
          <cell r="R596">
            <v>50300</v>
          </cell>
          <cell r="S596">
            <v>52700</v>
          </cell>
          <cell r="T596">
            <v>53600</v>
          </cell>
          <cell r="U596">
            <v>52300</v>
          </cell>
          <cell r="V596">
            <v>54500</v>
          </cell>
          <cell r="W596">
            <v>56700</v>
          </cell>
        </row>
        <row r="597">
          <cell r="A597">
            <v>44863</v>
          </cell>
          <cell r="B597">
            <v>54400</v>
          </cell>
          <cell r="C597">
            <v>54000</v>
          </cell>
          <cell r="D597">
            <v>53500</v>
          </cell>
          <cell r="E597">
            <v>49900</v>
          </cell>
          <cell r="F597">
            <v>55100</v>
          </cell>
          <cell r="G597" t="str">
            <v>-</v>
          </cell>
          <cell r="H597">
            <v>52000</v>
          </cell>
          <cell r="I597">
            <v>52500</v>
          </cell>
          <cell r="J597">
            <v>54500</v>
          </cell>
          <cell r="K597" t="str">
            <v>-</v>
          </cell>
          <cell r="L597">
            <v>53400</v>
          </cell>
          <cell r="M597">
            <v>55600</v>
          </cell>
          <cell r="N597">
            <v>51000</v>
          </cell>
          <cell r="O597" t="str">
            <v>-</v>
          </cell>
          <cell r="P597">
            <v>50500</v>
          </cell>
          <cell r="Q597">
            <v>50300</v>
          </cell>
          <cell r="R597">
            <v>50300</v>
          </cell>
          <cell r="S597">
            <v>52400</v>
          </cell>
          <cell r="T597">
            <v>53600</v>
          </cell>
          <cell r="U597">
            <v>52500</v>
          </cell>
          <cell r="V597">
            <v>54300</v>
          </cell>
          <cell r="W597">
            <v>56700</v>
          </cell>
        </row>
        <row r="598">
          <cell r="A598">
            <v>44864</v>
          </cell>
          <cell r="B598" t="str">
            <v>H</v>
          </cell>
          <cell r="C598" t="str">
            <v>H</v>
          </cell>
          <cell r="D598" t="str">
            <v>H</v>
          </cell>
          <cell r="E598" t="str">
            <v>H</v>
          </cell>
          <cell r="F598" t="str">
            <v>H</v>
          </cell>
          <cell r="G598" t="str">
            <v>H</v>
          </cell>
          <cell r="H598" t="str">
            <v>H</v>
          </cell>
          <cell r="I598" t="str">
            <v>H</v>
          </cell>
          <cell r="J598" t="str">
            <v>H</v>
          </cell>
          <cell r="K598" t="str">
            <v>H</v>
          </cell>
          <cell r="L598" t="str">
            <v>H</v>
          </cell>
          <cell r="M598" t="str">
            <v>H</v>
          </cell>
          <cell r="N598" t="str">
            <v>H</v>
          </cell>
          <cell r="O598" t="str">
            <v>H</v>
          </cell>
          <cell r="P598" t="str">
            <v>H</v>
          </cell>
          <cell r="Q598" t="str">
            <v>H</v>
          </cell>
          <cell r="R598" t="str">
            <v>H</v>
          </cell>
          <cell r="S598" t="str">
            <v>H</v>
          </cell>
          <cell r="T598" t="str">
            <v>H</v>
          </cell>
          <cell r="U598" t="str">
            <v>H</v>
          </cell>
          <cell r="V598" t="str">
            <v>H</v>
          </cell>
          <cell r="W598" t="str">
            <v>H</v>
          </cell>
        </row>
        <row r="599">
          <cell r="A599">
            <v>44865</v>
          </cell>
          <cell r="B599">
            <v>54200</v>
          </cell>
          <cell r="C599">
            <v>54000</v>
          </cell>
          <cell r="D599">
            <v>53100</v>
          </cell>
          <cell r="E599">
            <v>49900</v>
          </cell>
          <cell r="F599">
            <v>54400</v>
          </cell>
          <cell r="G599" t="str">
            <v>-</v>
          </cell>
          <cell r="H599">
            <v>51500</v>
          </cell>
          <cell r="I599">
            <v>52200</v>
          </cell>
          <cell r="J599">
            <v>54400</v>
          </cell>
          <cell r="K599" t="str">
            <v>-</v>
          </cell>
          <cell r="L599">
            <v>53000</v>
          </cell>
          <cell r="M599">
            <v>55100</v>
          </cell>
          <cell r="N599">
            <v>50800</v>
          </cell>
          <cell r="O599" t="str">
            <v>-</v>
          </cell>
          <cell r="P599">
            <v>49500</v>
          </cell>
          <cell r="Q599">
            <v>50000</v>
          </cell>
          <cell r="R599">
            <v>49800</v>
          </cell>
          <cell r="S599">
            <v>52400</v>
          </cell>
          <cell r="T599">
            <v>53600</v>
          </cell>
          <cell r="U599">
            <v>51300</v>
          </cell>
          <cell r="V599">
            <v>54000</v>
          </cell>
          <cell r="W599">
            <v>56200</v>
          </cell>
        </row>
        <row r="600">
          <cell r="A600">
            <v>44866</v>
          </cell>
          <cell r="B600">
            <v>54200</v>
          </cell>
          <cell r="C600">
            <v>54000</v>
          </cell>
          <cell r="D600">
            <v>53200</v>
          </cell>
          <cell r="E600">
            <v>49900</v>
          </cell>
          <cell r="F600">
            <v>53800</v>
          </cell>
          <cell r="G600" t="str">
            <v>-</v>
          </cell>
          <cell r="H600">
            <v>51000</v>
          </cell>
          <cell r="I600">
            <v>52200</v>
          </cell>
          <cell r="J600">
            <v>53900</v>
          </cell>
          <cell r="K600" t="str">
            <v>-</v>
          </cell>
          <cell r="L600">
            <v>53200</v>
          </cell>
          <cell r="M600">
            <v>54600</v>
          </cell>
          <cell r="N600">
            <v>50900</v>
          </cell>
          <cell r="O600">
            <v>51500</v>
          </cell>
          <cell r="P600">
            <v>49400</v>
          </cell>
          <cell r="Q600">
            <v>49900</v>
          </cell>
          <cell r="R600">
            <v>49800</v>
          </cell>
          <cell r="S600">
            <v>52400</v>
          </cell>
          <cell r="T600">
            <v>53600</v>
          </cell>
          <cell r="U600">
            <v>51300</v>
          </cell>
          <cell r="V600">
            <v>54000</v>
          </cell>
          <cell r="W600">
            <v>56200</v>
          </cell>
        </row>
        <row r="601">
          <cell r="A601">
            <v>44867</v>
          </cell>
          <cell r="B601">
            <v>54200</v>
          </cell>
          <cell r="C601">
            <v>53800</v>
          </cell>
          <cell r="D601">
            <v>53000</v>
          </cell>
          <cell r="E601">
            <v>49500</v>
          </cell>
          <cell r="F601">
            <v>53800</v>
          </cell>
          <cell r="G601" t="str">
            <v>-</v>
          </cell>
          <cell r="H601">
            <v>51000</v>
          </cell>
          <cell r="I601">
            <v>51900</v>
          </cell>
          <cell r="J601">
            <v>54000</v>
          </cell>
          <cell r="K601" t="str">
            <v>-</v>
          </cell>
          <cell r="L601">
            <v>52900</v>
          </cell>
          <cell r="M601">
            <v>54600</v>
          </cell>
          <cell r="N601">
            <v>50700</v>
          </cell>
          <cell r="O601">
            <v>51000</v>
          </cell>
          <cell r="P601">
            <v>49300</v>
          </cell>
          <cell r="Q601">
            <v>49600</v>
          </cell>
          <cell r="R601">
            <v>49700</v>
          </cell>
          <cell r="S601" t="str">
            <v>-</v>
          </cell>
          <cell r="T601">
            <v>53500</v>
          </cell>
          <cell r="U601">
            <v>51300</v>
          </cell>
          <cell r="V601">
            <v>53500</v>
          </cell>
          <cell r="W601">
            <v>55700</v>
          </cell>
        </row>
        <row r="602">
          <cell r="A602">
            <v>44868</v>
          </cell>
          <cell r="B602">
            <v>53800</v>
          </cell>
          <cell r="C602">
            <v>53800</v>
          </cell>
          <cell r="D602">
            <v>53000</v>
          </cell>
          <cell r="E602">
            <v>49300</v>
          </cell>
          <cell r="F602">
            <v>53700</v>
          </cell>
          <cell r="G602" t="str">
            <v>-</v>
          </cell>
          <cell r="H602">
            <v>51000</v>
          </cell>
          <cell r="I602">
            <v>51900</v>
          </cell>
          <cell r="J602">
            <v>54000</v>
          </cell>
          <cell r="K602" t="str">
            <v>-</v>
          </cell>
          <cell r="L602">
            <v>52900</v>
          </cell>
          <cell r="M602">
            <v>54000</v>
          </cell>
          <cell r="N602">
            <v>50700</v>
          </cell>
          <cell r="O602">
            <v>51000</v>
          </cell>
          <cell r="P602">
            <v>48700</v>
          </cell>
          <cell r="Q602">
            <v>49400</v>
          </cell>
          <cell r="R602">
            <v>49600</v>
          </cell>
          <cell r="S602">
            <v>51800</v>
          </cell>
          <cell r="T602">
            <v>53200</v>
          </cell>
          <cell r="U602">
            <v>51300</v>
          </cell>
          <cell r="V602">
            <v>53300</v>
          </cell>
          <cell r="W602">
            <v>55600</v>
          </cell>
        </row>
        <row r="603">
          <cell r="A603">
            <v>44869</v>
          </cell>
          <cell r="B603">
            <v>53700</v>
          </cell>
          <cell r="C603">
            <v>53500</v>
          </cell>
          <cell r="D603">
            <v>52500</v>
          </cell>
          <cell r="E603">
            <v>48900</v>
          </cell>
          <cell r="F603">
            <v>53700</v>
          </cell>
          <cell r="G603" t="str">
            <v>-</v>
          </cell>
          <cell r="H603">
            <v>51000</v>
          </cell>
          <cell r="I603">
            <v>51200</v>
          </cell>
          <cell r="J603">
            <v>53400</v>
          </cell>
          <cell r="K603" t="str">
            <v>-</v>
          </cell>
          <cell r="L603">
            <v>52200</v>
          </cell>
          <cell r="M603">
            <v>53500</v>
          </cell>
          <cell r="N603">
            <v>50200</v>
          </cell>
          <cell r="O603">
            <v>50600</v>
          </cell>
          <cell r="P603">
            <v>48700</v>
          </cell>
          <cell r="Q603">
            <v>49000</v>
          </cell>
          <cell r="R603">
            <v>49100</v>
          </cell>
          <cell r="S603">
            <v>51400</v>
          </cell>
          <cell r="T603">
            <v>52800</v>
          </cell>
          <cell r="U603">
            <v>50800</v>
          </cell>
          <cell r="V603">
            <v>53300</v>
          </cell>
          <cell r="W603">
            <v>55600</v>
          </cell>
        </row>
        <row r="604">
          <cell r="A604">
            <v>44870</v>
          </cell>
          <cell r="B604">
            <v>53500</v>
          </cell>
          <cell r="C604">
            <v>53500</v>
          </cell>
          <cell r="D604">
            <v>52300</v>
          </cell>
          <cell r="E604">
            <v>48700</v>
          </cell>
          <cell r="F604">
            <v>53700</v>
          </cell>
          <cell r="G604" t="str">
            <v>-</v>
          </cell>
          <cell r="H604">
            <v>51000</v>
          </cell>
          <cell r="I604">
            <v>51100</v>
          </cell>
          <cell r="J604">
            <v>53400</v>
          </cell>
          <cell r="K604" t="str">
            <v>-</v>
          </cell>
          <cell r="L604">
            <v>52000</v>
          </cell>
          <cell r="M604">
            <v>53500</v>
          </cell>
          <cell r="N604">
            <v>50000</v>
          </cell>
          <cell r="O604">
            <v>50000</v>
          </cell>
          <cell r="P604">
            <v>48300</v>
          </cell>
          <cell r="Q604">
            <v>48900</v>
          </cell>
          <cell r="R604">
            <v>48800</v>
          </cell>
          <cell r="S604">
            <v>51200</v>
          </cell>
          <cell r="T604">
            <v>52800</v>
          </cell>
          <cell r="U604">
            <v>50800</v>
          </cell>
          <cell r="V604">
            <v>53200</v>
          </cell>
          <cell r="W604">
            <v>55500</v>
          </cell>
        </row>
        <row r="605">
          <cell r="A605">
            <v>44871</v>
          </cell>
          <cell r="B605" t="str">
            <v>H</v>
          </cell>
          <cell r="C605" t="str">
            <v>H</v>
          </cell>
          <cell r="D605" t="str">
            <v>H</v>
          </cell>
          <cell r="E605" t="str">
            <v>H</v>
          </cell>
          <cell r="F605" t="str">
            <v>H</v>
          </cell>
          <cell r="G605" t="str">
            <v>H</v>
          </cell>
          <cell r="H605" t="str">
            <v>H</v>
          </cell>
          <cell r="I605" t="str">
            <v>H</v>
          </cell>
          <cell r="J605" t="str">
            <v>H</v>
          </cell>
          <cell r="K605" t="str">
            <v>H</v>
          </cell>
          <cell r="L605" t="str">
            <v>H</v>
          </cell>
          <cell r="M605" t="str">
            <v>H</v>
          </cell>
          <cell r="N605" t="str">
            <v>H</v>
          </cell>
          <cell r="O605" t="str">
            <v>H</v>
          </cell>
          <cell r="P605" t="str">
            <v>H</v>
          </cell>
          <cell r="Q605" t="str">
            <v>H</v>
          </cell>
          <cell r="R605" t="str">
            <v>H</v>
          </cell>
          <cell r="S605" t="str">
            <v>H</v>
          </cell>
          <cell r="T605" t="str">
            <v>H</v>
          </cell>
          <cell r="U605" t="str">
            <v>H</v>
          </cell>
          <cell r="V605" t="str">
            <v>H</v>
          </cell>
          <cell r="W605" t="str">
            <v>H</v>
          </cell>
        </row>
        <row r="606">
          <cell r="A606">
            <v>44872</v>
          </cell>
          <cell r="B606">
            <v>53200</v>
          </cell>
          <cell r="C606">
            <v>53500</v>
          </cell>
          <cell r="D606">
            <v>52000</v>
          </cell>
          <cell r="E606">
            <v>48500</v>
          </cell>
          <cell r="F606">
            <v>53700</v>
          </cell>
          <cell r="G606" t="str">
            <v>-</v>
          </cell>
          <cell r="H606">
            <v>50500</v>
          </cell>
          <cell r="I606">
            <v>50700</v>
          </cell>
          <cell r="J606">
            <v>53400</v>
          </cell>
          <cell r="K606" t="str">
            <v>-</v>
          </cell>
          <cell r="L606">
            <v>52000</v>
          </cell>
          <cell r="M606">
            <v>53500</v>
          </cell>
          <cell r="N606">
            <v>49700</v>
          </cell>
          <cell r="O606">
            <v>49800</v>
          </cell>
          <cell r="P606">
            <v>48100</v>
          </cell>
          <cell r="Q606">
            <v>48700</v>
          </cell>
          <cell r="R606">
            <v>48300</v>
          </cell>
          <cell r="S606">
            <v>51000</v>
          </cell>
          <cell r="T606">
            <v>52500</v>
          </cell>
          <cell r="U606">
            <v>50800</v>
          </cell>
          <cell r="V606">
            <v>53000</v>
          </cell>
          <cell r="W606">
            <v>55300</v>
          </cell>
        </row>
        <row r="607">
          <cell r="A607">
            <v>44873</v>
          </cell>
          <cell r="B607">
            <v>52900</v>
          </cell>
          <cell r="C607">
            <v>53000</v>
          </cell>
          <cell r="D607">
            <v>51800</v>
          </cell>
          <cell r="E607">
            <v>48300</v>
          </cell>
          <cell r="F607">
            <v>53500</v>
          </cell>
          <cell r="G607" t="str">
            <v>-</v>
          </cell>
          <cell r="H607">
            <v>50000</v>
          </cell>
          <cell r="I607">
            <v>50500</v>
          </cell>
          <cell r="J607">
            <v>53400</v>
          </cell>
          <cell r="K607" t="str">
            <v>-</v>
          </cell>
          <cell r="L607">
            <v>51600</v>
          </cell>
          <cell r="M607">
            <v>53500</v>
          </cell>
          <cell r="N607">
            <v>49800</v>
          </cell>
          <cell r="O607">
            <v>49600</v>
          </cell>
          <cell r="P607">
            <v>48000</v>
          </cell>
          <cell r="Q607">
            <v>48500</v>
          </cell>
          <cell r="R607">
            <v>48300</v>
          </cell>
          <cell r="S607">
            <v>50800</v>
          </cell>
          <cell r="T607">
            <v>52000</v>
          </cell>
          <cell r="U607">
            <v>50800</v>
          </cell>
          <cell r="V607">
            <v>53000</v>
          </cell>
          <cell r="W607">
            <v>55300</v>
          </cell>
        </row>
        <row r="608">
          <cell r="A608">
            <v>44874</v>
          </cell>
          <cell r="B608">
            <v>53100</v>
          </cell>
          <cell r="C608">
            <v>52800</v>
          </cell>
          <cell r="D608">
            <v>51800</v>
          </cell>
          <cell r="E608">
            <v>48500</v>
          </cell>
          <cell r="F608">
            <v>53500</v>
          </cell>
          <cell r="G608" t="str">
            <v>-</v>
          </cell>
          <cell r="H608">
            <v>50000</v>
          </cell>
          <cell r="I608">
            <v>50700</v>
          </cell>
          <cell r="J608">
            <v>53400</v>
          </cell>
          <cell r="K608" t="str">
            <v>-</v>
          </cell>
          <cell r="L608">
            <v>51900</v>
          </cell>
          <cell r="M608">
            <v>53500</v>
          </cell>
          <cell r="N608">
            <v>50200</v>
          </cell>
          <cell r="O608">
            <v>49700</v>
          </cell>
          <cell r="P608">
            <v>48300</v>
          </cell>
          <cell r="Q608">
            <v>48500</v>
          </cell>
          <cell r="R608">
            <v>48300</v>
          </cell>
          <cell r="S608">
            <v>51000</v>
          </cell>
          <cell r="T608">
            <v>52000</v>
          </cell>
          <cell r="U608">
            <v>50800</v>
          </cell>
          <cell r="V608">
            <v>53000</v>
          </cell>
          <cell r="W608">
            <v>55300</v>
          </cell>
        </row>
        <row r="609">
          <cell r="A609">
            <v>44875</v>
          </cell>
          <cell r="B609">
            <v>52700</v>
          </cell>
          <cell r="C609">
            <v>52800</v>
          </cell>
          <cell r="D609">
            <v>51500</v>
          </cell>
          <cell r="E609">
            <v>48300</v>
          </cell>
          <cell r="F609">
            <v>53500</v>
          </cell>
          <cell r="G609" t="str">
            <v>-</v>
          </cell>
          <cell r="H609">
            <v>50000</v>
          </cell>
          <cell r="I609">
            <v>50700</v>
          </cell>
          <cell r="J609">
            <v>52800</v>
          </cell>
          <cell r="K609" t="str">
            <v>-</v>
          </cell>
          <cell r="L609">
            <v>51600</v>
          </cell>
          <cell r="M609">
            <v>53500</v>
          </cell>
          <cell r="N609">
            <v>49800</v>
          </cell>
          <cell r="O609">
            <v>49700</v>
          </cell>
          <cell r="P609">
            <v>48300</v>
          </cell>
          <cell r="Q609">
            <v>48300</v>
          </cell>
          <cell r="R609">
            <v>48300</v>
          </cell>
          <cell r="S609">
            <v>50800</v>
          </cell>
          <cell r="T609">
            <v>52000</v>
          </cell>
          <cell r="U609">
            <v>50800</v>
          </cell>
          <cell r="V609">
            <v>53000</v>
          </cell>
          <cell r="W609">
            <v>55300</v>
          </cell>
        </row>
        <row r="610">
          <cell r="A610">
            <v>44876</v>
          </cell>
          <cell r="B610">
            <v>52700</v>
          </cell>
          <cell r="C610">
            <v>52700</v>
          </cell>
          <cell r="D610">
            <v>51300</v>
          </cell>
          <cell r="E610">
            <v>48000</v>
          </cell>
          <cell r="F610">
            <v>53200</v>
          </cell>
          <cell r="G610" t="str">
            <v>-</v>
          </cell>
          <cell r="H610">
            <v>50000</v>
          </cell>
          <cell r="I610">
            <v>50400</v>
          </cell>
          <cell r="J610">
            <v>52700</v>
          </cell>
          <cell r="K610" t="str">
            <v>-</v>
          </cell>
          <cell r="L610">
            <v>51100</v>
          </cell>
          <cell r="M610">
            <v>53500</v>
          </cell>
          <cell r="N610">
            <v>49500</v>
          </cell>
          <cell r="O610">
            <v>49600</v>
          </cell>
          <cell r="P610">
            <v>47300</v>
          </cell>
          <cell r="Q610">
            <v>48100</v>
          </cell>
          <cell r="R610">
            <v>47800</v>
          </cell>
          <cell r="S610">
            <v>50500</v>
          </cell>
          <cell r="T610">
            <v>51700</v>
          </cell>
          <cell r="U610">
            <v>50800</v>
          </cell>
          <cell r="V610">
            <v>52600</v>
          </cell>
          <cell r="W610">
            <v>55100</v>
          </cell>
        </row>
        <row r="611">
          <cell r="A611">
            <v>44877</v>
          </cell>
          <cell r="B611">
            <v>52200</v>
          </cell>
          <cell r="C611">
            <v>52700</v>
          </cell>
          <cell r="D611">
            <v>51300</v>
          </cell>
          <cell r="E611">
            <v>47800</v>
          </cell>
          <cell r="F611">
            <v>53100</v>
          </cell>
          <cell r="G611" t="str">
            <v>-</v>
          </cell>
          <cell r="H611">
            <v>49500</v>
          </cell>
          <cell r="I611">
            <v>50300</v>
          </cell>
          <cell r="J611">
            <v>52700</v>
          </cell>
          <cell r="K611" t="str">
            <v>-</v>
          </cell>
          <cell r="L611">
            <v>51100</v>
          </cell>
          <cell r="M611">
            <v>53000</v>
          </cell>
          <cell r="N611">
            <v>49500</v>
          </cell>
          <cell r="O611">
            <v>49200</v>
          </cell>
          <cell r="P611">
            <v>47000</v>
          </cell>
          <cell r="Q611">
            <v>48000</v>
          </cell>
          <cell r="R611">
            <v>47500</v>
          </cell>
          <cell r="S611">
            <v>50300</v>
          </cell>
          <cell r="T611">
            <v>51500</v>
          </cell>
          <cell r="U611">
            <v>50800</v>
          </cell>
          <cell r="V611">
            <v>52500</v>
          </cell>
          <cell r="W611">
            <v>54900</v>
          </cell>
        </row>
        <row r="612">
          <cell r="A612">
            <v>44878</v>
          </cell>
          <cell r="B612" t="str">
            <v>H</v>
          </cell>
          <cell r="C612" t="str">
            <v>H</v>
          </cell>
          <cell r="D612" t="str">
            <v>H</v>
          </cell>
          <cell r="E612" t="str">
            <v>H</v>
          </cell>
          <cell r="F612" t="str">
            <v>H</v>
          </cell>
          <cell r="G612" t="str">
            <v>H</v>
          </cell>
          <cell r="H612" t="str">
            <v>H</v>
          </cell>
          <cell r="I612" t="str">
            <v>H</v>
          </cell>
          <cell r="J612" t="str">
            <v>H</v>
          </cell>
          <cell r="K612" t="str">
            <v>H</v>
          </cell>
          <cell r="L612" t="str">
            <v>H</v>
          </cell>
          <cell r="M612" t="str">
            <v>H</v>
          </cell>
          <cell r="N612" t="str">
            <v>H</v>
          </cell>
          <cell r="O612" t="str">
            <v>H</v>
          </cell>
          <cell r="P612" t="str">
            <v>H</v>
          </cell>
          <cell r="Q612" t="str">
            <v>H</v>
          </cell>
          <cell r="R612" t="str">
            <v>H</v>
          </cell>
          <cell r="S612" t="str">
            <v>H</v>
          </cell>
          <cell r="T612" t="str">
            <v>H</v>
          </cell>
          <cell r="U612" t="str">
            <v>H</v>
          </cell>
          <cell r="V612" t="str">
            <v>H</v>
          </cell>
          <cell r="W612" t="str">
            <v>H</v>
          </cell>
        </row>
        <row r="613">
          <cell r="A613">
            <v>44879</v>
          </cell>
          <cell r="B613">
            <v>51800</v>
          </cell>
          <cell r="C613">
            <v>52500</v>
          </cell>
          <cell r="D613">
            <v>51000</v>
          </cell>
          <cell r="E613">
            <v>47000</v>
          </cell>
          <cell r="F613">
            <v>52300</v>
          </cell>
          <cell r="G613" t="str">
            <v>-</v>
          </cell>
          <cell r="H613">
            <v>49000</v>
          </cell>
          <cell r="I613">
            <v>49500</v>
          </cell>
          <cell r="J613">
            <v>51500</v>
          </cell>
          <cell r="K613" t="str">
            <v>-</v>
          </cell>
          <cell r="L613">
            <v>50600</v>
          </cell>
          <cell r="M613">
            <v>51500</v>
          </cell>
          <cell r="N613">
            <v>48800</v>
          </cell>
          <cell r="O613">
            <v>48600</v>
          </cell>
          <cell r="P613">
            <v>46500</v>
          </cell>
          <cell r="Q613">
            <v>47000</v>
          </cell>
          <cell r="R613">
            <v>47000</v>
          </cell>
          <cell r="S613">
            <v>49500</v>
          </cell>
          <cell r="T613">
            <v>50700</v>
          </cell>
          <cell r="U613">
            <v>50300</v>
          </cell>
          <cell r="V613">
            <v>51700</v>
          </cell>
          <cell r="W613">
            <v>54200</v>
          </cell>
        </row>
        <row r="614">
          <cell r="A614">
            <v>44880</v>
          </cell>
          <cell r="B614">
            <v>51300</v>
          </cell>
          <cell r="C614">
            <v>52500</v>
          </cell>
          <cell r="D614">
            <v>51000</v>
          </cell>
          <cell r="E614">
            <v>47000</v>
          </cell>
          <cell r="F614">
            <v>52000</v>
          </cell>
          <cell r="G614" t="str">
            <v>-</v>
          </cell>
          <cell r="H614">
            <v>48500</v>
          </cell>
          <cell r="I614">
            <v>49500</v>
          </cell>
          <cell r="J614">
            <v>51500</v>
          </cell>
          <cell r="K614" t="str">
            <v>-</v>
          </cell>
          <cell r="L614">
            <v>50300</v>
          </cell>
          <cell r="M614">
            <v>51500</v>
          </cell>
          <cell r="N614">
            <v>48500</v>
          </cell>
          <cell r="O614">
            <v>48200</v>
          </cell>
          <cell r="P614">
            <v>46000</v>
          </cell>
          <cell r="Q614">
            <v>46400</v>
          </cell>
          <cell r="R614">
            <v>46500</v>
          </cell>
          <cell r="S614">
            <v>49500</v>
          </cell>
          <cell r="T614">
            <v>50000</v>
          </cell>
          <cell r="U614">
            <v>50300</v>
          </cell>
          <cell r="V614">
            <v>51500</v>
          </cell>
          <cell r="W614">
            <v>54100</v>
          </cell>
        </row>
        <row r="615">
          <cell r="A615">
            <v>44881</v>
          </cell>
          <cell r="B615">
            <v>50500</v>
          </cell>
          <cell r="C615">
            <v>52300</v>
          </cell>
          <cell r="D615">
            <v>50800</v>
          </cell>
          <cell r="E615">
            <v>46500</v>
          </cell>
          <cell r="F615">
            <v>51800</v>
          </cell>
          <cell r="G615" t="str">
            <v>-</v>
          </cell>
          <cell r="H615">
            <v>48000</v>
          </cell>
          <cell r="I615">
            <v>49000</v>
          </cell>
          <cell r="J615">
            <v>51500</v>
          </cell>
          <cell r="K615" t="str">
            <v>-</v>
          </cell>
          <cell r="L615">
            <v>49900</v>
          </cell>
          <cell r="M615">
            <v>51500</v>
          </cell>
          <cell r="N615">
            <v>48000</v>
          </cell>
          <cell r="O615">
            <v>48000</v>
          </cell>
          <cell r="P615">
            <v>45700</v>
          </cell>
          <cell r="Q615">
            <v>46000</v>
          </cell>
          <cell r="R615">
            <v>46000</v>
          </cell>
          <cell r="S615">
            <v>49000</v>
          </cell>
          <cell r="T615">
            <v>49500</v>
          </cell>
          <cell r="U615">
            <v>49800</v>
          </cell>
          <cell r="V615">
            <v>51300</v>
          </cell>
          <cell r="W615">
            <v>53800</v>
          </cell>
        </row>
        <row r="616">
          <cell r="A616">
            <v>44882</v>
          </cell>
          <cell r="B616">
            <v>49700</v>
          </cell>
          <cell r="C616">
            <v>52000</v>
          </cell>
          <cell r="D616">
            <v>50000</v>
          </cell>
          <cell r="E616">
            <v>45500</v>
          </cell>
          <cell r="F616">
            <v>51000</v>
          </cell>
          <cell r="G616" t="str">
            <v>-</v>
          </cell>
          <cell r="H616">
            <v>47500</v>
          </cell>
          <cell r="I616">
            <v>48500</v>
          </cell>
          <cell r="J616">
            <v>50500</v>
          </cell>
          <cell r="K616" t="str">
            <v>-</v>
          </cell>
          <cell r="L616">
            <v>48700</v>
          </cell>
          <cell r="M616">
            <v>50500</v>
          </cell>
          <cell r="N616">
            <v>47500</v>
          </cell>
          <cell r="O616">
            <v>47500</v>
          </cell>
          <cell r="P616">
            <v>44500</v>
          </cell>
          <cell r="Q616">
            <v>45000</v>
          </cell>
          <cell r="R616">
            <v>45400</v>
          </cell>
          <cell r="S616">
            <v>48000</v>
          </cell>
          <cell r="T616">
            <v>48500</v>
          </cell>
          <cell r="U616">
            <v>48800</v>
          </cell>
          <cell r="V616">
            <v>50800</v>
          </cell>
          <cell r="W616">
            <v>53300</v>
          </cell>
        </row>
        <row r="617">
          <cell r="A617">
            <v>44883</v>
          </cell>
          <cell r="B617">
            <v>48600</v>
          </cell>
          <cell r="C617">
            <v>51500</v>
          </cell>
          <cell r="D617">
            <v>49600</v>
          </cell>
          <cell r="E617">
            <v>45000</v>
          </cell>
          <cell r="F617">
            <v>50500</v>
          </cell>
          <cell r="G617" t="str">
            <v>-</v>
          </cell>
          <cell r="H617">
            <v>47000</v>
          </cell>
          <cell r="I617">
            <v>47900</v>
          </cell>
          <cell r="J617">
            <v>50300</v>
          </cell>
          <cell r="K617" t="str">
            <v>-</v>
          </cell>
          <cell r="L617">
            <v>48000</v>
          </cell>
          <cell r="M617">
            <v>50300</v>
          </cell>
          <cell r="N617">
            <v>46800</v>
          </cell>
          <cell r="O617">
            <v>46700</v>
          </cell>
          <cell r="P617">
            <v>44300</v>
          </cell>
          <cell r="Q617">
            <v>44600</v>
          </cell>
          <cell r="R617">
            <v>44800</v>
          </cell>
          <cell r="S617">
            <v>47500</v>
          </cell>
          <cell r="T617">
            <v>48000</v>
          </cell>
          <cell r="U617">
            <v>48800</v>
          </cell>
          <cell r="V617">
            <v>50500</v>
          </cell>
          <cell r="W617">
            <v>53100</v>
          </cell>
        </row>
        <row r="618">
          <cell r="A618">
            <v>44884</v>
          </cell>
          <cell r="B618">
            <v>52500</v>
          </cell>
          <cell r="C618">
            <v>54000</v>
          </cell>
          <cell r="D618">
            <v>50400</v>
          </cell>
          <cell r="E618">
            <v>48000</v>
          </cell>
          <cell r="F618">
            <v>55400</v>
          </cell>
          <cell r="G618" t="str">
            <v>-</v>
          </cell>
          <cell r="H618">
            <v>50000</v>
          </cell>
          <cell r="I618">
            <v>50700</v>
          </cell>
          <cell r="J618">
            <v>54400</v>
          </cell>
          <cell r="K618" t="str">
            <v>-</v>
          </cell>
          <cell r="L618">
            <v>50000</v>
          </cell>
          <cell r="M618">
            <v>52900</v>
          </cell>
          <cell r="N618">
            <v>48000</v>
          </cell>
          <cell r="O618" t="str">
            <v>-</v>
          </cell>
          <cell r="P618">
            <v>48700</v>
          </cell>
          <cell r="Q618">
            <v>49200</v>
          </cell>
          <cell r="R618">
            <v>48000</v>
          </cell>
          <cell r="S618">
            <v>50500</v>
          </cell>
          <cell r="T618">
            <v>51000</v>
          </cell>
          <cell r="U618">
            <v>52800</v>
          </cell>
          <cell r="V618">
            <v>53300</v>
          </cell>
          <cell r="W618">
            <v>55400</v>
          </cell>
        </row>
        <row r="619">
          <cell r="A619">
            <v>44885</v>
          </cell>
          <cell r="B619" t="str">
            <v>H</v>
          </cell>
          <cell r="C619" t="str">
            <v>H</v>
          </cell>
          <cell r="D619" t="str">
            <v>H</v>
          </cell>
          <cell r="E619" t="str">
            <v>H</v>
          </cell>
          <cell r="F619" t="str">
            <v>H</v>
          </cell>
          <cell r="G619" t="str">
            <v>H</v>
          </cell>
          <cell r="H619" t="str">
            <v>H</v>
          </cell>
          <cell r="I619" t="str">
            <v>H</v>
          </cell>
          <cell r="J619" t="str">
            <v>H</v>
          </cell>
          <cell r="K619" t="str">
            <v>H</v>
          </cell>
          <cell r="L619" t="str">
            <v>H</v>
          </cell>
          <cell r="M619" t="str">
            <v>H</v>
          </cell>
          <cell r="N619" t="str">
            <v>H</v>
          </cell>
          <cell r="O619" t="str">
            <v>H</v>
          </cell>
          <cell r="P619" t="str">
            <v>H</v>
          </cell>
          <cell r="Q619" t="str">
            <v>H</v>
          </cell>
          <cell r="R619" t="str">
            <v>H</v>
          </cell>
          <cell r="S619" t="str">
            <v>H</v>
          </cell>
          <cell r="T619" t="str">
            <v>H</v>
          </cell>
          <cell r="U619" t="str">
            <v>H</v>
          </cell>
          <cell r="V619" t="str">
            <v>H</v>
          </cell>
          <cell r="W619" t="str">
            <v>H</v>
          </cell>
        </row>
        <row r="620">
          <cell r="A620">
            <v>44886</v>
          </cell>
          <cell r="B620">
            <v>53200</v>
          </cell>
          <cell r="C620">
            <v>53500</v>
          </cell>
          <cell r="D620">
            <v>51500</v>
          </cell>
          <cell r="E620">
            <v>48000</v>
          </cell>
          <cell r="F620">
            <v>55400</v>
          </cell>
          <cell r="G620" t="str">
            <v>-</v>
          </cell>
          <cell r="H620">
            <v>50000</v>
          </cell>
          <cell r="I620">
            <v>51400</v>
          </cell>
          <cell r="J620">
            <v>54500</v>
          </cell>
          <cell r="K620" t="str">
            <v>-</v>
          </cell>
          <cell r="L620">
            <v>50300</v>
          </cell>
          <cell r="M620">
            <v>53200</v>
          </cell>
          <cell r="N620">
            <v>50000</v>
          </cell>
          <cell r="O620">
            <v>49300</v>
          </cell>
          <cell r="P620">
            <v>48200</v>
          </cell>
          <cell r="Q620">
            <v>48600</v>
          </cell>
          <cell r="R620">
            <v>49000</v>
          </cell>
          <cell r="S620">
            <v>50500</v>
          </cell>
          <cell r="T620">
            <v>51600</v>
          </cell>
          <cell r="U620">
            <v>52300</v>
          </cell>
          <cell r="V620">
            <v>54000</v>
          </cell>
          <cell r="W620">
            <v>56000</v>
          </cell>
        </row>
        <row r="621">
          <cell r="A621">
            <v>44887</v>
          </cell>
          <cell r="B621">
            <v>51400</v>
          </cell>
          <cell r="C621">
            <v>53000</v>
          </cell>
          <cell r="D621">
            <v>51200</v>
          </cell>
          <cell r="E621">
            <v>47500</v>
          </cell>
          <cell r="F621">
            <v>55200</v>
          </cell>
          <cell r="G621" t="str">
            <v>-</v>
          </cell>
          <cell r="H621">
            <v>49500</v>
          </cell>
          <cell r="I621">
            <v>51000</v>
          </cell>
          <cell r="J621">
            <v>54000</v>
          </cell>
          <cell r="K621" t="str">
            <v>-</v>
          </cell>
          <cell r="L621">
            <v>50000</v>
          </cell>
          <cell r="M621">
            <v>53200</v>
          </cell>
          <cell r="N621">
            <v>49500</v>
          </cell>
          <cell r="O621">
            <v>49100</v>
          </cell>
          <cell r="P621">
            <v>46700</v>
          </cell>
          <cell r="Q621">
            <v>47400</v>
          </cell>
          <cell r="R621">
            <v>48300</v>
          </cell>
          <cell r="S621">
            <v>50000</v>
          </cell>
          <cell r="T621">
            <v>51000</v>
          </cell>
          <cell r="U621">
            <v>51800</v>
          </cell>
          <cell r="V621">
            <v>54000</v>
          </cell>
          <cell r="W621">
            <v>56000</v>
          </cell>
        </row>
        <row r="622">
          <cell r="A622">
            <v>44888</v>
          </cell>
          <cell r="B622">
            <v>50700</v>
          </cell>
          <cell r="C622">
            <v>52700</v>
          </cell>
          <cell r="D622">
            <v>50700</v>
          </cell>
          <cell r="E622">
            <v>46300</v>
          </cell>
          <cell r="F622">
            <v>54200</v>
          </cell>
          <cell r="G622" t="str">
            <v>-</v>
          </cell>
          <cell r="H622">
            <v>49000</v>
          </cell>
          <cell r="I622">
            <v>50200</v>
          </cell>
          <cell r="J622">
            <v>53500</v>
          </cell>
          <cell r="K622" t="str">
            <v>-</v>
          </cell>
          <cell r="L622">
            <v>49700</v>
          </cell>
          <cell r="M622">
            <v>53200</v>
          </cell>
          <cell r="N622">
            <v>48800</v>
          </cell>
          <cell r="O622">
            <v>48800</v>
          </cell>
          <cell r="P622">
            <v>46000</v>
          </cell>
          <cell r="Q622">
            <v>46500</v>
          </cell>
          <cell r="R622">
            <v>47300</v>
          </cell>
          <cell r="S622">
            <v>48800</v>
          </cell>
          <cell r="T622">
            <v>50000</v>
          </cell>
          <cell r="U622">
            <v>50800</v>
          </cell>
          <cell r="V622">
            <v>53200</v>
          </cell>
          <cell r="W622">
            <v>55500</v>
          </cell>
        </row>
        <row r="623">
          <cell r="A623">
            <v>44889</v>
          </cell>
          <cell r="B623">
            <v>49300</v>
          </cell>
          <cell r="C623">
            <v>52000</v>
          </cell>
          <cell r="D623">
            <v>49900</v>
          </cell>
          <cell r="E623">
            <v>45300</v>
          </cell>
          <cell r="F623">
            <v>53400</v>
          </cell>
          <cell r="G623" t="str">
            <v>-</v>
          </cell>
          <cell r="H623">
            <v>48500</v>
          </cell>
          <cell r="I623">
            <v>49500</v>
          </cell>
          <cell r="J623">
            <v>52500</v>
          </cell>
          <cell r="K623" t="str">
            <v>-</v>
          </cell>
          <cell r="L623">
            <v>48900</v>
          </cell>
          <cell r="M623">
            <v>51900</v>
          </cell>
          <cell r="N623">
            <v>47900</v>
          </cell>
          <cell r="O623">
            <v>47800</v>
          </cell>
          <cell r="P623">
            <v>45000</v>
          </cell>
          <cell r="Q623">
            <v>44700</v>
          </cell>
          <cell r="R623">
            <v>46800</v>
          </cell>
          <cell r="S623">
            <v>47800</v>
          </cell>
          <cell r="T623">
            <v>49800</v>
          </cell>
          <cell r="U623">
            <v>50800</v>
          </cell>
          <cell r="V623">
            <v>52000</v>
          </cell>
          <cell r="W623">
            <v>54500</v>
          </cell>
        </row>
        <row r="624">
          <cell r="A624">
            <v>44890</v>
          </cell>
          <cell r="B624">
            <v>49600</v>
          </cell>
          <cell r="C624">
            <v>51500</v>
          </cell>
          <cell r="D624">
            <v>49700</v>
          </cell>
          <cell r="E624">
            <v>45300</v>
          </cell>
          <cell r="F624">
            <v>52800</v>
          </cell>
          <cell r="G624" t="str">
            <v>-</v>
          </cell>
          <cell r="H624">
            <v>48000</v>
          </cell>
          <cell r="I624">
            <v>49000</v>
          </cell>
          <cell r="J624">
            <v>52000</v>
          </cell>
          <cell r="K624" t="str">
            <v>-</v>
          </cell>
          <cell r="L624">
            <v>48900</v>
          </cell>
          <cell r="M624">
            <v>52100</v>
          </cell>
          <cell r="N624">
            <v>47700</v>
          </cell>
          <cell r="O624">
            <v>46500</v>
          </cell>
          <cell r="P624">
            <v>44500</v>
          </cell>
          <cell r="Q624">
            <v>44800</v>
          </cell>
          <cell r="R624">
            <v>44800</v>
          </cell>
          <cell r="S624">
            <v>47800</v>
          </cell>
          <cell r="T624">
            <v>49500</v>
          </cell>
          <cell r="U624">
            <v>50800</v>
          </cell>
          <cell r="V624">
            <v>52000</v>
          </cell>
          <cell r="W624">
            <v>54500</v>
          </cell>
        </row>
        <row r="625">
          <cell r="A625">
            <v>44891</v>
          </cell>
          <cell r="B625">
            <v>49800</v>
          </cell>
          <cell r="C625">
            <v>51500</v>
          </cell>
          <cell r="D625">
            <v>50200</v>
          </cell>
          <cell r="E625">
            <v>45800</v>
          </cell>
          <cell r="F625">
            <v>52800</v>
          </cell>
          <cell r="G625" t="str">
            <v>-</v>
          </cell>
          <cell r="H625">
            <v>48500</v>
          </cell>
          <cell r="I625">
            <v>49000</v>
          </cell>
          <cell r="J625">
            <v>52000</v>
          </cell>
          <cell r="K625" t="str">
            <v>-</v>
          </cell>
          <cell r="L625">
            <v>49000</v>
          </cell>
          <cell r="M625">
            <v>52100</v>
          </cell>
          <cell r="N625">
            <v>48500</v>
          </cell>
          <cell r="O625">
            <v>47300</v>
          </cell>
          <cell r="P625">
            <v>45200</v>
          </cell>
          <cell r="Q625">
            <v>45400</v>
          </cell>
          <cell r="R625">
            <v>46100</v>
          </cell>
          <cell r="S625">
            <v>48300</v>
          </cell>
          <cell r="T625">
            <v>49500</v>
          </cell>
          <cell r="U625">
            <v>51800</v>
          </cell>
          <cell r="V625">
            <v>52000</v>
          </cell>
          <cell r="W625">
            <v>54500</v>
          </cell>
        </row>
        <row r="626">
          <cell r="A626">
            <v>44892</v>
          </cell>
          <cell r="B626" t="str">
            <v>H</v>
          </cell>
          <cell r="C626" t="str">
            <v>H</v>
          </cell>
          <cell r="D626" t="str">
            <v>H</v>
          </cell>
          <cell r="E626" t="str">
            <v>H</v>
          </cell>
          <cell r="F626" t="str">
            <v>H</v>
          </cell>
          <cell r="G626" t="str">
            <v>H</v>
          </cell>
          <cell r="H626" t="str">
            <v>H</v>
          </cell>
          <cell r="I626" t="str">
            <v>H</v>
          </cell>
          <cell r="J626" t="str">
            <v>H</v>
          </cell>
          <cell r="K626" t="str">
            <v>H</v>
          </cell>
          <cell r="L626" t="str">
            <v>H</v>
          </cell>
          <cell r="M626" t="str">
            <v>H</v>
          </cell>
          <cell r="N626" t="str">
            <v>H</v>
          </cell>
          <cell r="O626" t="str">
            <v>H</v>
          </cell>
          <cell r="P626" t="str">
            <v>H</v>
          </cell>
          <cell r="Q626" t="str">
            <v>H</v>
          </cell>
          <cell r="R626" t="str">
            <v>H</v>
          </cell>
          <cell r="S626" t="str">
            <v>H</v>
          </cell>
          <cell r="T626" t="str">
            <v>H</v>
          </cell>
          <cell r="U626" t="str">
            <v>H</v>
          </cell>
          <cell r="V626" t="str">
            <v>H</v>
          </cell>
          <cell r="W626" t="str">
            <v>H</v>
          </cell>
        </row>
        <row r="627">
          <cell r="A627">
            <v>44893</v>
          </cell>
          <cell r="B627">
            <v>49500</v>
          </cell>
          <cell r="C627">
            <v>51800</v>
          </cell>
          <cell r="D627">
            <v>50500</v>
          </cell>
          <cell r="E627">
            <v>46300</v>
          </cell>
          <cell r="F627">
            <v>52300</v>
          </cell>
          <cell r="G627" t="str">
            <v>-</v>
          </cell>
          <cell r="H627">
            <v>48500</v>
          </cell>
          <cell r="I627">
            <v>48800</v>
          </cell>
          <cell r="J627">
            <v>49200</v>
          </cell>
          <cell r="K627" t="str">
            <v>-</v>
          </cell>
          <cell r="L627">
            <v>49200</v>
          </cell>
          <cell r="M627">
            <v>52000</v>
          </cell>
          <cell r="N627">
            <v>48500</v>
          </cell>
          <cell r="O627">
            <v>47300</v>
          </cell>
          <cell r="P627">
            <v>45200</v>
          </cell>
          <cell r="Q627">
            <v>45400</v>
          </cell>
          <cell r="R627">
            <v>45300</v>
          </cell>
          <cell r="S627">
            <v>48800</v>
          </cell>
          <cell r="T627">
            <v>48500</v>
          </cell>
          <cell r="U627">
            <v>49800</v>
          </cell>
          <cell r="V627">
            <v>51600</v>
          </cell>
          <cell r="W627">
            <v>54300</v>
          </cell>
        </row>
        <row r="628">
          <cell r="A628">
            <v>44894</v>
          </cell>
          <cell r="B628">
            <v>49700</v>
          </cell>
          <cell r="C628">
            <v>52000</v>
          </cell>
          <cell r="D628">
            <v>50900</v>
          </cell>
          <cell r="E628">
            <v>46800</v>
          </cell>
          <cell r="F628">
            <v>52300</v>
          </cell>
          <cell r="G628" t="str">
            <v>-</v>
          </cell>
          <cell r="H628">
            <v>49000</v>
          </cell>
          <cell r="I628">
            <v>48800</v>
          </cell>
          <cell r="J628">
            <v>49500</v>
          </cell>
          <cell r="K628" t="str">
            <v>-</v>
          </cell>
          <cell r="L628">
            <v>49800</v>
          </cell>
          <cell r="M628">
            <v>52000</v>
          </cell>
          <cell r="N628">
            <v>48500</v>
          </cell>
          <cell r="O628">
            <v>47700</v>
          </cell>
          <cell r="P628">
            <v>45700</v>
          </cell>
          <cell r="Q628">
            <v>45900</v>
          </cell>
          <cell r="R628">
            <v>46000</v>
          </cell>
          <cell r="S628">
            <v>49300</v>
          </cell>
          <cell r="T628">
            <v>48900</v>
          </cell>
          <cell r="U628">
            <v>49800</v>
          </cell>
          <cell r="V628">
            <v>51600</v>
          </cell>
          <cell r="W628">
            <v>54300</v>
          </cell>
        </row>
        <row r="629">
          <cell r="A629">
            <v>44895</v>
          </cell>
          <cell r="B629">
            <v>51200</v>
          </cell>
          <cell r="C629">
            <v>52200</v>
          </cell>
          <cell r="D629">
            <v>51400</v>
          </cell>
          <cell r="E629">
            <v>47900</v>
          </cell>
          <cell r="F629">
            <v>52400</v>
          </cell>
          <cell r="G629" t="str">
            <v>-</v>
          </cell>
          <cell r="H629">
            <v>50000</v>
          </cell>
          <cell r="I629">
            <v>49700</v>
          </cell>
          <cell r="J629">
            <v>51000</v>
          </cell>
          <cell r="K629" t="str">
            <v>-</v>
          </cell>
          <cell r="L629">
            <v>50600</v>
          </cell>
          <cell r="M629">
            <v>52400</v>
          </cell>
          <cell r="N629">
            <v>49300</v>
          </cell>
          <cell r="O629">
            <v>48300</v>
          </cell>
          <cell r="P629">
            <v>47100</v>
          </cell>
          <cell r="Q629">
            <v>47300</v>
          </cell>
          <cell r="R629">
            <v>47300</v>
          </cell>
          <cell r="S629">
            <v>50400</v>
          </cell>
          <cell r="T629">
            <v>50000</v>
          </cell>
          <cell r="U629">
            <v>51300</v>
          </cell>
          <cell r="V629">
            <v>51900</v>
          </cell>
          <cell r="W629">
            <v>54500</v>
          </cell>
        </row>
        <row r="630">
          <cell r="A630">
            <v>44896</v>
          </cell>
          <cell r="B630">
            <v>51300</v>
          </cell>
          <cell r="C630">
            <v>52200</v>
          </cell>
          <cell r="D630">
            <v>51400</v>
          </cell>
          <cell r="E630">
            <v>47700</v>
          </cell>
          <cell r="F630">
            <v>52300</v>
          </cell>
          <cell r="G630" t="str">
            <v>-</v>
          </cell>
          <cell r="H630">
            <v>50500</v>
          </cell>
          <cell r="I630">
            <v>50500</v>
          </cell>
          <cell r="J630">
            <v>51700</v>
          </cell>
          <cell r="K630" t="str">
            <v>-</v>
          </cell>
          <cell r="L630">
            <v>51400</v>
          </cell>
          <cell r="M630">
            <v>52800</v>
          </cell>
          <cell r="N630">
            <v>49300</v>
          </cell>
          <cell r="O630">
            <v>49000</v>
          </cell>
          <cell r="P630">
            <v>47300</v>
          </cell>
          <cell r="Q630">
            <v>47300</v>
          </cell>
          <cell r="R630">
            <v>47500</v>
          </cell>
          <cell r="S630">
            <v>50200</v>
          </cell>
          <cell r="T630">
            <v>50000</v>
          </cell>
          <cell r="U630">
            <v>51300</v>
          </cell>
          <cell r="V630">
            <v>52800</v>
          </cell>
          <cell r="W630">
            <v>55300</v>
          </cell>
        </row>
        <row r="631">
          <cell r="A631">
            <v>44897</v>
          </cell>
          <cell r="B631">
            <v>51300</v>
          </cell>
          <cell r="C631">
            <v>52200</v>
          </cell>
          <cell r="D631">
            <v>51400</v>
          </cell>
          <cell r="E631">
            <v>47300</v>
          </cell>
          <cell r="F631">
            <v>52600</v>
          </cell>
          <cell r="G631" t="str">
            <v>-</v>
          </cell>
          <cell r="H631">
            <v>50500</v>
          </cell>
          <cell r="I631">
            <v>50000</v>
          </cell>
          <cell r="J631">
            <v>51700</v>
          </cell>
          <cell r="K631" t="str">
            <v>-</v>
          </cell>
          <cell r="L631">
            <v>51600</v>
          </cell>
          <cell r="M631">
            <v>52800</v>
          </cell>
          <cell r="N631">
            <v>49200</v>
          </cell>
          <cell r="O631">
            <v>48700</v>
          </cell>
          <cell r="P631">
            <v>47000</v>
          </cell>
          <cell r="Q631">
            <v>46900</v>
          </cell>
          <cell r="R631">
            <v>47000</v>
          </cell>
          <cell r="S631">
            <v>49800</v>
          </cell>
          <cell r="T631">
            <v>50000</v>
          </cell>
          <cell r="U631">
            <v>51300</v>
          </cell>
          <cell r="V631">
            <v>52800</v>
          </cell>
          <cell r="W631">
            <v>55300</v>
          </cell>
        </row>
        <row r="632">
          <cell r="A632">
            <v>44898</v>
          </cell>
          <cell r="B632">
            <v>51300</v>
          </cell>
          <cell r="C632">
            <v>52200</v>
          </cell>
          <cell r="D632">
            <v>51150</v>
          </cell>
          <cell r="E632">
            <v>47000</v>
          </cell>
          <cell r="F632">
            <v>52400</v>
          </cell>
          <cell r="G632" t="str">
            <v>-</v>
          </cell>
          <cell r="H632">
            <v>50000</v>
          </cell>
          <cell r="I632">
            <v>49700</v>
          </cell>
          <cell r="J632">
            <v>51500</v>
          </cell>
          <cell r="K632" t="str">
            <v>-</v>
          </cell>
          <cell r="L632">
            <v>51100</v>
          </cell>
          <cell r="M632">
            <v>52800</v>
          </cell>
          <cell r="N632">
            <v>48800</v>
          </cell>
          <cell r="O632">
            <v>48000</v>
          </cell>
          <cell r="P632">
            <v>46100</v>
          </cell>
          <cell r="Q632">
            <v>46800</v>
          </cell>
          <cell r="R632">
            <v>46500</v>
          </cell>
          <cell r="S632">
            <v>49500</v>
          </cell>
          <cell r="T632">
            <v>49800</v>
          </cell>
          <cell r="U632">
            <v>51300</v>
          </cell>
          <cell r="V632">
            <v>52700</v>
          </cell>
          <cell r="W632">
            <v>55200</v>
          </cell>
        </row>
        <row r="633">
          <cell r="A633">
            <v>44899</v>
          </cell>
          <cell r="B633" t="str">
            <v>H</v>
          </cell>
          <cell r="C633" t="str">
            <v>H</v>
          </cell>
          <cell r="D633" t="str">
            <v>H</v>
          </cell>
          <cell r="E633" t="str">
            <v>H</v>
          </cell>
          <cell r="F633" t="str">
            <v>H</v>
          </cell>
          <cell r="G633" t="str">
            <v>H</v>
          </cell>
          <cell r="H633" t="str">
            <v>H</v>
          </cell>
          <cell r="I633" t="str">
            <v>H</v>
          </cell>
          <cell r="J633" t="str">
            <v>H</v>
          </cell>
          <cell r="K633" t="str">
            <v>H</v>
          </cell>
          <cell r="L633" t="str">
            <v>H</v>
          </cell>
          <cell r="M633" t="str">
            <v>H</v>
          </cell>
          <cell r="N633" t="str">
            <v>H</v>
          </cell>
          <cell r="O633" t="str">
            <v>H</v>
          </cell>
          <cell r="P633" t="str">
            <v>H</v>
          </cell>
          <cell r="Q633" t="str">
            <v>H</v>
          </cell>
          <cell r="R633" t="str">
            <v>H</v>
          </cell>
          <cell r="S633" t="str">
            <v>H</v>
          </cell>
          <cell r="T633" t="str">
            <v>H</v>
          </cell>
          <cell r="U633" t="str">
            <v>H</v>
          </cell>
          <cell r="V633" t="str">
            <v>H</v>
          </cell>
          <cell r="W633" t="str">
            <v>H</v>
          </cell>
        </row>
        <row r="634">
          <cell r="A634">
            <v>44900</v>
          </cell>
          <cell r="B634">
            <v>51300</v>
          </cell>
          <cell r="C634">
            <v>52200</v>
          </cell>
          <cell r="D634">
            <v>51500</v>
          </cell>
          <cell r="E634">
            <v>47500</v>
          </cell>
          <cell r="F634">
            <v>52400</v>
          </cell>
          <cell r="G634" t="str">
            <v>-</v>
          </cell>
          <cell r="H634">
            <v>50000</v>
          </cell>
          <cell r="I634">
            <v>50000</v>
          </cell>
          <cell r="J634">
            <v>51500</v>
          </cell>
          <cell r="K634" t="str">
            <v>-</v>
          </cell>
          <cell r="L634">
            <v>51400</v>
          </cell>
          <cell r="M634">
            <v>52800</v>
          </cell>
          <cell r="N634">
            <v>49300</v>
          </cell>
          <cell r="O634">
            <v>48700</v>
          </cell>
          <cell r="P634">
            <v>46800</v>
          </cell>
          <cell r="Q634">
            <v>47300</v>
          </cell>
          <cell r="R634">
            <v>47000</v>
          </cell>
          <cell r="S634">
            <v>50000</v>
          </cell>
          <cell r="T634">
            <v>50300</v>
          </cell>
          <cell r="U634">
            <v>51300</v>
          </cell>
          <cell r="V634">
            <v>52600</v>
          </cell>
          <cell r="W634">
            <v>55200</v>
          </cell>
        </row>
        <row r="635">
          <cell r="A635">
            <v>44901</v>
          </cell>
          <cell r="B635">
            <v>51700</v>
          </cell>
          <cell r="C635">
            <v>52200</v>
          </cell>
          <cell r="D635">
            <v>51500</v>
          </cell>
          <cell r="E635">
            <v>47700</v>
          </cell>
          <cell r="F635">
            <v>52400</v>
          </cell>
          <cell r="G635" t="str">
            <v>-</v>
          </cell>
          <cell r="H635">
            <v>50500</v>
          </cell>
          <cell r="I635">
            <v>50200</v>
          </cell>
          <cell r="J635">
            <v>52000</v>
          </cell>
          <cell r="K635" t="str">
            <v>-</v>
          </cell>
          <cell r="L635">
            <v>51500</v>
          </cell>
          <cell r="M635">
            <v>53100</v>
          </cell>
          <cell r="N635">
            <v>49300</v>
          </cell>
          <cell r="O635">
            <v>48700</v>
          </cell>
          <cell r="P635">
            <v>47000</v>
          </cell>
          <cell r="Q635">
            <v>47300</v>
          </cell>
          <cell r="R635">
            <v>47400</v>
          </cell>
          <cell r="S635">
            <v>50200</v>
          </cell>
          <cell r="T635">
            <v>50300</v>
          </cell>
          <cell r="U635">
            <v>51300</v>
          </cell>
          <cell r="V635">
            <v>52600</v>
          </cell>
          <cell r="W635">
            <v>55200</v>
          </cell>
        </row>
        <row r="636">
          <cell r="A636">
            <v>44902</v>
          </cell>
          <cell r="B636">
            <v>51700</v>
          </cell>
          <cell r="C636">
            <v>52200</v>
          </cell>
          <cell r="D636">
            <v>51800</v>
          </cell>
          <cell r="E636">
            <v>48000</v>
          </cell>
          <cell r="F636">
            <v>52400</v>
          </cell>
          <cell r="G636" t="str">
            <v>-</v>
          </cell>
          <cell r="H636">
            <v>51000</v>
          </cell>
          <cell r="I636">
            <v>50800</v>
          </cell>
          <cell r="J636">
            <v>52500</v>
          </cell>
          <cell r="K636" t="str">
            <v>-</v>
          </cell>
          <cell r="L636">
            <v>51900</v>
          </cell>
          <cell r="M636">
            <v>53100</v>
          </cell>
          <cell r="N636">
            <v>49800</v>
          </cell>
          <cell r="O636">
            <v>48900</v>
          </cell>
          <cell r="P636">
            <v>47500</v>
          </cell>
          <cell r="Q636">
            <v>47800</v>
          </cell>
          <cell r="R636">
            <v>47500</v>
          </cell>
          <cell r="S636">
            <v>50500</v>
          </cell>
          <cell r="T636">
            <v>50800</v>
          </cell>
          <cell r="U636">
            <v>51800</v>
          </cell>
          <cell r="V636">
            <v>52600</v>
          </cell>
          <cell r="W636">
            <v>55200</v>
          </cell>
        </row>
        <row r="637">
          <cell r="A637">
            <v>44903</v>
          </cell>
          <cell r="B637">
            <v>52200</v>
          </cell>
          <cell r="C637">
            <v>52500</v>
          </cell>
          <cell r="D637">
            <v>52100</v>
          </cell>
          <cell r="E637">
            <v>48700</v>
          </cell>
          <cell r="F637">
            <v>52700</v>
          </cell>
          <cell r="G637" t="str">
            <v>-</v>
          </cell>
          <cell r="H637">
            <v>51500</v>
          </cell>
          <cell r="I637">
            <v>51400</v>
          </cell>
          <cell r="J637">
            <v>53000</v>
          </cell>
          <cell r="K637" t="str">
            <v>-</v>
          </cell>
          <cell r="L637">
            <v>52200</v>
          </cell>
          <cell r="M637">
            <v>53300</v>
          </cell>
          <cell r="N637">
            <v>50800</v>
          </cell>
          <cell r="O637">
            <v>49600</v>
          </cell>
          <cell r="P637">
            <v>47600</v>
          </cell>
          <cell r="Q637">
            <v>48300</v>
          </cell>
          <cell r="R637">
            <v>48100</v>
          </cell>
          <cell r="S637">
            <v>51200</v>
          </cell>
          <cell r="T637">
            <v>51300</v>
          </cell>
          <cell r="U637">
            <v>52800</v>
          </cell>
          <cell r="V637">
            <v>52800</v>
          </cell>
          <cell r="W637">
            <v>55400</v>
          </cell>
        </row>
        <row r="638">
          <cell r="A638">
            <v>44904</v>
          </cell>
          <cell r="B638">
            <v>52200</v>
          </cell>
          <cell r="C638">
            <v>52300</v>
          </cell>
          <cell r="D638">
            <v>52100</v>
          </cell>
          <cell r="E638">
            <v>48900</v>
          </cell>
          <cell r="F638">
            <v>52700</v>
          </cell>
          <cell r="G638" t="str">
            <v>-</v>
          </cell>
          <cell r="H638">
            <v>51500</v>
          </cell>
          <cell r="I638">
            <v>51700</v>
          </cell>
          <cell r="J638">
            <v>53000</v>
          </cell>
          <cell r="K638" t="str">
            <v>-</v>
          </cell>
          <cell r="L638">
            <v>52500</v>
          </cell>
          <cell r="M638">
            <v>53300</v>
          </cell>
          <cell r="N638">
            <v>50800</v>
          </cell>
          <cell r="O638">
            <v>49900</v>
          </cell>
          <cell r="P638">
            <v>48000</v>
          </cell>
          <cell r="Q638">
            <v>48300</v>
          </cell>
          <cell r="R638">
            <v>48100</v>
          </cell>
          <cell r="S638">
            <v>51400</v>
          </cell>
          <cell r="T638">
            <v>51300</v>
          </cell>
          <cell r="U638">
            <v>52800</v>
          </cell>
          <cell r="V638">
            <v>53100</v>
          </cell>
          <cell r="W638">
            <v>55700</v>
          </cell>
        </row>
        <row r="639">
          <cell r="A639">
            <v>44905</v>
          </cell>
          <cell r="B639">
            <v>52000</v>
          </cell>
          <cell r="C639">
            <v>52000</v>
          </cell>
          <cell r="D639">
            <v>52100</v>
          </cell>
          <cell r="E639">
            <v>48700</v>
          </cell>
          <cell r="F639">
            <v>52600</v>
          </cell>
          <cell r="G639" t="str">
            <v>-</v>
          </cell>
          <cell r="H639">
            <v>51500</v>
          </cell>
          <cell r="I639">
            <v>51600</v>
          </cell>
          <cell r="J639">
            <v>52900</v>
          </cell>
          <cell r="K639" t="str">
            <v>-</v>
          </cell>
          <cell r="L639">
            <v>52400</v>
          </cell>
          <cell r="M639">
            <v>53200</v>
          </cell>
          <cell r="N639">
            <v>50500</v>
          </cell>
          <cell r="O639">
            <v>49700</v>
          </cell>
          <cell r="P639">
            <v>47700</v>
          </cell>
          <cell r="Q639">
            <v>48000</v>
          </cell>
          <cell r="R639">
            <v>47700</v>
          </cell>
          <cell r="S639">
            <v>51200</v>
          </cell>
          <cell r="T639">
            <v>51300</v>
          </cell>
          <cell r="U639">
            <v>52300</v>
          </cell>
          <cell r="V639">
            <v>53100</v>
          </cell>
          <cell r="W639">
            <v>55700</v>
          </cell>
        </row>
        <row r="640">
          <cell r="A640">
            <v>44906</v>
          </cell>
          <cell r="B640" t="str">
            <v>H</v>
          </cell>
          <cell r="C640" t="str">
            <v>H</v>
          </cell>
          <cell r="D640" t="str">
            <v>H</v>
          </cell>
          <cell r="E640" t="str">
            <v>H</v>
          </cell>
          <cell r="F640" t="str">
            <v>H</v>
          </cell>
          <cell r="G640" t="str">
            <v>H</v>
          </cell>
          <cell r="H640" t="str">
            <v>H</v>
          </cell>
          <cell r="I640" t="str">
            <v>H</v>
          </cell>
          <cell r="J640" t="str">
            <v>H</v>
          </cell>
          <cell r="K640" t="str">
            <v>H</v>
          </cell>
          <cell r="L640" t="str">
            <v>H</v>
          </cell>
          <cell r="M640" t="str">
            <v>H</v>
          </cell>
          <cell r="N640" t="str">
            <v>H</v>
          </cell>
          <cell r="O640" t="str">
            <v>H</v>
          </cell>
          <cell r="P640" t="str">
            <v>H</v>
          </cell>
          <cell r="Q640" t="str">
            <v>H</v>
          </cell>
          <cell r="R640" t="str">
            <v>H</v>
          </cell>
          <cell r="S640" t="str">
            <v>H</v>
          </cell>
          <cell r="T640" t="str">
            <v>H</v>
          </cell>
          <cell r="U640" t="str">
            <v>H</v>
          </cell>
          <cell r="V640" t="str">
            <v>H</v>
          </cell>
          <cell r="W640" t="str">
            <v>H</v>
          </cell>
        </row>
        <row r="641">
          <cell r="A641">
            <v>44907</v>
          </cell>
          <cell r="B641">
            <v>52000</v>
          </cell>
          <cell r="C641">
            <v>52000</v>
          </cell>
          <cell r="D641">
            <v>52300</v>
          </cell>
          <cell r="E641">
            <v>48500</v>
          </cell>
          <cell r="F641">
            <v>52600</v>
          </cell>
          <cell r="G641" t="str">
            <v>-</v>
          </cell>
          <cell r="H641">
            <v>51500</v>
          </cell>
          <cell r="I641">
            <v>52000</v>
          </cell>
          <cell r="J641">
            <v>52900</v>
          </cell>
          <cell r="K641" t="str">
            <v>-</v>
          </cell>
          <cell r="L641">
            <v>52400</v>
          </cell>
          <cell r="M641">
            <v>53200</v>
          </cell>
          <cell r="N641">
            <v>50500</v>
          </cell>
          <cell r="O641">
            <v>49800</v>
          </cell>
          <cell r="P641">
            <v>47200</v>
          </cell>
          <cell r="Q641">
            <v>47800</v>
          </cell>
          <cell r="R641">
            <v>47600</v>
          </cell>
          <cell r="S641">
            <v>51000</v>
          </cell>
          <cell r="T641">
            <v>51000</v>
          </cell>
          <cell r="U641">
            <v>52300</v>
          </cell>
          <cell r="V641">
            <v>53500</v>
          </cell>
          <cell r="W641">
            <v>56200</v>
          </cell>
        </row>
        <row r="642">
          <cell r="A642">
            <v>44908</v>
          </cell>
          <cell r="B642">
            <v>52000</v>
          </cell>
          <cell r="C642">
            <v>52000</v>
          </cell>
          <cell r="D642">
            <v>52300</v>
          </cell>
          <cell r="E642">
            <v>48200</v>
          </cell>
          <cell r="F642">
            <v>52600</v>
          </cell>
          <cell r="G642" t="str">
            <v>-</v>
          </cell>
          <cell r="H642">
            <v>51500</v>
          </cell>
          <cell r="I642">
            <v>52000</v>
          </cell>
          <cell r="J642">
            <v>52900</v>
          </cell>
          <cell r="K642" t="str">
            <v>-</v>
          </cell>
          <cell r="L642">
            <v>52200</v>
          </cell>
          <cell r="M642">
            <v>53200</v>
          </cell>
          <cell r="N642">
            <v>50300</v>
          </cell>
          <cell r="O642">
            <v>49500</v>
          </cell>
          <cell r="P642">
            <v>47200</v>
          </cell>
          <cell r="Q642">
            <v>47600</v>
          </cell>
          <cell r="R642">
            <v>47600</v>
          </cell>
          <cell r="S642">
            <v>50700</v>
          </cell>
          <cell r="T642">
            <v>50600</v>
          </cell>
          <cell r="U642">
            <v>51800</v>
          </cell>
          <cell r="V642">
            <v>53500</v>
          </cell>
          <cell r="W642">
            <v>56200</v>
          </cell>
        </row>
        <row r="643">
          <cell r="A643">
            <v>44909</v>
          </cell>
          <cell r="B643">
            <v>51900</v>
          </cell>
          <cell r="C643">
            <v>51700</v>
          </cell>
          <cell r="D643">
            <v>51900</v>
          </cell>
          <cell r="E643">
            <v>47800</v>
          </cell>
          <cell r="F643">
            <v>52600</v>
          </cell>
          <cell r="G643" t="str">
            <v>-</v>
          </cell>
          <cell r="H643">
            <v>51500</v>
          </cell>
          <cell r="I643">
            <v>51800</v>
          </cell>
          <cell r="J643">
            <v>52900</v>
          </cell>
          <cell r="K643" t="str">
            <v>-</v>
          </cell>
          <cell r="L643">
            <v>52100</v>
          </cell>
          <cell r="M643">
            <v>53200</v>
          </cell>
          <cell r="N643">
            <v>49800</v>
          </cell>
          <cell r="O643">
            <v>49200</v>
          </cell>
          <cell r="P643">
            <v>47200</v>
          </cell>
          <cell r="Q643">
            <v>47400</v>
          </cell>
          <cell r="R643">
            <v>47600</v>
          </cell>
          <cell r="S643">
            <v>50300</v>
          </cell>
          <cell r="T643">
            <v>50600</v>
          </cell>
          <cell r="U643">
            <v>51800</v>
          </cell>
          <cell r="V643">
            <v>53200</v>
          </cell>
          <cell r="W643">
            <v>56000</v>
          </cell>
        </row>
        <row r="644">
          <cell r="A644">
            <v>44910</v>
          </cell>
          <cell r="B644">
            <v>51500</v>
          </cell>
          <cell r="C644">
            <v>51000</v>
          </cell>
          <cell r="D644">
            <v>51900</v>
          </cell>
          <cell r="E644">
            <v>47700</v>
          </cell>
          <cell r="F644">
            <v>52500</v>
          </cell>
          <cell r="G644" t="str">
            <v>-</v>
          </cell>
          <cell r="H644">
            <v>51000</v>
          </cell>
          <cell r="I644">
            <v>51600</v>
          </cell>
          <cell r="J644">
            <v>52500</v>
          </cell>
          <cell r="K644" t="str">
            <v>-</v>
          </cell>
          <cell r="L644">
            <v>51900</v>
          </cell>
          <cell r="M644">
            <v>52800</v>
          </cell>
          <cell r="N644">
            <v>49300</v>
          </cell>
          <cell r="O644">
            <v>49000</v>
          </cell>
          <cell r="P644">
            <v>46850</v>
          </cell>
          <cell r="Q644">
            <v>47300</v>
          </cell>
          <cell r="R644">
            <v>47400</v>
          </cell>
          <cell r="S644">
            <v>50200</v>
          </cell>
          <cell r="T644">
            <v>50300</v>
          </cell>
          <cell r="U644" t="str">
            <v>-</v>
          </cell>
          <cell r="V644">
            <v>53200</v>
          </cell>
          <cell r="W644">
            <v>55800</v>
          </cell>
        </row>
        <row r="645">
          <cell r="A645">
            <v>44911</v>
          </cell>
          <cell r="B645">
            <v>51200</v>
          </cell>
          <cell r="C645">
            <v>51000</v>
          </cell>
          <cell r="D645">
            <v>51800</v>
          </cell>
          <cell r="E645">
            <v>48000</v>
          </cell>
          <cell r="F645">
            <v>52300</v>
          </cell>
          <cell r="G645" t="str">
            <v>-</v>
          </cell>
          <cell r="H645">
            <v>51000</v>
          </cell>
          <cell r="I645">
            <v>51300</v>
          </cell>
          <cell r="J645">
            <v>52500</v>
          </cell>
          <cell r="K645" t="str">
            <v>-</v>
          </cell>
          <cell r="L645">
            <v>51500</v>
          </cell>
          <cell r="M645">
            <v>52800</v>
          </cell>
          <cell r="N645">
            <v>49300</v>
          </cell>
          <cell r="O645">
            <v>49000</v>
          </cell>
          <cell r="P645">
            <v>47300</v>
          </cell>
          <cell r="Q645">
            <v>48100</v>
          </cell>
          <cell r="R645">
            <v>47300</v>
          </cell>
          <cell r="S645">
            <v>50500</v>
          </cell>
          <cell r="T645">
            <v>50300</v>
          </cell>
          <cell r="U645">
            <v>51800</v>
          </cell>
          <cell r="V645">
            <v>53000</v>
          </cell>
          <cell r="W645">
            <v>55700</v>
          </cell>
        </row>
        <row r="646">
          <cell r="A646">
            <v>44912</v>
          </cell>
          <cell r="B646">
            <v>51800</v>
          </cell>
          <cell r="C646">
            <v>51300</v>
          </cell>
          <cell r="D646">
            <v>52300</v>
          </cell>
          <cell r="E646">
            <v>48800</v>
          </cell>
          <cell r="F646">
            <v>52800</v>
          </cell>
          <cell r="G646" t="str">
            <v>-</v>
          </cell>
          <cell r="H646">
            <v>51500</v>
          </cell>
          <cell r="I646">
            <v>51900</v>
          </cell>
          <cell r="J646">
            <v>53000</v>
          </cell>
          <cell r="K646" t="str">
            <v>-</v>
          </cell>
          <cell r="L646">
            <v>52300</v>
          </cell>
          <cell r="M646">
            <v>52800</v>
          </cell>
          <cell r="N646">
            <v>49800</v>
          </cell>
          <cell r="O646">
            <v>49500</v>
          </cell>
          <cell r="P646">
            <v>48000</v>
          </cell>
          <cell r="Q646">
            <v>48200</v>
          </cell>
          <cell r="R646">
            <v>48000</v>
          </cell>
          <cell r="S646">
            <v>51300</v>
          </cell>
          <cell r="T646">
            <v>50800</v>
          </cell>
          <cell r="U646" t="str">
            <v>-</v>
          </cell>
          <cell r="V646">
            <v>53000</v>
          </cell>
          <cell r="W646">
            <v>55700</v>
          </cell>
        </row>
        <row r="647">
          <cell r="A647">
            <v>44913</v>
          </cell>
          <cell r="B647" t="str">
            <v>H</v>
          </cell>
          <cell r="C647" t="str">
            <v>H</v>
          </cell>
          <cell r="D647" t="str">
            <v>H</v>
          </cell>
          <cell r="E647" t="str">
            <v>H</v>
          </cell>
          <cell r="F647" t="str">
            <v>H</v>
          </cell>
          <cell r="G647" t="str">
            <v>H</v>
          </cell>
          <cell r="H647" t="str">
            <v>H</v>
          </cell>
          <cell r="I647" t="str">
            <v>H</v>
          </cell>
          <cell r="J647" t="str">
            <v>H</v>
          </cell>
          <cell r="K647" t="str">
            <v>H</v>
          </cell>
          <cell r="L647" t="str">
            <v>H</v>
          </cell>
          <cell r="M647" t="str">
            <v>H</v>
          </cell>
          <cell r="N647" t="str">
            <v>H</v>
          </cell>
          <cell r="O647" t="str">
            <v>H</v>
          </cell>
          <cell r="P647" t="str">
            <v>H</v>
          </cell>
          <cell r="Q647" t="str">
            <v>H</v>
          </cell>
          <cell r="R647" t="str">
            <v>H</v>
          </cell>
          <cell r="S647" t="str">
            <v>H</v>
          </cell>
          <cell r="T647" t="str">
            <v>H</v>
          </cell>
          <cell r="U647" t="str">
            <v>H</v>
          </cell>
          <cell r="V647" t="str">
            <v>H</v>
          </cell>
          <cell r="W647" t="str">
            <v>H</v>
          </cell>
        </row>
        <row r="648">
          <cell r="A648">
            <v>44914</v>
          </cell>
          <cell r="B648">
            <v>51800</v>
          </cell>
          <cell r="C648">
            <v>51500</v>
          </cell>
          <cell r="D648">
            <v>52100</v>
          </cell>
          <cell r="E648">
            <v>48500</v>
          </cell>
          <cell r="F648">
            <v>52800</v>
          </cell>
          <cell r="G648" t="str">
            <v>-</v>
          </cell>
          <cell r="H648">
            <v>51500</v>
          </cell>
          <cell r="I648">
            <v>51900</v>
          </cell>
          <cell r="J648">
            <v>53000</v>
          </cell>
          <cell r="K648" t="str">
            <v>-</v>
          </cell>
          <cell r="L648">
            <v>52300</v>
          </cell>
          <cell r="M648">
            <v>52800</v>
          </cell>
          <cell r="N648">
            <v>49700</v>
          </cell>
          <cell r="O648">
            <v>49700</v>
          </cell>
          <cell r="P648">
            <v>47600</v>
          </cell>
          <cell r="Q648">
            <v>48100</v>
          </cell>
          <cell r="R648">
            <v>48000</v>
          </cell>
          <cell r="S648">
            <v>51000</v>
          </cell>
          <cell r="T648">
            <v>50800</v>
          </cell>
          <cell r="U648">
            <v>51800</v>
          </cell>
          <cell r="V648">
            <v>53000</v>
          </cell>
          <cell r="W648">
            <v>55700</v>
          </cell>
        </row>
        <row r="649">
          <cell r="A649">
            <v>44915</v>
          </cell>
          <cell r="B649">
            <v>51800</v>
          </cell>
          <cell r="C649">
            <v>51500</v>
          </cell>
          <cell r="D649">
            <v>52100</v>
          </cell>
          <cell r="E649">
            <v>48300</v>
          </cell>
          <cell r="F649">
            <v>52800</v>
          </cell>
          <cell r="G649" t="str">
            <v>-</v>
          </cell>
          <cell r="H649">
            <v>51000</v>
          </cell>
          <cell r="I649">
            <v>51800</v>
          </cell>
          <cell r="J649">
            <v>52800</v>
          </cell>
          <cell r="K649" t="str">
            <v>-</v>
          </cell>
          <cell r="L649">
            <v>52200</v>
          </cell>
          <cell r="M649">
            <v>52800</v>
          </cell>
          <cell r="N649">
            <v>49700</v>
          </cell>
          <cell r="O649">
            <v>49200</v>
          </cell>
          <cell r="P649">
            <v>47500</v>
          </cell>
          <cell r="Q649">
            <v>48000</v>
          </cell>
          <cell r="R649">
            <v>47800</v>
          </cell>
          <cell r="S649">
            <v>50800</v>
          </cell>
          <cell r="T649">
            <v>50800</v>
          </cell>
          <cell r="U649">
            <v>51800</v>
          </cell>
          <cell r="V649">
            <v>52700</v>
          </cell>
          <cell r="W649">
            <v>55500</v>
          </cell>
        </row>
        <row r="650">
          <cell r="A650">
            <v>44916</v>
          </cell>
          <cell r="B650">
            <v>51700</v>
          </cell>
          <cell r="C650">
            <v>51300</v>
          </cell>
          <cell r="D650">
            <v>51800</v>
          </cell>
          <cell r="E650">
            <v>47800</v>
          </cell>
          <cell r="F650">
            <v>52600</v>
          </cell>
          <cell r="G650" t="str">
            <v>-</v>
          </cell>
          <cell r="H650">
            <v>50500</v>
          </cell>
          <cell r="I650">
            <v>51700</v>
          </cell>
          <cell r="J650">
            <v>52800</v>
          </cell>
          <cell r="K650" t="str">
            <v>-</v>
          </cell>
          <cell r="L650">
            <v>52000</v>
          </cell>
          <cell r="M650">
            <v>52500</v>
          </cell>
          <cell r="N650">
            <v>49500</v>
          </cell>
          <cell r="O650">
            <v>49000</v>
          </cell>
          <cell r="P650">
            <v>47250</v>
          </cell>
          <cell r="Q650">
            <v>47700</v>
          </cell>
          <cell r="R650">
            <v>47500</v>
          </cell>
          <cell r="S650">
            <v>50300</v>
          </cell>
          <cell r="T650">
            <v>50600</v>
          </cell>
          <cell r="U650">
            <v>51300</v>
          </cell>
          <cell r="V650">
            <v>52500</v>
          </cell>
          <cell r="W650">
            <v>55200</v>
          </cell>
        </row>
        <row r="651">
          <cell r="A651">
            <v>44917</v>
          </cell>
          <cell r="B651">
            <v>51700</v>
          </cell>
          <cell r="C651">
            <v>51300</v>
          </cell>
          <cell r="D651">
            <v>51800</v>
          </cell>
          <cell r="E651">
            <v>47800</v>
          </cell>
          <cell r="F651">
            <v>52600</v>
          </cell>
          <cell r="G651" t="str">
            <v>-</v>
          </cell>
          <cell r="H651">
            <v>50500</v>
          </cell>
          <cell r="I651">
            <v>51700</v>
          </cell>
          <cell r="J651">
            <v>52800</v>
          </cell>
          <cell r="K651" t="str">
            <v>-</v>
          </cell>
          <cell r="L651">
            <v>52200</v>
          </cell>
          <cell r="M651">
            <v>52500</v>
          </cell>
          <cell r="N651">
            <v>49700</v>
          </cell>
          <cell r="O651">
            <v>49000</v>
          </cell>
          <cell r="P651">
            <v>47300</v>
          </cell>
          <cell r="Q651">
            <v>47900</v>
          </cell>
          <cell r="R651">
            <v>47600</v>
          </cell>
          <cell r="S651">
            <v>50300</v>
          </cell>
          <cell r="T651">
            <v>50600</v>
          </cell>
          <cell r="U651">
            <v>51300</v>
          </cell>
          <cell r="V651">
            <v>52200</v>
          </cell>
          <cell r="W651">
            <v>55000</v>
          </cell>
        </row>
        <row r="652">
          <cell r="A652">
            <v>44918</v>
          </cell>
          <cell r="B652">
            <v>51600</v>
          </cell>
          <cell r="C652">
            <v>51200</v>
          </cell>
          <cell r="D652">
            <v>51800</v>
          </cell>
          <cell r="E652">
            <v>48500</v>
          </cell>
          <cell r="F652">
            <v>53300</v>
          </cell>
          <cell r="G652" t="str">
            <v>-</v>
          </cell>
          <cell r="H652">
            <v>51000</v>
          </cell>
          <cell r="I652">
            <v>51700</v>
          </cell>
          <cell r="J652">
            <v>53000</v>
          </cell>
          <cell r="K652" t="str">
            <v>-</v>
          </cell>
          <cell r="L652">
            <v>52200</v>
          </cell>
          <cell r="M652">
            <v>52800</v>
          </cell>
          <cell r="N652">
            <v>49800</v>
          </cell>
          <cell r="O652">
            <v>48700</v>
          </cell>
          <cell r="P652">
            <v>47400</v>
          </cell>
          <cell r="Q652">
            <v>48400</v>
          </cell>
          <cell r="R652">
            <v>47800</v>
          </cell>
          <cell r="S652">
            <v>51200</v>
          </cell>
          <cell r="T652">
            <v>50600</v>
          </cell>
          <cell r="U652">
            <v>51300</v>
          </cell>
          <cell r="V652">
            <v>52200</v>
          </cell>
          <cell r="W652">
            <v>55000</v>
          </cell>
        </row>
        <row r="653">
          <cell r="A653">
            <v>44919</v>
          </cell>
          <cell r="B653">
            <v>52300</v>
          </cell>
          <cell r="C653">
            <v>51500</v>
          </cell>
          <cell r="D653">
            <v>52100</v>
          </cell>
          <cell r="E653">
            <v>48700</v>
          </cell>
          <cell r="F653">
            <v>53300</v>
          </cell>
          <cell r="G653" t="str">
            <v>-</v>
          </cell>
          <cell r="H653">
            <v>51500</v>
          </cell>
          <cell r="I653">
            <v>52600</v>
          </cell>
          <cell r="J653">
            <v>53000</v>
          </cell>
          <cell r="K653" t="str">
            <v>-</v>
          </cell>
          <cell r="L653">
            <v>53000</v>
          </cell>
          <cell r="M653">
            <v>52800</v>
          </cell>
          <cell r="N653">
            <v>50800</v>
          </cell>
          <cell r="O653">
            <v>49600</v>
          </cell>
          <cell r="P653">
            <v>48700</v>
          </cell>
          <cell r="Q653">
            <v>49000</v>
          </cell>
          <cell r="R653">
            <v>48500</v>
          </cell>
          <cell r="S653">
            <v>51400</v>
          </cell>
          <cell r="T653">
            <v>51500</v>
          </cell>
          <cell r="U653">
            <v>52300</v>
          </cell>
          <cell r="V653">
            <v>52600</v>
          </cell>
          <cell r="W653">
            <v>55500</v>
          </cell>
        </row>
        <row r="654">
          <cell r="A654">
            <v>44920</v>
          </cell>
          <cell r="B654" t="str">
            <v>H</v>
          </cell>
          <cell r="C654" t="str">
            <v>H</v>
          </cell>
          <cell r="D654" t="str">
            <v>H</v>
          </cell>
          <cell r="E654" t="str">
            <v>H</v>
          </cell>
          <cell r="F654" t="str">
            <v>H</v>
          </cell>
          <cell r="G654" t="str">
            <v>H</v>
          </cell>
          <cell r="H654" t="str">
            <v>H</v>
          </cell>
          <cell r="I654" t="str">
            <v>H</v>
          </cell>
          <cell r="J654" t="str">
            <v>H</v>
          </cell>
          <cell r="K654" t="str">
            <v>H</v>
          </cell>
          <cell r="L654" t="str">
            <v>H</v>
          </cell>
          <cell r="M654" t="str">
            <v>H</v>
          </cell>
          <cell r="N654" t="str">
            <v>H</v>
          </cell>
          <cell r="O654" t="str">
            <v>H</v>
          </cell>
          <cell r="P654" t="str">
            <v>H</v>
          </cell>
          <cell r="Q654" t="str">
            <v>H</v>
          </cell>
          <cell r="R654" t="str">
            <v>H</v>
          </cell>
          <cell r="S654" t="str">
            <v>H</v>
          </cell>
          <cell r="T654" t="str">
            <v>H</v>
          </cell>
          <cell r="U654" t="str">
            <v>H</v>
          </cell>
          <cell r="V654" t="str">
            <v>H</v>
          </cell>
          <cell r="W654" t="str">
            <v>H</v>
          </cell>
        </row>
        <row r="655">
          <cell r="A655">
            <v>44921</v>
          </cell>
          <cell r="B655">
            <v>52700</v>
          </cell>
          <cell r="C655">
            <v>51800</v>
          </cell>
          <cell r="D655">
            <v>52400</v>
          </cell>
          <cell r="E655">
            <v>50000</v>
          </cell>
          <cell r="F655">
            <v>54300</v>
          </cell>
          <cell r="G655" t="str">
            <v>-</v>
          </cell>
          <cell r="H655">
            <v>51500</v>
          </cell>
          <cell r="I655">
            <v>53200</v>
          </cell>
          <cell r="J655">
            <v>54500</v>
          </cell>
          <cell r="K655" t="str">
            <v>-</v>
          </cell>
          <cell r="L655">
            <v>53600</v>
          </cell>
          <cell r="M655">
            <v>53600</v>
          </cell>
          <cell r="N655">
            <v>51300</v>
          </cell>
          <cell r="O655">
            <v>50900</v>
          </cell>
          <cell r="P655">
            <v>49200</v>
          </cell>
          <cell r="Q655">
            <v>49500</v>
          </cell>
          <cell r="R655">
            <v>49000</v>
          </cell>
          <cell r="S655">
            <v>52500</v>
          </cell>
          <cell r="T655">
            <v>52000</v>
          </cell>
          <cell r="U655">
            <v>52800</v>
          </cell>
          <cell r="V655">
            <v>53200</v>
          </cell>
          <cell r="W655">
            <v>55800</v>
          </cell>
        </row>
        <row r="656">
          <cell r="A656">
            <v>44922</v>
          </cell>
          <cell r="B656">
            <v>53400</v>
          </cell>
          <cell r="C656">
            <v>52000</v>
          </cell>
          <cell r="D656">
            <v>53700</v>
          </cell>
          <cell r="E656">
            <v>50200</v>
          </cell>
          <cell r="F656">
            <v>54600</v>
          </cell>
          <cell r="G656" t="str">
            <v>-</v>
          </cell>
          <cell r="H656">
            <v>52500</v>
          </cell>
          <cell r="I656">
            <v>54000</v>
          </cell>
          <cell r="J656">
            <v>54500</v>
          </cell>
          <cell r="K656" t="str">
            <v>-</v>
          </cell>
          <cell r="L656">
            <v>54000</v>
          </cell>
          <cell r="M656">
            <v>54600</v>
          </cell>
          <cell r="N656">
            <v>52300</v>
          </cell>
          <cell r="O656">
            <v>51000</v>
          </cell>
          <cell r="P656">
            <v>50100</v>
          </cell>
          <cell r="Q656">
            <v>50000</v>
          </cell>
          <cell r="R656">
            <v>49800</v>
          </cell>
          <cell r="S656">
            <v>52700</v>
          </cell>
          <cell r="T656">
            <v>53000</v>
          </cell>
          <cell r="U656">
            <v>52800</v>
          </cell>
          <cell r="V656">
            <v>53800</v>
          </cell>
          <cell r="W656">
            <v>56200</v>
          </cell>
        </row>
        <row r="657">
          <cell r="A657">
            <v>44923</v>
          </cell>
          <cell r="B657">
            <v>53400</v>
          </cell>
          <cell r="C657">
            <v>52500</v>
          </cell>
          <cell r="D657">
            <v>54500</v>
          </cell>
          <cell r="E657">
            <v>50200</v>
          </cell>
          <cell r="F657">
            <v>54800</v>
          </cell>
          <cell r="G657" t="str">
            <v>-</v>
          </cell>
          <cell r="H657">
            <v>52500</v>
          </cell>
          <cell r="I657">
            <v>54300</v>
          </cell>
          <cell r="J657">
            <v>54800</v>
          </cell>
          <cell r="K657" t="str">
            <v>-</v>
          </cell>
          <cell r="L657">
            <v>54400</v>
          </cell>
          <cell r="M657">
            <v>54600</v>
          </cell>
          <cell r="N657">
            <v>53100</v>
          </cell>
          <cell r="O657">
            <v>51000</v>
          </cell>
          <cell r="P657">
            <v>50000</v>
          </cell>
          <cell r="Q657">
            <v>50300</v>
          </cell>
          <cell r="R657">
            <v>50000</v>
          </cell>
          <cell r="S657">
            <v>52700</v>
          </cell>
          <cell r="T657">
            <v>53000</v>
          </cell>
          <cell r="U657">
            <v>52800</v>
          </cell>
          <cell r="V657">
            <v>53800</v>
          </cell>
          <cell r="W657">
            <v>56200</v>
          </cell>
        </row>
        <row r="658">
          <cell r="A658">
            <v>44924</v>
          </cell>
          <cell r="B658">
            <v>53400</v>
          </cell>
          <cell r="C658">
            <v>52500</v>
          </cell>
          <cell r="D658">
            <v>54500</v>
          </cell>
          <cell r="E658">
            <v>50300</v>
          </cell>
          <cell r="F658">
            <v>55100</v>
          </cell>
          <cell r="G658" t="str">
            <v>-</v>
          </cell>
          <cell r="H658">
            <v>52500</v>
          </cell>
          <cell r="I658">
            <v>54300</v>
          </cell>
          <cell r="J658">
            <v>54800</v>
          </cell>
          <cell r="K658" t="str">
            <v>-</v>
          </cell>
          <cell r="L658">
            <v>54400</v>
          </cell>
          <cell r="M658">
            <v>54900</v>
          </cell>
          <cell r="N658">
            <v>52800</v>
          </cell>
          <cell r="O658">
            <v>51000</v>
          </cell>
          <cell r="P658">
            <v>50000</v>
          </cell>
          <cell r="Q658">
            <v>50700</v>
          </cell>
          <cell r="R658">
            <v>50000</v>
          </cell>
          <cell r="S658">
            <v>52800</v>
          </cell>
          <cell r="T658">
            <v>53500</v>
          </cell>
          <cell r="U658">
            <v>52800</v>
          </cell>
          <cell r="V658">
            <v>53800</v>
          </cell>
          <cell r="W658">
            <v>56200</v>
          </cell>
        </row>
        <row r="659">
          <cell r="A659">
            <v>44925</v>
          </cell>
          <cell r="B659">
            <v>53600</v>
          </cell>
          <cell r="C659">
            <v>52500</v>
          </cell>
          <cell r="D659">
            <v>54800</v>
          </cell>
          <cell r="E659">
            <v>50500</v>
          </cell>
          <cell r="F659">
            <v>55100</v>
          </cell>
          <cell r="G659" t="str">
            <v>-</v>
          </cell>
          <cell r="H659">
            <v>52500</v>
          </cell>
          <cell r="I659">
            <v>54300</v>
          </cell>
          <cell r="J659">
            <v>54800</v>
          </cell>
          <cell r="K659" t="str">
            <v>-</v>
          </cell>
          <cell r="L659">
            <v>54300</v>
          </cell>
          <cell r="M659">
            <v>54900</v>
          </cell>
          <cell r="N659">
            <v>53000</v>
          </cell>
          <cell r="O659">
            <v>51500</v>
          </cell>
          <cell r="P659">
            <v>50000</v>
          </cell>
          <cell r="Q659">
            <v>50600</v>
          </cell>
          <cell r="R659">
            <v>50000</v>
          </cell>
          <cell r="S659">
            <v>53000</v>
          </cell>
          <cell r="T659">
            <v>53200</v>
          </cell>
          <cell r="U659">
            <v>52800</v>
          </cell>
          <cell r="V659">
            <v>53800</v>
          </cell>
          <cell r="W659">
            <v>56200</v>
          </cell>
        </row>
        <row r="660">
          <cell r="A660">
            <v>44926</v>
          </cell>
          <cell r="B660">
            <v>54300</v>
          </cell>
          <cell r="C660">
            <v>52500</v>
          </cell>
          <cell r="D660">
            <v>55100</v>
          </cell>
          <cell r="E660">
            <v>50800</v>
          </cell>
          <cell r="F660">
            <v>55300</v>
          </cell>
          <cell r="G660" t="str">
            <v>-</v>
          </cell>
          <cell r="H660">
            <v>53000</v>
          </cell>
          <cell r="I660">
            <v>55000</v>
          </cell>
          <cell r="J660">
            <v>55800</v>
          </cell>
          <cell r="K660" t="str">
            <v>-</v>
          </cell>
          <cell r="L660">
            <v>54700</v>
          </cell>
          <cell r="M660">
            <v>55500</v>
          </cell>
          <cell r="N660">
            <v>53300</v>
          </cell>
          <cell r="O660">
            <v>51900</v>
          </cell>
          <cell r="P660">
            <v>51000</v>
          </cell>
          <cell r="Q660">
            <v>51200</v>
          </cell>
          <cell r="R660">
            <v>50800</v>
          </cell>
          <cell r="S660">
            <v>53300</v>
          </cell>
          <cell r="T660">
            <v>53700</v>
          </cell>
          <cell r="U660">
            <v>53600</v>
          </cell>
          <cell r="V660">
            <v>54500</v>
          </cell>
          <cell r="W660">
            <v>56600</v>
          </cell>
        </row>
        <row r="661">
          <cell r="A661">
            <v>44927</v>
          </cell>
          <cell r="B661" t="str">
            <v>H</v>
          </cell>
          <cell r="C661" t="str">
            <v>H</v>
          </cell>
          <cell r="D661" t="str">
            <v>H</v>
          </cell>
          <cell r="E661" t="str">
            <v>H</v>
          </cell>
          <cell r="F661" t="str">
            <v>H</v>
          </cell>
          <cell r="G661" t="str">
            <v>H</v>
          </cell>
          <cell r="H661" t="str">
            <v>H</v>
          </cell>
          <cell r="I661" t="str">
            <v>H</v>
          </cell>
          <cell r="J661" t="str">
            <v>H</v>
          </cell>
          <cell r="K661" t="str">
            <v>H</v>
          </cell>
          <cell r="L661" t="str">
            <v>H</v>
          </cell>
          <cell r="M661" t="str">
            <v>H</v>
          </cell>
          <cell r="N661" t="str">
            <v>H</v>
          </cell>
          <cell r="O661" t="str">
            <v>H</v>
          </cell>
          <cell r="P661" t="str">
            <v>H</v>
          </cell>
          <cell r="Q661" t="str">
            <v>H</v>
          </cell>
          <cell r="R661" t="str">
            <v>H</v>
          </cell>
          <cell r="S661" t="str">
            <v>H</v>
          </cell>
          <cell r="T661" t="str">
            <v>H</v>
          </cell>
          <cell r="U661" t="str">
            <v>H</v>
          </cell>
          <cell r="V661" t="str">
            <v>H</v>
          </cell>
          <cell r="W661" t="str">
            <v>H</v>
          </cell>
        </row>
        <row r="662">
          <cell r="A662">
            <v>44928</v>
          </cell>
          <cell r="B662">
            <v>55200</v>
          </cell>
          <cell r="C662">
            <v>52700</v>
          </cell>
          <cell r="D662">
            <v>55700</v>
          </cell>
          <cell r="E662">
            <v>51700</v>
          </cell>
          <cell r="F662">
            <v>56300</v>
          </cell>
          <cell r="G662" t="str">
            <v>-</v>
          </cell>
          <cell r="H662">
            <v>53500</v>
          </cell>
          <cell r="I662">
            <v>55000</v>
          </cell>
          <cell r="J662">
            <v>56500</v>
          </cell>
          <cell r="K662" t="str">
            <v>-</v>
          </cell>
          <cell r="L662">
            <v>55100</v>
          </cell>
          <cell r="M662">
            <v>56200</v>
          </cell>
          <cell r="N662">
            <v>54000</v>
          </cell>
          <cell r="O662">
            <v>52500</v>
          </cell>
          <cell r="P662">
            <v>51550</v>
          </cell>
          <cell r="Q662">
            <v>51700</v>
          </cell>
          <cell r="R662">
            <v>51500</v>
          </cell>
          <cell r="S662">
            <v>54500</v>
          </cell>
          <cell r="T662">
            <v>54300</v>
          </cell>
          <cell r="U662">
            <v>54300</v>
          </cell>
          <cell r="V662">
            <v>55100</v>
          </cell>
          <cell r="W662">
            <v>56800</v>
          </cell>
        </row>
        <row r="663">
          <cell r="A663">
            <v>44929</v>
          </cell>
          <cell r="B663">
            <v>55200</v>
          </cell>
          <cell r="C663">
            <v>53000</v>
          </cell>
          <cell r="D663">
            <v>55700</v>
          </cell>
          <cell r="E663">
            <v>51800</v>
          </cell>
          <cell r="F663">
            <v>56300</v>
          </cell>
          <cell r="G663" t="str">
            <v>-</v>
          </cell>
          <cell r="H663">
            <v>54000</v>
          </cell>
          <cell r="I663">
            <v>55400</v>
          </cell>
          <cell r="J663">
            <v>56500</v>
          </cell>
          <cell r="K663" t="str">
            <v>-</v>
          </cell>
          <cell r="L663">
            <v>55100</v>
          </cell>
          <cell r="M663">
            <v>56500</v>
          </cell>
          <cell r="N663">
            <v>54000</v>
          </cell>
          <cell r="O663">
            <v>52500</v>
          </cell>
          <cell r="P663">
            <v>51700</v>
          </cell>
          <cell r="Q663">
            <v>51500</v>
          </cell>
          <cell r="R663">
            <v>51300</v>
          </cell>
          <cell r="S663">
            <v>54300</v>
          </cell>
          <cell r="T663">
            <v>54300</v>
          </cell>
          <cell r="U663">
            <v>54300</v>
          </cell>
          <cell r="V663">
            <v>55300</v>
          </cell>
          <cell r="W663">
            <v>57000</v>
          </cell>
        </row>
        <row r="664">
          <cell r="A664">
            <v>44930</v>
          </cell>
          <cell r="B664">
            <v>55200</v>
          </cell>
          <cell r="C664">
            <v>53000</v>
          </cell>
          <cell r="D664">
            <v>55500</v>
          </cell>
          <cell r="E664">
            <v>51500</v>
          </cell>
          <cell r="F664">
            <v>56300</v>
          </cell>
          <cell r="G664" t="str">
            <v>-</v>
          </cell>
          <cell r="H664">
            <v>53500</v>
          </cell>
          <cell r="I664">
            <v>55200</v>
          </cell>
          <cell r="J664">
            <v>56500</v>
          </cell>
          <cell r="K664" t="str">
            <v>-</v>
          </cell>
          <cell r="L664">
            <v>54700</v>
          </cell>
          <cell r="M664">
            <v>56500</v>
          </cell>
          <cell r="N664">
            <v>54000</v>
          </cell>
          <cell r="O664">
            <v>52500</v>
          </cell>
          <cell r="P664">
            <v>51200</v>
          </cell>
          <cell r="Q664">
            <v>51200</v>
          </cell>
          <cell r="R664">
            <v>51100</v>
          </cell>
          <cell r="S664">
            <v>54000</v>
          </cell>
          <cell r="T664">
            <v>54300</v>
          </cell>
          <cell r="U664">
            <v>54300</v>
          </cell>
          <cell r="V664">
            <v>55300</v>
          </cell>
          <cell r="W664">
            <v>57000</v>
          </cell>
        </row>
        <row r="665">
          <cell r="A665">
            <v>44931</v>
          </cell>
          <cell r="B665">
            <v>55200</v>
          </cell>
          <cell r="C665">
            <v>53000</v>
          </cell>
          <cell r="D665">
            <v>55500</v>
          </cell>
          <cell r="E665">
            <v>51500</v>
          </cell>
          <cell r="F665">
            <v>55900</v>
          </cell>
          <cell r="G665" t="str">
            <v>-</v>
          </cell>
          <cell r="H665">
            <v>53500</v>
          </cell>
          <cell r="I665">
            <v>55500</v>
          </cell>
          <cell r="J665">
            <v>56500</v>
          </cell>
          <cell r="K665" t="str">
            <v>-</v>
          </cell>
          <cell r="L665">
            <v>55000</v>
          </cell>
          <cell r="M665">
            <v>56500</v>
          </cell>
          <cell r="N665">
            <v>54200</v>
          </cell>
          <cell r="O665">
            <v>52500</v>
          </cell>
          <cell r="P665">
            <v>51500</v>
          </cell>
          <cell r="Q665">
            <v>51500</v>
          </cell>
          <cell r="R665">
            <v>51500</v>
          </cell>
          <cell r="S665">
            <v>54000</v>
          </cell>
          <cell r="T665">
            <v>54700</v>
          </cell>
          <cell r="U665">
            <v>54300</v>
          </cell>
          <cell r="V665">
            <v>55300</v>
          </cell>
          <cell r="W665">
            <v>57000</v>
          </cell>
        </row>
        <row r="666">
          <cell r="A666">
            <v>44932</v>
          </cell>
          <cell r="B666">
            <v>55200</v>
          </cell>
          <cell r="C666">
            <v>52800</v>
          </cell>
          <cell r="D666">
            <v>55500</v>
          </cell>
          <cell r="E666">
            <v>51500</v>
          </cell>
          <cell r="F666">
            <v>55800</v>
          </cell>
          <cell r="G666" t="str">
            <v>-</v>
          </cell>
          <cell r="H666">
            <v>53000</v>
          </cell>
          <cell r="I666">
            <v>55000</v>
          </cell>
          <cell r="J666">
            <v>56300</v>
          </cell>
          <cell r="K666" t="str">
            <v>-</v>
          </cell>
          <cell r="L666">
            <v>54700</v>
          </cell>
          <cell r="M666">
            <v>56500</v>
          </cell>
          <cell r="N666">
            <v>53600</v>
          </cell>
          <cell r="O666">
            <v>52300</v>
          </cell>
          <cell r="P666">
            <v>51200</v>
          </cell>
          <cell r="Q666">
            <v>51200</v>
          </cell>
          <cell r="R666">
            <v>51200</v>
          </cell>
          <cell r="S666">
            <v>54000</v>
          </cell>
          <cell r="T666">
            <v>54500</v>
          </cell>
          <cell r="U666">
            <v>54300</v>
          </cell>
          <cell r="V666">
            <v>55300</v>
          </cell>
          <cell r="W666">
            <v>57000</v>
          </cell>
        </row>
        <row r="667">
          <cell r="A667">
            <v>44933</v>
          </cell>
          <cell r="B667">
            <v>55200</v>
          </cell>
          <cell r="C667">
            <v>53000</v>
          </cell>
          <cell r="D667">
            <v>55600</v>
          </cell>
          <cell r="E667">
            <v>51500</v>
          </cell>
          <cell r="F667">
            <v>55800</v>
          </cell>
          <cell r="G667" t="str">
            <v>-</v>
          </cell>
          <cell r="H667">
            <v>53000</v>
          </cell>
          <cell r="I667">
            <v>55000</v>
          </cell>
          <cell r="J667">
            <v>56200</v>
          </cell>
          <cell r="K667" t="str">
            <v>-</v>
          </cell>
          <cell r="L667">
            <v>54400</v>
          </cell>
          <cell r="M667">
            <v>56500</v>
          </cell>
          <cell r="N667">
            <v>53600</v>
          </cell>
          <cell r="O667">
            <v>52300</v>
          </cell>
          <cell r="P667">
            <v>51200</v>
          </cell>
          <cell r="Q667">
            <v>51200</v>
          </cell>
          <cell r="R667">
            <v>51000</v>
          </cell>
          <cell r="S667">
            <v>54000</v>
          </cell>
          <cell r="T667">
            <v>54500</v>
          </cell>
          <cell r="U667">
            <v>54300</v>
          </cell>
          <cell r="V667">
            <v>55100</v>
          </cell>
          <cell r="W667">
            <v>57000</v>
          </cell>
        </row>
        <row r="668">
          <cell r="A668">
            <v>44934</v>
          </cell>
          <cell r="B668" t="str">
            <v>H</v>
          </cell>
          <cell r="C668" t="str">
            <v>H</v>
          </cell>
          <cell r="D668" t="str">
            <v>H</v>
          </cell>
          <cell r="E668" t="str">
            <v>H</v>
          </cell>
          <cell r="F668" t="str">
            <v>H</v>
          </cell>
          <cell r="G668" t="str">
            <v>H</v>
          </cell>
          <cell r="H668" t="str">
            <v>H</v>
          </cell>
          <cell r="I668" t="str">
            <v>H</v>
          </cell>
          <cell r="J668" t="str">
            <v>H</v>
          </cell>
          <cell r="K668" t="str">
            <v>H</v>
          </cell>
          <cell r="L668" t="str">
            <v>H</v>
          </cell>
          <cell r="M668" t="str">
            <v>H</v>
          </cell>
          <cell r="N668" t="str">
            <v>H</v>
          </cell>
          <cell r="O668" t="str">
            <v>H</v>
          </cell>
          <cell r="P668" t="str">
            <v>H</v>
          </cell>
          <cell r="Q668" t="str">
            <v>H</v>
          </cell>
          <cell r="R668" t="str">
            <v>H</v>
          </cell>
          <cell r="S668" t="str">
            <v>H</v>
          </cell>
          <cell r="T668" t="str">
            <v>H</v>
          </cell>
          <cell r="U668" t="str">
            <v>H</v>
          </cell>
          <cell r="V668" t="str">
            <v>H</v>
          </cell>
          <cell r="W668" t="str">
            <v>H</v>
          </cell>
        </row>
        <row r="669">
          <cell r="A669">
            <v>44935</v>
          </cell>
          <cell r="B669">
            <v>55000</v>
          </cell>
          <cell r="C669">
            <v>53000</v>
          </cell>
          <cell r="D669">
            <v>55200</v>
          </cell>
          <cell r="E669">
            <v>51100</v>
          </cell>
          <cell r="F669">
            <v>54900</v>
          </cell>
          <cell r="G669" t="str">
            <v>-</v>
          </cell>
          <cell r="H669">
            <v>53000</v>
          </cell>
          <cell r="I669">
            <v>54600</v>
          </cell>
          <cell r="J669">
            <v>55900</v>
          </cell>
          <cell r="K669" t="str">
            <v>-</v>
          </cell>
          <cell r="L669">
            <v>54100</v>
          </cell>
          <cell r="M669">
            <v>55800</v>
          </cell>
          <cell r="N669">
            <v>52800</v>
          </cell>
          <cell r="O669">
            <v>52200</v>
          </cell>
          <cell r="P669">
            <v>50800</v>
          </cell>
          <cell r="Q669">
            <v>50900</v>
          </cell>
          <cell r="R669">
            <v>50800</v>
          </cell>
          <cell r="S669">
            <v>53600</v>
          </cell>
          <cell r="T669">
            <v>54000</v>
          </cell>
          <cell r="U669">
            <v>54300</v>
          </cell>
          <cell r="V669">
            <v>54900</v>
          </cell>
          <cell r="W669">
            <v>57000</v>
          </cell>
        </row>
        <row r="670">
          <cell r="A670">
            <v>44936</v>
          </cell>
          <cell r="B670">
            <v>55000</v>
          </cell>
          <cell r="C670">
            <v>53300</v>
          </cell>
          <cell r="D670">
            <v>54800</v>
          </cell>
          <cell r="E670">
            <v>50700</v>
          </cell>
          <cell r="F670">
            <v>54800</v>
          </cell>
          <cell r="G670" t="str">
            <v>-</v>
          </cell>
          <cell r="H670">
            <v>53000</v>
          </cell>
          <cell r="I670">
            <v>54300</v>
          </cell>
          <cell r="J670">
            <v>55500</v>
          </cell>
          <cell r="K670" t="str">
            <v>-</v>
          </cell>
          <cell r="L670">
            <v>53800</v>
          </cell>
          <cell r="M670">
            <v>55600</v>
          </cell>
          <cell r="N670">
            <v>52600</v>
          </cell>
          <cell r="O670">
            <v>52200</v>
          </cell>
          <cell r="P670">
            <v>50600</v>
          </cell>
          <cell r="Q670">
            <v>50800</v>
          </cell>
          <cell r="R670">
            <v>50700</v>
          </cell>
          <cell r="S670">
            <v>53200</v>
          </cell>
          <cell r="T670">
            <v>53800</v>
          </cell>
          <cell r="U670">
            <v>54300</v>
          </cell>
          <cell r="V670">
            <v>54500</v>
          </cell>
          <cell r="W670">
            <v>56800</v>
          </cell>
        </row>
        <row r="671">
          <cell r="A671">
            <v>44937</v>
          </cell>
          <cell r="B671">
            <v>55500</v>
          </cell>
          <cell r="C671">
            <v>53300</v>
          </cell>
          <cell r="D671">
            <v>54800</v>
          </cell>
          <cell r="E671">
            <v>51400</v>
          </cell>
          <cell r="F671">
            <v>55100</v>
          </cell>
          <cell r="G671" t="str">
            <v>-</v>
          </cell>
          <cell r="H671">
            <v>53000</v>
          </cell>
          <cell r="I671">
            <v>54300</v>
          </cell>
          <cell r="J671">
            <v>56200</v>
          </cell>
          <cell r="K671" t="str">
            <v>-</v>
          </cell>
          <cell r="L671">
            <v>53800</v>
          </cell>
          <cell r="M671">
            <v>55900</v>
          </cell>
          <cell r="N671">
            <v>53200</v>
          </cell>
          <cell r="O671">
            <v>52200</v>
          </cell>
          <cell r="P671">
            <v>50800</v>
          </cell>
          <cell r="Q671">
            <v>51600</v>
          </cell>
          <cell r="R671">
            <v>51000</v>
          </cell>
          <cell r="S671">
            <v>53900</v>
          </cell>
          <cell r="T671">
            <v>54000</v>
          </cell>
          <cell r="U671">
            <v>54300</v>
          </cell>
          <cell r="V671">
            <v>54700</v>
          </cell>
          <cell r="W671">
            <v>56800</v>
          </cell>
        </row>
        <row r="672">
          <cell r="A672">
            <v>44938</v>
          </cell>
          <cell r="B672">
            <v>56100</v>
          </cell>
          <cell r="C672">
            <v>53500</v>
          </cell>
          <cell r="D672">
            <v>55200</v>
          </cell>
          <cell r="E672">
            <v>51700</v>
          </cell>
          <cell r="F672">
            <v>55300</v>
          </cell>
          <cell r="G672" t="str">
            <v>-</v>
          </cell>
          <cell r="H672">
            <v>53500</v>
          </cell>
          <cell r="I672">
            <v>55000</v>
          </cell>
          <cell r="J672">
            <v>56500</v>
          </cell>
          <cell r="K672" t="str">
            <v>-</v>
          </cell>
          <cell r="L672">
            <v>54500</v>
          </cell>
          <cell r="M672">
            <v>56300</v>
          </cell>
          <cell r="N672">
            <v>53500</v>
          </cell>
          <cell r="O672">
            <v>52700</v>
          </cell>
          <cell r="P672">
            <v>51350</v>
          </cell>
          <cell r="Q672">
            <v>51800</v>
          </cell>
          <cell r="R672">
            <v>51300</v>
          </cell>
          <cell r="S672">
            <v>54200</v>
          </cell>
          <cell r="T672">
            <v>54400</v>
          </cell>
          <cell r="U672">
            <v>54300</v>
          </cell>
          <cell r="V672">
            <v>55100</v>
          </cell>
          <cell r="W672">
            <v>57500</v>
          </cell>
        </row>
        <row r="673">
          <cell r="A673">
            <v>44939</v>
          </cell>
          <cell r="B673">
            <v>56300</v>
          </cell>
          <cell r="C673">
            <v>53800</v>
          </cell>
          <cell r="D673">
            <v>55500</v>
          </cell>
          <cell r="E673">
            <v>52300</v>
          </cell>
          <cell r="F673">
            <v>55300</v>
          </cell>
          <cell r="G673" t="str">
            <v>-</v>
          </cell>
          <cell r="H673">
            <v>54000</v>
          </cell>
          <cell r="I673">
            <v>55500</v>
          </cell>
          <cell r="J673">
            <v>56800</v>
          </cell>
          <cell r="K673" t="str">
            <v>-</v>
          </cell>
          <cell r="L673">
            <v>54800</v>
          </cell>
          <cell r="M673">
            <v>56700</v>
          </cell>
          <cell r="N673">
            <v>54000</v>
          </cell>
          <cell r="O673">
            <v>53000</v>
          </cell>
          <cell r="P673">
            <v>52000</v>
          </cell>
          <cell r="Q673">
            <v>52300</v>
          </cell>
          <cell r="R673">
            <v>51800</v>
          </cell>
          <cell r="S673">
            <v>55000</v>
          </cell>
          <cell r="T673">
            <v>55000</v>
          </cell>
          <cell r="U673">
            <v>54800</v>
          </cell>
          <cell r="V673">
            <v>55300</v>
          </cell>
          <cell r="W673">
            <v>57800</v>
          </cell>
        </row>
        <row r="674">
          <cell r="A674">
            <v>44940</v>
          </cell>
          <cell r="B674" t="str">
            <v>-</v>
          </cell>
          <cell r="C674">
            <v>53800</v>
          </cell>
          <cell r="D674">
            <v>55700</v>
          </cell>
          <cell r="E674">
            <v>52500</v>
          </cell>
          <cell r="F674">
            <v>55900</v>
          </cell>
          <cell r="G674" t="str">
            <v>-</v>
          </cell>
          <cell r="H674">
            <v>54000</v>
          </cell>
          <cell r="I674">
            <v>55500</v>
          </cell>
          <cell r="J674">
            <v>56800</v>
          </cell>
          <cell r="K674" t="str">
            <v>-</v>
          </cell>
          <cell r="L674">
            <v>55100</v>
          </cell>
          <cell r="M674">
            <v>57100</v>
          </cell>
          <cell r="N674">
            <v>54000</v>
          </cell>
          <cell r="O674">
            <v>53300</v>
          </cell>
          <cell r="P674">
            <v>52300</v>
          </cell>
          <cell r="Q674">
            <v>52500</v>
          </cell>
          <cell r="R674">
            <v>52300</v>
          </cell>
          <cell r="S674">
            <v>55200</v>
          </cell>
          <cell r="T674">
            <v>55300</v>
          </cell>
          <cell r="U674">
            <v>54800</v>
          </cell>
          <cell r="V674">
            <v>55400</v>
          </cell>
          <cell r="W674">
            <v>58000</v>
          </cell>
        </row>
        <row r="675">
          <cell r="A675">
            <v>44941</v>
          </cell>
          <cell r="B675" t="str">
            <v>H</v>
          </cell>
          <cell r="C675" t="str">
            <v>H</v>
          </cell>
          <cell r="D675" t="str">
            <v>H</v>
          </cell>
          <cell r="E675" t="str">
            <v>H</v>
          </cell>
          <cell r="F675" t="str">
            <v>H</v>
          </cell>
          <cell r="G675" t="str">
            <v>H</v>
          </cell>
          <cell r="H675" t="str">
            <v>H</v>
          </cell>
          <cell r="I675" t="str">
            <v>H</v>
          </cell>
          <cell r="J675" t="str">
            <v>H</v>
          </cell>
          <cell r="K675" t="str">
            <v>H</v>
          </cell>
          <cell r="L675" t="str">
            <v>H</v>
          </cell>
          <cell r="M675" t="str">
            <v>H</v>
          </cell>
          <cell r="N675" t="str">
            <v>H</v>
          </cell>
          <cell r="O675" t="str">
            <v>H</v>
          </cell>
          <cell r="P675" t="str">
            <v>H</v>
          </cell>
          <cell r="Q675" t="str">
            <v>H</v>
          </cell>
          <cell r="R675" t="str">
            <v>H</v>
          </cell>
          <cell r="S675" t="str">
            <v>H</v>
          </cell>
          <cell r="T675" t="str">
            <v>H</v>
          </cell>
          <cell r="U675" t="str">
            <v>H</v>
          </cell>
          <cell r="V675" t="str">
            <v>H</v>
          </cell>
          <cell r="W675" t="str">
            <v>H</v>
          </cell>
        </row>
        <row r="676">
          <cell r="A676">
            <v>44942</v>
          </cell>
          <cell r="B676">
            <v>56800</v>
          </cell>
          <cell r="C676">
            <v>54000</v>
          </cell>
          <cell r="D676">
            <v>56000</v>
          </cell>
          <cell r="E676">
            <v>53500</v>
          </cell>
          <cell r="F676">
            <v>56500</v>
          </cell>
          <cell r="G676" t="str">
            <v>-</v>
          </cell>
          <cell r="H676">
            <v>54500</v>
          </cell>
          <cell r="I676">
            <v>55900</v>
          </cell>
          <cell r="J676">
            <v>57500</v>
          </cell>
          <cell r="K676" t="str">
            <v>-</v>
          </cell>
          <cell r="L676">
            <v>55200</v>
          </cell>
          <cell r="M676">
            <v>57500</v>
          </cell>
          <cell r="N676">
            <v>54600</v>
          </cell>
          <cell r="O676">
            <v>54300</v>
          </cell>
          <cell r="P676">
            <v>52500</v>
          </cell>
          <cell r="Q676">
            <v>52700</v>
          </cell>
          <cell r="R676">
            <v>52500</v>
          </cell>
          <cell r="S676">
            <v>56200</v>
          </cell>
          <cell r="T676">
            <v>55500</v>
          </cell>
          <cell r="U676">
            <v>54800</v>
          </cell>
          <cell r="V676">
            <v>56300</v>
          </cell>
          <cell r="W676">
            <v>58400</v>
          </cell>
        </row>
        <row r="677">
          <cell r="A677">
            <v>44943</v>
          </cell>
          <cell r="B677">
            <v>56800</v>
          </cell>
          <cell r="C677">
            <v>54000</v>
          </cell>
          <cell r="D677">
            <v>56000</v>
          </cell>
          <cell r="E677">
            <v>52500</v>
          </cell>
          <cell r="F677">
            <v>56500</v>
          </cell>
          <cell r="G677" t="str">
            <v>-</v>
          </cell>
          <cell r="H677">
            <v>54500</v>
          </cell>
          <cell r="I677">
            <v>55700</v>
          </cell>
          <cell r="J677">
            <v>57500</v>
          </cell>
          <cell r="K677" t="str">
            <v>-</v>
          </cell>
          <cell r="L677">
            <v>55000</v>
          </cell>
          <cell r="M677">
            <v>57500</v>
          </cell>
          <cell r="N677">
            <v>54200</v>
          </cell>
          <cell r="O677">
            <v>54100</v>
          </cell>
          <cell r="P677">
            <v>52000</v>
          </cell>
          <cell r="Q677">
            <v>52700</v>
          </cell>
          <cell r="R677">
            <v>52200</v>
          </cell>
          <cell r="S677">
            <v>55200</v>
          </cell>
          <cell r="T677">
            <v>55500</v>
          </cell>
          <cell r="U677">
            <v>54800</v>
          </cell>
          <cell r="V677">
            <v>56300</v>
          </cell>
          <cell r="W677">
            <v>58400</v>
          </cell>
        </row>
        <row r="678">
          <cell r="A678">
            <v>44944</v>
          </cell>
          <cell r="B678">
            <v>56800</v>
          </cell>
          <cell r="C678">
            <v>54000</v>
          </cell>
          <cell r="D678">
            <v>55500</v>
          </cell>
          <cell r="E678">
            <v>52300</v>
          </cell>
          <cell r="F678">
            <v>56300</v>
          </cell>
          <cell r="G678" t="str">
            <v>-</v>
          </cell>
          <cell r="H678">
            <v>54000</v>
          </cell>
          <cell r="I678">
            <v>55500</v>
          </cell>
          <cell r="J678">
            <v>57200</v>
          </cell>
          <cell r="K678" t="str">
            <v>-</v>
          </cell>
          <cell r="L678">
            <v>54800</v>
          </cell>
          <cell r="M678">
            <v>57500</v>
          </cell>
          <cell r="N678">
            <v>54500</v>
          </cell>
          <cell r="O678">
            <v>53800</v>
          </cell>
          <cell r="P678">
            <v>51900</v>
          </cell>
          <cell r="Q678">
            <v>52400</v>
          </cell>
          <cell r="R678">
            <v>52000</v>
          </cell>
          <cell r="S678">
            <v>55000</v>
          </cell>
          <cell r="T678">
            <v>55200</v>
          </cell>
          <cell r="U678">
            <v>54800</v>
          </cell>
          <cell r="V678">
            <v>56300</v>
          </cell>
          <cell r="W678">
            <v>58400</v>
          </cell>
        </row>
        <row r="679">
          <cell r="A679">
            <v>44945</v>
          </cell>
          <cell r="B679">
            <v>56600</v>
          </cell>
          <cell r="C679">
            <v>54000</v>
          </cell>
          <cell r="D679">
            <v>55200</v>
          </cell>
          <cell r="E679">
            <v>52200</v>
          </cell>
          <cell r="F679">
            <v>55800</v>
          </cell>
          <cell r="G679" t="str">
            <v>-</v>
          </cell>
          <cell r="H679">
            <v>53500</v>
          </cell>
          <cell r="I679">
            <v>55100</v>
          </cell>
          <cell r="J679">
            <v>57000</v>
          </cell>
          <cell r="K679" t="str">
            <v>-</v>
          </cell>
          <cell r="L679">
            <v>54400</v>
          </cell>
          <cell r="M679">
            <v>57000</v>
          </cell>
          <cell r="N679">
            <v>53800</v>
          </cell>
          <cell r="O679">
            <v>53600</v>
          </cell>
          <cell r="P679">
            <v>52000</v>
          </cell>
          <cell r="Q679">
            <v>52200</v>
          </cell>
          <cell r="R679">
            <v>51800</v>
          </cell>
          <cell r="S679">
            <v>54900</v>
          </cell>
          <cell r="T679">
            <v>55000</v>
          </cell>
          <cell r="U679">
            <v>54800</v>
          </cell>
          <cell r="V679">
            <v>56300</v>
          </cell>
          <cell r="W679">
            <v>58400</v>
          </cell>
        </row>
        <row r="680">
          <cell r="A680">
            <v>44946</v>
          </cell>
          <cell r="B680">
            <v>56500</v>
          </cell>
          <cell r="C680">
            <v>54300</v>
          </cell>
          <cell r="D680">
            <v>55200</v>
          </cell>
          <cell r="E680">
            <v>52000</v>
          </cell>
          <cell r="F680">
            <v>55800</v>
          </cell>
          <cell r="G680" t="str">
            <v>-</v>
          </cell>
          <cell r="H680">
            <v>54000</v>
          </cell>
          <cell r="I680">
            <v>55500</v>
          </cell>
          <cell r="J680">
            <v>56900</v>
          </cell>
          <cell r="K680" t="str">
            <v>-</v>
          </cell>
          <cell r="L680">
            <v>54400</v>
          </cell>
          <cell r="M680">
            <v>57000</v>
          </cell>
          <cell r="N680">
            <v>54000</v>
          </cell>
          <cell r="O680">
            <v>53400</v>
          </cell>
          <cell r="P680">
            <v>51800</v>
          </cell>
          <cell r="Q680">
            <v>52200</v>
          </cell>
          <cell r="R680">
            <v>51700</v>
          </cell>
          <cell r="S680">
            <v>55000</v>
          </cell>
          <cell r="T680">
            <v>55000</v>
          </cell>
          <cell r="U680">
            <v>54800</v>
          </cell>
          <cell r="V680">
            <v>56300</v>
          </cell>
          <cell r="W680">
            <v>58400</v>
          </cell>
        </row>
        <row r="681">
          <cell r="A681">
            <v>44947</v>
          </cell>
          <cell r="B681">
            <v>56500</v>
          </cell>
          <cell r="C681">
            <v>54300</v>
          </cell>
          <cell r="D681">
            <v>55000</v>
          </cell>
          <cell r="E681">
            <v>51800</v>
          </cell>
          <cell r="F681">
            <v>55800</v>
          </cell>
          <cell r="G681" t="str">
            <v>-</v>
          </cell>
          <cell r="H681">
            <v>54000</v>
          </cell>
          <cell r="I681">
            <v>55000</v>
          </cell>
          <cell r="J681">
            <v>56900</v>
          </cell>
          <cell r="K681" t="str">
            <v>-</v>
          </cell>
          <cell r="L681">
            <v>53800</v>
          </cell>
          <cell r="M681">
            <v>57000</v>
          </cell>
          <cell r="N681">
            <v>53800</v>
          </cell>
          <cell r="O681">
            <v>53100</v>
          </cell>
          <cell r="P681">
            <v>51300</v>
          </cell>
          <cell r="Q681">
            <v>51900</v>
          </cell>
          <cell r="R681">
            <v>51300</v>
          </cell>
          <cell r="S681">
            <v>54500</v>
          </cell>
          <cell r="T681">
            <v>54800</v>
          </cell>
          <cell r="U681">
            <v>54800</v>
          </cell>
          <cell r="V681">
            <v>56000</v>
          </cell>
          <cell r="W681">
            <v>58200</v>
          </cell>
        </row>
        <row r="682">
          <cell r="A682">
            <v>44948</v>
          </cell>
          <cell r="B682" t="str">
            <v>H</v>
          </cell>
          <cell r="C682" t="str">
            <v>H</v>
          </cell>
          <cell r="D682" t="str">
            <v>H</v>
          </cell>
          <cell r="E682" t="str">
            <v>H</v>
          </cell>
          <cell r="F682" t="str">
            <v>H</v>
          </cell>
          <cell r="G682" t="str">
            <v>H</v>
          </cell>
          <cell r="H682" t="str">
            <v>H</v>
          </cell>
          <cell r="I682" t="str">
            <v>H</v>
          </cell>
          <cell r="J682" t="str">
            <v>H</v>
          </cell>
          <cell r="K682" t="str">
            <v>H</v>
          </cell>
          <cell r="L682" t="str">
            <v>H</v>
          </cell>
          <cell r="M682" t="str">
            <v>H</v>
          </cell>
          <cell r="N682" t="str">
            <v>H</v>
          </cell>
          <cell r="O682" t="str">
            <v>H</v>
          </cell>
          <cell r="P682" t="str">
            <v>H</v>
          </cell>
          <cell r="Q682" t="str">
            <v>H</v>
          </cell>
          <cell r="R682" t="str">
            <v>H</v>
          </cell>
          <cell r="S682" t="str">
            <v>H</v>
          </cell>
          <cell r="T682" t="str">
            <v>H</v>
          </cell>
          <cell r="U682" t="str">
            <v>H</v>
          </cell>
          <cell r="V682" t="str">
            <v>H</v>
          </cell>
          <cell r="W682" t="str">
            <v>H</v>
          </cell>
        </row>
        <row r="683">
          <cell r="A683">
            <v>44949</v>
          </cell>
          <cell r="B683">
            <v>56500</v>
          </cell>
          <cell r="C683">
            <v>54500</v>
          </cell>
          <cell r="D683">
            <v>55300</v>
          </cell>
          <cell r="E683">
            <v>51800</v>
          </cell>
          <cell r="F683">
            <v>55800</v>
          </cell>
          <cell r="G683" t="str">
            <v>-</v>
          </cell>
          <cell r="H683">
            <v>54000</v>
          </cell>
          <cell r="I683">
            <v>55000</v>
          </cell>
          <cell r="J683">
            <v>56900</v>
          </cell>
          <cell r="K683" t="str">
            <v>-</v>
          </cell>
          <cell r="L683">
            <v>54200</v>
          </cell>
          <cell r="M683">
            <v>57300</v>
          </cell>
          <cell r="N683">
            <v>53800</v>
          </cell>
          <cell r="O683">
            <v>53300</v>
          </cell>
          <cell r="P683">
            <v>51400</v>
          </cell>
          <cell r="Q683">
            <v>51900</v>
          </cell>
          <cell r="R683">
            <v>51400</v>
          </cell>
          <cell r="S683">
            <v>54300</v>
          </cell>
          <cell r="T683">
            <v>54800</v>
          </cell>
          <cell r="U683">
            <v>54800</v>
          </cell>
          <cell r="V683">
            <v>56000</v>
          </cell>
          <cell r="W683">
            <v>58200</v>
          </cell>
        </row>
        <row r="684">
          <cell r="A684">
            <v>44950</v>
          </cell>
          <cell r="B684">
            <v>56300</v>
          </cell>
          <cell r="C684">
            <v>54500</v>
          </cell>
          <cell r="D684">
            <v>55300</v>
          </cell>
          <cell r="E684">
            <v>51400</v>
          </cell>
          <cell r="F684">
            <v>55800</v>
          </cell>
          <cell r="G684" t="str">
            <v>-</v>
          </cell>
          <cell r="H684">
            <v>53500</v>
          </cell>
          <cell r="I684">
            <v>54700</v>
          </cell>
          <cell r="J684">
            <v>57000</v>
          </cell>
          <cell r="K684" t="str">
            <v>-</v>
          </cell>
          <cell r="L684">
            <v>54000</v>
          </cell>
          <cell r="M684">
            <v>58300</v>
          </cell>
          <cell r="N684">
            <v>53500</v>
          </cell>
          <cell r="O684">
            <v>53000</v>
          </cell>
          <cell r="P684">
            <v>51250</v>
          </cell>
          <cell r="Q684">
            <v>51700</v>
          </cell>
          <cell r="R684">
            <v>51300</v>
          </cell>
          <cell r="S684">
            <v>53900</v>
          </cell>
          <cell r="T684">
            <v>54800</v>
          </cell>
          <cell r="U684">
            <v>54800</v>
          </cell>
          <cell r="V684">
            <v>55800</v>
          </cell>
          <cell r="W684">
            <v>58000</v>
          </cell>
        </row>
        <row r="685">
          <cell r="A685">
            <v>44951</v>
          </cell>
          <cell r="B685">
            <v>56000</v>
          </cell>
          <cell r="C685">
            <v>54300</v>
          </cell>
          <cell r="D685">
            <v>55300</v>
          </cell>
          <cell r="E685">
            <v>51200</v>
          </cell>
          <cell r="F685">
            <v>55800</v>
          </cell>
          <cell r="G685" t="str">
            <v>-</v>
          </cell>
          <cell r="H685">
            <v>53500</v>
          </cell>
          <cell r="I685">
            <v>54500</v>
          </cell>
          <cell r="J685">
            <v>57000</v>
          </cell>
          <cell r="K685" t="str">
            <v>-</v>
          </cell>
          <cell r="L685">
            <v>54100</v>
          </cell>
          <cell r="M685">
            <v>58300</v>
          </cell>
          <cell r="N685">
            <v>53500</v>
          </cell>
          <cell r="O685">
            <v>53000</v>
          </cell>
          <cell r="P685">
            <v>51100</v>
          </cell>
          <cell r="Q685">
            <v>51600</v>
          </cell>
          <cell r="R685">
            <v>51100</v>
          </cell>
          <cell r="S685">
            <v>53700</v>
          </cell>
          <cell r="T685">
            <v>54600</v>
          </cell>
          <cell r="U685">
            <v>54800</v>
          </cell>
          <cell r="V685">
            <v>55800</v>
          </cell>
          <cell r="W685">
            <v>58000</v>
          </cell>
        </row>
        <row r="686">
          <cell r="A686">
            <v>44952</v>
          </cell>
          <cell r="B686" t="str">
            <v>H</v>
          </cell>
          <cell r="C686" t="str">
            <v>H</v>
          </cell>
          <cell r="D686" t="str">
            <v>H</v>
          </cell>
          <cell r="E686" t="str">
            <v>H</v>
          </cell>
          <cell r="F686" t="str">
            <v>H</v>
          </cell>
          <cell r="G686" t="str">
            <v>H</v>
          </cell>
          <cell r="H686" t="str">
            <v>H</v>
          </cell>
          <cell r="I686" t="str">
            <v>H</v>
          </cell>
          <cell r="J686" t="str">
            <v>H</v>
          </cell>
          <cell r="K686" t="str">
            <v>H</v>
          </cell>
          <cell r="L686" t="str">
            <v>H</v>
          </cell>
          <cell r="M686" t="str">
            <v>H</v>
          </cell>
          <cell r="N686" t="str">
            <v>H</v>
          </cell>
          <cell r="O686" t="str">
            <v>H</v>
          </cell>
          <cell r="P686" t="str">
            <v>H</v>
          </cell>
          <cell r="Q686" t="str">
            <v>H</v>
          </cell>
          <cell r="R686" t="str">
            <v>H</v>
          </cell>
          <cell r="S686" t="str">
            <v>H</v>
          </cell>
          <cell r="T686" t="str">
            <v>H</v>
          </cell>
          <cell r="U686" t="str">
            <v>H</v>
          </cell>
          <cell r="V686" t="str">
            <v>H</v>
          </cell>
          <cell r="W686" t="str">
            <v>H</v>
          </cell>
        </row>
        <row r="687">
          <cell r="A687">
            <v>44953</v>
          </cell>
          <cell r="B687">
            <v>56300</v>
          </cell>
          <cell r="C687">
            <v>54300</v>
          </cell>
          <cell r="D687">
            <v>55000</v>
          </cell>
          <cell r="E687">
            <v>51500</v>
          </cell>
          <cell r="F687">
            <v>56100</v>
          </cell>
          <cell r="G687" t="str">
            <v>-</v>
          </cell>
          <cell r="H687">
            <v>53500</v>
          </cell>
          <cell r="I687">
            <v>54600</v>
          </cell>
          <cell r="J687">
            <v>57300</v>
          </cell>
          <cell r="K687" t="str">
            <v>-</v>
          </cell>
          <cell r="L687">
            <v>54100</v>
          </cell>
          <cell r="M687">
            <v>58600</v>
          </cell>
          <cell r="N687">
            <v>53800</v>
          </cell>
          <cell r="O687">
            <v>52500</v>
          </cell>
          <cell r="P687">
            <v>51450</v>
          </cell>
          <cell r="Q687">
            <v>51700</v>
          </cell>
          <cell r="R687">
            <v>51300</v>
          </cell>
          <cell r="S687">
            <v>54000</v>
          </cell>
          <cell r="T687">
            <v>54600</v>
          </cell>
          <cell r="U687">
            <v>54800</v>
          </cell>
          <cell r="V687">
            <v>55200</v>
          </cell>
          <cell r="W687">
            <v>57700</v>
          </cell>
        </row>
        <row r="688">
          <cell r="A688">
            <v>44954</v>
          </cell>
          <cell r="B688">
            <v>56300</v>
          </cell>
          <cell r="C688">
            <v>54300</v>
          </cell>
          <cell r="D688">
            <v>55000</v>
          </cell>
          <cell r="E688">
            <v>51300</v>
          </cell>
          <cell r="F688">
            <v>55900</v>
          </cell>
          <cell r="G688" t="str">
            <v>-</v>
          </cell>
          <cell r="H688">
            <v>53500</v>
          </cell>
          <cell r="I688">
            <v>54600</v>
          </cell>
          <cell r="J688">
            <v>57300</v>
          </cell>
          <cell r="K688" t="str">
            <v>-</v>
          </cell>
          <cell r="L688">
            <v>54100</v>
          </cell>
          <cell r="M688">
            <v>58600</v>
          </cell>
          <cell r="N688">
            <v>53400</v>
          </cell>
          <cell r="O688">
            <v>52500</v>
          </cell>
          <cell r="P688">
            <v>51200</v>
          </cell>
          <cell r="Q688">
            <v>51700</v>
          </cell>
          <cell r="R688">
            <v>51300</v>
          </cell>
          <cell r="S688">
            <v>53800</v>
          </cell>
          <cell r="T688">
            <v>54500</v>
          </cell>
          <cell r="U688">
            <v>54800</v>
          </cell>
          <cell r="V688">
            <v>55200</v>
          </cell>
          <cell r="W688">
            <v>57700</v>
          </cell>
        </row>
        <row r="689">
          <cell r="A689">
            <v>44955</v>
          </cell>
          <cell r="B689" t="str">
            <v>H</v>
          </cell>
          <cell r="C689" t="str">
            <v>H</v>
          </cell>
          <cell r="D689" t="str">
            <v>H</v>
          </cell>
          <cell r="E689" t="str">
            <v>H</v>
          </cell>
          <cell r="F689" t="str">
            <v>H</v>
          </cell>
          <cell r="G689" t="str">
            <v>H</v>
          </cell>
          <cell r="H689" t="str">
            <v>H</v>
          </cell>
          <cell r="I689" t="str">
            <v>H</v>
          </cell>
          <cell r="J689" t="str">
            <v>H</v>
          </cell>
          <cell r="K689" t="str">
            <v>H</v>
          </cell>
          <cell r="L689" t="str">
            <v>H</v>
          </cell>
          <cell r="M689" t="str">
            <v>H</v>
          </cell>
          <cell r="N689" t="str">
            <v>H</v>
          </cell>
          <cell r="O689" t="str">
            <v>H</v>
          </cell>
          <cell r="P689" t="str">
            <v>H</v>
          </cell>
          <cell r="Q689" t="str">
            <v>H</v>
          </cell>
          <cell r="R689" t="str">
            <v>H</v>
          </cell>
          <cell r="S689" t="str">
            <v>H</v>
          </cell>
          <cell r="T689" t="str">
            <v>H</v>
          </cell>
          <cell r="U689" t="str">
            <v>H</v>
          </cell>
          <cell r="V689" t="str">
            <v>H</v>
          </cell>
          <cell r="W689" t="str">
            <v>H</v>
          </cell>
        </row>
        <row r="690">
          <cell r="A690">
            <v>44956</v>
          </cell>
          <cell r="B690">
            <v>55900</v>
          </cell>
          <cell r="C690">
            <v>54200</v>
          </cell>
          <cell r="D690">
            <v>54900</v>
          </cell>
          <cell r="E690">
            <v>50900</v>
          </cell>
          <cell r="F690">
            <v>55900</v>
          </cell>
          <cell r="G690" t="str">
            <v>-</v>
          </cell>
          <cell r="H690">
            <v>54000</v>
          </cell>
          <cell r="I690">
            <v>54600</v>
          </cell>
          <cell r="J690">
            <v>57300</v>
          </cell>
          <cell r="K690" t="str">
            <v>-</v>
          </cell>
          <cell r="L690">
            <v>54100</v>
          </cell>
          <cell r="M690">
            <v>58600</v>
          </cell>
          <cell r="N690">
            <v>53000</v>
          </cell>
          <cell r="O690">
            <v>52500</v>
          </cell>
          <cell r="P690">
            <v>50800</v>
          </cell>
          <cell r="Q690">
            <v>51700</v>
          </cell>
          <cell r="R690">
            <v>51000</v>
          </cell>
          <cell r="S690">
            <v>53400</v>
          </cell>
          <cell r="T690">
            <v>54500</v>
          </cell>
          <cell r="U690">
            <v>54800</v>
          </cell>
          <cell r="V690">
            <v>55200</v>
          </cell>
          <cell r="W690">
            <v>57700</v>
          </cell>
        </row>
        <row r="691">
          <cell r="A691">
            <v>44957</v>
          </cell>
          <cell r="B691">
            <v>55600</v>
          </cell>
          <cell r="C691">
            <v>54500</v>
          </cell>
          <cell r="D691">
            <v>54900</v>
          </cell>
          <cell r="E691">
            <v>50500</v>
          </cell>
          <cell r="F691">
            <v>55900</v>
          </cell>
          <cell r="G691" t="str">
            <v>-</v>
          </cell>
          <cell r="H691">
            <v>53500</v>
          </cell>
          <cell r="I691">
            <v>54400</v>
          </cell>
          <cell r="J691">
            <v>56800</v>
          </cell>
          <cell r="K691" t="str">
            <v>-</v>
          </cell>
          <cell r="L691">
            <v>53800</v>
          </cell>
          <cell r="M691">
            <v>58600</v>
          </cell>
          <cell r="N691">
            <v>52800</v>
          </cell>
          <cell r="O691">
            <v>52300</v>
          </cell>
          <cell r="P691">
            <v>50500</v>
          </cell>
          <cell r="Q691">
            <v>51500</v>
          </cell>
          <cell r="R691">
            <v>51000</v>
          </cell>
          <cell r="S691">
            <v>53000</v>
          </cell>
          <cell r="T691">
            <v>54200</v>
          </cell>
          <cell r="U691">
            <v>54800</v>
          </cell>
          <cell r="V691">
            <v>55600</v>
          </cell>
          <cell r="W691">
            <v>58100</v>
          </cell>
        </row>
        <row r="692">
          <cell r="A692">
            <v>44958</v>
          </cell>
          <cell r="B692">
            <v>55600</v>
          </cell>
          <cell r="C692">
            <v>54700</v>
          </cell>
          <cell r="D692">
            <v>55000</v>
          </cell>
          <cell r="E692">
            <v>50800</v>
          </cell>
          <cell r="F692">
            <v>56000</v>
          </cell>
          <cell r="G692" t="str">
            <v>-</v>
          </cell>
          <cell r="H692">
            <v>54000</v>
          </cell>
          <cell r="I692">
            <v>54400</v>
          </cell>
          <cell r="J692">
            <v>56800</v>
          </cell>
          <cell r="K692" t="str">
            <v>-</v>
          </cell>
          <cell r="L692">
            <v>54100</v>
          </cell>
          <cell r="M692">
            <v>58600</v>
          </cell>
          <cell r="N692">
            <v>53200</v>
          </cell>
          <cell r="O692">
            <v>52300</v>
          </cell>
          <cell r="P692">
            <v>51200</v>
          </cell>
          <cell r="Q692">
            <v>51600</v>
          </cell>
          <cell r="R692">
            <v>51200</v>
          </cell>
          <cell r="S692">
            <v>53300</v>
          </cell>
          <cell r="T692">
            <v>54400</v>
          </cell>
          <cell r="U692">
            <v>54800</v>
          </cell>
          <cell r="V692">
            <v>55800</v>
          </cell>
          <cell r="W692">
            <v>58400</v>
          </cell>
        </row>
        <row r="693">
          <cell r="A693">
            <v>44959</v>
          </cell>
          <cell r="B693">
            <v>55600</v>
          </cell>
          <cell r="C693">
            <v>54500</v>
          </cell>
          <cell r="D693">
            <v>54300</v>
          </cell>
          <cell r="E693">
            <v>50500</v>
          </cell>
          <cell r="F693">
            <v>56000</v>
          </cell>
          <cell r="G693" t="str">
            <v>-</v>
          </cell>
          <cell r="H693">
            <v>53500</v>
          </cell>
          <cell r="I693">
            <v>54000</v>
          </cell>
          <cell r="J693">
            <v>56800</v>
          </cell>
          <cell r="K693" t="str">
            <v>-</v>
          </cell>
          <cell r="L693">
            <v>53800</v>
          </cell>
          <cell r="M693">
            <v>58600</v>
          </cell>
          <cell r="N693">
            <v>52800</v>
          </cell>
          <cell r="O693">
            <v>52000</v>
          </cell>
          <cell r="P693">
            <v>51000</v>
          </cell>
          <cell r="Q693">
            <v>51400</v>
          </cell>
          <cell r="R693">
            <v>51000</v>
          </cell>
          <cell r="S693">
            <v>53000</v>
          </cell>
          <cell r="T693">
            <v>54200</v>
          </cell>
          <cell r="U693">
            <v>54800</v>
          </cell>
          <cell r="V693">
            <v>56000</v>
          </cell>
          <cell r="W693">
            <v>58600</v>
          </cell>
        </row>
        <row r="694">
          <cell r="A694">
            <v>44960</v>
          </cell>
          <cell r="B694">
            <v>55100</v>
          </cell>
          <cell r="C694">
            <v>54500</v>
          </cell>
          <cell r="D694">
            <v>54000</v>
          </cell>
          <cell r="E694">
            <v>50300</v>
          </cell>
          <cell r="F694">
            <v>55800</v>
          </cell>
          <cell r="G694" t="str">
            <v>-</v>
          </cell>
          <cell r="H694">
            <v>53500</v>
          </cell>
          <cell r="I694">
            <v>54000</v>
          </cell>
          <cell r="J694">
            <v>56500</v>
          </cell>
          <cell r="K694" t="str">
            <v>-</v>
          </cell>
          <cell r="L694">
            <v>53500</v>
          </cell>
          <cell r="M694">
            <v>58400</v>
          </cell>
          <cell r="N694">
            <v>52500</v>
          </cell>
          <cell r="O694">
            <v>52000</v>
          </cell>
          <cell r="P694">
            <v>50600</v>
          </cell>
          <cell r="Q694">
            <v>51200</v>
          </cell>
          <cell r="R694">
            <v>50800</v>
          </cell>
          <cell r="S694">
            <v>52800</v>
          </cell>
          <cell r="T694">
            <v>54100</v>
          </cell>
          <cell r="U694">
            <v>54800</v>
          </cell>
          <cell r="V694">
            <v>56000</v>
          </cell>
          <cell r="W694">
            <v>58600</v>
          </cell>
        </row>
        <row r="695">
          <cell r="A695">
            <v>44961</v>
          </cell>
          <cell r="B695">
            <v>54800</v>
          </cell>
          <cell r="C695">
            <v>54500</v>
          </cell>
          <cell r="D695">
            <v>53700</v>
          </cell>
          <cell r="E695">
            <v>50000</v>
          </cell>
          <cell r="F695">
            <v>55800</v>
          </cell>
          <cell r="G695" t="str">
            <v>-</v>
          </cell>
          <cell r="H695">
            <v>53500</v>
          </cell>
          <cell r="I695">
            <v>53700</v>
          </cell>
          <cell r="J695">
            <v>56000</v>
          </cell>
          <cell r="K695" t="str">
            <v>-</v>
          </cell>
          <cell r="L695">
            <v>53400</v>
          </cell>
          <cell r="M695">
            <v>58400</v>
          </cell>
          <cell r="N695">
            <v>52000</v>
          </cell>
          <cell r="O695">
            <v>51700</v>
          </cell>
          <cell r="P695">
            <v>50500</v>
          </cell>
          <cell r="Q695">
            <v>51000</v>
          </cell>
          <cell r="R695">
            <v>50400</v>
          </cell>
          <cell r="S695">
            <v>52500</v>
          </cell>
          <cell r="T695">
            <v>54000</v>
          </cell>
          <cell r="U695" t="str">
            <v>-</v>
          </cell>
          <cell r="V695">
            <v>55800</v>
          </cell>
          <cell r="W695">
            <v>58400</v>
          </cell>
        </row>
        <row r="696">
          <cell r="A696">
            <v>44962</v>
          </cell>
          <cell r="B696" t="str">
            <v>H</v>
          </cell>
          <cell r="C696" t="str">
            <v>H</v>
          </cell>
          <cell r="D696" t="str">
            <v>H</v>
          </cell>
          <cell r="E696" t="str">
            <v>H</v>
          </cell>
          <cell r="F696" t="str">
            <v>H</v>
          </cell>
          <cell r="G696" t="str">
            <v>H</v>
          </cell>
          <cell r="H696" t="str">
            <v>H</v>
          </cell>
          <cell r="I696" t="str">
            <v>H</v>
          </cell>
          <cell r="J696" t="str">
            <v>H</v>
          </cell>
          <cell r="K696" t="str">
            <v>H</v>
          </cell>
          <cell r="L696" t="str">
            <v>H</v>
          </cell>
          <cell r="M696" t="str">
            <v>H</v>
          </cell>
          <cell r="N696" t="str">
            <v>H</v>
          </cell>
          <cell r="O696" t="str">
            <v>H</v>
          </cell>
          <cell r="P696" t="str">
            <v>H</v>
          </cell>
          <cell r="Q696" t="str">
            <v>H</v>
          </cell>
          <cell r="R696" t="str">
            <v>H</v>
          </cell>
          <cell r="S696" t="str">
            <v>H</v>
          </cell>
          <cell r="T696" t="str">
            <v>H</v>
          </cell>
          <cell r="U696" t="str">
            <v>H</v>
          </cell>
          <cell r="V696" t="str">
            <v>H</v>
          </cell>
          <cell r="W696" t="str">
            <v>H</v>
          </cell>
        </row>
        <row r="697">
          <cell r="A697">
            <v>44963</v>
          </cell>
          <cell r="B697">
            <v>54800</v>
          </cell>
          <cell r="C697">
            <v>54500</v>
          </cell>
          <cell r="D697">
            <v>54000</v>
          </cell>
          <cell r="E697">
            <v>50200</v>
          </cell>
          <cell r="F697">
            <v>55800</v>
          </cell>
          <cell r="G697" t="str">
            <v>-</v>
          </cell>
          <cell r="H697">
            <v>54000</v>
          </cell>
          <cell r="I697">
            <v>53700</v>
          </cell>
          <cell r="J697">
            <v>56000</v>
          </cell>
          <cell r="K697" t="str">
            <v>-</v>
          </cell>
          <cell r="L697">
            <v>53500</v>
          </cell>
          <cell r="M697">
            <v>58400</v>
          </cell>
          <cell r="N697">
            <v>52000</v>
          </cell>
          <cell r="O697">
            <v>51700</v>
          </cell>
          <cell r="P697">
            <v>50400</v>
          </cell>
          <cell r="Q697">
            <v>51000</v>
          </cell>
          <cell r="R697">
            <v>50500</v>
          </cell>
          <cell r="S697">
            <v>52700</v>
          </cell>
          <cell r="T697">
            <v>54000</v>
          </cell>
          <cell r="U697">
            <v>54300</v>
          </cell>
          <cell r="V697">
            <v>55600</v>
          </cell>
          <cell r="W697">
            <v>58100</v>
          </cell>
        </row>
        <row r="698">
          <cell r="A698">
            <v>44964</v>
          </cell>
          <cell r="B698">
            <v>54700</v>
          </cell>
          <cell r="C698">
            <v>54300</v>
          </cell>
          <cell r="D698">
            <v>54000</v>
          </cell>
          <cell r="E698">
            <v>49900</v>
          </cell>
          <cell r="F698">
            <v>55800</v>
          </cell>
          <cell r="G698" t="str">
            <v>-</v>
          </cell>
          <cell r="H698">
            <v>53500</v>
          </cell>
          <cell r="I698">
            <v>53700</v>
          </cell>
          <cell r="J698">
            <v>56000</v>
          </cell>
          <cell r="K698" t="str">
            <v>-</v>
          </cell>
          <cell r="L698">
            <v>53300</v>
          </cell>
          <cell r="M698">
            <v>57800</v>
          </cell>
          <cell r="N698">
            <v>51600</v>
          </cell>
          <cell r="O698">
            <v>51500</v>
          </cell>
          <cell r="P698">
            <v>50000</v>
          </cell>
          <cell r="Q698">
            <v>50700</v>
          </cell>
          <cell r="R698">
            <v>50200</v>
          </cell>
          <cell r="S698">
            <v>52400</v>
          </cell>
          <cell r="T698">
            <v>53800</v>
          </cell>
          <cell r="U698">
            <v>53800</v>
          </cell>
          <cell r="V698">
            <v>55300</v>
          </cell>
          <cell r="W698">
            <v>57800</v>
          </cell>
        </row>
        <row r="699">
          <cell r="A699">
            <v>44965</v>
          </cell>
          <cell r="B699">
            <v>54300</v>
          </cell>
          <cell r="C699">
            <v>54300</v>
          </cell>
          <cell r="D699">
            <v>53800</v>
          </cell>
          <cell r="E699">
            <v>49700</v>
          </cell>
          <cell r="F699">
            <v>55500</v>
          </cell>
          <cell r="G699" t="str">
            <v>-</v>
          </cell>
          <cell r="H699">
            <v>53300</v>
          </cell>
          <cell r="I699">
            <v>53300</v>
          </cell>
          <cell r="J699">
            <v>55500</v>
          </cell>
          <cell r="K699" t="str">
            <v>-</v>
          </cell>
          <cell r="L699">
            <v>52800</v>
          </cell>
          <cell r="M699">
            <v>57500</v>
          </cell>
          <cell r="N699">
            <v>51200</v>
          </cell>
          <cell r="O699">
            <v>51200</v>
          </cell>
          <cell r="P699">
            <v>50000</v>
          </cell>
          <cell r="Q699">
            <v>50100</v>
          </cell>
          <cell r="R699">
            <v>50100</v>
          </cell>
          <cell r="S699">
            <v>52200</v>
          </cell>
          <cell r="T699">
            <v>53800</v>
          </cell>
          <cell r="U699">
            <v>53800</v>
          </cell>
          <cell r="V699">
            <v>55300</v>
          </cell>
          <cell r="W699">
            <v>57800</v>
          </cell>
        </row>
        <row r="700">
          <cell r="A700">
            <v>44966</v>
          </cell>
          <cell r="B700">
            <v>54200</v>
          </cell>
          <cell r="C700">
            <v>54300</v>
          </cell>
          <cell r="D700">
            <v>53800</v>
          </cell>
          <cell r="E700">
            <v>49400</v>
          </cell>
          <cell r="F700">
            <v>55500</v>
          </cell>
          <cell r="G700" t="str">
            <v>-</v>
          </cell>
          <cell r="H700">
            <v>53300</v>
          </cell>
          <cell r="I700">
            <v>53300</v>
          </cell>
          <cell r="J700">
            <v>55500</v>
          </cell>
          <cell r="K700" t="str">
            <v>-</v>
          </cell>
          <cell r="L700">
            <v>52800</v>
          </cell>
          <cell r="M700">
            <v>57000</v>
          </cell>
          <cell r="N700">
            <v>51200</v>
          </cell>
          <cell r="O700">
            <v>51200</v>
          </cell>
          <cell r="P700">
            <v>49500</v>
          </cell>
          <cell r="Q700">
            <v>49700</v>
          </cell>
          <cell r="R700">
            <v>49600</v>
          </cell>
          <cell r="S700">
            <v>51900</v>
          </cell>
          <cell r="T700">
            <v>53200</v>
          </cell>
          <cell r="U700">
            <v>53800</v>
          </cell>
          <cell r="V700">
            <v>55300</v>
          </cell>
          <cell r="W700">
            <v>57600</v>
          </cell>
        </row>
        <row r="701">
          <cell r="A701">
            <v>44967</v>
          </cell>
          <cell r="B701">
            <v>54200</v>
          </cell>
          <cell r="C701">
            <v>54200</v>
          </cell>
          <cell r="D701">
            <v>53500</v>
          </cell>
          <cell r="E701">
            <v>49200</v>
          </cell>
          <cell r="F701">
            <v>54800</v>
          </cell>
          <cell r="G701" t="str">
            <v>-</v>
          </cell>
          <cell r="H701">
            <v>53000</v>
          </cell>
          <cell r="I701">
            <v>52700</v>
          </cell>
          <cell r="J701">
            <v>55000</v>
          </cell>
          <cell r="K701" t="str">
            <v>-</v>
          </cell>
          <cell r="L701">
            <v>52600</v>
          </cell>
          <cell r="M701">
            <v>56500</v>
          </cell>
          <cell r="N701">
            <v>50500</v>
          </cell>
          <cell r="O701">
            <v>50800</v>
          </cell>
          <cell r="P701">
            <v>49200</v>
          </cell>
          <cell r="Q701">
            <v>49600</v>
          </cell>
          <cell r="R701">
            <v>49500</v>
          </cell>
          <cell r="S701">
            <v>51700</v>
          </cell>
          <cell r="T701">
            <v>53000</v>
          </cell>
          <cell r="U701">
            <v>53800</v>
          </cell>
          <cell r="V701">
            <v>54800</v>
          </cell>
          <cell r="W701">
            <v>57300</v>
          </cell>
        </row>
        <row r="702">
          <cell r="A702">
            <v>44968</v>
          </cell>
          <cell r="B702">
            <v>53600</v>
          </cell>
          <cell r="C702">
            <v>54000</v>
          </cell>
          <cell r="D702">
            <v>53500</v>
          </cell>
          <cell r="E702">
            <v>49000</v>
          </cell>
          <cell r="F702">
            <v>54800</v>
          </cell>
          <cell r="G702" t="str">
            <v>-</v>
          </cell>
          <cell r="H702">
            <v>53000</v>
          </cell>
          <cell r="I702">
            <v>52400</v>
          </cell>
          <cell r="J702">
            <v>55000</v>
          </cell>
          <cell r="K702" t="str">
            <v>-</v>
          </cell>
          <cell r="L702">
            <v>52500</v>
          </cell>
          <cell r="M702">
            <v>56100</v>
          </cell>
          <cell r="N702">
            <v>50500</v>
          </cell>
          <cell r="O702">
            <v>50800</v>
          </cell>
          <cell r="P702">
            <v>49000</v>
          </cell>
          <cell r="Q702">
            <v>49500</v>
          </cell>
          <cell r="R702">
            <v>49200</v>
          </cell>
          <cell r="S702">
            <v>51500</v>
          </cell>
          <cell r="T702">
            <v>52800</v>
          </cell>
          <cell r="U702">
            <v>53800</v>
          </cell>
          <cell r="V702">
            <v>54800</v>
          </cell>
          <cell r="W702">
            <v>57300</v>
          </cell>
        </row>
        <row r="703">
          <cell r="A703">
            <v>44969</v>
          </cell>
          <cell r="B703" t="str">
            <v>H</v>
          </cell>
          <cell r="C703" t="str">
            <v>H</v>
          </cell>
          <cell r="D703" t="str">
            <v>H</v>
          </cell>
          <cell r="E703" t="str">
            <v>H</v>
          </cell>
          <cell r="F703" t="str">
            <v>H</v>
          </cell>
          <cell r="G703" t="str">
            <v>H</v>
          </cell>
          <cell r="H703" t="str">
            <v>H</v>
          </cell>
          <cell r="I703" t="str">
            <v>H</v>
          </cell>
          <cell r="J703" t="str">
            <v>H</v>
          </cell>
          <cell r="K703" t="str">
            <v>H</v>
          </cell>
          <cell r="L703" t="str">
            <v>H</v>
          </cell>
          <cell r="M703" t="str">
            <v>H</v>
          </cell>
          <cell r="N703" t="str">
            <v>H</v>
          </cell>
          <cell r="O703" t="str">
            <v>H</v>
          </cell>
          <cell r="P703" t="str">
            <v>H</v>
          </cell>
          <cell r="Q703" t="str">
            <v>H</v>
          </cell>
          <cell r="R703" t="str">
            <v>H</v>
          </cell>
          <cell r="S703" t="str">
            <v>H</v>
          </cell>
          <cell r="T703" t="str">
            <v>H</v>
          </cell>
          <cell r="U703" t="str">
            <v>H</v>
          </cell>
          <cell r="V703" t="str">
            <v>H</v>
          </cell>
          <cell r="W703" t="str">
            <v>H</v>
          </cell>
        </row>
        <row r="704">
          <cell r="A704">
            <v>44970</v>
          </cell>
          <cell r="B704">
            <v>53300</v>
          </cell>
          <cell r="C704">
            <v>53800</v>
          </cell>
          <cell r="D704">
            <v>52200</v>
          </cell>
          <cell r="E704">
            <v>48800</v>
          </cell>
          <cell r="F704">
            <v>54700</v>
          </cell>
          <cell r="G704" t="str">
            <v>-</v>
          </cell>
          <cell r="H704">
            <v>52500</v>
          </cell>
          <cell r="I704">
            <v>52000</v>
          </cell>
          <cell r="J704">
            <v>55000</v>
          </cell>
          <cell r="K704" t="str">
            <v>-</v>
          </cell>
          <cell r="L704">
            <v>52100</v>
          </cell>
          <cell r="M704">
            <v>56100</v>
          </cell>
          <cell r="N704">
            <v>50000</v>
          </cell>
          <cell r="O704">
            <v>50600</v>
          </cell>
          <cell r="P704">
            <v>49300</v>
          </cell>
          <cell r="Q704">
            <v>49500</v>
          </cell>
          <cell r="R704">
            <v>49100</v>
          </cell>
          <cell r="S704">
            <v>51300</v>
          </cell>
          <cell r="T704">
            <v>52700</v>
          </cell>
          <cell r="U704">
            <v>53300</v>
          </cell>
          <cell r="V704">
            <v>54500</v>
          </cell>
          <cell r="W704">
            <v>57100</v>
          </cell>
        </row>
        <row r="705">
          <cell r="A705">
            <v>44971</v>
          </cell>
          <cell r="B705">
            <v>53700</v>
          </cell>
          <cell r="C705">
            <v>53800</v>
          </cell>
          <cell r="D705">
            <v>52600</v>
          </cell>
          <cell r="E705">
            <v>49700</v>
          </cell>
          <cell r="F705">
            <v>55100</v>
          </cell>
          <cell r="G705" t="str">
            <v>-</v>
          </cell>
          <cell r="H705">
            <v>53000</v>
          </cell>
          <cell r="I705">
            <v>52400</v>
          </cell>
          <cell r="J705">
            <v>55200</v>
          </cell>
          <cell r="K705" t="str">
            <v>-</v>
          </cell>
          <cell r="L705">
            <v>52500</v>
          </cell>
          <cell r="M705">
            <v>56100</v>
          </cell>
          <cell r="N705">
            <v>50800</v>
          </cell>
          <cell r="O705">
            <v>51000</v>
          </cell>
          <cell r="P705">
            <v>50000</v>
          </cell>
          <cell r="Q705">
            <v>50500</v>
          </cell>
          <cell r="R705">
            <v>49800</v>
          </cell>
          <cell r="S705">
            <v>52200</v>
          </cell>
          <cell r="T705">
            <v>53200</v>
          </cell>
          <cell r="U705">
            <v>53300</v>
          </cell>
          <cell r="V705">
            <v>55000</v>
          </cell>
          <cell r="W705">
            <v>57500</v>
          </cell>
        </row>
        <row r="706">
          <cell r="A706">
            <v>44972</v>
          </cell>
          <cell r="B706">
            <v>53700</v>
          </cell>
          <cell r="C706">
            <v>54000</v>
          </cell>
          <cell r="D706">
            <v>52600</v>
          </cell>
          <cell r="E706">
            <v>50100</v>
          </cell>
          <cell r="F706">
            <v>55100</v>
          </cell>
          <cell r="G706" t="str">
            <v>-</v>
          </cell>
          <cell r="H706">
            <v>53000</v>
          </cell>
          <cell r="I706">
            <v>52400</v>
          </cell>
          <cell r="J706">
            <v>55700</v>
          </cell>
          <cell r="K706" t="str">
            <v>-</v>
          </cell>
          <cell r="L706">
            <v>52800</v>
          </cell>
          <cell r="M706">
            <v>56400</v>
          </cell>
          <cell r="N706">
            <v>50800</v>
          </cell>
          <cell r="O706">
            <v>51300</v>
          </cell>
          <cell r="P706">
            <v>49800</v>
          </cell>
          <cell r="Q706">
            <v>50500</v>
          </cell>
          <cell r="R706">
            <v>50000</v>
          </cell>
          <cell r="S706">
            <v>52600</v>
          </cell>
          <cell r="T706">
            <v>53200</v>
          </cell>
          <cell r="U706">
            <v>53800</v>
          </cell>
          <cell r="V706">
            <v>55000</v>
          </cell>
          <cell r="W706">
            <v>57500</v>
          </cell>
        </row>
        <row r="707">
          <cell r="A707">
            <v>44973</v>
          </cell>
          <cell r="B707">
            <v>54300</v>
          </cell>
          <cell r="C707">
            <v>54000</v>
          </cell>
          <cell r="D707">
            <v>53500</v>
          </cell>
          <cell r="E707">
            <v>50500</v>
          </cell>
          <cell r="F707">
            <v>55500</v>
          </cell>
          <cell r="G707" t="str">
            <v>-</v>
          </cell>
          <cell r="H707">
            <v>53500</v>
          </cell>
          <cell r="I707">
            <v>53500</v>
          </cell>
          <cell r="J707">
            <v>56000</v>
          </cell>
          <cell r="K707" t="str">
            <v>-</v>
          </cell>
          <cell r="L707">
            <v>53200</v>
          </cell>
          <cell r="M707">
            <v>56600</v>
          </cell>
          <cell r="N707">
            <v>51700</v>
          </cell>
          <cell r="O707">
            <v>52000</v>
          </cell>
          <cell r="P707">
            <v>50500</v>
          </cell>
          <cell r="Q707">
            <v>51100</v>
          </cell>
          <cell r="R707">
            <v>50600</v>
          </cell>
          <cell r="S707">
            <v>53000</v>
          </cell>
          <cell r="T707">
            <v>53800</v>
          </cell>
          <cell r="U707">
            <v>54300</v>
          </cell>
          <cell r="V707">
            <v>55700</v>
          </cell>
          <cell r="W707">
            <v>58100</v>
          </cell>
        </row>
        <row r="708">
          <cell r="A708">
            <v>44974</v>
          </cell>
          <cell r="B708">
            <v>54600</v>
          </cell>
          <cell r="C708">
            <v>54000</v>
          </cell>
          <cell r="D708">
            <v>54100</v>
          </cell>
          <cell r="E708">
            <v>51200</v>
          </cell>
          <cell r="F708">
            <v>55500</v>
          </cell>
          <cell r="G708" t="str">
            <v>-</v>
          </cell>
          <cell r="H708">
            <v>54000</v>
          </cell>
          <cell r="I708">
            <v>54000</v>
          </cell>
          <cell r="J708">
            <v>56000</v>
          </cell>
          <cell r="K708" t="str">
            <v>-</v>
          </cell>
          <cell r="L708">
            <v>53700</v>
          </cell>
          <cell r="M708">
            <v>56600</v>
          </cell>
          <cell r="N708">
            <v>52000</v>
          </cell>
          <cell r="O708">
            <v>52600</v>
          </cell>
          <cell r="P708">
            <v>50800</v>
          </cell>
          <cell r="Q708">
            <v>51200</v>
          </cell>
          <cell r="R708">
            <v>50900</v>
          </cell>
          <cell r="S708">
            <v>53700</v>
          </cell>
          <cell r="T708">
            <v>53800</v>
          </cell>
          <cell r="U708">
            <v>54300</v>
          </cell>
          <cell r="V708">
            <v>55800</v>
          </cell>
          <cell r="W708">
            <v>58100</v>
          </cell>
        </row>
        <row r="709">
          <cell r="A709">
            <v>44975</v>
          </cell>
          <cell r="B709">
            <v>54800</v>
          </cell>
          <cell r="C709">
            <v>54300</v>
          </cell>
          <cell r="D709">
            <v>54100</v>
          </cell>
          <cell r="E709">
            <v>51400</v>
          </cell>
          <cell r="F709">
            <v>55700</v>
          </cell>
          <cell r="G709" t="str">
            <v>-</v>
          </cell>
          <cell r="H709">
            <v>54500</v>
          </cell>
          <cell r="I709">
            <v>54600</v>
          </cell>
          <cell r="J709">
            <v>56000</v>
          </cell>
          <cell r="K709" t="str">
            <v>-</v>
          </cell>
          <cell r="L709">
            <v>54100</v>
          </cell>
          <cell r="M709">
            <v>56600</v>
          </cell>
          <cell r="N709">
            <v>52200</v>
          </cell>
          <cell r="O709">
            <v>52600</v>
          </cell>
          <cell r="P709">
            <v>51000</v>
          </cell>
          <cell r="Q709">
            <v>51400</v>
          </cell>
          <cell r="R709">
            <v>51100</v>
          </cell>
          <cell r="S709">
            <v>53900</v>
          </cell>
          <cell r="T709">
            <v>54000</v>
          </cell>
          <cell r="U709">
            <v>54300</v>
          </cell>
          <cell r="V709">
            <v>55800</v>
          </cell>
          <cell r="W709">
            <v>58100</v>
          </cell>
        </row>
        <row r="710">
          <cell r="A710">
            <v>44976</v>
          </cell>
          <cell r="B710" t="str">
            <v>H</v>
          </cell>
          <cell r="C710" t="str">
            <v>H</v>
          </cell>
          <cell r="D710" t="str">
            <v>H</v>
          </cell>
          <cell r="E710" t="str">
            <v>H</v>
          </cell>
          <cell r="F710" t="str">
            <v>H</v>
          </cell>
          <cell r="G710" t="str">
            <v>H</v>
          </cell>
          <cell r="H710" t="str">
            <v>H</v>
          </cell>
          <cell r="I710" t="str">
            <v>H</v>
          </cell>
          <cell r="J710" t="str">
            <v>H</v>
          </cell>
          <cell r="K710" t="str">
            <v>H</v>
          </cell>
          <cell r="L710" t="str">
            <v>H</v>
          </cell>
          <cell r="M710" t="str">
            <v>H</v>
          </cell>
          <cell r="N710" t="str">
            <v>H</v>
          </cell>
          <cell r="O710" t="str">
            <v>H</v>
          </cell>
          <cell r="P710" t="str">
            <v>H</v>
          </cell>
          <cell r="Q710" t="str">
            <v>H</v>
          </cell>
          <cell r="R710" t="str">
            <v>H</v>
          </cell>
          <cell r="S710" t="str">
            <v>H</v>
          </cell>
          <cell r="T710" t="str">
            <v>H</v>
          </cell>
          <cell r="U710" t="str">
            <v>H</v>
          </cell>
          <cell r="V710" t="str">
            <v>H</v>
          </cell>
          <cell r="W710" t="str">
            <v>H</v>
          </cell>
        </row>
        <row r="711">
          <cell r="A711">
            <v>44977</v>
          </cell>
          <cell r="B711">
            <v>54800</v>
          </cell>
          <cell r="C711">
            <v>54500</v>
          </cell>
          <cell r="D711">
            <v>53400</v>
          </cell>
          <cell r="E711">
            <v>51000</v>
          </cell>
          <cell r="F711">
            <v>55700</v>
          </cell>
          <cell r="G711" t="str">
            <v>-</v>
          </cell>
          <cell r="H711">
            <v>54000</v>
          </cell>
          <cell r="I711">
            <v>54500</v>
          </cell>
          <cell r="J711">
            <v>56000</v>
          </cell>
          <cell r="K711" t="str">
            <v>-</v>
          </cell>
          <cell r="L711">
            <v>54000</v>
          </cell>
          <cell r="M711">
            <v>56600</v>
          </cell>
          <cell r="N711">
            <v>52000</v>
          </cell>
          <cell r="O711">
            <v>52300</v>
          </cell>
          <cell r="P711">
            <v>50700</v>
          </cell>
          <cell r="Q711">
            <v>51100</v>
          </cell>
          <cell r="R711">
            <v>50800</v>
          </cell>
          <cell r="S711">
            <v>53500</v>
          </cell>
          <cell r="T711">
            <v>54000</v>
          </cell>
          <cell r="U711">
            <v>53800</v>
          </cell>
          <cell r="V711">
            <v>55800</v>
          </cell>
          <cell r="W711">
            <v>58100</v>
          </cell>
        </row>
        <row r="712">
          <cell r="A712">
            <v>44978</v>
          </cell>
          <cell r="B712">
            <v>54800</v>
          </cell>
          <cell r="C712">
            <v>54500</v>
          </cell>
          <cell r="D712">
            <v>53400</v>
          </cell>
          <cell r="E712">
            <v>51000</v>
          </cell>
          <cell r="F712">
            <v>55700</v>
          </cell>
          <cell r="G712" t="str">
            <v>-</v>
          </cell>
          <cell r="H712">
            <v>54000</v>
          </cell>
          <cell r="I712">
            <v>54500</v>
          </cell>
          <cell r="J712">
            <v>56000</v>
          </cell>
          <cell r="K712" t="str">
            <v>-</v>
          </cell>
          <cell r="L712">
            <v>54400</v>
          </cell>
          <cell r="M712">
            <v>56600</v>
          </cell>
          <cell r="N712">
            <v>52200</v>
          </cell>
          <cell r="O712">
            <v>52600</v>
          </cell>
          <cell r="P712">
            <v>50800</v>
          </cell>
          <cell r="Q712">
            <v>51000</v>
          </cell>
          <cell r="R712">
            <v>51000</v>
          </cell>
          <cell r="S712">
            <v>53500</v>
          </cell>
          <cell r="T712">
            <v>54200</v>
          </cell>
          <cell r="U712">
            <v>53800</v>
          </cell>
          <cell r="V712">
            <v>56000</v>
          </cell>
          <cell r="W712">
            <v>58400</v>
          </cell>
        </row>
        <row r="713">
          <cell r="A713">
            <v>44979</v>
          </cell>
          <cell r="B713">
            <v>54700</v>
          </cell>
          <cell r="C713">
            <v>54200</v>
          </cell>
          <cell r="D713">
            <v>53100</v>
          </cell>
          <cell r="E713">
            <v>50800</v>
          </cell>
          <cell r="F713">
            <v>55700</v>
          </cell>
          <cell r="G713" t="str">
            <v>-</v>
          </cell>
          <cell r="H713">
            <v>54000</v>
          </cell>
          <cell r="I713">
            <v>54300</v>
          </cell>
          <cell r="J713">
            <v>56000</v>
          </cell>
          <cell r="K713" t="str">
            <v>-</v>
          </cell>
          <cell r="L713">
            <v>54100</v>
          </cell>
          <cell r="M713">
            <v>56600</v>
          </cell>
          <cell r="N713">
            <v>52000</v>
          </cell>
          <cell r="O713">
            <v>52500</v>
          </cell>
          <cell r="P713">
            <v>50500</v>
          </cell>
          <cell r="Q713">
            <v>50800</v>
          </cell>
          <cell r="R713">
            <v>50800</v>
          </cell>
          <cell r="S713">
            <v>53300</v>
          </cell>
          <cell r="T713">
            <v>54000</v>
          </cell>
          <cell r="U713">
            <v>53800</v>
          </cell>
          <cell r="V713">
            <v>56000</v>
          </cell>
          <cell r="W713">
            <v>58400</v>
          </cell>
        </row>
        <row r="714">
          <cell r="A714">
            <v>44980</v>
          </cell>
          <cell r="B714">
            <v>54500</v>
          </cell>
          <cell r="C714">
            <v>54000</v>
          </cell>
          <cell r="D714">
            <v>53000</v>
          </cell>
          <cell r="E714">
            <v>50500</v>
          </cell>
          <cell r="F714">
            <v>55600</v>
          </cell>
          <cell r="G714" t="str">
            <v>-</v>
          </cell>
          <cell r="H714">
            <v>54000</v>
          </cell>
          <cell r="I714">
            <v>54200</v>
          </cell>
          <cell r="J714">
            <v>55800</v>
          </cell>
          <cell r="K714" t="str">
            <v>-</v>
          </cell>
          <cell r="L714">
            <v>54100</v>
          </cell>
          <cell r="M714">
            <v>56500</v>
          </cell>
          <cell r="N714">
            <v>51800</v>
          </cell>
          <cell r="O714">
            <v>52300</v>
          </cell>
          <cell r="P714">
            <v>50400</v>
          </cell>
          <cell r="Q714">
            <v>50800</v>
          </cell>
          <cell r="R714">
            <v>50600</v>
          </cell>
          <cell r="S714">
            <v>53000</v>
          </cell>
          <cell r="T714">
            <v>54000</v>
          </cell>
          <cell r="U714">
            <v>53800</v>
          </cell>
          <cell r="V714">
            <v>56000</v>
          </cell>
          <cell r="W714">
            <v>58400</v>
          </cell>
        </row>
        <row r="715">
          <cell r="A715">
            <v>44981</v>
          </cell>
          <cell r="B715">
            <v>54000</v>
          </cell>
          <cell r="C715">
            <v>54000</v>
          </cell>
          <cell r="D715">
            <v>52500</v>
          </cell>
          <cell r="E715">
            <v>50000</v>
          </cell>
          <cell r="F715">
            <v>55200</v>
          </cell>
          <cell r="G715" t="str">
            <v>-</v>
          </cell>
          <cell r="H715">
            <v>53500</v>
          </cell>
          <cell r="I715">
            <v>54000</v>
          </cell>
          <cell r="J715">
            <v>55300</v>
          </cell>
          <cell r="K715" t="str">
            <v>-</v>
          </cell>
          <cell r="L715">
            <v>53800</v>
          </cell>
          <cell r="M715">
            <v>56000</v>
          </cell>
          <cell r="N715">
            <v>51400</v>
          </cell>
          <cell r="O715">
            <v>51800</v>
          </cell>
          <cell r="P715">
            <v>50000</v>
          </cell>
          <cell r="Q715">
            <v>50300</v>
          </cell>
          <cell r="R715">
            <v>50500</v>
          </cell>
          <cell r="S715">
            <v>52500</v>
          </cell>
          <cell r="T715">
            <v>53700</v>
          </cell>
          <cell r="U715">
            <v>53300</v>
          </cell>
          <cell r="V715">
            <v>55800</v>
          </cell>
          <cell r="W715">
            <v>58200</v>
          </cell>
        </row>
        <row r="716">
          <cell r="A716">
            <v>44982</v>
          </cell>
          <cell r="B716">
            <v>53600</v>
          </cell>
          <cell r="C716">
            <v>54000</v>
          </cell>
          <cell r="D716">
            <v>52500</v>
          </cell>
          <cell r="E716">
            <v>49800</v>
          </cell>
          <cell r="F716">
            <v>55300</v>
          </cell>
          <cell r="G716" t="str">
            <v>-</v>
          </cell>
          <cell r="H716">
            <v>53300</v>
          </cell>
          <cell r="I716">
            <v>53500</v>
          </cell>
          <cell r="J716">
            <v>55300</v>
          </cell>
          <cell r="K716" t="str">
            <v>-</v>
          </cell>
          <cell r="L716">
            <v>53400</v>
          </cell>
          <cell r="M716">
            <v>56000</v>
          </cell>
          <cell r="N716">
            <v>51200</v>
          </cell>
          <cell r="O716">
            <v>51600</v>
          </cell>
          <cell r="P716">
            <v>49800</v>
          </cell>
          <cell r="Q716">
            <v>50300</v>
          </cell>
          <cell r="R716">
            <v>50100</v>
          </cell>
          <cell r="S716">
            <v>52300</v>
          </cell>
          <cell r="T716">
            <v>53700</v>
          </cell>
          <cell r="U716">
            <v>52800</v>
          </cell>
          <cell r="V716">
            <v>55700</v>
          </cell>
          <cell r="W716">
            <v>58200</v>
          </cell>
        </row>
        <row r="717">
          <cell r="A717">
            <v>44983</v>
          </cell>
          <cell r="B717" t="str">
            <v>H</v>
          </cell>
          <cell r="C717" t="str">
            <v>H</v>
          </cell>
          <cell r="D717" t="str">
            <v>H</v>
          </cell>
          <cell r="E717" t="str">
            <v>H</v>
          </cell>
          <cell r="F717" t="str">
            <v>H</v>
          </cell>
          <cell r="G717" t="str">
            <v>H</v>
          </cell>
          <cell r="H717" t="str">
            <v>H</v>
          </cell>
          <cell r="I717" t="str">
            <v>H</v>
          </cell>
          <cell r="J717" t="str">
            <v>H</v>
          </cell>
          <cell r="K717" t="str">
            <v>H</v>
          </cell>
          <cell r="L717" t="str">
            <v>H</v>
          </cell>
          <cell r="M717" t="str">
            <v>H</v>
          </cell>
          <cell r="N717" t="str">
            <v>H</v>
          </cell>
          <cell r="O717" t="str">
            <v>H</v>
          </cell>
          <cell r="P717" t="str">
            <v>H</v>
          </cell>
          <cell r="Q717" t="str">
            <v>H</v>
          </cell>
          <cell r="R717" t="str">
            <v>H</v>
          </cell>
          <cell r="S717" t="str">
            <v>H</v>
          </cell>
          <cell r="T717" t="str">
            <v>H</v>
          </cell>
          <cell r="U717" t="str">
            <v>H</v>
          </cell>
          <cell r="V717" t="str">
            <v>H</v>
          </cell>
          <cell r="W717" t="str">
            <v>H</v>
          </cell>
        </row>
        <row r="718">
          <cell r="A718">
            <v>44984</v>
          </cell>
          <cell r="B718">
            <v>53600</v>
          </cell>
          <cell r="C718">
            <v>54000</v>
          </cell>
          <cell r="D718">
            <v>52500</v>
          </cell>
          <cell r="E718">
            <v>50000</v>
          </cell>
          <cell r="F718">
            <v>55300</v>
          </cell>
          <cell r="G718" t="str">
            <v>-</v>
          </cell>
          <cell r="H718">
            <v>53500</v>
          </cell>
          <cell r="I718">
            <v>53500</v>
          </cell>
          <cell r="J718">
            <v>55300</v>
          </cell>
          <cell r="K718" t="str">
            <v>-</v>
          </cell>
          <cell r="L718">
            <v>53400</v>
          </cell>
          <cell r="M718">
            <v>56000</v>
          </cell>
          <cell r="N718">
            <v>51000</v>
          </cell>
          <cell r="O718">
            <v>51700</v>
          </cell>
          <cell r="P718">
            <v>50000</v>
          </cell>
          <cell r="Q718">
            <v>50300</v>
          </cell>
          <cell r="R718">
            <v>50000</v>
          </cell>
          <cell r="S718">
            <v>52500</v>
          </cell>
          <cell r="T718">
            <v>53700</v>
          </cell>
          <cell r="U718">
            <v>52800</v>
          </cell>
          <cell r="V718">
            <v>55700</v>
          </cell>
          <cell r="W718">
            <v>58200</v>
          </cell>
        </row>
        <row r="719">
          <cell r="A719">
            <v>44985</v>
          </cell>
          <cell r="B719">
            <v>53400</v>
          </cell>
          <cell r="C719">
            <v>54000</v>
          </cell>
          <cell r="D719">
            <v>52300</v>
          </cell>
          <cell r="E719">
            <v>50300</v>
          </cell>
          <cell r="F719">
            <v>55700</v>
          </cell>
          <cell r="G719" t="str">
            <v>-</v>
          </cell>
          <cell r="H719">
            <v>53500</v>
          </cell>
          <cell r="I719">
            <v>53100</v>
          </cell>
          <cell r="J719">
            <v>55500</v>
          </cell>
          <cell r="K719" t="str">
            <v>-</v>
          </cell>
          <cell r="L719">
            <v>53300</v>
          </cell>
          <cell r="M719">
            <v>56000</v>
          </cell>
          <cell r="N719">
            <v>51000</v>
          </cell>
          <cell r="O719">
            <v>51800</v>
          </cell>
          <cell r="P719">
            <v>49800</v>
          </cell>
          <cell r="Q719">
            <v>50300</v>
          </cell>
          <cell r="R719">
            <v>50000</v>
          </cell>
          <cell r="S719">
            <v>52800</v>
          </cell>
          <cell r="T719">
            <v>53500</v>
          </cell>
          <cell r="U719">
            <v>52800</v>
          </cell>
          <cell r="V719">
            <v>56200</v>
          </cell>
          <cell r="W719">
            <v>58600</v>
          </cell>
        </row>
        <row r="720">
          <cell r="A720">
            <v>44986</v>
          </cell>
          <cell r="B720">
            <v>53200</v>
          </cell>
          <cell r="C720">
            <v>54000</v>
          </cell>
          <cell r="D720">
            <v>52600</v>
          </cell>
          <cell r="E720">
            <v>50500</v>
          </cell>
          <cell r="F720">
            <v>55800</v>
          </cell>
          <cell r="G720" t="str">
            <v>-</v>
          </cell>
          <cell r="H720">
            <v>54000</v>
          </cell>
          <cell r="I720">
            <v>53400</v>
          </cell>
          <cell r="J720">
            <v>55500</v>
          </cell>
          <cell r="K720" t="str">
            <v>-</v>
          </cell>
          <cell r="L720">
            <v>54000</v>
          </cell>
          <cell r="M720">
            <v>56000</v>
          </cell>
          <cell r="N720">
            <v>51300</v>
          </cell>
          <cell r="O720">
            <v>52000</v>
          </cell>
          <cell r="P720">
            <v>50100</v>
          </cell>
          <cell r="Q720">
            <v>50300</v>
          </cell>
          <cell r="R720">
            <v>50500</v>
          </cell>
          <cell r="S720">
            <v>53000</v>
          </cell>
          <cell r="T720">
            <v>53600</v>
          </cell>
          <cell r="U720">
            <v>52800</v>
          </cell>
          <cell r="V720">
            <v>56400</v>
          </cell>
          <cell r="W720">
            <v>58800</v>
          </cell>
        </row>
        <row r="721">
          <cell r="A721">
            <v>44987</v>
          </cell>
          <cell r="B721">
            <v>53300</v>
          </cell>
          <cell r="C721">
            <v>53800</v>
          </cell>
          <cell r="D721">
            <v>52600</v>
          </cell>
          <cell r="E721">
            <v>50500</v>
          </cell>
          <cell r="F721">
            <v>55300</v>
          </cell>
          <cell r="G721" t="str">
            <v>-</v>
          </cell>
          <cell r="H721">
            <v>54000</v>
          </cell>
          <cell r="I721">
            <v>53800</v>
          </cell>
          <cell r="J721">
            <v>55500</v>
          </cell>
          <cell r="K721" t="str">
            <v>-</v>
          </cell>
          <cell r="L721">
            <v>54200</v>
          </cell>
          <cell r="M721">
            <v>56000</v>
          </cell>
          <cell r="N721">
            <v>51500</v>
          </cell>
          <cell r="O721">
            <v>52000</v>
          </cell>
          <cell r="P721">
            <v>50000</v>
          </cell>
          <cell r="Q721">
            <v>50200</v>
          </cell>
          <cell r="R721">
            <v>50500</v>
          </cell>
          <cell r="S721">
            <v>53000</v>
          </cell>
          <cell r="T721">
            <v>53700</v>
          </cell>
          <cell r="U721">
            <v>52800</v>
          </cell>
          <cell r="V721">
            <v>56700</v>
          </cell>
          <cell r="W721">
            <v>58900</v>
          </cell>
        </row>
        <row r="722">
          <cell r="A722">
            <v>44988</v>
          </cell>
          <cell r="B722">
            <v>53300</v>
          </cell>
          <cell r="C722">
            <v>53800</v>
          </cell>
          <cell r="D722">
            <v>52700</v>
          </cell>
          <cell r="E722">
            <v>50200</v>
          </cell>
          <cell r="F722">
            <v>55800</v>
          </cell>
          <cell r="G722" t="str">
            <v>-</v>
          </cell>
          <cell r="H722">
            <v>54000</v>
          </cell>
          <cell r="I722">
            <v>53600</v>
          </cell>
          <cell r="J722">
            <v>55300</v>
          </cell>
          <cell r="K722" t="str">
            <v>-</v>
          </cell>
          <cell r="L722">
            <v>54200</v>
          </cell>
          <cell r="M722">
            <v>56000</v>
          </cell>
          <cell r="N722">
            <v>51300</v>
          </cell>
          <cell r="O722">
            <v>52000</v>
          </cell>
          <cell r="P722">
            <v>49800</v>
          </cell>
          <cell r="Q722">
            <v>50200</v>
          </cell>
          <cell r="R722">
            <v>50300</v>
          </cell>
          <cell r="S722">
            <v>52700</v>
          </cell>
          <cell r="T722">
            <v>53700</v>
          </cell>
          <cell r="U722">
            <v>52800</v>
          </cell>
          <cell r="V722">
            <v>56500</v>
          </cell>
          <cell r="W722">
            <v>58700</v>
          </cell>
        </row>
        <row r="723">
          <cell r="A723">
            <v>44989</v>
          </cell>
          <cell r="B723">
            <v>53300</v>
          </cell>
          <cell r="C723">
            <v>53800</v>
          </cell>
          <cell r="D723">
            <v>53100</v>
          </cell>
          <cell r="E723">
            <v>50400</v>
          </cell>
          <cell r="F723">
            <v>55800</v>
          </cell>
          <cell r="G723" t="str">
            <v>-</v>
          </cell>
          <cell r="H723">
            <v>54000</v>
          </cell>
          <cell r="I723">
            <v>53600</v>
          </cell>
          <cell r="J723">
            <v>55300</v>
          </cell>
          <cell r="K723" t="str">
            <v>-</v>
          </cell>
          <cell r="L723">
            <v>54300</v>
          </cell>
          <cell r="M723">
            <v>56000</v>
          </cell>
          <cell r="N723">
            <v>51700</v>
          </cell>
          <cell r="O723">
            <v>52000</v>
          </cell>
          <cell r="P723">
            <v>49800</v>
          </cell>
          <cell r="Q723">
            <v>50200</v>
          </cell>
          <cell r="R723">
            <v>50300</v>
          </cell>
          <cell r="S723">
            <v>52900</v>
          </cell>
          <cell r="T723">
            <v>53700</v>
          </cell>
          <cell r="U723">
            <v>52800</v>
          </cell>
          <cell r="V723">
            <v>56500</v>
          </cell>
          <cell r="W723">
            <v>58700</v>
          </cell>
        </row>
        <row r="724">
          <cell r="A724">
            <v>44990</v>
          </cell>
          <cell r="B724" t="str">
            <v>H</v>
          </cell>
          <cell r="C724" t="str">
            <v>H</v>
          </cell>
          <cell r="D724" t="str">
            <v>H</v>
          </cell>
          <cell r="E724" t="str">
            <v>H</v>
          </cell>
          <cell r="F724" t="str">
            <v>H</v>
          </cell>
          <cell r="G724" t="str">
            <v>H</v>
          </cell>
          <cell r="H724" t="str">
            <v>H</v>
          </cell>
          <cell r="I724" t="str">
            <v>H</v>
          </cell>
          <cell r="J724" t="str">
            <v>H</v>
          </cell>
          <cell r="K724" t="str">
            <v>H</v>
          </cell>
          <cell r="L724" t="str">
            <v>H</v>
          </cell>
          <cell r="M724" t="str">
            <v>H</v>
          </cell>
          <cell r="N724" t="str">
            <v>H</v>
          </cell>
          <cell r="O724" t="str">
            <v>H</v>
          </cell>
          <cell r="P724" t="str">
            <v>H</v>
          </cell>
          <cell r="Q724" t="str">
            <v>H</v>
          </cell>
          <cell r="R724" t="str">
            <v>H</v>
          </cell>
          <cell r="S724" t="str">
            <v>H</v>
          </cell>
          <cell r="T724" t="str">
            <v>H</v>
          </cell>
          <cell r="U724" t="str">
            <v>H</v>
          </cell>
          <cell r="V724" t="str">
            <v>H</v>
          </cell>
          <cell r="W724" t="str">
            <v>H</v>
          </cell>
        </row>
        <row r="725">
          <cell r="A725">
            <v>44991</v>
          </cell>
          <cell r="B725">
            <v>53400</v>
          </cell>
          <cell r="C725">
            <v>54000</v>
          </cell>
          <cell r="D725">
            <v>53500</v>
          </cell>
          <cell r="E725">
            <v>51000</v>
          </cell>
          <cell r="F725">
            <v>55900</v>
          </cell>
          <cell r="G725" t="str">
            <v>-</v>
          </cell>
          <cell r="H725">
            <v>54500</v>
          </cell>
          <cell r="I725">
            <v>54100</v>
          </cell>
          <cell r="J725">
            <v>55800</v>
          </cell>
          <cell r="K725" t="str">
            <v>-</v>
          </cell>
          <cell r="L725">
            <v>54600</v>
          </cell>
          <cell r="M725">
            <v>56000</v>
          </cell>
          <cell r="N725">
            <v>52900</v>
          </cell>
          <cell r="O725">
            <v>52500</v>
          </cell>
          <cell r="P725">
            <v>50700</v>
          </cell>
          <cell r="Q725">
            <v>50800</v>
          </cell>
          <cell r="R725">
            <v>50800</v>
          </cell>
          <cell r="S725">
            <v>53500</v>
          </cell>
          <cell r="T725">
            <v>54000</v>
          </cell>
          <cell r="U725">
            <v>53300</v>
          </cell>
          <cell r="V725">
            <v>57300</v>
          </cell>
          <cell r="W725">
            <v>59500</v>
          </cell>
        </row>
        <row r="726">
          <cell r="A726">
            <v>44992</v>
          </cell>
          <cell r="B726">
            <v>53600</v>
          </cell>
          <cell r="C726">
            <v>54000</v>
          </cell>
          <cell r="D726">
            <v>53200</v>
          </cell>
          <cell r="E726" t="str">
            <v>-</v>
          </cell>
          <cell r="F726">
            <v>56200</v>
          </cell>
          <cell r="G726" t="str">
            <v>-</v>
          </cell>
          <cell r="H726">
            <v>54500</v>
          </cell>
          <cell r="I726" t="str">
            <v>-</v>
          </cell>
          <cell r="J726" t="str">
            <v>-</v>
          </cell>
          <cell r="K726" t="str">
            <v>-</v>
          </cell>
          <cell r="L726">
            <v>54600</v>
          </cell>
          <cell r="M726" t="str">
            <v>-</v>
          </cell>
          <cell r="N726">
            <v>52600</v>
          </cell>
          <cell r="O726" t="str">
            <v>-</v>
          </cell>
          <cell r="P726">
            <v>50400</v>
          </cell>
          <cell r="Q726">
            <v>50800</v>
          </cell>
          <cell r="R726">
            <v>50600</v>
          </cell>
          <cell r="S726" t="str">
            <v>-</v>
          </cell>
          <cell r="T726">
            <v>54000</v>
          </cell>
          <cell r="U726">
            <v>53300</v>
          </cell>
          <cell r="V726">
            <v>57300</v>
          </cell>
          <cell r="W726">
            <v>59500</v>
          </cell>
        </row>
        <row r="727">
          <cell r="A727">
            <v>44993</v>
          </cell>
          <cell r="B727" t="str">
            <v>H</v>
          </cell>
          <cell r="C727" t="str">
            <v>H</v>
          </cell>
          <cell r="D727" t="str">
            <v>H</v>
          </cell>
          <cell r="E727" t="str">
            <v>H</v>
          </cell>
          <cell r="F727" t="str">
            <v>H</v>
          </cell>
          <cell r="G727" t="str">
            <v>H</v>
          </cell>
          <cell r="H727" t="str">
            <v>H</v>
          </cell>
          <cell r="I727" t="str">
            <v>H</v>
          </cell>
          <cell r="J727" t="str">
            <v>H</v>
          </cell>
          <cell r="K727" t="str">
            <v>H</v>
          </cell>
          <cell r="L727" t="str">
            <v>H</v>
          </cell>
          <cell r="M727" t="str">
            <v>H</v>
          </cell>
          <cell r="N727" t="str">
            <v>H</v>
          </cell>
          <cell r="O727" t="str">
            <v>H</v>
          </cell>
          <cell r="P727" t="str">
            <v>H</v>
          </cell>
          <cell r="Q727" t="str">
            <v>H</v>
          </cell>
          <cell r="R727" t="str">
            <v>H</v>
          </cell>
          <cell r="S727" t="str">
            <v>H</v>
          </cell>
          <cell r="T727" t="str">
            <v>H</v>
          </cell>
          <cell r="U727" t="str">
            <v>H</v>
          </cell>
          <cell r="V727" t="str">
            <v>H</v>
          </cell>
          <cell r="W727" t="str">
            <v>H</v>
          </cell>
        </row>
        <row r="728">
          <cell r="A728">
            <v>44994</v>
          </cell>
          <cell r="B728" t="str">
            <v>H</v>
          </cell>
          <cell r="C728" t="str">
            <v>H</v>
          </cell>
          <cell r="D728" t="str">
            <v>H</v>
          </cell>
          <cell r="E728" t="str">
            <v>H</v>
          </cell>
          <cell r="F728" t="str">
            <v>H</v>
          </cell>
          <cell r="G728" t="str">
            <v>H</v>
          </cell>
          <cell r="H728" t="str">
            <v>H</v>
          </cell>
          <cell r="I728" t="str">
            <v>H</v>
          </cell>
          <cell r="J728" t="str">
            <v>H</v>
          </cell>
          <cell r="K728" t="str">
            <v>H</v>
          </cell>
          <cell r="L728" t="str">
            <v>H</v>
          </cell>
          <cell r="M728" t="str">
            <v>H</v>
          </cell>
          <cell r="N728" t="str">
            <v>H</v>
          </cell>
          <cell r="O728" t="str">
            <v>H</v>
          </cell>
          <cell r="P728" t="str">
            <v>H</v>
          </cell>
          <cell r="Q728" t="str">
            <v>H</v>
          </cell>
          <cell r="R728" t="str">
            <v>H</v>
          </cell>
          <cell r="S728" t="str">
            <v>H</v>
          </cell>
          <cell r="T728" t="str">
            <v>H</v>
          </cell>
          <cell r="U728" t="str">
            <v>H</v>
          </cell>
          <cell r="V728" t="str">
            <v>H</v>
          </cell>
          <cell r="W728" t="str">
            <v>H</v>
          </cell>
        </row>
        <row r="729">
          <cell r="A729">
            <v>44995</v>
          </cell>
          <cell r="B729">
            <v>53800</v>
          </cell>
          <cell r="C729">
            <v>54000</v>
          </cell>
          <cell r="D729">
            <v>53800</v>
          </cell>
          <cell r="E729">
            <v>51300</v>
          </cell>
          <cell r="F729">
            <v>56400</v>
          </cell>
          <cell r="G729" t="str">
            <v>-</v>
          </cell>
          <cell r="H729">
            <v>54000</v>
          </cell>
          <cell r="I729">
            <v>53700</v>
          </cell>
          <cell r="J729">
            <v>55800</v>
          </cell>
          <cell r="K729" t="str">
            <v>-</v>
          </cell>
          <cell r="L729">
            <v>54600</v>
          </cell>
          <cell r="M729">
            <v>56600</v>
          </cell>
          <cell r="N729">
            <v>52600</v>
          </cell>
          <cell r="O729">
            <v>52500</v>
          </cell>
          <cell r="P729">
            <v>50600</v>
          </cell>
          <cell r="Q729">
            <v>50700</v>
          </cell>
          <cell r="R729">
            <v>50600</v>
          </cell>
          <cell r="S729">
            <v>53800</v>
          </cell>
          <cell r="T729">
            <v>54000</v>
          </cell>
          <cell r="U729">
            <v>53300</v>
          </cell>
          <cell r="V729">
            <v>57300</v>
          </cell>
          <cell r="W729">
            <v>59500</v>
          </cell>
        </row>
        <row r="730">
          <cell r="A730">
            <v>44996</v>
          </cell>
          <cell r="B730">
            <v>53500</v>
          </cell>
          <cell r="C730">
            <v>54000</v>
          </cell>
          <cell r="D730">
            <v>53200</v>
          </cell>
          <cell r="E730">
            <v>51200</v>
          </cell>
          <cell r="F730">
            <v>56400</v>
          </cell>
          <cell r="G730" t="str">
            <v>-</v>
          </cell>
          <cell r="H730">
            <v>54000</v>
          </cell>
          <cell r="I730">
            <v>53000</v>
          </cell>
          <cell r="J730">
            <v>55700</v>
          </cell>
          <cell r="K730" t="str">
            <v>-</v>
          </cell>
          <cell r="L730">
            <v>54300</v>
          </cell>
          <cell r="M730">
            <v>56600</v>
          </cell>
          <cell r="N730">
            <v>52500</v>
          </cell>
          <cell r="O730">
            <v>52500</v>
          </cell>
          <cell r="P730">
            <v>50300</v>
          </cell>
          <cell r="Q730">
            <v>50700</v>
          </cell>
          <cell r="R730">
            <v>50500</v>
          </cell>
          <cell r="S730">
            <v>53700</v>
          </cell>
          <cell r="T730">
            <v>54000</v>
          </cell>
          <cell r="U730">
            <v>53300</v>
          </cell>
          <cell r="V730">
            <v>56800</v>
          </cell>
          <cell r="W730">
            <v>59200</v>
          </cell>
        </row>
        <row r="731">
          <cell r="A731">
            <v>44997</v>
          </cell>
          <cell r="B731" t="str">
            <v>H</v>
          </cell>
          <cell r="C731" t="str">
            <v>H</v>
          </cell>
          <cell r="D731" t="str">
            <v>H</v>
          </cell>
          <cell r="E731" t="str">
            <v>H</v>
          </cell>
          <cell r="F731" t="str">
            <v>H</v>
          </cell>
          <cell r="G731" t="str">
            <v>H</v>
          </cell>
          <cell r="H731" t="str">
            <v>H</v>
          </cell>
          <cell r="I731" t="str">
            <v>H</v>
          </cell>
          <cell r="J731" t="str">
            <v>H</v>
          </cell>
          <cell r="K731" t="str">
            <v>H</v>
          </cell>
          <cell r="L731" t="str">
            <v>H</v>
          </cell>
          <cell r="M731" t="str">
            <v>H</v>
          </cell>
          <cell r="N731" t="str">
            <v>H</v>
          </cell>
          <cell r="O731" t="str">
            <v>H</v>
          </cell>
          <cell r="P731" t="str">
            <v>H</v>
          </cell>
          <cell r="Q731" t="str">
            <v>H</v>
          </cell>
          <cell r="R731" t="str">
            <v>H</v>
          </cell>
          <cell r="S731" t="str">
            <v>H</v>
          </cell>
          <cell r="T731" t="str">
            <v>H</v>
          </cell>
          <cell r="U731" t="str">
            <v>H</v>
          </cell>
          <cell r="V731" t="str">
            <v>H</v>
          </cell>
          <cell r="W731" t="str">
            <v>H</v>
          </cell>
        </row>
        <row r="732">
          <cell r="A732">
            <v>44998</v>
          </cell>
          <cell r="B732">
            <v>53500</v>
          </cell>
          <cell r="C732">
            <v>54000</v>
          </cell>
          <cell r="D732">
            <v>53200</v>
          </cell>
          <cell r="E732">
            <v>51400</v>
          </cell>
          <cell r="F732">
            <v>56400</v>
          </cell>
          <cell r="G732" t="str">
            <v>-</v>
          </cell>
          <cell r="H732">
            <v>54000</v>
          </cell>
          <cell r="I732">
            <v>53500</v>
          </cell>
          <cell r="J732">
            <v>55500</v>
          </cell>
          <cell r="K732" t="str">
            <v>-</v>
          </cell>
          <cell r="L732">
            <v>54300</v>
          </cell>
          <cell r="M732">
            <v>56600</v>
          </cell>
          <cell r="N732">
            <v>52500</v>
          </cell>
          <cell r="O732">
            <v>52500</v>
          </cell>
          <cell r="P732">
            <v>50500</v>
          </cell>
          <cell r="Q732">
            <v>50600</v>
          </cell>
          <cell r="R732">
            <v>50500</v>
          </cell>
          <cell r="S732">
            <v>53900</v>
          </cell>
          <cell r="T732">
            <v>54000</v>
          </cell>
          <cell r="U732">
            <v>53300</v>
          </cell>
          <cell r="V732">
            <v>56800</v>
          </cell>
          <cell r="W732">
            <v>59200</v>
          </cell>
        </row>
        <row r="733">
          <cell r="A733">
            <v>44999</v>
          </cell>
          <cell r="B733">
            <v>53500</v>
          </cell>
          <cell r="C733">
            <v>54000</v>
          </cell>
          <cell r="D733">
            <v>53500</v>
          </cell>
          <cell r="E733">
            <v>51500</v>
          </cell>
          <cell r="F733">
            <v>56400</v>
          </cell>
          <cell r="G733" t="str">
            <v>-</v>
          </cell>
          <cell r="H733">
            <v>54000</v>
          </cell>
          <cell r="I733">
            <v>53500</v>
          </cell>
          <cell r="J733">
            <v>55500</v>
          </cell>
          <cell r="K733" t="str">
            <v>-</v>
          </cell>
          <cell r="L733">
            <v>54400</v>
          </cell>
          <cell r="M733">
            <v>56600</v>
          </cell>
          <cell r="N733">
            <v>52600</v>
          </cell>
          <cell r="O733">
            <v>52800</v>
          </cell>
          <cell r="P733">
            <v>50500</v>
          </cell>
          <cell r="Q733">
            <v>50500</v>
          </cell>
          <cell r="R733">
            <v>50500</v>
          </cell>
          <cell r="S733">
            <v>54000</v>
          </cell>
          <cell r="T733">
            <v>54000</v>
          </cell>
          <cell r="U733">
            <v>53300</v>
          </cell>
          <cell r="V733">
            <v>56800</v>
          </cell>
          <cell r="W733">
            <v>59200</v>
          </cell>
        </row>
        <row r="734">
          <cell r="A734">
            <v>45000</v>
          </cell>
          <cell r="B734">
            <v>53100</v>
          </cell>
          <cell r="C734">
            <v>54000</v>
          </cell>
          <cell r="D734">
            <v>53100</v>
          </cell>
          <cell r="E734">
            <v>51000</v>
          </cell>
          <cell r="F734">
            <v>56200</v>
          </cell>
          <cell r="G734" t="str">
            <v>-</v>
          </cell>
          <cell r="H734">
            <v>53800</v>
          </cell>
          <cell r="I734">
            <v>53300</v>
          </cell>
          <cell r="J734">
            <v>55400</v>
          </cell>
          <cell r="K734" t="str">
            <v>-</v>
          </cell>
          <cell r="L734">
            <v>54100</v>
          </cell>
          <cell r="M734">
            <v>56600</v>
          </cell>
          <cell r="N734">
            <v>52300</v>
          </cell>
          <cell r="O734">
            <v>52500</v>
          </cell>
          <cell r="P734">
            <v>50000</v>
          </cell>
          <cell r="Q734">
            <v>50300</v>
          </cell>
          <cell r="R734">
            <v>50100</v>
          </cell>
          <cell r="S734">
            <v>53500</v>
          </cell>
          <cell r="T734">
            <v>53800</v>
          </cell>
          <cell r="U734">
            <v>53300</v>
          </cell>
          <cell r="V734">
            <v>56400</v>
          </cell>
          <cell r="W734">
            <v>58900</v>
          </cell>
        </row>
        <row r="735">
          <cell r="A735">
            <v>45001</v>
          </cell>
          <cell r="B735">
            <v>52900</v>
          </cell>
          <cell r="C735">
            <v>54000</v>
          </cell>
          <cell r="D735">
            <v>52900</v>
          </cell>
          <cell r="E735">
            <v>50500</v>
          </cell>
          <cell r="F735">
            <v>56200</v>
          </cell>
          <cell r="G735" t="str">
            <v>-</v>
          </cell>
          <cell r="H735">
            <v>53500</v>
          </cell>
          <cell r="I735">
            <v>53100</v>
          </cell>
          <cell r="J735">
            <v>55300</v>
          </cell>
          <cell r="K735" t="str">
            <v>-</v>
          </cell>
          <cell r="L735">
            <v>53800</v>
          </cell>
          <cell r="M735">
            <v>56400</v>
          </cell>
          <cell r="N735">
            <v>51900</v>
          </cell>
          <cell r="O735">
            <v>52100</v>
          </cell>
          <cell r="P735">
            <v>49700</v>
          </cell>
          <cell r="Q735">
            <v>50000</v>
          </cell>
          <cell r="R735">
            <v>49900</v>
          </cell>
          <cell r="S735">
            <v>53000</v>
          </cell>
          <cell r="T735">
            <v>53400</v>
          </cell>
          <cell r="U735">
            <v>53300</v>
          </cell>
          <cell r="V735">
            <v>56000</v>
          </cell>
          <cell r="W735">
            <v>58600</v>
          </cell>
        </row>
        <row r="736">
          <cell r="A736">
            <v>45002</v>
          </cell>
          <cell r="B736">
            <v>52900</v>
          </cell>
          <cell r="C736">
            <v>54000</v>
          </cell>
          <cell r="D736">
            <v>52900</v>
          </cell>
          <cell r="E736">
            <v>50500</v>
          </cell>
          <cell r="F736">
            <v>56100</v>
          </cell>
          <cell r="G736" t="str">
            <v>-</v>
          </cell>
          <cell r="H736">
            <v>53500</v>
          </cell>
          <cell r="I736">
            <v>53200</v>
          </cell>
          <cell r="J736">
            <v>55300</v>
          </cell>
          <cell r="K736" t="str">
            <v>-</v>
          </cell>
          <cell r="L736">
            <v>53800</v>
          </cell>
          <cell r="M736">
            <v>56400</v>
          </cell>
          <cell r="N736">
            <v>52000</v>
          </cell>
          <cell r="O736">
            <v>52300</v>
          </cell>
          <cell r="P736">
            <v>50000</v>
          </cell>
          <cell r="Q736">
            <v>50200</v>
          </cell>
          <cell r="R736">
            <v>50100</v>
          </cell>
          <cell r="S736">
            <v>53000</v>
          </cell>
          <cell r="T736">
            <v>53600</v>
          </cell>
          <cell r="U736">
            <v>53300</v>
          </cell>
          <cell r="V736">
            <v>56000</v>
          </cell>
          <cell r="W736">
            <v>58600</v>
          </cell>
        </row>
        <row r="737">
          <cell r="A737">
            <v>45003</v>
          </cell>
          <cell r="B737">
            <v>52700</v>
          </cell>
          <cell r="C737">
            <v>53800</v>
          </cell>
          <cell r="D737">
            <v>52500</v>
          </cell>
          <cell r="E737">
            <v>50200</v>
          </cell>
          <cell r="F737">
            <v>55900</v>
          </cell>
          <cell r="G737" t="str">
            <v>-</v>
          </cell>
          <cell r="H737">
            <v>53500</v>
          </cell>
          <cell r="I737">
            <v>52700</v>
          </cell>
          <cell r="J737">
            <v>55200</v>
          </cell>
          <cell r="K737" t="str">
            <v>-</v>
          </cell>
          <cell r="L737">
            <v>53500</v>
          </cell>
          <cell r="M737">
            <v>56100</v>
          </cell>
          <cell r="N737">
            <v>51500</v>
          </cell>
          <cell r="O737">
            <v>52000</v>
          </cell>
          <cell r="P737">
            <v>50000</v>
          </cell>
          <cell r="Q737">
            <v>50000</v>
          </cell>
          <cell r="R737">
            <v>50000</v>
          </cell>
          <cell r="S737">
            <v>52700</v>
          </cell>
          <cell r="T737">
            <v>53500</v>
          </cell>
          <cell r="U737">
            <v>53300</v>
          </cell>
          <cell r="V737">
            <v>55900</v>
          </cell>
          <cell r="W737">
            <v>58600</v>
          </cell>
        </row>
        <row r="738">
          <cell r="A738">
            <v>45004</v>
          </cell>
          <cell r="B738" t="str">
            <v>H</v>
          </cell>
          <cell r="C738" t="str">
            <v>H</v>
          </cell>
          <cell r="D738" t="str">
            <v>H</v>
          </cell>
          <cell r="E738" t="str">
            <v>H</v>
          </cell>
          <cell r="F738" t="str">
            <v>H</v>
          </cell>
          <cell r="G738" t="str">
            <v>H</v>
          </cell>
          <cell r="H738" t="str">
            <v>H</v>
          </cell>
          <cell r="I738" t="str">
            <v>H</v>
          </cell>
          <cell r="J738" t="str">
            <v>H</v>
          </cell>
          <cell r="K738" t="str">
            <v>H</v>
          </cell>
          <cell r="L738" t="str">
            <v>H</v>
          </cell>
          <cell r="M738" t="str">
            <v>H</v>
          </cell>
          <cell r="N738" t="str">
            <v>H</v>
          </cell>
          <cell r="O738" t="str">
            <v>H</v>
          </cell>
          <cell r="P738" t="str">
            <v>H</v>
          </cell>
          <cell r="Q738" t="str">
            <v>H</v>
          </cell>
          <cell r="R738" t="str">
            <v>H</v>
          </cell>
          <cell r="S738" t="str">
            <v>H</v>
          </cell>
          <cell r="T738" t="str">
            <v>H</v>
          </cell>
          <cell r="U738" t="str">
            <v>H</v>
          </cell>
          <cell r="V738" t="str">
            <v>H</v>
          </cell>
          <cell r="W738" t="str">
            <v>H</v>
          </cell>
        </row>
        <row r="739">
          <cell r="A739">
            <v>45005</v>
          </cell>
          <cell r="B739">
            <v>52400</v>
          </cell>
          <cell r="C739">
            <v>53700</v>
          </cell>
          <cell r="D739">
            <v>52100</v>
          </cell>
          <cell r="E739">
            <v>50200</v>
          </cell>
          <cell r="F739">
            <v>55500</v>
          </cell>
          <cell r="G739" t="str">
            <v>-</v>
          </cell>
          <cell r="H739">
            <v>53000</v>
          </cell>
          <cell r="I739">
            <v>52300</v>
          </cell>
          <cell r="J739">
            <v>54900</v>
          </cell>
          <cell r="K739" t="str">
            <v>-</v>
          </cell>
          <cell r="L739">
            <v>53400</v>
          </cell>
          <cell r="M739">
            <v>55500</v>
          </cell>
          <cell r="N739">
            <v>51200</v>
          </cell>
          <cell r="O739">
            <v>51700</v>
          </cell>
          <cell r="P739">
            <v>49400</v>
          </cell>
          <cell r="Q739">
            <v>50000</v>
          </cell>
          <cell r="R739">
            <v>49900</v>
          </cell>
          <cell r="S739">
            <v>52700</v>
          </cell>
          <cell r="T739">
            <v>53300</v>
          </cell>
          <cell r="U739">
            <v>53300</v>
          </cell>
          <cell r="V739">
            <v>55700</v>
          </cell>
          <cell r="W739">
            <v>58200</v>
          </cell>
        </row>
        <row r="740">
          <cell r="A740">
            <v>45006</v>
          </cell>
          <cell r="B740">
            <v>52000</v>
          </cell>
          <cell r="C740">
            <v>53700</v>
          </cell>
          <cell r="D740">
            <v>51700</v>
          </cell>
          <cell r="E740">
            <v>50200</v>
          </cell>
          <cell r="F740">
            <v>54900</v>
          </cell>
          <cell r="G740" t="str">
            <v>-</v>
          </cell>
          <cell r="H740">
            <v>52500</v>
          </cell>
          <cell r="I740">
            <v>52200</v>
          </cell>
          <cell r="J740">
            <v>54900</v>
          </cell>
          <cell r="K740" t="str">
            <v>-</v>
          </cell>
          <cell r="L740">
            <v>52900</v>
          </cell>
          <cell r="M740">
            <v>55500</v>
          </cell>
          <cell r="N740">
            <v>51000</v>
          </cell>
          <cell r="O740">
            <v>51700</v>
          </cell>
          <cell r="P740">
            <v>49200</v>
          </cell>
          <cell r="Q740">
            <v>50000</v>
          </cell>
          <cell r="R740">
            <v>49700</v>
          </cell>
          <cell r="S740">
            <v>52700</v>
          </cell>
          <cell r="T740">
            <v>53300</v>
          </cell>
          <cell r="U740">
            <v>52800</v>
          </cell>
          <cell r="V740">
            <v>55200</v>
          </cell>
          <cell r="W740">
            <v>57800</v>
          </cell>
        </row>
        <row r="741">
          <cell r="A741">
            <v>45007</v>
          </cell>
          <cell r="B741">
            <v>52400</v>
          </cell>
          <cell r="C741">
            <v>53500</v>
          </cell>
          <cell r="D741">
            <v>51900</v>
          </cell>
          <cell r="E741">
            <v>50400</v>
          </cell>
          <cell r="F741">
            <v>55200</v>
          </cell>
          <cell r="G741" t="str">
            <v>-</v>
          </cell>
          <cell r="H741">
            <v>53000</v>
          </cell>
          <cell r="I741">
            <v>52200</v>
          </cell>
          <cell r="J741">
            <v>54900</v>
          </cell>
          <cell r="K741" t="str">
            <v>-</v>
          </cell>
          <cell r="L741">
            <v>53000</v>
          </cell>
          <cell r="M741">
            <v>55500</v>
          </cell>
          <cell r="N741">
            <v>51500</v>
          </cell>
          <cell r="O741">
            <v>52000</v>
          </cell>
          <cell r="P741">
            <v>49800</v>
          </cell>
          <cell r="Q741">
            <v>50100</v>
          </cell>
          <cell r="R741">
            <v>50000</v>
          </cell>
          <cell r="S741">
            <v>52900</v>
          </cell>
          <cell r="T741">
            <v>53100</v>
          </cell>
          <cell r="U741">
            <v>52800</v>
          </cell>
          <cell r="V741">
            <v>55200</v>
          </cell>
          <cell r="W741">
            <v>57800</v>
          </cell>
        </row>
        <row r="742">
          <cell r="A742">
            <v>45008</v>
          </cell>
          <cell r="B742">
            <v>52400</v>
          </cell>
          <cell r="C742">
            <v>54000</v>
          </cell>
          <cell r="D742">
            <v>51900</v>
          </cell>
          <cell r="E742">
            <v>50300</v>
          </cell>
          <cell r="F742">
            <v>55200</v>
          </cell>
          <cell r="G742" t="str">
            <v>-</v>
          </cell>
          <cell r="H742">
            <v>52800</v>
          </cell>
          <cell r="I742">
            <v>52000</v>
          </cell>
          <cell r="J742">
            <v>54900</v>
          </cell>
          <cell r="K742" t="str">
            <v>-</v>
          </cell>
          <cell r="L742">
            <v>53000</v>
          </cell>
          <cell r="M742">
            <v>55500</v>
          </cell>
          <cell r="N742">
            <v>51200</v>
          </cell>
          <cell r="O742">
            <v>51500</v>
          </cell>
          <cell r="P742">
            <v>49400</v>
          </cell>
          <cell r="Q742">
            <v>50000</v>
          </cell>
          <cell r="R742">
            <v>49800</v>
          </cell>
          <cell r="S742">
            <v>52800</v>
          </cell>
          <cell r="T742">
            <v>52900</v>
          </cell>
          <cell r="U742">
            <v>52800</v>
          </cell>
          <cell r="V742">
            <v>55200</v>
          </cell>
          <cell r="W742">
            <v>57800</v>
          </cell>
        </row>
        <row r="743">
          <cell r="A743">
            <v>45009</v>
          </cell>
          <cell r="B743">
            <v>52400</v>
          </cell>
          <cell r="C743">
            <v>54500</v>
          </cell>
          <cell r="D743">
            <v>52000</v>
          </cell>
          <cell r="E743">
            <v>50700</v>
          </cell>
          <cell r="F743">
            <v>55200</v>
          </cell>
          <cell r="G743" t="str">
            <v>-</v>
          </cell>
          <cell r="H743">
            <v>52500</v>
          </cell>
          <cell r="I743">
            <v>52200</v>
          </cell>
          <cell r="J743">
            <v>54900</v>
          </cell>
          <cell r="K743" t="str">
            <v>-</v>
          </cell>
          <cell r="L743">
            <v>53200</v>
          </cell>
          <cell r="M743">
            <v>55500</v>
          </cell>
          <cell r="N743">
            <v>51200</v>
          </cell>
          <cell r="O743" t="str">
            <v>-</v>
          </cell>
          <cell r="P743">
            <v>49850</v>
          </cell>
          <cell r="Q743">
            <v>50100</v>
          </cell>
          <cell r="R743">
            <v>50000</v>
          </cell>
          <cell r="S743">
            <v>53200</v>
          </cell>
          <cell r="T743">
            <v>53000</v>
          </cell>
          <cell r="U743">
            <v>52800</v>
          </cell>
          <cell r="V743">
            <v>55200</v>
          </cell>
          <cell r="W743">
            <v>57800</v>
          </cell>
        </row>
        <row r="744">
          <cell r="A744">
            <v>45010</v>
          </cell>
          <cell r="B744">
            <v>52400</v>
          </cell>
          <cell r="C744">
            <v>54500</v>
          </cell>
          <cell r="D744">
            <v>52000</v>
          </cell>
          <cell r="E744">
            <v>50500</v>
          </cell>
          <cell r="F744">
            <v>55300</v>
          </cell>
          <cell r="G744" t="str">
            <v>-</v>
          </cell>
          <cell r="H744">
            <v>52500</v>
          </cell>
          <cell r="I744">
            <v>52200</v>
          </cell>
          <cell r="J744">
            <v>54900</v>
          </cell>
          <cell r="K744" t="str">
            <v>-</v>
          </cell>
          <cell r="L744">
            <v>53200</v>
          </cell>
          <cell r="M744">
            <v>55500</v>
          </cell>
          <cell r="N744">
            <v>51200</v>
          </cell>
          <cell r="O744">
            <v>51200</v>
          </cell>
          <cell r="P744">
            <v>49600</v>
          </cell>
          <cell r="Q744">
            <v>50200</v>
          </cell>
          <cell r="R744">
            <v>50000</v>
          </cell>
          <cell r="S744">
            <v>53000</v>
          </cell>
          <cell r="T744">
            <v>53000</v>
          </cell>
          <cell r="U744">
            <v>52800</v>
          </cell>
          <cell r="V744">
            <v>55200</v>
          </cell>
          <cell r="W744">
            <v>57800</v>
          </cell>
        </row>
        <row r="745">
          <cell r="A745">
            <v>45011</v>
          </cell>
          <cell r="B745" t="str">
            <v>H</v>
          </cell>
          <cell r="C745" t="str">
            <v>H</v>
          </cell>
          <cell r="D745" t="str">
            <v>H</v>
          </cell>
          <cell r="E745" t="str">
            <v>H</v>
          </cell>
          <cell r="F745" t="str">
            <v>H</v>
          </cell>
          <cell r="G745" t="str">
            <v>H</v>
          </cell>
          <cell r="H745" t="str">
            <v>H</v>
          </cell>
          <cell r="I745" t="str">
            <v>H</v>
          </cell>
          <cell r="J745" t="str">
            <v>H</v>
          </cell>
          <cell r="K745" t="str">
            <v>H</v>
          </cell>
          <cell r="L745" t="str">
            <v>H</v>
          </cell>
          <cell r="M745" t="str">
            <v>H</v>
          </cell>
          <cell r="N745" t="str">
            <v>H</v>
          </cell>
          <cell r="O745" t="str">
            <v>H</v>
          </cell>
          <cell r="P745" t="str">
            <v>H</v>
          </cell>
          <cell r="Q745" t="str">
            <v>H</v>
          </cell>
          <cell r="R745" t="str">
            <v>H</v>
          </cell>
          <cell r="S745" t="str">
            <v>H</v>
          </cell>
          <cell r="T745" t="str">
            <v>H</v>
          </cell>
          <cell r="U745" t="str">
            <v>H</v>
          </cell>
          <cell r="V745" t="str">
            <v>H</v>
          </cell>
          <cell r="W745" t="str">
            <v>H</v>
          </cell>
        </row>
        <row r="746">
          <cell r="A746">
            <v>45012</v>
          </cell>
          <cell r="B746">
            <v>53200</v>
          </cell>
          <cell r="C746">
            <v>54500</v>
          </cell>
          <cell r="D746">
            <v>52500</v>
          </cell>
          <cell r="E746">
            <v>50800</v>
          </cell>
          <cell r="F746">
            <v>55300</v>
          </cell>
          <cell r="G746" t="str">
            <v>-</v>
          </cell>
          <cell r="H746">
            <v>52500</v>
          </cell>
          <cell r="I746">
            <v>52300</v>
          </cell>
          <cell r="J746">
            <v>54900</v>
          </cell>
          <cell r="K746" t="str">
            <v>-</v>
          </cell>
          <cell r="L746">
            <v>53300</v>
          </cell>
          <cell r="M746">
            <v>55500</v>
          </cell>
          <cell r="N746">
            <v>51500</v>
          </cell>
          <cell r="O746">
            <v>51700</v>
          </cell>
          <cell r="P746">
            <v>50000</v>
          </cell>
          <cell r="Q746">
            <v>50200</v>
          </cell>
          <cell r="R746">
            <v>50100</v>
          </cell>
          <cell r="S746">
            <v>53300</v>
          </cell>
          <cell r="T746">
            <v>53100</v>
          </cell>
          <cell r="U746">
            <v>52800</v>
          </cell>
          <cell r="V746">
            <v>55600</v>
          </cell>
          <cell r="W746">
            <v>57800</v>
          </cell>
        </row>
        <row r="747">
          <cell r="A747">
            <v>45013</v>
          </cell>
          <cell r="B747">
            <v>53500</v>
          </cell>
          <cell r="C747">
            <v>54500</v>
          </cell>
          <cell r="D747">
            <v>52500</v>
          </cell>
          <cell r="E747">
            <v>50500</v>
          </cell>
          <cell r="F747">
            <v>55600</v>
          </cell>
          <cell r="G747" t="str">
            <v>-</v>
          </cell>
          <cell r="H747">
            <v>53000</v>
          </cell>
          <cell r="I747">
            <v>52300</v>
          </cell>
          <cell r="J747">
            <v>55200</v>
          </cell>
          <cell r="K747" t="str">
            <v>-</v>
          </cell>
          <cell r="L747">
            <v>53200</v>
          </cell>
          <cell r="M747">
            <v>55500</v>
          </cell>
          <cell r="N747">
            <v>51300</v>
          </cell>
          <cell r="O747">
            <v>51700</v>
          </cell>
          <cell r="P747">
            <v>49700</v>
          </cell>
          <cell r="Q747">
            <v>50200</v>
          </cell>
          <cell r="R747">
            <v>50000</v>
          </cell>
          <cell r="S747">
            <v>53100</v>
          </cell>
          <cell r="T747">
            <v>53100</v>
          </cell>
          <cell r="U747">
            <v>52800</v>
          </cell>
          <cell r="V747">
            <v>55600</v>
          </cell>
          <cell r="W747">
            <v>57800</v>
          </cell>
        </row>
        <row r="748">
          <cell r="A748">
            <v>45014</v>
          </cell>
          <cell r="B748">
            <v>53500</v>
          </cell>
          <cell r="C748">
            <v>54500</v>
          </cell>
          <cell r="D748">
            <v>52700</v>
          </cell>
          <cell r="E748">
            <v>50700</v>
          </cell>
          <cell r="F748">
            <v>55600</v>
          </cell>
          <cell r="G748" t="str">
            <v>-</v>
          </cell>
          <cell r="H748">
            <v>53000</v>
          </cell>
          <cell r="I748">
            <v>52500</v>
          </cell>
          <cell r="J748">
            <v>55200</v>
          </cell>
          <cell r="K748" t="str">
            <v>-</v>
          </cell>
          <cell r="L748">
            <v>53300</v>
          </cell>
          <cell r="M748">
            <v>55500</v>
          </cell>
          <cell r="N748">
            <v>51500</v>
          </cell>
          <cell r="O748">
            <v>52300</v>
          </cell>
          <cell r="P748">
            <v>50000</v>
          </cell>
          <cell r="Q748">
            <v>50200</v>
          </cell>
          <cell r="R748">
            <v>50100</v>
          </cell>
          <cell r="S748">
            <v>53200</v>
          </cell>
          <cell r="T748">
            <v>53100</v>
          </cell>
          <cell r="U748">
            <v>52800</v>
          </cell>
          <cell r="V748">
            <v>55600</v>
          </cell>
          <cell r="W748">
            <v>57800</v>
          </cell>
        </row>
        <row r="749">
          <cell r="A749">
            <v>45015</v>
          </cell>
          <cell r="B749">
            <v>53500</v>
          </cell>
          <cell r="C749">
            <v>54500</v>
          </cell>
          <cell r="D749">
            <v>52400</v>
          </cell>
          <cell r="E749">
            <v>50500</v>
          </cell>
          <cell r="F749">
            <v>55800</v>
          </cell>
          <cell r="G749" t="str">
            <v>-</v>
          </cell>
          <cell r="H749">
            <v>52500</v>
          </cell>
          <cell r="I749">
            <v>52400</v>
          </cell>
          <cell r="J749">
            <v>55200</v>
          </cell>
          <cell r="K749" t="str">
            <v>-</v>
          </cell>
          <cell r="L749">
            <v>53100</v>
          </cell>
          <cell r="M749">
            <v>55500</v>
          </cell>
          <cell r="N749">
            <v>51200</v>
          </cell>
          <cell r="O749">
            <v>51700</v>
          </cell>
          <cell r="P749">
            <v>50000</v>
          </cell>
          <cell r="Q749">
            <v>50200</v>
          </cell>
          <cell r="R749">
            <v>49900</v>
          </cell>
          <cell r="S749">
            <v>53000</v>
          </cell>
          <cell r="T749">
            <v>53000</v>
          </cell>
          <cell r="U749">
            <v>52800</v>
          </cell>
          <cell r="V749">
            <v>55600</v>
          </cell>
          <cell r="W749">
            <v>57800</v>
          </cell>
        </row>
        <row r="750">
          <cell r="A750">
            <v>45016</v>
          </cell>
          <cell r="B750">
            <v>53500</v>
          </cell>
          <cell r="C750">
            <v>54500</v>
          </cell>
          <cell r="D750">
            <v>52200</v>
          </cell>
          <cell r="E750">
            <v>50800</v>
          </cell>
          <cell r="F750">
            <v>56200</v>
          </cell>
          <cell r="G750" t="str">
            <v>-</v>
          </cell>
          <cell r="H750">
            <v>53000</v>
          </cell>
          <cell r="I750">
            <v>52500</v>
          </cell>
          <cell r="J750">
            <v>55500</v>
          </cell>
          <cell r="K750" t="str">
            <v>-</v>
          </cell>
          <cell r="L750">
            <v>53300</v>
          </cell>
          <cell r="M750">
            <v>55500</v>
          </cell>
          <cell r="N750">
            <v>51400</v>
          </cell>
          <cell r="O750">
            <v>51900</v>
          </cell>
          <cell r="P750">
            <v>50000</v>
          </cell>
          <cell r="Q750">
            <v>50300</v>
          </cell>
          <cell r="R750">
            <v>50100</v>
          </cell>
          <cell r="S750">
            <v>53300</v>
          </cell>
          <cell r="T750">
            <v>53000</v>
          </cell>
          <cell r="U750">
            <v>52800</v>
          </cell>
          <cell r="V750">
            <v>55600</v>
          </cell>
          <cell r="W750">
            <v>57800</v>
          </cell>
        </row>
        <row r="751">
          <cell r="A751">
            <v>45017</v>
          </cell>
          <cell r="B751">
            <v>53900</v>
          </cell>
          <cell r="C751">
            <v>54500</v>
          </cell>
          <cell r="D751">
            <v>52600</v>
          </cell>
          <cell r="E751">
            <v>51200</v>
          </cell>
          <cell r="F751">
            <v>56300</v>
          </cell>
          <cell r="G751" t="str">
            <v>-</v>
          </cell>
          <cell r="H751">
            <v>53500</v>
          </cell>
          <cell r="I751">
            <v>53100</v>
          </cell>
          <cell r="J751">
            <v>55500</v>
          </cell>
          <cell r="K751" t="str">
            <v>-</v>
          </cell>
          <cell r="L751">
            <v>53400</v>
          </cell>
          <cell r="M751">
            <v>55500</v>
          </cell>
          <cell r="N751">
            <v>51700</v>
          </cell>
          <cell r="O751">
            <v>52300</v>
          </cell>
          <cell r="P751">
            <v>50300</v>
          </cell>
          <cell r="Q751">
            <v>50400</v>
          </cell>
          <cell r="R751">
            <v>50400</v>
          </cell>
          <cell r="S751">
            <v>53700</v>
          </cell>
          <cell r="T751">
            <v>53300</v>
          </cell>
          <cell r="U751">
            <v>52800</v>
          </cell>
          <cell r="V751">
            <v>55600</v>
          </cell>
          <cell r="W751">
            <v>57900</v>
          </cell>
        </row>
        <row r="752">
          <cell r="A752">
            <v>45018</v>
          </cell>
          <cell r="B752" t="str">
            <v>H</v>
          </cell>
          <cell r="C752" t="str">
            <v>H</v>
          </cell>
          <cell r="D752" t="str">
            <v>H</v>
          </cell>
          <cell r="E752" t="str">
            <v>H</v>
          </cell>
          <cell r="F752" t="str">
            <v>H</v>
          </cell>
          <cell r="G752" t="str">
            <v>H</v>
          </cell>
          <cell r="H752" t="str">
            <v>H</v>
          </cell>
          <cell r="I752" t="str">
            <v>H</v>
          </cell>
          <cell r="J752" t="str">
            <v>H</v>
          </cell>
          <cell r="K752" t="str">
            <v>H</v>
          </cell>
          <cell r="L752" t="str">
            <v>H</v>
          </cell>
          <cell r="M752" t="str">
            <v>H</v>
          </cell>
          <cell r="N752" t="str">
            <v>H</v>
          </cell>
          <cell r="O752" t="str">
            <v>H</v>
          </cell>
          <cell r="P752" t="str">
            <v>H</v>
          </cell>
          <cell r="Q752" t="str">
            <v>H</v>
          </cell>
          <cell r="R752" t="str">
            <v>H</v>
          </cell>
          <cell r="S752" t="str">
            <v>H</v>
          </cell>
          <cell r="T752" t="str">
            <v>H</v>
          </cell>
          <cell r="U752" t="str">
            <v>H</v>
          </cell>
          <cell r="V752" t="str">
            <v>H</v>
          </cell>
          <cell r="W752" t="str">
            <v>H</v>
          </cell>
        </row>
        <row r="753">
          <cell r="A753">
            <v>45019</v>
          </cell>
          <cell r="B753">
            <v>54300</v>
          </cell>
          <cell r="C753">
            <v>54500</v>
          </cell>
          <cell r="D753">
            <v>52500</v>
          </cell>
          <cell r="E753">
            <v>51000</v>
          </cell>
          <cell r="F753">
            <v>56300</v>
          </cell>
          <cell r="G753" t="str">
            <v>-</v>
          </cell>
          <cell r="H753">
            <v>53500</v>
          </cell>
          <cell r="I753">
            <v>53100</v>
          </cell>
          <cell r="J753">
            <v>55500</v>
          </cell>
          <cell r="K753" t="str">
            <v>-</v>
          </cell>
          <cell r="L753">
            <v>53400</v>
          </cell>
          <cell r="M753">
            <v>55500</v>
          </cell>
          <cell r="N753">
            <v>51500</v>
          </cell>
          <cell r="O753">
            <v>52300</v>
          </cell>
          <cell r="P753">
            <v>50000</v>
          </cell>
          <cell r="Q753">
            <v>50300</v>
          </cell>
          <cell r="R753">
            <v>50300</v>
          </cell>
          <cell r="S753">
            <v>53500</v>
          </cell>
          <cell r="T753">
            <v>53300</v>
          </cell>
          <cell r="U753">
            <v>52800</v>
          </cell>
          <cell r="V753">
            <v>55800</v>
          </cell>
          <cell r="W753">
            <v>58300</v>
          </cell>
        </row>
        <row r="754">
          <cell r="A754">
            <v>45020</v>
          </cell>
          <cell r="B754">
            <v>54300</v>
          </cell>
          <cell r="C754">
            <v>54500</v>
          </cell>
          <cell r="D754">
            <v>52500</v>
          </cell>
          <cell r="E754">
            <v>51300</v>
          </cell>
          <cell r="F754">
            <v>56300</v>
          </cell>
          <cell r="G754" t="str">
            <v>-</v>
          </cell>
          <cell r="H754">
            <v>53500</v>
          </cell>
          <cell r="I754">
            <v>53200</v>
          </cell>
          <cell r="J754">
            <v>55500</v>
          </cell>
          <cell r="K754" t="str">
            <v>-</v>
          </cell>
          <cell r="L754">
            <v>53600</v>
          </cell>
          <cell r="M754">
            <v>55500</v>
          </cell>
          <cell r="N754">
            <v>51700</v>
          </cell>
          <cell r="O754">
            <v>52300</v>
          </cell>
          <cell r="P754">
            <v>50200</v>
          </cell>
          <cell r="Q754">
            <v>50300</v>
          </cell>
          <cell r="R754">
            <v>50500</v>
          </cell>
          <cell r="S754">
            <v>53800</v>
          </cell>
          <cell r="T754">
            <v>53300</v>
          </cell>
          <cell r="U754">
            <v>52800</v>
          </cell>
          <cell r="V754">
            <v>55800</v>
          </cell>
          <cell r="W754">
            <v>58300</v>
          </cell>
        </row>
        <row r="755">
          <cell r="A755">
            <v>45021</v>
          </cell>
          <cell r="B755">
            <v>54500</v>
          </cell>
          <cell r="C755">
            <v>54500</v>
          </cell>
          <cell r="D755">
            <v>52800</v>
          </cell>
          <cell r="E755">
            <v>51500</v>
          </cell>
          <cell r="F755">
            <v>56300</v>
          </cell>
          <cell r="G755" t="str">
            <v>-</v>
          </cell>
          <cell r="H755">
            <v>54000</v>
          </cell>
          <cell r="I755">
            <v>53500</v>
          </cell>
          <cell r="J755">
            <v>55500</v>
          </cell>
          <cell r="K755" t="str">
            <v>-</v>
          </cell>
          <cell r="L755">
            <v>54000</v>
          </cell>
          <cell r="M755">
            <v>55500</v>
          </cell>
          <cell r="N755">
            <v>51800</v>
          </cell>
          <cell r="O755">
            <v>52500</v>
          </cell>
          <cell r="P755">
            <v>50400</v>
          </cell>
          <cell r="Q755">
            <v>50600</v>
          </cell>
          <cell r="R755">
            <v>50700</v>
          </cell>
          <cell r="S755">
            <v>54000</v>
          </cell>
          <cell r="T755">
            <v>53700</v>
          </cell>
          <cell r="U755">
            <v>53500</v>
          </cell>
          <cell r="V755">
            <v>56200</v>
          </cell>
          <cell r="W755">
            <v>58400</v>
          </cell>
        </row>
        <row r="756">
          <cell r="A756">
            <v>45022</v>
          </cell>
          <cell r="B756">
            <v>54500</v>
          </cell>
          <cell r="C756">
            <v>54500</v>
          </cell>
          <cell r="D756">
            <v>52700</v>
          </cell>
          <cell r="E756">
            <v>51500</v>
          </cell>
          <cell r="F756">
            <v>56800</v>
          </cell>
          <cell r="G756" t="str">
            <v>-</v>
          </cell>
          <cell r="H756">
            <v>54000</v>
          </cell>
          <cell r="I756">
            <v>53500</v>
          </cell>
          <cell r="J756">
            <v>55800</v>
          </cell>
          <cell r="K756" t="str">
            <v>-</v>
          </cell>
          <cell r="L756">
            <v>54000</v>
          </cell>
          <cell r="M756">
            <v>55500</v>
          </cell>
          <cell r="N756">
            <v>51600</v>
          </cell>
          <cell r="O756">
            <v>52500</v>
          </cell>
          <cell r="P756">
            <v>50200</v>
          </cell>
          <cell r="Q756">
            <v>50500</v>
          </cell>
          <cell r="R756">
            <v>50700</v>
          </cell>
          <cell r="S756">
            <v>54000</v>
          </cell>
          <cell r="T756">
            <v>53700</v>
          </cell>
          <cell r="U756">
            <v>53500</v>
          </cell>
          <cell r="V756">
            <v>56300</v>
          </cell>
          <cell r="W756">
            <v>58800</v>
          </cell>
        </row>
        <row r="757">
          <cell r="A757">
            <v>45023</v>
          </cell>
          <cell r="B757">
            <v>54200</v>
          </cell>
          <cell r="C757">
            <v>54500</v>
          </cell>
          <cell r="D757">
            <v>52700</v>
          </cell>
          <cell r="E757">
            <v>51300</v>
          </cell>
          <cell r="F757">
            <v>56800</v>
          </cell>
          <cell r="G757" t="str">
            <v>-</v>
          </cell>
          <cell r="H757">
            <v>53500</v>
          </cell>
          <cell r="I757">
            <v>53200</v>
          </cell>
          <cell r="J757">
            <v>55800</v>
          </cell>
          <cell r="K757" t="str">
            <v>-</v>
          </cell>
          <cell r="L757">
            <v>53700</v>
          </cell>
          <cell r="M757">
            <v>55500</v>
          </cell>
          <cell r="N757">
            <v>51500</v>
          </cell>
          <cell r="O757">
            <v>52500</v>
          </cell>
          <cell r="P757">
            <v>50000</v>
          </cell>
          <cell r="Q757">
            <v>50300</v>
          </cell>
          <cell r="R757">
            <v>50500</v>
          </cell>
          <cell r="S757">
            <v>53800</v>
          </cell>
          <cell r="T757">
            <v>53600</v>
          </cell>
          <cell r="U757">
            <v>53500</v>
          </cell>
          <cell r="V757">
            <v>56400</v>
          </cell>
          <cell r="W757">
            <v>58800</v>
          </cell>
        </row>
        <row r="758">
          <cell r="A758">
            <v>45024</v>
          </cell>
          <cell r="B758">
            <v>53800</v>
          </cell>
          <cell r="C758">
            <v>54500</v>
          </cell>
          <cell r="D758">
            <v>52700</v>
          </cell>
          <cell r="E758">
            <v>51200</v>
          </cell>
          <cell r="F758">
            <v>56800</v>
          </cell>
          <cell r="G758" t="str">
            <v>-</v>
          </cell>
          <cell r="H758">
            <v>53500</v>
          </cell>
          <cell r="I758">
            <v>53200</v>
          </cell>
          <cell r="J758">
            <v>55700</v>
          </cell>
          <cell r="K758" t="str">
            <v>-</v>
          </cell>
          <cell r="L758">
            <v>53700</v>
          </cell>
          <cell r="M758">
            <v>55400</v>
          </cell>
          <cell r="N758">
            <v>51000</v>
          </cell>
          <cell r="O758">
            <v>52500</v>
          </cell>
          <cell r="P758">
            <v>50200</v>
          </cell>
          <cell r="Q758">
            <v>50300</v>
          </cell>
          <cell r="R758">
            <v>50500</v>
          </cell>
          <cell r="S758">
            <v>53700</v>
          </cell>
          <cell r="T758">
            <v>53300</v>
          </cell>
          <cell r="U758">
            <v>53500</v>
          </cell>
          <cell r="V758">
            <v>56400</v>
          </cell>
          <cell r="W758">
            <v>58800</v>
          </cell>
        </row>
        <row r="759">
          <cell r="A759">
            <v>45025</v>
          </cell>
          <cell r="B759" t="str">
            <v>H</v>
          </cell>
          <cell r="C759" t="str">
            <v>H</v>
          </cell>
          <cell r="D759" t="str">
            <v>H</v>
          </cell>
          <cell r="E759" t="str">
            <v>H</v>
          </cell>
          <cell r="F759" t="str">
            <v>H</v>
          </cell>
          <cell r="G759" t="str">
            <v>H</v>
          </cell>
          <cell r="H759" t="str">
            <v>H</v>
          </cell>
          <cell r="I759" t="str">
            <v>H</v>
          </cell>
          <cell r="J759" t="str">
            <v>H</v>
          </cell>
          <cell r="K759" t="str">
            <v>H</v>
          </cell>
          <cell r="L759" t="str">
            <v>H</v>
          </cell>
          <cell r="M759" t="str">
            <v>H</v>
          </cell>
          <cell r="N759" t="str">
            <v>H</v>
          </cell>
          <cell r="O759" t="str">
            <v>H</v>
          </cell>
          <cell r="P759" t="str">
            <v>H</v>
          </cell>
          <cell r="Q759" t="str">
            <v>H</v>
          </cell>
          <cell r="R759" t="str">
            <v>H</v>
          </cell>
          <cell r="S759" t="str">
            <v>H</v>
          </cell>
          <cell r="T759" t="str">
            <v>H</v>
          </cell>
          <cell r="U759" t="str">
            <v>H</v>
          </cell>
          <cell r="V759" t="str">
            <v>H</v>
          </cell>
          <cell r="W759" t="str">
            <v>H</v>
          </cell>
        </row>
        <row r="760">
          <cell r="A760">
            <v>45026</v>
          </cell>
          <cell r="B760">
            <v>53800</v>
          </cell>
          <cell r="C760">
            <v>54300</v>
          </cell>
          <cell r="D760">
            <v>52500</v>
          </cell>
          <cell r="E760">
            <v>51200</v>
          </cell>
          <cell r="F760">
            <v>56800</v>
          </cell>
          <cell r="G760" t="str">
            <v>-</v>
          </cell>
          <cell r="H760">
            <v>53500</v>
          </cell>
          <cell r="I760">
            <v>53000</v>
          </cell>
          <cell r="J760">
            <v>55500</v>
          </cell>
          <cell r="K760" t="str">
            <v>-</v>
          </cell>
          <cell r="L760">
            <v>53300</v>
          </cell>
          <cell r="M760">
            <v>55000</v>
          </cell>
          <cell r="N760">
            <v>50800</v>
          </cell>
          <cell r="O760">
            <v>52100</v>
          </cell>
          <cell r="P760">
            <v>49700</v>
          </cell>
          <cell r="Q760">
            <v>50100</v>
          </cell>
          <cell r="R760">
            <v>50200</v>
          </cell>
          <cell r="S760">
            <v>53700</v>
          </cell>
          <cell r="T760">
            <v>53000</v>
          </cell>
          <cell r="U760">
            <v>53500</v>
          </cell>
          <cell r="V760">
            <v>56400</v>
          </cell>
          <cell r="W760">
            <v>58800</v>
          </cell>
        </row>
        <row r="761">
          <cell r="A761">
            <v>45027</v>
          </cell>
          <cell r="B761">
            <v>53600</v>
          </cell>
          <cell r="C761">
            <v>54300</v>
          </cell>
          <cell r="D761">
            <v>52400</v>
          </cell>
          <cell r="E761">
            <v>51000</v>
          </cell>
          <cell r="F761">
            <v>56800</v>
          </cell>
          <cell r="G761" t="str">
            <v>-</v>
          </cell>
          <cell r="H761">
            <v>53500</v>
          </cell>
          <cell r="I761">
            <v>52800</v>
          </cell>
          <cell r="J761">
            <v>55500</v>
          </cell>
          <cell r="K761" t="str">
            <v>-</v>
          </cell>
          <cell r="L761">
            <v>53200</v>
          </cell>
          <cell r="M761">
            <v>54600</v>
          </cell>
          <cell r="N761">
            <v>50500</v>
          </cell>
          <cell r="O761">
            <v>52000</v>
          </cell>
          <cell r="P761">
            <v>49500</v>
          </cell>
          <cell r="Q761">
            <v>49900</v>
          </cell>
          <cell r="R761">
            <v>50100</v>
          </cell>
          <cell r="S761">
            <v>53500</v>
          </cell>
          <cell r="T761">
            <v>52800</v>
          </cell>
          <cell r="U761">
            <v>53500</v>
          </cell>
          <cell r="V761">
            <v>56400</v>
          </cell>
          <cell r="W761">
            <v>58800</v>
          </cell>
        </row>
        <row r="762">
          <cell r="A762">
            <v>45028</v>
          </cell>
          <cell r="B762">
            <v>53600</v>
          </cell>
          <cell r="C762">
            <v>54300</v>
          </cell>
          <cell r="D762">
            <v>52200</v>
          </cell>
          <cell r="E762">
            <v>50800</v>
          </cell>
          <cell r="F762">
            <v>56800</v>
          </cell>
          <cell r="G762" t="str">
            <v>-</v>
          </cell>
          <cell r="H762">
            <v>53500</v>
          </cell>
          <cell r="I762">
            <v>52800</v>
          </cell>
          <cell r="J762">
            <v>55300</v>
          </cell>
          <cell r="K762" t="str">
            <v>-</v>
          </cell>
          <cell r="L762">
            <v>53400</v>
          </cell>
          <cell r="M762">
            <v>54600</v>
          </cell>
          <cell r="N762">
            <v>50600</v>
          </cell>
          <cell r="O762">
            <v>52000</v>
          </cell>
          <cell r="P762">
            <v>50000</v>
          </cell>
          <cell r="Q762">
            <v>50100</v>
          </cell>
          <cell r="R762">
            <v>50400</v>
          </cell>
          <cell r="S762">
            <v>53300</v>
          </cell>
          <cell r="T762">
            <v>52800</v>
          </cell>
          <cell r="U762">
            <v>53500</v>
          </cell>
          <cell r="V762">
            <v>56000</v>
          </cell>
          <cell r="W762">
            <v>58600</v>
          </cell>
        </row>
        <row r="763">
          <cell r="A763">
            <v>45029</v>
          </cell>
          <cell r="B763">
            <v>53600</v>
          </cell>
          <cell r="C763">
            <v>54300</v>
          </cell>
          <cell r="D763">
            <v>52400</v>
          </cell>
          <cell r="E763">
            <v>51200</v>
          </cell>
          <cell r="F763">
            <v>56800</v>
          </cell>
          <cell r="G763" t="str">
            <v>-</v>
          </cell>
          <cell r="H763">
            <v>53500</v>
          </cell>
          <cell r="I763">
            <v>53000</v>
          </cell>
          <cell r="J763">
            <v>55000</v>
          </cell>
          <cell r="K763" t="str">
            <v>-</v>
          </cell>
          <cell r="L763">
            <v>53400</v>
          </cell>
          <cell r="M763">
            <v>54600</v>
          </cell>
          <cell r="N763">
            <v>51000</v>
          </cell>
          <cell r="O763">
            <v>52000</v>
          </cell>
          <cell r="P763">
            <v>49950</v>
          </cell>
          <cell r="Q763">
            <v>50200</v>
          </cell>
          <cell r="R763">
            <v>50500</v>
          </cell>
          <cell r="S763">
            <v>53700</v>
          </cell>
          <cell r="T763">
            <v>52900</v>
          </cell>
          <cell r="U763">
            <v>53500</v>
          </cell>
          <cell r="V763">
            <v>56000</v>
          </cell>
          <cell r="W763">
            <v>58600</v>
          </cell>
        </row>
        <row r="764">
          <cell r="A764">
            <v>45030</v>
          </cell>
          <cell r="B764">
            <v>53800</v>
          </cell>
          <cell r="C764" t="str">
            <v>-</v>
          </cell>
          <cell r="D764">
            <v>52400</v>
          </cell>
          <cell r="E764">
            <v>51500</v>
          </cell>
          <cell r="F764">
            <v>56600</v>
          </cell>
          <cell r="G764" t="str">
            <v>-</v>
          </cell>
          <cell r="H764">
            <v>54000</v>
          </cell>
          <cell r="I764">
            <v>53300</v>
          </cell>
          <cell r="J764">
            <v>55000</v>
          </cell>
          <cell r="K764" t="str">
            <v>-</v>
          </cell>
          <cell r="L764">
            <v>53700</v>
          </cell>
          <cell r="M764">
            <v>54600</v>
          </cell>
          <cell r="N764">
            <v>51300</v>
          </cell>
          <cell r="O764">
            <v>52600</v>
          </cell>
          <cell r="P764">
            <v>50500</v>
          </cell>
          <cell r="Q764">
            <v>50900</v>
          </cell>
          <cell r="R764">
            <v>50700</v>
          </cell>
          <cell r="S764">
            <v>54000</v>
          </cell>
          <cell r="T764">
            <v>53500</v>
          </cell>
          <cell r="U764">
            <v>53500</v>
          </cell>
          <cell r="V764">
            <v>56000</v>
          </cell>
          <cell r="W764">
            <v>58600</v>
          </cell>
        </row>
        <row r="765">
          <cell r="A765">
            <v>45031</v>
          </cell>
          <cell r="B765">
            <v>53800</v>
          </cell>
          <cell r="C765">
            <v>54500</v>
          </cell>
          <cell r="D765">
            <v>52400</v>
          </cell>
          <cell r="E765">
            <v>51300</v>
          </cell>
          <cell r="F765">
            <v>56600</v>
          </cell>
          <cell r="G765" t="str">
            <v>-</v>
          </cell>
          <cell r="H765">
            <v>54000</v>
          </cell>
          <cell r="I765">
            <v>53200</v>
          </cell>
          <cell r="J765">
            <v>55000</v>
          </cell>
          <cell r="K765" t="str">
            <v>-</v>
          </cell>
          <cell r="L765">
            <v>53700</v>
          </cell>
          <cell r="M765">
            <v>54600</v>
          </cell>
          <cell r="N765">
            <v>51300</v>
          </cell>
          <cell r="O765">
            <v>52600</v>
          </cell>
          <cell r="P765">
            <v>50550</v>
          </cell>
          <cell r="Q765">
            <v>50900</v>
          </cell>
          <cell r="R765">
            <v>50700</v>
          </cell>
          <cell r="S765">
            <v>53800</v>
          </cell>
          <cell r="T765">
            <v>53500</v>
          </cell>
          <cell r="U765">
            <v>53500</v>
          </cell>
          <cell r="V765">
            <v>56000</v>
          </cell>
          <cell r="W765">
            <v>58600</v>
          </cell>
        </row>
        <row r="766">
          <cell r="A766">
            <v>45032</v>
          </cell>
          <cell r="B766" t="str">
            <v>H</v>
          </cell>
          <cell r="C766" t="str">
            <v>H</v>
          </cell>
          <cell r="D766" t="str">
            <v>H</v>
          </cell>
          <cell r="E766" t="str">
            <v>H</v>
          </cell>
          <cell r="F766" t="str">
            <v>H</v>
          </cell>
          <cell r="G766" t="str">
            <v>H</v>
          </cell>
          <cell r="H766" t="str">
            <v>H</v>
          </cell>
          <cell r="I766" t="str">
            <v>H</v>
          </cell>
          <cell r="J766" t="str">
            <v>H</v>
          </cell>
          <cell r="K766" t="str">
            <v>H</v>
          </cell>
          <cell r="L766" t="str">
            <v>H</v>
          </cell>
          <cell r="M766" t="str">
            <v>H</v>
          </cell>
          <cell r="N766" t="str">
            <v>H</v>
          </cell>
          <cell r="O766" t="str">
            <v>H</v>
          </cell>
          <cell r="P766" t="str">
            <v>H</v>
          </cell>
          <cell r="Q766" t="str">
            <v>H</v>
          </cell>
          <cell r="R766" t="str">
            <v>H</v>
          </cell>
          <cell r="S766" t="str">
            <v>H</v>
          </cell>
          <cell r="T766" t="str">
            <v>H</v>
          </cell>
          <cell r="U766" t="str">
            <v>H</v>
          </cell>
          <cell r="V766" t="str">
            <v>H</v>
          </cell>
          <cell r="W766" t="str">
            <v>H</v>
          </cell>
        </row>
        <row r="767">
          <cell r="A767">
            <v>45033</v>
          </cell>
          <cell r="B767">
            <v>53800</v>
          </cell>
          <cell r="C767">
            <v>54300</v>
          </cell>
          <cell r="D767">
            <v>52900</v>
          </cell>
          <cell r="E767">
            <v>51700</v>
          </cell>
          <cell r="F767">
            <v>56600</v>
          </cell>
          <cell r="G767" t="str">
            <v>-</v>
          </cell>
          <cell r="H767">
            <v>54000</v>
          </cell>
          <cell r="I767">
            <v>53400</v>
          </cell>
          <cell r="J767">
            <v>55000</v>
          </cell>
          <cell r="K767" t="str">
            <v>-</v>
          </cell>
          <cell r="L767">
            <v>53900</v>
          </cell>
          <cell r="M767">
            <v>54600</v>
          </cell>
          <cell r="N767">
            <v>51500</v>
          </cell>
          <cell r="O767">
            <v>52600</v>
          </cell>
          <cell r="P767">
            <v>50500</v>
          </cell>
          <cell r="Q767">
            <v>50900</v>
          </cell>
          <cell r="R767">
            <v>50800</v>
          </cell>
          <cell r="S767">
            <v>54200</v>
          </cell>
          <cell r="T767">
            <v>53800</v>
          </cell>
          <cell r="U767">
            <v>53500</v>
          </cell>
          <cell r="V767">
            <v>56000</v>
          </cell>
          <cell r="W767">
            <v>58600</v>
          </cell>
        </row>
        <row r="768">
          <cell r="A768">
            <v>45034</v>
          </cell>
          <cell r="B768">
            <v>53900</v>
          </cell>
          <cell r="C768">
            <v>54200</v>
          </cell>
          <cell r="D768">
            <v>52700</v>
          </cell>
          <cell r="E768">
            <v>51400</v>
          </cell>
          <cell r="F768">
            <v>56600</v>
          </cell>
          <cell r="G768" t="str">
            <v>-</v>
          </cell>
          <cell r="H768">
            <v>54000</v>
          </cell>
          <cell r="I768">
            <v>53400</v>
          </cell>
          <cell r="J768">
            <v>55000</v>
          </cell>
          <cell r="K768" t="str">
            <v>-</v>
          </cell>
          <cell r="L768">
            <v>53900</v>
          </cell>
          <cell r="M768">
            <v>55000</v>
          </cell>
          <cell r="N768">
            <v>51600</v>
          </cell>
          <cell r="O768">
            <v>52700</v>
          </cell>
          <cell r="P768">
            <v>50500</v>
          </cell>
          <cell r="Q768">
            <v>50700</v>
          </cell>
          <cell r="R768">
            <v>50800</v>
          </cell>
          <cell r="S768">
            <v>53900</v>
          </cell>
          <cell r="T768">
            <v>53800</v>
          </cell>
          <cell r="U768">
            <v>53500</v>
          </cell>
          <cell r="V768">
            <v>56000</v>
          </cell>
          <cell r="W768">
            <v>58700</v>
          </cell>
        </row>
        <row r="769">
          <cell r="A769">
            <v>45035</v>
          </cell>
          <cell r="B769">
            <v>53900</v>
          </cell>
          <cell r="C769">
            <v>54200</v>
          </cell>
          <cell r="D769">
            <v>52600</v>
          </cell>
          <cell r="E769">
            <v>51000</v>
          </cell>
          <cell r="F769">
            <v>56600</v>
          </cell>
          <cell r="G769" t="str">
            <v>-</v>
          </cell>
          <cell r="H769">
            <v>53500</v>
          </cell>
          <cell r="I769">
            <v>53200</v>
          </cell>
          <cell r="J769">
            <v>55000</v>
          </cell>
          <cell r="K769" t="str">
            <v>-</v>
          </cell>
          <cell r="L769">
            <v>53500</v>
          </cell>
          <cell r="M769">
            <v>55000</v>
          </cell>
          <cell r="N769">
            <v>51300</v>
          </cell>
          <cell r="O769">
            <v>52300</v>
          </cell>
          <cell r="P769">
            <v>50000</v>
          </cell>
          <cell r="Q769">
            <v>50600</v>
          </cell>
          <cell r="R769">
            <v>50500</v>
          </cell>
          <cell r="S769">
            <v>53500</v>
          </cell>
          <cell r="T769">
            <v>53700</v>
          </cell>
          <cell r="U769">
            <v>53500</v>
          </cell>
          <cell r="V769">
            <v>56000</v>
          </cell>
          <cell r="W769">
            <v>58700</v>
          </cell>
        </row>
        <row r="770">
          <cell r="A770">
            <v>45036</v>
          </cell>
          <cell r="B770">
            <v>53800</v>
          </cell>
          <cell r="C770">
            <v>54200</v>
          </cell>
          <cell r="D770">
            <v>52600</v>
          </cell>
          <cell r="E770">
            <v>51000</v>
          </cell>
          <cell r="F770">
            <v>56600</v>
          </cell>
          <cell r="G770" t="str">
            <v>-</v>
          </cell>
          <cell r="H770">
            <v>53500</v>
          </cell>
          <cell r="I770">
            <v>53200</v>
          </cell>
          <cell r="J770">
            <v>55000</v>
          </cell>
          <cell r="K770" t="str">
            <v>-</v>
          </cell>
          <cell r="L770">
            <v>53300</v>
          </cell>
          <cell r="M770">
            <v>55000</v>
          </cell>
          <cell r="N770">
            <v>51600</v>
          </cell>
          <cell r="O770">
            <v>52300</v>
          </cell>
          <cell r="P770">
            <v>50100</v>
          </cell>
          <cell r="Q770">
            <v>50500</v>
          </cell>
          <cell r="R770">
            <v>50500</v>
          </cell>
          <cell r="S770">
            <v>53500</v>
          </cell>
          <cell r="T770">
            <v>53700</v>
          </cell>
          <cell r="U770">
            <v>53500</v>
          </cell>
          <cell r="V770">
            <v>56000</v>
          </cell>
          <cell r="W770">
            <v>58700</v>
          </cell>
        </row>
        <row r="771">
          <cell r="A771">
            <v>45037</v>
          </cell>
          <cell r="B771">
            <v>53600</v>
          </cell>
          <cell r="C771">
            <v>54000</v>
          </cell>
          <cell r="D771">
            <v>52500</v>
          </cell>
          <cell r="E771">
            <v>50600</v>
          </cell>
          <cell r="F771">
            <v>56500</v>
          </cell>
          <cell r="G771" t="str">
            <v>-</v>
          </cell>
          <cell r="H771">
            <v>53500</v>
          </cell>
          <cell r="I771">
            <v>52800</v>
          </cell>
          <cell r="J771">
            <v>55000</v>
          </cell>
          <cell r="K771" t="str">
            <v>-</v>
          </cell>
          <cell r="L771">
            <v>53200</v>
          </cell>
          <cell r="M771">
            <v>55000</v>
          </cell>
          <cell r="N771">
            <v>51300</v>
          </cell>
          <cell r="O771">
            <v>52000</v>
          </cell>
          <cell r="P771">
            <v>50000</v>
          </cell>
          <cell r="Q771">
            <v>50300</v>
          </cell>
          <cell r="R771">
            <v>50100</v>
          </cell>
          <cell r="S771">
            <v>53200</v>
          </cell>
          <cell r="T771">
            <v>53000</v>
          </cell>
          <cell r="U771">
            <v>53500</v>
          </cell>
          <cell r="V771">
            <v>55800</v>
          </cell>
          <cell r="W771">
            <v>58500</v>
          </cell>
        </row>
        <row r="772">
          <cell r="A772">
            <v>45038</v>
          </cell>
          <cell r="B772">
            <v>53500</v>
          </cell>
          <cell r="C772">
            <v>54000</v>
          </cell>
          <cell r="D772">
            <v>52500</v>
          </cell>
          <cell r="E772">
            <v>50500</v>
          </cell>
          <cell r="F772">
            <v>56500</v>
          </cell>
          <cell r="G772" t="str">
            <v>-</v>
          </cell>
          <cell r="H772">
            <v>53500</v>
          </cell>
          <cell r="I772">
            <v>52800</v>
          </cell>
          <cell r="J772">
            <v>55000</v>
          </cell>
          <cell r="K772" t="str">
            <v>-</v>
          </cell>
          <cell r="L772">
            <v>53200</v>
          </cell>
          <cell r="M772">
            <v>54600</v>
          </cell>
          <cell r="N772">
            <v>51300</v>
          </cell>
          <cell r="O772">
            <v>52000</v>
          </cell>
          <cell r="P772">
            <v>50000</v>
          </cell>
          <cell r="Q772">
            <v>50500</v>
          </cell>
          <cell r="R772">
            <v>50300</v>
          </cell>
          <cell r="S772">
            <v>53000</v>
          </cell>
          <cell r="T772">
            <v>53200</v>
          </cell>
          <cell r="U772">
            <v>53500</v>
          </cell>
          <cell r="V772">
            <v>55700</v>
          </cell>
          <cell r="W772">
            <v>58500</v>
          </cell>
        </row>
        <row r="773">
          <cell r="A773">
            <v>45039</v>
          </cell>
          <cell r="B773" t="str">
            <v>H</v>
          </cell>
          <cell r="C773" t="str">
            <v>H</v>
          </cell>
          <cell r="D773" t="str">
            <v>H</v>
          </cell>
          <cell r="E773" t="str">
            <v>H</v>
          </cell>
          <cell r="F773" t="str">
            <v>H</v>
          </cell>
          <cell r="G773" t="str">
            <v>H</v>
          </cell>
          <cell r="H773" t="str">
            <v>H</v>
          </cell>
          <cell r="I773" t="str">
            <v>H</v>
          </cell>
          <cell r="J773" t="str">
            <v>H</v>
          </cell>
          <cell r="K773" t="str">
            <v>H</v>
          </cell>
          <cell r="L773" t="str">
            <v>H</v>
          </cell>
          <cell r="M773" t="str">
            <v>H</v>
          </cell>
          <cell r="N773" t="str">
            <v>H</v>
          </cell>
          <cell r="O773" t="str">
            <v>H</v>
          </cell>
          <cell r="P773" t="str">
            <v>H</v>
          </cell>
          <cell r="Q773" t="str">
            <v>H</v>
          </cell>
          <cell r="R773" t="str">
            <v>H</v>
          </cell>
          <cell r="S773" t="str">
            <v>H</v>
          </cell>
          <cell r="T773" t="str">
            <v>H</v>
          </cell>
          <cell r="U773" t="str">
            <v>H</v>
          </cell>
          <cell r="V773" t="str">
            <v>H</v>
          </cell>
          <cell r="W773" t="str">
            <v>H</v>
          </cell>
        </row>
        <row r="774">
          <cell r="A774">
            <v>45040</v>
          </cell>
          <cell r="B774">
            <v>53200</v>
          </cell>
          <cell r="C774">
            <v>53800</v>
          </cell>
          <cell r="D774">
            <v>52300</v>
          </cell>
          <cell r="E774">
            <v>50300</v>
          </cell>
          <cell r="F774">
            <v>55800</v>
          </cell>
          <cell r="G774" t="str">
            <v>-</v>
          </cell>
          <cell r="H774">
            <v>53000</v>
          </cell>
          <cell r="I774">
            <v>52500</v>
          </cell>
          <cell r="J774">
            <v>54900</v>
          </cell>
          <cell r="K774" t="str">
            <v>-</v>
          </cell>
          <cell r="L774">
            <v>52900</v>
          </cell>
          <cell r="M774">
            <v>54400</v>
          </cell>
          <cell r="N774">
            <v>51000</v>
          </cell>
          <cell r="O774">
            <v>51800</v>
          </cell>
          <cell r="P774">
            <v>49650</v>
          </cell>
          <cell r="Q774">
            <v>49900</v>
          </cell>
          <cell r="R774">
            <v>50000</v>
          </cell>
          <cell r="S774">
            <v>52800</v>
          </cell>
          <cell r="T774">
            <v>53200</v>
          </cell>
          <cell r="U774">
            <v>53500</v>
          </cell>
          <cell r="V774">
            <v>55700</v>
          </cell>
          <cell r="W774">
            <v>58300</v>
          </cell>
        </row>
        <row r="775">
          <cell r="A775">
            <v>45041</v>
          </cell>
          <cell r="B775">
            <v>52900</v>
          </cell>
          <cell r="C775">
            <v>53700</v>
          </cell>
          <cell r="D775">
            <v>52100</v>
          </cell>
          <cell r="E775">
            <v>50000</v>
          </cell>
          <cell r="F775">
            <v>55300</v>
          </cell>
          <cell r="G775" t="str">
            <v>-</v>
          </cell>
          <cell r="H775">
            <v>53000</v>
          </cell>
          <cell r="I775">
            <v>52200</v>
          </cell>
          <cell r="J775">
            <v>54500</v>
          </cell>
          <cell r="K775" t="str">
            <v>-</v>
          </cell>
          <cell r="L775">
            <v>52500</v>
          </cell>
          <cell r="M775">
            <v>54400</v>
          </cell>
          <cell r="N775">
            <v>50800</v>
          </cell>
          <cell r="O775">
            <v>51700</v>
          </cell>
          <cell r="P775">
            <v>49500</v>
          </cell>
          <cell r="Q775">
            <v>49800</v>
          </cell>
          <cell r="R775">
            <v>49800</v>
          </cell>
          <cell r="S775">
            <v>52500</v>
          </cell>
          <cell r="T775">
            <v>52400</v>
          </cell>
          <cell r="U775">
            <v>53300</v>
          </cell>
          <cell r="V775">
            <v>55500</v>
          </cell>
          <cell r="W775">
            <v>58100</v>
          </cell>
        </row>
        <row r="776">
          <cell r="A776">
            <v>45042</v>
          </cell>
          <cell r="B776">
            <v>52900</v>
          </cell>
          <cell r="C776">
            <v>53700</v>
          </cell>
          <cell r="D776">
            <v>52100</v>
          </cell>
          <cell r="E776">
            <v>50000</v>
          </cell>
          <cell r="F776">
            <v>55100</v>
          </cell>
          <cell r="G776" t="str">
            <v>-</v>
          </cell>
          <cell r="H776">
            <v>52700</v>
          </cell>
          <cell r="I776">
            <v>52200</v>
          </cell>
          <cell r="J776">
            <v>54500</v>
          </cell>
          <cell r="K776" t="str">
            <v>-</v>
          </cell>
          <cell r="L776">
            <v>52500</v>
          </cell>
          <cell r="M776">
            <v>54400</v>
          </cell>
          <cell r="N776">
            <v>51000</v>
          </cell>
          <cell r="O776">
            <v>51700</v>
          </cell>
          <cell r="P776">
            <v>49500</v>
          </cell>
          <cell r="Q776">
            <v>49800</v>
          </cell>
          <cell r="R776">
            <v>49800</v>
          </cell>
          <cell r="S776">
            <v>52500</v>
          </cell>
          <cell r="T776">
            <v>52400</v>
          </cell>
          <cell r="U776">
            <v>53300</v>
          </cell>
          <cell r="V776">
            <v>55500</v>
          </cell>
          <cell r="W776">
            <v>58100</v>
          </cell>
        </row>
        <row r="777">
          <cell r="A777">
            <v>45043</v>
          </cell>
          <cell r="B777">
            <v>52900</v>
          </cell>
          <cell r="C777">
            <v>53500</v>
          </cell>
          <cell r="D777">
            <v>52100</v>
          </cell>
          <cell r="E777">
            <v>49800</v>
          </cell>
          <cell r="F777">
            <v>55100</v>
          </cell>
          <cell r="G777" t="str">
            <v>-</v>
          </cell>
          <cell r="H777">
            <v>52500</v>
          </cell>
          <cell r="I777">
            <v>52200</v>
          </cell>
          <cell r="J777">
            <v>54500</v>
          </cell>
          <cell r="K777" t="str">
            <v>-</v>
          </cell>
          <cell r="L777">
            <v>52500</v>
          </cell>
          <cell r="M777">
            <v>54400</v>
          </cell>
          <cell r="N777">
            <v>50800</v>
          </cell>
          <cell r="O777">
            <v>51700</v>
          </cell>
          <cell r="P777">
            <v>49350</v>
          </cell>
          <cell r="Q777">
            <v>49700</v>
          </cell>
          <cell r="R777">
            <v>49800</v>
          </cell>
          <cell r="S777">
            <v>52300</v>
          </cell>
          <cell r="T777">
            <v>52300</v>
          </cell>
          <cell r="U777">
            <v>53300</v>
          </cell>
          <cell r="V777">
            <v>55500</v>
          </cell>
          <cell r="W777">
            <v>58100</v>
          </cell>
        </row>
        <row r="778">
          <cell r="A778">
            <v>45044</v>
          </cell>
          <cell r="B778">
            <v>52700</v>
          </cell>
          <cell r="C778">
            <v>53500</v>
          </cell>
          <cell r="D778">
            <v>52100</v>
          </cell>
          <cell r="E778">
            <v>49800</v>
          </cell>
          <cell r="F778">
            <v>54800</v>
          </cell>
          <cell r="G778" t="str">
            <v>-</v>
          </cell>
          <cell r="H778">
            <v>52500</v>
          </cell>
          <cell r="I778">
            <v>52200</v>
          </cell>
          <cell r="J778">
            <v>54500</v>
          </cell>
          <cell r="K778" t="str">
            <v>-</v>
          </cell>
          <cell r="L778">
            <v>52500</v>
          </cell>
          <cell r="M778">
            <v>54400</v>
          </cell>
          <cell r="N778">
            <v>51000</v>
          </cell>
          <cell r="O778">
            <v>51800</v>
          </cell>
          <cell r="P778">
            <v>49450</v>
          </cell>
          <cell r="Q778">
            <v>49600</v>
          </cell>
          <cell r="R778">
            <v>49700</v>
          </cell>
          <cell r="S778">
            <v>52300</v>
          </cell>
          <cell r="T778">
            <v>52000</v>
          </cell>
          <cell r="U778">
            <v>53300</v>
          </cell>
          <cell r="V778">
            <v>55100</v>
          </cell>
          <cell r="W778">
            <v>57900</v>
          </cell>
        </row>
        <row r="779">
          <cell r="A779">
            <v>45045</v>
          </cell>
          <cell r="B779">
            <v>52500</v>
          </cell>
          <cell r="C779">
            <v>53300</v>
          </cell>
          <cell r="D779">
            <v>52000</v>
          </cell>
          <cell r="E779">
            <v>49700</v>
          </cell>
          <cell r="F779">
            <v>54800</v>
          </cell>
          <cell r="G779" t="str">
            <v>-</v>
          </cell>
          <cell r="H779">
            <v>52500</v>
          </cell>
          <cell r="I779">
            <v>52100</v>
          </cell>
          <cell r="J779">
            <v>54500</v>
          </cell>
          <cell r="K779" t="str">
            <v>-</v>
          </cell>
          <cell r="L779">
            <v>52400</v>
          </cell>
          <cell r="M779">
            <v>54400</v>
          </cell>
          <cell r="N779">
            <v>50700</v>
          </cell>
          <cell r="O779">
            <v>51300</v>
          </cell>
          <cell r="P779">
            <v>49000</v>
          </cell>
          <cell r="Q779">
            <v>49500</v>
          </cell>
          <cell r="R779">
            <v>49700</v>
          </cell>
          <cell r="S779">
            <v>52200</v>
          </cell>
          <cell r="T779">
            <v>52000</v>
          </cell>
          <cell r="U779">
            <v>53300</v>
          </cell>
          <cell r="V779">
            <v>55000</v>
          </cell>
          <cell r="W779">
            <v>57700</v>
          </cell>
        </row>
        <row r="780">
          <cell r="A780">
            <v>45046</v>
          </cell>
          <cell r="B780" t="str">
            <v>H</v>
          </cell>
          <cell r="C780" t="str">
            <v>H</v>
          </cell>
          <cell r="D780" t="str">
            <v>H</v>
          </cell>
          <cell r="E780" t="str">
            <v>H</v>
          </cell>
          <cell r="F780" t="str">
            <v>H</v>
          </cell>
          <cell r="G780" t="str">
            <v>H</v>
          </cell>
          <cell r="H780" t="str">
            <v>H</v>
          </cell>
          <cell r="I780" t="str">
            <v>H</v>
          </cell>
          <cell r="J780" t="str">
            <v>H</v>
          </cell>
          <cell r="K780" t="str">
            <v>H</v>
          </cell>
          <cell r="L780" t="str">
            <v>H</v>
          </cell>
          <cell r="M780" t="str">
            <v>H</v>
          </cell>
          <cell r="N780" t="str">
            <v>H</v>
          </cell>
          <cell r="O780" t="str">
            <v>H</v>
          </cell>
          <cell r="P780" t="str">
            <v>H</v>
          </cell>
          <cell r="Q780" t="str">
            <v>H</v>
          </cell>
          <cell r="R780" t="str">
            <v>H</v>
          </cell>
          <cell r="S780" t="str">
            <v>H</v>
          </cell>
          <cell r="T780" t="str">
            <v>H</v>
          </cell>
          <cell r="U780" t="str">
            <v>H</v>
          </cell>
          <cell r="V780" t="str">
            <v>H</v>
          </cell>
          <cell r="W780" t="str">
            <v>H</v>
          </cell>
        </row>
        <row r="781">
          <cell r="A781">
            <v>45047</v>
          </cell>
          <cell r="B781">
            <v>52300</v>
          </cell>
          <cell r="C781">
            <v>53000</v>
          </cell>
          <cell r="D781">
            <v>51700</v>
          </cell>
          <cell r="E781">
            <v>49400</v>
          </cell>
          <cell r="F781">
            <v>54100</v>
          </cell>
          <cell r="G781" t="str">
            <v>-</v>
          </cell>
          <cell r="H781">
            <v>52000</v>
          </cell>
          <cell r="I781">
            <v>52000</v>
          </cell>
          <cell r="J781">
            <v>54000</v>
          </cell>
          <cell r="K781" t="str">
            <v>-</v>
          </cell>
          <cell r="L781">
            <v>52200</v>
          </cell>
          <cell r="M781">
            <v>54300</v>
          </cell>
          <cell r="N781">
            <v>50400</v>
          </cell>
          <cell r="O781">
            <v>51300</v>
          </cell>
          <cell r="P781">
            <v>48900</v>
          </cell>
          <cell r="Q781">
            <v>49100</v>
          </cell>
          <cell r="R781">
            <v>49700</v>
          </cell>
          <cell r="S781">
            <v>51900</v>
          </cell>
          <cell r="T781">
            <v>51700</v>
          </cell>
          <cell r="U781">
            <v>53300</v>
          </cell>
          <cell r="V781">
            <v>54800</v>
          </cell>
          <cell r="W781">
            <v>57300</v>
          </cell>
        </row>
        <row r="782">
          <cell r="A782">
            <v>45048</v>
          </cell>
          <cell r="B782">
            <v>52100</v>
          </cell>
          <cell r="C782">
            <v>53000</v>
          </cell>
          <cell r="D782">
            <v>51200</v>
          </cell>
          <cell r="E782">
            <v>48800</v>
          </cell>
          <cell r="F782">
            <v>54100</v>
          </cell>
          <cell r="G782" t="str">
            <v>-</v>
          </cell>
          <cell r="H782">
            <v>52000</v>
          </cell>
          <cell r="I782">
            <v>51500</v>
          </cell>
          <cell r="J782">
            <v>53800</v>
          </cell>
          <cell r="K782" t="str">
            <v>-</v>
          </cell>
          <cell r="L782">
            <v>52000</v>
          </cell>
          <cell r="M782">
            <v>53600</v>
          </cell>
          <cell r="N782">
            <v>50000</v>
          </cell>
          <cell r="O782">
            <v>50400</v>
          </cell>
          <cell r="P782">
            <v>48600</v>
          </cell>
          <cell r="Q782">
            <v>48800</v>
          </cell>
          <cell r="R782">
            <v>49100</v>
          </cell>
          <cell r="S782">
            <v>51300</v>
          </cell>
          <cell r="T782">
            <v>51200</v>
          </cell>
          <cell r="U782">
            <v>52800</v>
          </cell>
          <cell r="V782">
            <v>54600</v>
          </cell>
          <cell r="W782">
            <v>57100</v>
          </cell>
        </row>
        <row r="783">
          <cell r="A783">
            <v>45049</v>
          </cell>
          <cell r="B783">
            <v>51900</v>
          </cell>
          <cell r="C783">
            <v>53000</v>
          </cell>
          <cell r="D783">
            <v>51200</v>
          </cell>
          <cell r="E783">
            <v>49000</v>
          </cell>
          <cell r="F783">
            <v>54000</v>
          </cell>
          <cell r="G783" t="str">
            <v>-</v>
          </cell>
          <cell r="H783">
            <v>51500</v>
          </cell>
          <cell r="I783">
            <v>51500</v>
          </cell>
          <cell r="J783">
            <v>53500</v>
          </cell>
          <cell r="K783" t="str">
            <v>-</v>
          </cell>
          <cell r="L783">
            <v>52000</v>
          </cell>
          <cell r="M783">
            <v>52800</v>
          </cell>
          <cell r="N783">
            <v>50000</v>
          </cell>
          <cell r="O783">
            <v>50400</v>
          </cell>
          <cell r="P783">
            <v>48400</v>
          </cell>
          <cell r="Q783">
            <v>48500</v>
          </cell>
          <cell r="R783">
            <v>48900</v>
          </cell>
          <cell r="S783">
            <v>51500</v>
          </cell>
          <cell r="T783">
            <v>51200</v>
          </cell>
          <cell r="U783">
            <v>52800</v>
          </cell>
          <cell r="V783">
            <v>54300</v>
          </cell>
          <cell r="W783">
            <v>56800</v>
          </cell>
        </row>
        <row r="784">
          <cell r="A784">
            <v>45050</v>
          </cell>
          <cell r="B784">
            <v>51700</v>
          </cell>
          <cell r="C784">
            <v>53000</v>
          </cell>
          <cell r="D784">
            <v>51000</v>
          </cell>
          <cell r="E784">
            <v>48500</v>
          </cell>
          <cell r="F784">
            <v>54000</v>
          </cell>
          <cell r="G784" t="str">
            <v>-</v>
          </cell>
          <cell r="H784">
            <v>51500</v>
          </cell>
          <cell r="I784">
            <v>51300</v>
          </cell>
          <cell r="J784">
            <v>53500</v>
          </cell>
          <cell r="K784" t="str">
            <v>-</v>
          </cell>
          <cell r="L784">
            <v>51600</v>
          </cell>
          <cell r="M784">
            <v>52800</v>
          </cell>
          <cell r="N784">
            <v>49800</v>
          </cell>
          <cell r="O784">
            <v>50200</v>
          </cell>
          <cell r="P784">
            <v>48200</v>
          </cell>
          <cell r="Q784">
            <v>48000</v>
          </cell>
          <cell r="R784">
            <v>48700</v>
          </cell>
          <cell r="S784">
            <v>51000</v>
          </cell>
          <cell r="T784">
            <v>51000</v>
          </cell>
          <cell r="U784">
            <v>52800</v>
          </cell>
          <cell r="V784">
            <v>54200</v>
          </cell>
          <cell r="W784">
            <v>56800</v>
          </cell>
        </row>
        <row r="785">
          <cell r="A785">
            <v>45051</v>
          </cell>
          <cell r="B785">
            <v>51400</v>
          </cell>
          <cell r="C785">
            <v>52700</v>
          </cell>
          <cell r="D785">
            <v>50800</v>
          </cell>
          <cell r="E785">
            <v>48200</v>
          </cell>
          <cell r="F785">
            <v>53700</v>
          </cell>
          <cell r="G785" t="str">
            <v>-</v>
          </cell>
          <cell r="H785">
            <v>50500</v>
          </cell>
          <cell r="I785">
            <v>50900</v>
          </cell>
          <cell r="J785">
            <v>53000</v>
          </cell>
          <cell r="K785" t="str">
            <v>-</v>
          </cell>
          <cell r="L785">
            <v>51400</v>
          </cell>
          <cell r="M785">
            <v>52400</v>
          </cell>
          <cell r="N785">
            <v>49500</v>
          </cell>
          <cell r="O785">
            <v>50000</v>
          </cell>
          <cell r="P785">
            <v>47600</v>
          </cell>
          <cell r="Q785">
            <v>47500</v>
          </cell>
          <cell r="R785">
            <v>48300</v>
          </cell>
          <cell r="S785">
            <v>50700</v>
          </cell>
          <cell r="T785">
            <v>50500</v>
          </cell>
          <cell r="U785">
            <v>52600</v>
          </cell>
          <cell r="V785">
            <v>54100</v>
          </cell>
          <cell r="W785">
            <v>56700</v>
          </cell>
        </row>
        <row r="786">
          <cell r="A786">
            <v>45052</v>
          </cell>
          <cell r="B786">
            <v>51100</v>
          </cell>
          <cell r="C786">
            <v>52500</v>
          </cell>
          <cell r="D786">
            <v>50500</v>
          </cell>
          <cell r="E786">
            <v>47900</v>
          </cell>
          <cell r="F786">
            <v>53100</v>
          </cell>
          <cell r="G786" t="str">
            <v>-</v>
          </cell>
          <cell r="H786">
            <v>50500</v>
          </cell>
          <cell r="I786">
            <v>50200</v>
          </cell>
          <cell r="J786">
            <v>52500</v>
          </cell>
          <cell r="K786" t="str">
            <v>-</v>
          </cell>
          <cell r="L786">
            <v>51100</v>
          </cell>
          <cell r="M786">
            <v>52400</v>
          </cell>
          <cell r="N786">
            <v>49100</v>
          </cell>
          <cell r="O786">
            <v>49600</v>
          </cell>
          <cell r="P786">
            <v>47600</v>
          </cell>
          <cell r="Q786">
            <v>47300</v>
          </cell>
          <cell r="R786">
            <v>47900</v>
          </cell>
          <cell r="S786">
            <v>50400</v>
          </cell>
          <cell r="T786">
            <v>50000</v>
          </cell>
          <cell r="U786">
            <v>52600</v>
          </cell>
          <cell r="V786">
            <v>53800</v>
          </cell>
          <cell r="W786">
            <v>56500</v>
          </cell>
        </row>
        <row r="787">
          <cell r="A787">
            <v>45053</v>
          </cell>
          <cell r="B787" t="str">
            <v>H</v>
          </cell>
          <cell r="C787" t="str">
            <v>H</v>
          </cell>
          <cell r="D787" t="str">
            <v>H</v>
          </cell>
          <cell r="E787" t="str">
            <v>H</v>
          </cell>
          <cell r="F787" t="str">
            <v>H</v>
          </cell>
          <cell r="G787" t="str">
            <v>H</v>
          </cell>
          <cell r="H787" t="str">
            <v>H</v>
          </cell>
          <cell r="I787" t="str">
            <v>H</v>
          </cell>
          <cell r="J787" t="str">
            <v>H</v>
          </cell>
          <cell r="K787" t="str">
            <v>H</v>
          </cell>
          <cell r="L787" t="str">
            <v>H</v>
          </cell>
          <cell r="M787" t="str">
            <v>H</v>
          </cell>
          <cell r="N787" t="str">
            <v>H</v>
          </cell>
          <cell r="O787" t="str">
            <v>H</v>
          </cell>
          <cell r="P787" t="str">
            <v>H</v>
          </cell>
          <cell r="Q787" t="str">
            <v>H</v>
          </cell>
          <cell r="R787" t="str">
            <v>H</v>
          </cell>
          <cell r="S787" t="str">
            <v>H</v>
          </cell>
          <cell r="T787" t="str">
            <v>H</v>
          </cell>
          <cell r="U787" t="str">
            <v>H</v>
          </cell>
          <cell r="V787" t="str">
            <v>H</v>
          </cell>
          <cell r="W787" t="str">
            <v>H</v>
          </cell>
        </row>
        <row r="788">
          <cell r="A788">
            <v>45054</v>
          </cell>
          <cell r="B788">
            <v>51500</v>
          </cell>
          <cell r="C788">
            <v>52500</v>
          </cell>
          <cell r="D788">
            <v>50700</v>
          </cell>
          <cell r="E788">
            <v>48200</v>
          </cell>
          <cell r="F788">
            <v>53100</v>
          </cell>
          <cell r="G788" t="str">
            <v>-</v>
          </cell>
          <cell r="H788">
            <v>51000</v>
          </cell>
          <cell r="I788">
            <v>50300</v>
          </cell>
          <cell r="J788">
            <v>52800</v>
          </cell>
          <cell r="K788" t="str">
            <v>-</v>
          </cell>
          <cell r="L788">
            <v>51500</v>
          </cell>
          <cell r="M788">
            <v>52400</v>
          </cell>
          <cell r="N788">
            <v>49700</v>
          </cell>
          <cell r="O788">
            <v>49800</v>
          </cell>
          <cell r="P788">
            <v>47600</v>
          </cell>
          <cell r="Q788">
            <v>47500</v>
          </cell>
          <cell r="R788">
            <v>48200</v>
          </cell>
          <cell r="S788">
            <v>50700</v>
          </cell>
          <cell r="T788">
            <v>50300</v>
          </cell>
          <cell r="U788">
            <v>52600</v>
          </cell>
          <cell r="V788">
            <v>53500</v>
          </cell>
          <cell r="W788">
            <v>56000</v>
          </cell>
        </row>
        <row r="789">
          <cell r="A789">
            <v>45055</v>
          </cell>
          <cell r="B789">
            <v>51700</v>
          </cell>
          <cell r="C789">
            <v>52500</v>
          </cell>
          <cell r="D789">
            <v>51000</v>
          </cell>
          <cell r="E789">
            <v>48500</v>
          </cell>
          <cell r="F789">
            <v>54000</v>
          </cell>
          <cell r="G789" t="str">
            <v>-</v>
          </cell>
          <cell r="H789">
            <v>51000</v>
          </cell>
          <cell r="I789">
            <v>50500</v>
          </cell>
          <cell r="J789">
            <v>52800</v>
          </cell>
          <cell r="K789" t="str">
            <v>-</v>
          </cell>
          <cell r="L789">
            <v>51500</v>
          </cell>
          <cell r="M789">
            <v>52800</v>
          </cell>
          <cell r="N789">
            <v>49800</v>
          </cell>
          <cell r="O789">
            <v>50000</v>
          </cell>
          <cell r="P789">
            <v>47700</v>
          </cell>
          <cell r="Q789">
            <v>47800</v>
          </cell>
          <cell r="R789">
            <v>48300</v>
          </cell>
          <cell r="S789">
            <v>51000</v>
          </cell>
          <cell r="T789">
            <v>50500</v>
          </cell>
          <cell r="U789">
            <v>52600</v>
          </cell>
          <cell r="V789">
            <v>53500</v>
          </cell>
          <cell r="W789">
            <v>56000</v>
          </cell>
        </row>
        <row r="790">
          <cell r="A790">
            <v>45056</v>
          </cell>
          <cell r="B790">
            <v>52000</v>
          </cell>
          <cell r="C790">
            <v>52800</v>
          </cell>
          <cell r="D790">
            <v>51400</v>
          </cell>
          <cell r="E790">
            <v>49000</v>
          </cell>
          <cell r="F790">
            <v>54000</v>
          </cell>
          <cell r="G790" t="str">
            <v>-</v>
          </cell>
          <cell r="H790">
            <v>51500</v>
          </cell>
          <cell r="I790">
            <v>51300</v>
          </cell>
          <cell r="J790">
            <v>53400</v>
          </cell>
          <cell r="K790" t="str">
            <v>-</v>
          </cell>
          <cell r="L790">
            <v>52000</v>
          </cell>
          <cell r="M790">
            <v>53300</v>
          </cell>
          <cell r="N790">
            <v>50300</v>
          </cell>
          <cell r="O790">
            <v>50300</v>
          </cell>
          <cell r="P790">
            <v>48200</v>
          </cell>
          <cell r="Q790">
            <v>48200</v>
          </cell>
          <cell r="R790">
            <v>48700</v>
          </cell>
          <cell r="S790">
            <v>51500</v>
          </cell>
          <cell r="T790">
            <v>51000</v>
          </cell>
          <cell r="U790">
            <v>52600</v>
          </cell>
          <cell r="V790">
            <v>53500</v>
          </cell>
          <cell r="W790">
            <v>56000</v>
          </cell>
        </row>
        <row r="791">
          <cell r="A791">
            <v>45057</v>
          </cell>
          <cell r="B791">
            <v>52000</v>
          </cell>
          <cell r="C791">
            <v>52800</v>
          </cell>
          <cell r="D791">
            <v>51400</v>
          </cell>
          <cell r="E791">
            <v>48600</v>
          </cell>
          <cell r="F791">
            <v>54300</v>
          </cell>
          <cell r="G791" t="str">
            <v>-</v>
          </cell>
          <cell r="H791">
            <v>51000</v>
          </cell>
          <cell r="I791">
            <v>51300</v>
          </cell>
          <cell r="J791">
            <v>53700</v>
          </cell>
          <cell r="K791" t="str">
            <v>-</v>
          </cell>
          <cell r="L791">
            <v>52000</v>
          </cell>
          <cell r="M791">
            <v>53500</v>
          </cell>
          <cell r="N791">
            <v>50300</v>
          </cell>
          <cell r="O791">
            <v>50300</v>
          </cell>
          <cell r="P791">
            <v>47700</v>
          </cell>
          <cell r="Q791">
            <v>47800</v>
          </cell>
          <cell r="R791">
            <v>48500</v>
          </cell>
          <cell r="S791">
            <v>51100</v>
          </cell>
          <cell r="T791">
            <v>50900</v>
          </cell>
          <cell r="U791">
            <v>52600</v>
          </cell>
          <cell r="V791">
            <v>53600</v>
          </cell>
          <cell r="W791">
            <v>56000</v>
          </cell>
        </row>
        <row r="792">
          <cell r="A792">
            <v>45058</v>
          </cell>
          <cell r="B792">
            <v>51700</v>
          </cell>
          <cell r="C792">
            <v>52500</v>
          </cell>
          <cell r="D792">
            <v>51100</v>
          </cell>
          <cell r="E792">
            <v>48600</v>
          </cell>
          <cell r="F792">
            <v>54300</v>
          </cell>
          <cell r="G792" t="str">
            <v>-</v>
          </cell>
          <cell r="H792">
            <v>51000</v>
          </cell>
          <cell r="I792">
            <v>51300</v>
          </cell>
          <cell r="J792">
            <v>53700</v>
          </cell>
          <cell r="K792" t="str">
            <v>-</v>
          </cell>
          <cell r="L792">
            <v>51800</v>
          </cell>
          <cell r="M792">
            <v>53900</v>
          </cell>
          <cell r="N792">
            <v>50300</v>
          </cell>
          <cell r="O792">
            <v>50300</v>
          </cell>
          <cell r="P792">
            <v>48000</v>
          </cell>
          <cell r="Q792">
            <v>47700</v>
          </cell>
          <cell r="R792">
            <v>48300</v>
          </cell>
          <cell r="S792">
            <v>51100</v>
          </cell>
          <cell r="T792">
            <v>50700</v>
          </cell>
          <cell r="U792">
            <v>52600</v>
          </cell>
          <cell r="V792">
            <v>53600</v>
          </cell>
          <cell r="W792">
            <v>56000</v>
          </cell>
        </row>
        <row r="793">
          <cell r="A793">
            <v>45059</v>
          </cell>
          <cell r="B793">
            <v>51500</v>
          </cell>
          <cell r="C793">
            <v>52500</v>
          </cell>
          <cell r="D793">
            <v>51400</v>
          </cell>
          <cell r="E793">
            <v>48600</v>
          </cell>
          <cell r="F793">
            <v>54300</v>
          </cell>
          <cell r="G793" t="str">
            <v>-</v>
          </cell>
          <cell r="H793">
            <v>51000</v>
          </cell>
          <cell r="I793">
            <v>51400</v>
          </cell>
          <cell r="J793">
            <v>53700</v>
          </cell>
          <cell r="K793" t="str">
            <v>-</v>
          </cell>
          <cell r="L793">
            <v>52000</v>
          </cell>
          <cell r="M793">
            <v>54100</v>
          </cell>
          <cell r="N793">
            <v>50200</v>
          </cell>
          <cell r="O793">
            <v>50300</v>
          </cell>
          <cell r="P793">
            <v>47950</v>
          </cell>
          <cell r="Q793">
            <v>47500</v>
          </cell>
          <cell r="R793">
            <v>48300</v>
          </cell>
          <cell r="S793">
            <v>51100</v>
          </cell>
          <cell r="T793">
            <v>50500</v>
          </cell>
          <cell r="U793">
            <v>52600</v>
          </cell>
          <cell r="V793">
            <v>53500</v>
          </cell>
          <cell r="W793">
            <v>56000</v>
          </cell>
        </row>
        <row r="794">
          <cell r="A794">
            <v>45060</v>
          </cell>
          <cell r="B794" t="str">
            <v>H</v>
          </cell>
          <cell r="C794" t="str">
            <v>H</v>
          </cell>
          <cell r="D794" t="str">
            <v>H</v>
          </cell>
          <cell r="E794" t="str">
            <v>H</v>
          </cell>
          <cell r="F794" t="str">
            <v>H</v>
          </cell>
          <cell r="G794" t="str">
            <v>H</v>
          </cell>
          <cell r="H794" t="str">
            <v>H</v>
          </cell>
          <cell r="I794" t="str">
            <v>H</v>
          </cell>
          <cell r="J794" t="str">
            <v>H</v>
          </cell>
          <cell r="K794" t="str">
            <v>H</v>
          </cell>
          <cell r="L794" t="str">
            <v>H</v>
          </cell>
          <cell r="M794" t="str">
            <v>H</v>
          </cell>
          <cell r="N794" t="str">
            <v>H</v>
          </cell>
          <cell r="O794" t="str">
            <v>H</v>
          </cell>
          <cell r="P794" t="str">
            <v>H</v>
          </cell>
          <cell r="Q794" t="str">
            <v>H</v>
          </cell>
          <cell r="R794" t="str">
            <v>H</v>
          </cell>
          <cell r="S794" t="str">
            <v>H</v>
          </cell>
          <cell r="T794" t="str">
            <v>H</v>
          </cell>
          <cell r="U794" t="str">
            <v>H</v>
          </cell>
          <cell r="V794" t="str">
            <v>H</v>
          </cell>
          <cell r="W794" t="str">
            <v>H</v>
          </cell>
        </row>
        <row r="795">
          <cell r="A795">
            <v>45061</v>
          </cell>
          <cell r="B795">
            <v>52000</v>
          </cell>
          <cell r="C795">
            <v>52500</v>
          </cell>
          <cell r="D795">
            <v>52000</v>
          </cell>
          <cell r="E795">
            <v>48600</v>
          </cell>
          <cell r="F795">
            <v>54300</v>
          </cell>
          <cell r="G795" t="str">
            <v>-</v>
          </cell>
          <cell r="H795">
            <v>51000</v>
          </cell>
          <cell r="I795">
            <v>51800</v>
          </cell>
          <cell r="J795">
            <v>53700</v>
          </cell>
          <cell r="K795" t="str">
            <v>-</v>
          </cell>
          <cell r="L795">
            <v>52400</v>
          </cell>
          <cell r="M795">
            <v>54100</v>
          </cell>
          <cell r="N795">
            <v>50800</v>
          </cell>
          <cell r="O795">
            <v>50400</v>
          </cell>
          <cell r="P795">
            <v>47900</v>
          </cell>
          <cell r="Q795">
            <v>48100</v>
          </cell>
          <cell r="R795">
            <v>48500</v>
          </cell>
          <cell r="S795">
            <v>51100</v>
          </cell>
          <cell r="T795">
            <v>50800</v>
          </cell>
          <cell r="U795">
            <v>52600</v>
          </cell>
          <cell r="V795">
            <v>53500</v>
          </cell>
          <cell r="W795">
            <v>56000</v>
          </cell>
        </row>
        <row r="796">
          <cell r="A796">
            <v>45062</v>
          </cell>
          <cell r="B796">
            <v>52200</v>
          </cell>
          <cell r="C796">
            <v>52500</v>
          </cell>
          <cell r="D796">
            <v>52600</v>
          </cell>
          <cell r="E796">
            <v>48600</v>
          </cell>
          <cell r="F796">
            <v>54300</v>
          </cell>
          <cell r="G796" t="str">
            <v>-</v>
          </cell>
          <cell r="H796">
            <v>51000</v>
          </cell>
          <cell r="I796">
            <v>52200</v>
          </cell>
          <cell r="J796">
            <v>53700</v>
          </cell>
          <cell r="K796" t="str">
            <v>-</v>
          </cell>
          <cell r="L796">
            <v>52600</v>
          </cell>
          <cell r="M796">
            <v>54100</v>
          </cell>
          <cell r="N796">
            <v>51300</v>
          </cell>
          <cell r="O796">
            <v>50400</v>
          </cell>
          <cell r="P796">
            <v>48000</v>
          </cell>
          <cell r="Q796">
            <v>48300</v>
          </cell>
          <cell r="R796">
            <v>48700</v>
          </cell>
          <cell r="S796">
            <v>51100</v>
          </cell>
          <cell r="T796">
            <v>51000</v>
          </cell>
          <cell r="U796">
            <v>52600</v>
          </cell>
          <cell r="V796">
            <v>53500</v>
          </cell>
          <cell r="W796">
            <v>56000</v>
          </cell>
        </row>
        <row r="797">
          <cell r="A797">
            <v>45063</v>
          </cell>
          <cell r="B797">
            <v>52700</v>
          </cell>
          <cell r="C797">
            <v>52500</v>
          </cell>
          <cell r="D797">
            <v>52700</v>
          </cell>
          <cell r="E797">
            <v>49000</v>
          </cell>
          <cell r="F797">
            <v>54300</v>
          </cell>
          <cell r="G797" t="str">
            <v>-</v>
          </cell>
          <cell r="H797">
            <v>51500</v>
          </cell>
          <cell r="I797">
            <v>52600</v>
          </cell>
          <cell r="J797">
            <v>53700</v>
          </cell>
          <cell r="K797" t="str">
            <v>-</v>
          </cell>
          <cell r="L797">
            <v>53200</v>
          </cell>
          <cell r="M797">
            <v>54100</v>
          </cell>
          <cell r="N797">
            <v>51500</v>
          </cell>
          <cell r="O797">
            <v>50700</v>
          </cell>
          <cell r="P797">
            <v>48500</v>
          </cell>
          <cell r="Q797">
            <v>48400</v>
          </cell>
          <cell r="R797">
            <v>48800</v>
          </cell>
          <cell r="S797">
            <v>51500</v>
          </cell>
          <cell r="T797">
            <v>51300</v>
          </cell>
          <cell r="U797">
            <v>52600</v>
          </cell>
          <cell r="V797">
            <v>53500</v>
          </cell>
          <cell r="W797">
            <v>56000</v>
          </cell>
        </row>
        <row r="798">
          <cell r="A798">
            <v>45064</v>
          </cell>
          <cell r="B798">
            <v>52700</v>
          </cell>
          <cell r="C798">
            <v>52500</v>
          </cell>
          <cell r="D798">
            <v>52300</v>
          </cell>
          <cell r="E798">
            <v>48500</v>
          </cell>
          <cell r="F798">
            <v>54300</v>
          </cell>
          <cell r="G798" t="str">
            <v>-</v>
          </cell>
          <cell r="H798">
            <v>51500</v>
          </cell>
          <cell r="I798">
            <v>52600</v>
          </cell>
          <cell r="J798">
            <v>53400</v>
          </cell>
          <cell r="K798" t="str">
            <v>-</v>
          </cell>
          <cell r="L798">
            <v>53100</v>
          </cell>
          <cell r="M798">
            <v>54100</v>
          </cell>
          <cell r="N798">
            <v>51300</v>
          </cell>
          <cell r="O798">
            <v>50500</v>
          </cell>
          <cell r="P798">
            <v>48050</v>
          </cell>
          <cell r="Q798">
            <v>48300</v>
          </cell>
          <cell r="R798">
            <v>48600</v>
          </cell>
          <cell r="S798">
            <v>51000</v>
          </cell>
          <cell r="T798">
            <v>51300</v>
          </cell>
          <cell r="U798">
            <v>52600</v>
          </cell>
          <cell r="V798">
            <v>53400</v>
          </cell>
          <cell r="W798">
            <v>55800</v>
          </cell>
        </row>
        <row r="799">
          <cell r="A799">
            <v>45065</v>
          </cell>
          <cell r="B799">
            <v>52500</v>
          </cell>
          <cell r="C799">
            <v>52300</v>
          </cell>
          <cell r="D799">
            <v>52300</v>
          </cell>
          <cell r="E799">
            <v>48300</v>
          </cell>
          <cell r="F799">
            <v>54200</v>
          </cell>
          <cell r="G799" t="str">
            <v>-</v>
          </cell>
          <cell r="H799">
            <v>51500</v>
          </cell>
          <cell r="I799">
            <v>52600</v>
          </cell>
          <cell r="J799">
            <v>53300</v>
          </cell>
          <cell r="K799" t="str">
            <v>-</v>
          </cell>
          <cell r="L799">
            <v>53100</v>
          </cell>
          <cell r="M799">
            <v>53800</v>
          </cell>
          <cell r="N799">
            <v>51200</v>
          </cell>
          <cell r="O799">
            <v>50000</v>
          </cell>
          <cell r="P799">
            <v>47800</v>
          </cell>
          <cell r="Q799">
            <v>48100</v>
          </cell>
          <cell r="R799">
            <v>48300</v>
          </cell>
          <cell r="S799">
            <v>50800</v>
          </cell>
          <cell r="T799">
            <v>51200</v>
          </cell>
          <cell r="U799">
            <v>52600</v>
          </cell>
          <cell r="V799">
            <v>53200</v>
          </cell>
          <cell r="W799">
            <v>55800</v>
          </cell>
        </row>
        <row r="800">
          <cell r="A800">
            <v>45066</v>
          </cell>
          <cell r="B800">
            <v>52200</v>
          </cell>
          <cell r="C800">
            <v>52300</v>
          </cell>
          <cell r="D800">
            <v>52200</v>
          </cell>
          <cell r="E800">
            <v>47800</v>
          </cell>
          <cell r="F800">
            <v>54000</v>
          </cell>
          <cell r="G800" t="str">
            <v>-</v>
          </cell>
          <cell r="H800">
            <v>51000</v>
          </cell>
          <cell r="I800">
            <v>51900</v>
          </cell>
          <cell r="J800">
            <v>53200</v>
          </cell>
          <cell r="K800" t="str">
            <v>-</v>
          </cell>
          <cell r="L800">
            <v>52800</v>
          </cell>
          <cell r="M800">
            <v>53500</v>
          </cell>
          <cell r="N800">
            <v>51000</v>
          </cell>
          <cell r="O800">
            <v>49800</v>
          </cell>
          <cell r="P800">
            <v>47600</v>
          </cell>
          <cell r="Q800">
            <v>48000</v>
          </cell>
          <cell r="R800">
            <v>48000</v>
          </cell>
          <cell r="S800">
            <v>50300</v>
          </cell>
          <cell r="T800">
            <v>51200</v>
          </cell>
          <cell r="U800">
            <v>52600</v>
          </cell>
          <cell r="V800">
            <v>53000</v>
          </cell>
          <cell r="W800">
            <v>55500</v>
          </cell>
        </row>
        <row r="801">
          <cell r="A801">
            <v>45067</v>
          </cell>
          <cell r="B801" t="str">
            <v>H</v>
          </cell>
          <cell r="C801" t="str">
            <v>H</v>
          </cell>
          <cell r="D801" t="str">
            <v>H</v>
          </cell>
          <cell r="E801" t="str">
            <v>H</v>
          </cell>
          <cell r="F801" t="str">
            <v>H</v>
          </cell>
          <cell r="G801" t="str">
            <v>H</v>
          </cell>
          <cell r="H801" t="str">
            <v>H</v>
          </cell>
          <cell r="I801" t="str">
            <v>H</v>
          </cell>
          <cell r="J801" t="str">
            <v>H</v>
          </cell>
          <cell r="K801" t="str">
            <v>H</v>
          </cell>
          <cell r="L801" t="str">
            <v>H</v>
          </cell>
          <cell r="M801" t="str">
            <v>H</v>
          </cell>
          <cell r="N801" t="str">
            <v>H</v>
          </cell>
          <cell r="O801" t="str">
            <v>H</v>
          </cell>
          <cell r="P801" t="str">
            <v>H</v>
          </cell>
          <cell r="Q801" t="str">
            <v>H</v>
          </cell>
          <cell r="R801" t="str">
            <v>H</v>
          </cell>
          <cell r="S801" t="str">
            <v>H</v>
          </cell>
          <cell r="T801" t="str">
            <v>H</v>
          </cell>
          <cell r="U801" t="str">
            <v>H</v>
          </cell>
          <cell r="V801" t="str">
            <v>H</v>
          </cell>
          <cell r="W801" t="str">
            <v>H</v>
          </cell>
        </row>
        <row r="802">
          <cell r="A802">
            <v>45068</v>
          </cell>
          <cell r="B802">
            <v>51600</v>
          </cell>
          <cell r="C802">
            <v>52000</v>
          </cell>
          <cell r="D802">
            <v>51800</v>
          </cell>
          <cell r="E802">
            <v>47600</v>
          </cell>
          <cell r="F802">
            <v>53700</v>
          </cell>
          <cell r="G802" t="str">
            <v>-</v>
          </cell>
          <cell r="H802">
            <v>51000</v>
          </cell>
          <cell r="I802">
            <v>51300</v>
          </cell>
          <cell r="J802">
            <v>53200</v>
          </cell>
          <cell r="K802" t="str">
            <v>-</v>
          </cell>
          <cell r="L802">
            <v>52500</v>
          </cell>
          <cell r="M802">
            <v>53500</v>
          </cell>
          <cell r="N802">
            <v>50800</v>
          </cell>
          <cell r="O802">
            <v>49800</v>
          </cell>
          <cell r="P802">
            <v>47500</v>
          </cell>
          <cell r="Q802">
            <v>47700</v>
          </cell>
          <cell r="R802">
            <v>47800</v>
          </cell>
          <cell r="S802">
            <v>50100</v>
          </cell>
          <cell r="T802">
            <v>50600</v>
          </cell>
          <cell r="U802">
            <v>52600</v>
          </cell>
          <cell r="V802">
            <v>52800</v>
          </cell>
          <cell r="W802">
            <v>55300</v>
          </cell>
        </row>
        <row r="803">
          <cell r="A803">
            <v>45069</v>
          </cell>
          <cell r="B803">
            <v>51300</v>
          </cell>
          <cell r="C803">
            <v>51800</v>
          </cell>
          <cell r="D803">
            <v>51800</v>
          </cell>
          <cell r="E803">
            <v>47200</v>
          </cell>
          <cell r="F803">
            <v>53700</v>
          </cell>
          <cell r="G803" t="str">
            <v>-</v>
          </cell>
          <cell r="H803">
            <v>51000</v>
          </cell>
          <cell r="I803">
            <v>51300</v>
          </cell>
          <cell r="J803">
            <v>53000</v>
          </cell>
          <cell r="K803" t="str">
            <v>-</v>
          </cell>
          <cell r="L803">
            <v>52400</v>
          </cell>
          <cell r="M803">
            <v>53500</v>
          </cell>
          <cell r="N803">
            <v>50700</v>
          </cell>
          <cell r="O803">
            <v>49600</v>
          </cell>
          <cell r="P803">
            <v>47300</v>
          </cell>
          <cell r="Q803">
            <v>47500</v>
          </cell>
          <cell r="R803">
            <v>47800</v>
          </cell>
          <cell r="S803">
            <v>49700</v>
          </cell>
          <cell r="T803">
            <v>50300</v>
          </cell>
          <cell r="U803">
            <v>51800</v>
          </cell>
          <cell r="V803">
            <v>52600</v>
          </cell>
          <cell r="W803">
            <v>55100</v>
          </cell>
        </row>
        <row r="804">
          <cell r="A804">
            <v>45070</v>
          </cell>
          <cell r="B804">
            <v>51200</v>
          </cell>
          <cell r="C804">
            <v>51500</v>
          </cell>
          <cell r="D804">
            <v>51800</v>
          </cell>
          <cell r="E804">
            <v>47100</v>
          </cell>
          <cell r="F804">
            <v>53200</v>
          </cell>
          <cell r="G804" t="str">
            <v>-</v>
          </cell>
          <cell r="H804">
            <v>50500</v>
          </cell>
          <cell r="I804">
            <v>51200</v>
          </cell>
          <cell r="J804">
            <v>52800</v>
          </cell>
          <cell r="K804" t="str">
            <v>-</v>
          </cell>
          <cell r="L804">
            <v>52400</v>
          </cell>
          <cell r="M804">
            <v>53500</v>
          </cell>
          <cell r="N804">
            <v>50500</v>
          </cell>
          <cell r="O804">
            <v>49500</v>
          </cell>
          <cell r="P804">
            <v>47200</v>
          </cell>
          <cell r="Q804">
            <v>47400</v>
          </cell>
          <cell r="R804">
            <v>47500</v>
          </cell>
          <cell r="S804">
            <v>49600</v>
          </cell>
          <cell r="T804">
            <v>50000</v>
          </cell>
          <cell r="U804">
            <v>51800</v>
          </cell>
          <cell r="V804">
            <v>52600</v>
          </cell>
          <cell r="W804">
            <v>55100</v>
          </cell>
        </row>
        <row r="805">
          <cell r="A805">
            <v>45071</v>
          </cell>
          <cell r="B805">
            <v>51600</v>
          </cell>
          <cell r="C805">
            <v>51500</v>
          </cell>
          <cell r="D805">
            <v>51800</v>
          </cell>
          <cell r="E805">
            <v>47300</v>
          </cell>
          <cell r="F805">
            <v>53200</v>
          </cell>
          <cell r="G805" t="str">
            <v>-</v>
          </cell>
          <cell r="H805">
            <v>50500</v>
          </cell>
          <cell r="I805">
            <v>51300</v>
          </cell>
          <cell r="J805">
            <v>52800</v>
          </cell>
          <cell r="K805" t="str">
            <v>-</v>
          </cell>
          <cell r="L805">
            <v>52600</v>
          </cell>
          <cell r="M805">
            <v>53500</v>
          </cell>
          <cell r="N805">
            <v>51000</v>
          </cell>
          <cell r="O805">
            <v>49500</v>
          </cell>
          <cell r="P805">
            <v>47500</v>
          </cell>
          <cell r="Q805">
            <v>47500</v>
          </cell>
          <cell r="R805">
            <v>47800</v>
          </cell>
          <cell r="S805">
            <v>49800</v>
          </cell>
          <cell r="T805">
            <v>50200</v>
          </cell>
          <cell r="U805">
            <v>51800</v>
          </cell>
          <cell r="V805">
            <v>52400</v>
          </cell>
          <cell r="W805">
            <v>55000</v>
          </cell>
        </row>
        <row r="806">
          <cell r="A806">
            <v>45072</v>
          </cell>
          <cell r="B806">
            <v>51500</v>
          </cell>
          <cell r="C806">
            <v>51500</v>
          </cell>
          <cell r="D806">
            <v>51500</v>
          </cell>
          <cell r="E806">
            <v>46900</v>
          </cell>
          <cell r="F806">
            <v>52900</v>
          </cell>
          <cell r="G806" t="str">
            <v>-</v>
          </cell>
          <cell r="H806">
            <v>50000</v>
          </cell>
          <cell r="I806">
            <v>51200</v>
          </cell>
          <cell r="J806">
            <v>52700</v>
          </cell>
          <cell r="K806" t="str">
            <v>-</v>
          </cell>
          <cell r="L806">
            <v>52400</v>
          </cell>
          <cell r="M806">
            <v>53500</v>
          </cell>
          <cell r="N806">
            <v>50600</v>
          </cell>
          <cell r="O806">
            <v>49500</v>
          </cell>
          <cell r="P806">
            <v>47300</v>
          </cell>
          <cell r="Q806">
            <v>47400</v>
          </cell>
          <cell r="R806">
            <v>47600</v>
          </cell>
          <cell r="S806">
            <v>49400</v>
          </cell>
          <cell r="T806">
            <v>50200</v>
          </cell>
          <cell r="U806">
            <v>51800</v>
          </cell>
          <cell r="V806">
            <v>52400</v>
          </cell>
          <cell r="W806">
            <v>55000</v>
          </cell>
        </row>
        <row r="807">
          <cell r="A807">
            <v>45073</v>
          </cell>
          <cell r="B807">
            <v>51500</v>
          </cell>
          <cell r="C807">
            <v>51500</v>
          </cell>
          <cell r="D807">
            <v>51500</v>
          </cell>
          <cell r="E807">
            <v>47000</v>
          </cell>
          <cell r="F807">
            <v>52800</v>
          </cell>
          <cell r="G807" t="str">
            <v>-</v>
          </cell>
          <cell r="H807">
            <v>50000</v>
          </cell>
          <cell r="I807">
            <v>51000</v>
          </cell>
          <cell r="J807">
            <v>52700</v>
          </cell>
          <cell r="K807" t="str">
            <v>-</v>
          </cell>
          <cell r="L807">
            <v>52400</v>
          </cell>
          <cell r="M807">
            <v>52900</v>
          </cell>
          <cell r="N807">
            <v>50700</v>
          </cell>
          <cell r="O807">
            <v>49500</v>
          </cell>
          <cell r="P807">
            <v>47100</v>
          </cell>
          <cell r="Q807">
            <v>47200</v>
          </cell>
          <cell r="R807">
            <v>47400</v>
          </cell>
          <cell r="S807">
            <v>49500</v>
          </cell>
          <cell r="T807">
            <v>49800</v>
          </cell>
          <cell r="U807">
            <v>51800</v>
          </cell>
          <cell r="V807">
            <v>52300</v>
          </cell>
          <cell r="W807">
            <v>55000</v>
          </cell>
        </row>
        <row r="808">
          <cell r="A808">
            <v>45074</v>
          </cell>
          <cell r="B808" t="str">
            <v>H</v>
          </cell>
          <cell r="C808" t="str">
            <v>H</v>
          </cell>
          <cell r="D808" t="str">
            <v>H</v>
          </cell>
          <cell r="E808" t="str">
            <v>H</v>
          </cell>
          <cell r="F808" t="str">
            <v>H</v>
          </cell>
          <cell r="G808" t="str">
            <v>H</v>
          </cell>
          <cell r="H808" t="str">
            <v>H</v>
          </cell>
          <cell r="I808" t="str">
            <v>H</v>
          </cell>
          <cell r="J808" t="str">
            <v>H</v>
          </cell>
          <cell r="K808" t="str">
            <v>H</v>
          </cell>
          <cell r="L808" t="str">
            <v>H</v>
          </cell>
          <cell r="M808" t="str">
            <v>H</v>
          </cell>
          <cell r="N808" t="str">
            <v>H</v>
          </cell>
          <cell r="O808" t="str">
            <v>H</v>
          </cell>
          <cell r="P808" t="str">
            <v>H</v>
          </cell>
          <cell r="Q808" t="str">
            <v>H</v>
          </cell>
          <cell r="R808" t="str">
            <v>H</v>
          </cell>
          <cell r="S808" t="str">
            <v>H</v>
          </cell>
          <cell r="T808" t="str">
            <v>H</v>
          </cell>
          <cell r="U808" t="str">
            <v>H</v>
          </cell>
          <cell r="V808" t="str">
            <v>H</v>
          </cell>
          <cell r="W808" t="str">
            <v>H</v>
          </cell>
        </row>
        <row r="809">
          <cell r="A809">
            <v>45075</v>
          </cell>
          <cell r="B809">
            <v>51300</v>
          </cell>
          <cell r="C809">
            <v>51500</v>
          </cell>
          <cell r="D809">
            <v>51300</v>
          </cell>
          <cell r="E809">
            <v>46600</v>
          </cell>
          <cell r="F809">
            <v>52800</v>
          </cell>
          <cell r="G809" t="str">
            <v>-</v>
          </cell>
          <cell r="H809">
            <v>50000</v>
          </cell>
          <cell r="I809">
            <v>50800</v>
          </cell>
          <cell r="J809">
            <v>52700</v>
          </cell>
          <cell r="K809" t="str">
            <v>-</v>
          </cell>
          <cell r="L809">
            <v>52300</v>
          </cell>
          <cell r="M809">
            <v>52900</v>
          </cell>
          <cell r="N809">
            <v>50300</v>
          </cell>
          <cell r="O809">
            <v>49100</v>
          </cell>
          <cell r="P809">
            <v>47000</v>
          </cell>
          <cell r="Q809">
            <v>47000</v>
          </cell>
          <cell r="R809">
            <v>47000</v>
          </cell>
          <cell r="S809">
            <v>49100</v>
          </cell>
          <cell r="T809">
            <v>49600</v>
          </cell>
          <cell r="U809">
            <v>51800</v>
          </cell>
          <cell r="V809">
            <v>52200</v>
          </cell>
          <cell r="W809">
            <v>54800</v>
          </cell>
        </row>
        <row r="810">
          <cell r="A810">
            <v>45076</v>
          </cell>
          <cell r="B810">
            <v>51200</v>
          </cell>
          <cell r="C810">
            <v>51500</v>
          </cell>
          <cell r="D810">
            <v>51000</v>
          </cell>
          <cell r="E810">
            <v>46600</v>
          </cell>
          <cell r="F810">
            <v>52300</v>
          </cell>
          <cell r="G810" t="str">
            <v>-</v>
          </cell>
          <cell r="H810">
            <v>49500</v>
          </cell>
          <cell r="I810">
            <v>50700</v>
          </cell>
          <cell r="J810">
            <v>52200</v>
          </cell>
          <cell r="K810" t="str">
            <v>-</v>
          </cell>
          <cell r="L810">
            <v>52300</v>
          </cell>
          <cell r="M810">
            <v>52400</v>
          </cell>
          <cell r="N810">
            <v>50000</v>
          </cell>
          <cell r="O810">
            <v>48500</v>
          </cell>
          <cell r="P810">
            <v>46700</v>
          </cell>
          <cell r="Q810">
            <v>47000</v>
          </cell>
          <cell r="R810">
            <v>47200</v>
          </cell>
          <cell r="S810">
            <v>49100</v>
          </cell>
          <cell r="T810">
            <v>49600</v>
          </cell>
          <cell r="U810">
            <v>51800</v>
          </cell>
          <cell r="V810">
            <v>52000</v>
          </cell>
          <cell r="W810">
            <v>54700</v>
          </cell>
        </row>
        <row r="811">
          <cell r="A811">
            <v>45077</v>
          </cell>
          <cell r="B811">
            <v>51200</v>
          </cell>
          <cell r="C811">
            <v>51500</v>
          </cell>
          <cell r="D811">
            <v>51000</v>
          </cell>
          <cell r="E811">
            <v>46500</v>
          </cell>
          <cell r="F811">
            <v>52200</v>
          </cell>
          <cell r="G811" t="str">
            <v>-</v>
          </cell>
          <cell r="H811">
            <v>49000</v>
          </cell>
          <cell r="I811">
            <v>50500</v>
          </cell>
          <cell r="J811">
            <v>51700</v>
          </cell>
          <cell r="K811" t="str">
            <v>-</v>
          </cell>
          <cell r="L811">
            <v>52200</v>
          </cell>
          <cell r="M811">
            <v>52100</v>
          </cell>
          <cell r="N811">
            <v>50000</v>
          </cell>
          <cell r="O811">
            <v>48300</v>
          </cell>
          <cell r="P811">
            <v>46700</v>
          </cell>
          <cell r="Q811">
            <v>46800</v>
          </cell>
          <cell r="R811">
            <v>47000</v>
          </cell>
          <cell r="S811">
            <v>49000</v>
          </cell>
          <cell r="T811">
            <v>49600</v>
          </cell>
          <cell r="U811">
            <v>51800</v>
          </cell>
          <cell r="V811">
            <v>51700</v>
          </cell>
          <cell r="W811">
            <v>54500</v>
          </cell>
        </row>
        <row r="812">
          <cell r="A812">
            <v>45078</v>
          </cell>
          <cell r="B812">
            <v>51000</v>
          </cell>
          <cell r="C812">
            <v>51000</v>
          </cell>
          <cell r="D812">
            <v>50800</v>
          </cell>
          <cell r="E812">
            <v>46300</v>
          </cell>
          <cell r="F812">
            <v>51800</v>
          </cell>
          <cell r="G812" t="str">
            <v>-</v>
          </cell>
          <cell r="H812">
            <v>49000</v>
          </cell>
          <cell r="I812">
            <v>50400</v>
          </cell>
          <cell r="J812">
            <v>51300</v>
          </cell>
          <cell r="K812" t="str">
            <v>-</v>
          </cell>
          <cell r="L812">
            <v>52200</v>
          </cell>
          <cell r="M812">
            <v>52100</v>
          </cell>
          <cell r="N812">
            <v>50000</v>
          </cell>
          <cell r="O812">
            <v>48300</v>
          </cell>
          <cell r="P812">
            <v>46500</v>
          </cell>
          <cell r="Q812">
            <v>47000</v>
          </cell>
          <cell r="R812">
            <v>46800</v>
          </cell>
          <cell r="S812">
            <v>48800</v>
          </cell>
          <cell r="T812">
            <v>49300</v>
          </cell>
          <cell r="U812">
            <v>51300</v>
          </cell>
          <cell r="V812">
            <v>51700</v>
          </cell>
          <cell r="W812">
            <v>54500</v>
          </cell>
        </row>
        <row r="813">
          <cell r="A813">
            <v>45079</v>
          </cell>
          <cell r="B813">
            <v>50800</v>
          </cell>
          <cell r="C813">
            <v>51000</v>
          </cell>
          <cell r="D813">
            <v>50700</v>
          </cell>
          <cell r="E813">
            <v>46300</v>
          </cell>
          <cell r="F813">
            <v>51600</v>
          </cell>
          <cell r="G813" t="str">
            <v>-</v>
          </cell>
          <cell r="H813">
            <v>48500</v>
          </cell>
          <cell r="I813">
            <v>50200</v>
          </cell>
          <cell r="J813">
            <v>51200</v>
          </cell>
          <cell r="K813" t="str">
            <v>-</v>
          </cell>
          <cell r="L813">
            <v>51800</v>
          </cell>
          <cell r="M813">
            <v>51800</v>
          </cell>
          <cell r="N813">
            <v>49700</v>
          </cell>
          <cell r="O813">
            <v>48100</v>
          </cell>
          <cell r="P813">
            <v>46500</v>
          </cell>
          <cell r="Q813">
            <v>46700</v>
          </cell>
          <cell r="R813">
            <v>46700</v>
          </cell>
          <cell r="S813">
            <v>48800</v>
          </cell>
          <cell r="T813">
            <v>49300</v>
          </cell>
          <cell r="U813">
            <v>51300</v>
          </cell>
          <cell r="V813">
            <v>51500</v>
          </cell>
          <cell r="W813">
            <v>54200</v>
          </cell>
        </row>
        <row r="814">
          <cell r="A814">
            <v>45080</v>
          </cell>
          <cell r="B814">
            <v>50800</v>
          </cell>
          <cell r="C814">
            <v>50800</v>
          </cell>
          <cell r="D814">
            <v>50700</v>
          </cell>
          <cell r="E814">
            <v>46500</v>
          </cell>
          <cell r="F814">
            <v>51600</v>
          </cell>
          <cell r="G814" t="str">
            <v>-</v>
          </cell>
          <cell r="H814">
            <v>48500</v>
          </cell>
          <cell r="I814">
            <v>50200</v>
          </cell>
          <cell r="J814">
            <v>51200</v>
          </cell>
          <cell r="K814" t="str">
            <v>-</v>
          </cell>
          <cell r="L814">
            <v>51800</v>
          </cell>
          <cell r="M814">
            <v>51600</v>
          </cell>
          <cell r="N814">
            <v>49700</v>
          </cell>
          <cell r="O814">
            <v>48100</v>
          </cell>
          <cell r="P814">
            <v>46500</v>
          </cell>
          <cell r="Q814">
            <v>46800</v>
          </cell>
          <cell r="R814">
            <v>46700</v>
          </cell>
          <cell r="S814">
            <v>49000</v>
          </cell>
          <cell r="T814">
            <v>49400</v>
          </cell>
          <cell r="U814">
            <v>51300</v>
          </cell>
          <cell r="V814">
            <v>51300</v>
          </cell>
          <cell r="W814">
            <v>54100</v>
          </cell>
        </row>
        <row r="815">
          <cell r="A815">
            <v>45081</v>
          </cell>
          <cell r="B815" t="str">
            <v>H</v>
          </cell>
          <cell r="C815" t="str">
            <v>H</v>
          </cell>
          <cell r="D815" t="str">
            <v>H</v>
          </cell>
          <cell r="E815" t="str">
            <v>H</v>
          </cell>
          <cell r="F815" t="str">
            <v>H</v>
          </cell>
          <cell r="G815" t="str">
            <v>H</v>
          </cell>
          <cell r="H815" t="str">
            <v>H</v>
          </cell>
          <cell r="I815" t="str">
            <v>H</v>
          </cell>
          <cell r="J815" t="str">
            <v>H</v>
          </cell>
          <cell r="K815" t="str">
            <v>H</v>
          </cell>
          <cell r="L815" t="str">
            <v>H</v>
          </cell>
          <cell r="M815" t="str">
            <v>H</v>
          </cell>
          <cell r="N815" t="str">
            <v>H</v>
          </cell>
          <cell r="O815" t="str">
            <v>H</v>
          </cell>
          <cell r="P815" t="str">
            <v>H</v>
          </cell>
          <cell r="Q815" t="str">
            <v>H</v>
          </cell>
          <cell r="R815" t="str">
            <v>H</v>
          </cell>
          <cell r="S815" t="str">
            <v>H</v>
          </cell>
          <cell r="T815" t="str">
            <v>H</v>
          </cell>
          <cell r="U815" t="str">
            <v>H</v>
          </cell>
          <cell r="V815" t="str">
            <v>H</v>
          </cell>
          <cell r="W815" t="str">
            <v>H</v>
          </cell>
        </row>
        <row r="816">
          <cell r="A816">
            <v>45082</v>
          </cell>
          <cell r="B816">
            <v>50900</v>
          </cell>
          <cell r="C816">
            <v>50700</v>
          </cell>
          <cell r="D816">
            <v>50700</v>
          </cell>
          <cell r="E816">
            <v>46800</v>
          </cell>
          <cell r="F816">
            <v>51600</v>
          </cell>
          <cell r="G816" t="str">
            <v>-</v>
          </cell>
          <cell r="H816">
            <v>48000</v>
          </cell>
          <cell r="I816">
            <v>50300</v>
          </cell>
          <cell r="J816">
            <v>51200</v>
          </cell>
          <cell r="K816" t="str">
            <v>-</v>
          </cell>
          <cell r="L816">
            <v>51800</v>
          </cell>
          <cell r="M816">
            <v>51400</v>
          </cell>
          <cell r="N816">
            <v>49600</v>
          </cell>
          <cell r="O816">
            <v>47900</v>
          </cell>
          <cell r="P816">
            <v>46400</v>
          </cell>
          <cell r="Q816">
            <v>47200</v>
          </cell>
          <cell r="R816">
            <v>46700</v>
          </cell>
          <cell r="S816">
            <v>49300</v>
          </cell>
          <cell r="T816">
            <v>49600</v>
          </cell>
          <cell r="U816">
            <v>51300</v>
          </cell>
          <cell r="V816">
            <v>51000</v>
          </cell>
          <cell r="W816">
            <v>53600</v>
          </cell>
        </row>
        <row r="817">
          <cell r="A817">
            <v>45083</v>
          </cell>
          <cell r="B817">
            <v>51100</v>
          </cell>
          <cell r="C817">
            <v>50500</v>
          </cell>
          <cell r="D817">
            <v>51000</v>
          </cell>
          <cell r="E817">
            <v>47200</v>
          </cell>
          <cell r="F817">
            <v>51600</v>
          </cell>
          <cell r="G817" t="str">
            <v>-</v>
          </cell>
          <cell r="H817">
            <v>48000</v>
          </cell>
          <cell r="I817">
            <v>50500</v>
          </cell>
          <cell r="J817">
            <v>52000</v>
          </cell>
          <cell r="K817" t="str">
            <v>-</v>
          </cell>
          <cell r="L817">
            <v>52000</v>
          </cell>
          <cell r="M817">
            <v>51400</v>
          </cell>
          <cell r="N817">
            <v>50000</v>
          </cell>
          <cell r="O817">
            <v>48000</v>
          </cell>
          <cell r="P817">
            <v>46700</v>
          </cell>
          <cell r="Q817">
            <v>47500</v>
          </cell>
          <cell r="R817">
            <v>46900</v>
          </cell>
          <cell r="S817">
            <v>49700</v>
          </cell>
          <cell r="T817">
            <v>50100</v>
          </cell>
          <cell r="U817">
            <v>51300</v>
          </cell>
          <cell r="V817">
            <v>51000</v>
          </cell>
          <cell r="W817">
            <v>53600</v>
          </cell>
        </row>
        <row r="818">
          <cell r="A818">
            <v>45084</v>
          </cell>
          <cell r="B818">
            <v>51200</v>
          </cell>
          <cell r="C818">
            <v>50500</v>
          </cell>
          <cell r="D818">
            <v>51200</v>
          </cell>
          <cell r="E818">
            <v>47700</v>
          </cell>
          <cell r="F818">
            <v>51600</v>
          </cell>
          <cell r="G818" t="str">
            <v>-</v>
          </cell>
          <cell r="H818">
            <v>49000</v>
          </cell>
          <cell r="I818">
            <v>51000</v>
          </cell>
          <cell r="J818">
            <v>52000</v>
          </cell>
          <cell r="K818" t="str">
            <v>-</v>
          </cell>
          <cell r="L818">
            <v>52200</v>
          </cell>
          <cell r="M818">
            <v>51500</v>
          </cell>
          <cell r="N818">
            <v>50400</v>
          </cell>
          <cell r="O818">
            <v>48500</v>
          </cell>
          <cell r="P818">
            <v>47100</v>
          </cell>
          <cell r="Q818">
            <v>47700</v>
          </cell>
          <cell r="R818">
            <v>47300</v>
          </cell>
          <cell r="S818">
            <v>50200</v>
          </cell>
          <cell r="T818">
            <v>50300</v>
          </cell>
          <cell r="U818">
            <v>51800</v>
          </cell>
          <cell r="V818">
            <v>51200</v>
          </cell>
          <cell r="W818">
            <v>53600</v>
          </cell>
        </row>
        <row r="819">
          <cell r="A819">
            <v>45085</v>
          </cell>
          <cell r="B819">
            <v>51400</v>
          </cell>
          <cell r="C819">
            <v>50500</v>
          </cell>
          <cell r="D819">
            <v>51400</v>
          </cell>
          <cell r="E819">
            <v>47500</v>
          </cell>
          <cell r="F819">
            <v>51600</v>
          </cell>
          <cell r="G819" t="str">
            <v>-</v>
          </cell>
          <cell r="H819">
            <v>49000</v>
          </cell>
          <cell r="I819">
            <v>51200</v>
          </cell>
          <cell r="J819">
            <v>52000</v>
          </cell>
          <cell r="K819" t="str">
            <v>-</v>
          </cell>
          <cell r="L819">
            <v>52400</v>
          </cell>
          <cell r="M819">
            <v>51500</v>
          </cell>
          <cell r="N819">
            <v>50500</v>
          </cell>
          <cell r="O819">
            <v>48500</v>
          </cell>
          <cell r="P819">
            <v>47200</v>
          </cell>
          <cell r="Q819">
            <v>47600</v>
          </cell>
          <cell r="R819">
            <v>47500</v>
          </cell>
          <cell r="S819">
            <v>50000</v>
          </cell>
          <cell r="T819">
            <v>50300</v>
          </cell>
          <cell r="U819">
            <v>51800</v>
          </cell>
          <cell r="V819">
            <v>51200</v>
          </cell>
          <cell r="W819">
            <v>53600</v>
          </cell>
        </row>
        <row r="820">
          <cell r="A820">
            <v>45086</v>
          </cell>
          <cell r="B820">
            <v>51400</v>
          </cell>
          <cell r="C820">
            <v>50300</v>
          </cell>
          <cell r="D820">
            <v>51200</v>
          </cell>
          <cell r="E820">
            <v>47500</v>
          </cell>
          <cell r="F820">
            <v>51600</v>
          </cell>
          <cell r="G820" t="str">
            <v>-</v>
          </cell>
          <cell r="H820">
            <v>49000</v>
          </cell>
          <cell r="I820">
            <v>51200</v>
          </cell>
          <cell r="J820">
            <v>51800</v>
          </cell>
          <cell r="K820" t="str">
            <v>-</v>
          </cell>
          <cell r="L820">
            <v>52200</v>
          </cell>
          <cell r="M820">
            <v>51500</v>
          </cell>
          <cell r="N820">
            <v>50500</v>
          </cell>
          <cell r="O820">
            <v>48800</v>
          </cell>
          <cell r="P820">
            <v>47000</v>
          </cell>
          <cell r="Q820">
            <v>47600</v>
          </cell>
          <cell r="R820">
            <v>47700</v>
          </cell>
          <cell r="S820">
            <v>50000</v>
          </cell>
          <cell r="T820">
            <v>50300</v>
          </cell>
          <cell r="U820">
            <v>51800</v>
          </cell>
          <cell r="V820">
            <v>51000</v>
          </cell>
          <cell r="W820">
            <v>53400</v>
          </cell>
        </row>
        <row r="821">
          <cell r="A821">
            <v>45087</v>
          </cell>
          <cell r="B821">
            <v>51400</v>
          </cell>
          <cell r="C821">
            <v>50300</v>
          </cell>
          <cell r="D821">
            <v>51400</v>
          </cell>
          <cell r="E821">
            <v>47500</v>
          </cell>
          <cell r="F821">
            <v>51500</v>
          </cell>
          <cell r="G821" t="str">
            <v>-</v>
          </cell>
          <cell r="H821">
            <v>49000</v>
          </cell>
          <cell r="I821">
            <v>51200</v>
          </cell>
          <cell r="J821">
            <v>51800</v>
          </cell>
          <cell r="K821" t="str">
            <v>-</v>
          </cell>
          <cell r="L821">
            <v>52400</v>
          </cell>
          <cell r="M821">
            <v>51200</v>
          </cell>
          <cell r="N821">
            <v>50500</v>
          </cell>
          <cell r="O821">
            <v>48800</v>
          </cell>
          <cell r="P821">
            <v>46900</v>
          </cell>
          <cell r="Q821">
            <v>47500</v>
          </cell>
          <cell r="R821">
            <v>47700</v>
          </cell>
          <cell r="S821">
            <v>50000</v>
          </cell>
          <cell r="T821">
            <v>50300</v>
          </cell>
          <cell r="U821">
            <v>51800</v>
          </cell>
          <cell r="V821">
            <v>51000</v>
          </cell>
          <cell r="W821">
            <v>53400</v>
          </cell>
        </row>
        <row r="822">
          <cell r="A822">
            <v>45088</v>
          </cell>
          <cell r="B822" t="str">
            <v>H</v>
          </cell>
          <cell r="C822" t="str">
            <v>H</v>
          </cell>
          <cell r="D822" t="str">
            <v>H</v>
          </cell>
          <cell r="E822" t="str">
            <v>H</v>
          </cell>
          <cell r="F822" t="str">
            <v>H</v>
          </cell>
          <cell r="G822" t="str">
            <v>H</v>
          </cell>
          <cell r="H822" t="str">
            <v>H</v>
          </cell>
          <cell r="I822" t="str">
            <v>H</v>
          </cell>
          <cell r="J822" t="str">
            <v>H</v>
          </cell>
          <cell r="K822" t="str">
            <v>H</v>
          </cell>
          <cell r="L822" t="str">
            <v>H</v>
          </cell>
          <cell r="M822" t="str">
            <v>H</v>
          </cell>
          <cell r="N822" t="str">
            <v>H</v>
          </cell>
          <cell r="O822" t="str">
            <v>H</v>
          </cell>
          <cell r="P822" t="str">
            <v>H</v>
          </cell>
          <cell r="Q822" t="str">
            <v>H</v>
          </cell>
          <cell r="R822" t="str">
            <v>H</v>
          </cell>
          <cell r="S822" t="str">
            <v>H</v>
          </cell>
          <cell r="T822" t="str">
            <v>H</v>
          </cell>
          <cell r="U822" t="str">
            <v>H</v>
          </cell>
          <cell r="V822" t="str">
            <v>H</v>
          </cell>
          <cell r="W822" t="str">
            <v>H</v>
          </cell>
        </row>
        <row r="823">
          <cell r="A823">
            <v>45089</v>
          </cell>
          <cell r="B823">
            <v>51400</v>
          </cell>
          <cell r="C823">
            <v>50200</v>
          </cell>
          <cell r="D823">
            <v>51500</v>
          </cell>
          <cell r="E823">
            <v>47800</v>
          </cell>
          <cell r="F823">
            <v>51500</v>
          </cell>
          <cell r="G823" t="str">
            <v>-</v>
          </cell>
          <cell r="H823">
            <v>49000</v>
          </cell>
          <cell r="I823">
            <v>51500</v>
          </cell>
          <cell r="J823">
            <v>51800</v>
          </cell>
          <cell r="K823" t="str">
            <v>-</v>
          </cell>
          <cell r="L823">
            <v>52700</v>
          </cell>
          <cell r="M823">
            <v>51200</v>
          </cell>
          <cell r="N823">
            <v>50600</v>
          </cell>
          <cell r="O823">
            <v>49200</v>
          </cell>
          <cell r="P823">
            <v>46900</v>
          </cell>
          <cell r="Q823">
            <v>47800</v>
          </cell>
          <cell r="R823">
            <v>47500</v>
          </cell>
          <cell r="S823">
            <v>50300</v>
          </cell>
          <cell r="T823">
            <v>50400</v>
          </cell>
          <cell r="U823">
            <v>51800</v>
          </cell>
          <cell r="V823">
            <v>51000</v>
          </cell>
          <cell r="W823">
            <v>53400</v>
          </cell>
        </row>
        <row r="824">
          <cell r="A824">
            <v>45090</v>
          </cell>
          <cell r="B824">
            <v>51400</v>
          </cell>
          <cell r="C824">
            <v>50200</v>
          </cell>
          <cell r="D824">
            <v>51500</v>
          </cell>
          <cell r="E824">
            <v>48100</v>
          </cell>
          <cell r="F824">
            <v>51500</v>
          </cell>
          <cell r="G824" t="str">
            <v>-</v>
          </cell>
          <cell r="H824">
            <v>49000</v>
          </cell>
          <cell r="I824">
            <v>52000</v>
          </cell>
          <cell r="J824">
            <v>51800</v>
          </cell>
          <cell r="K824" t="str">
            <v>-</v>
          </cell>
          <cell r="L824">
            <v>52900</v>
          </cell>
          <cell r="M824">
            <v>51200</v>
          </cell>
          <cell r="N824">
            <v>50700</v>
          </cell>
          <cell r="O824">
            <v>49800</v>
          </cell>
          <cell r="P824">
            <v>47300</v>
          </cell>
          <cell r="Q824">
            <v>47800</v>
          </cell>
          <cell r="R824">
            <v>47800</v>
          </cell>
          <cell r="S824">
            <v>50600</v>
          </cell>
          <cell r="T824">
            <v>50500</v>
          </cell>
          <cell r="U824">
            <v>52300</v>
          </cell>
          <cell r="V824">
            <v>51000</v>
          </cell>
          <cell r="W824">
            <v>53400</v>
          </cell>
        </row>
        <row r="825">
          <cell r="A825">
            <v>45091</v>
          </cell>
          <cell r="B825">
            <v>51400</v>
          </cell>
          <cell r="C825">
            <v>50000</v>
          </cell>
          <cell r="D825">
            <v>51600</v>
          </cell>
          <cell r="E825">
            <v>47800</v>
          </cell>
          <cell r="F825">
            <v>51500</v>
          </cell>
          <cell r="G825" t="str">
            <v>-</v>
          </cell>
          <cell r="H825">
            <v>49000</v>
          </cell>
          <cell r="I825">
            <v>52000</v>
          </cell>
          <cell r="J825">
            <v>51800</v>
          </cell>
          <cell r="K825" t="str">
            <v>-</v>
          </cell>
          <cell r="L825">
            <v>52800</v>
          </cell>
          <cell r="M825">
            <v>51200</v>
          </cell>
          <cell r="N825">
            <v>50600</v>
          </cell>
          <cell r="O825">
            <v>49500</v>
          </cell>
          <cell r="P825">
            <v>47200</v>
          </cell>
          <cell r="Q825">
            <v>47700</v>
          </cell>
          <cell r="R825">
            <v>47600</v>
          </cell>
          <cell r="S825">
            <v>50500</v>
          </cell>
          <cell r="T825">
            <v>50600</v>
          </cell>
          <cell r="U825">
            <v>52300</v>
          </cell>
          <cell r="V825">
            <v>51000</v>
          </cell>
          <cell r="W825">
            <v>53400</v>
          </cell>
        </row>
        <row r="826">
          <cell r="A826">
            <v>45092</v>
          </cell>
          <cell r="B826">
            <v>51400</v>
          </cell>
          <cell r="C826">
            <v>50000</v>
          </cell>
          <cell r="D826">
            <v>51800</v>
          </cell>
          <cell r="E826">
            <v>47500</v>
          </cell>
          <cell r="F826">
            <v>51500</v>
          </cell>
          <cell r="G826" t="str">
            <v>-</v>
          </cell>
          <cell r="H826">
            <v>49000</v>
          </cell>
          <cell r="I826">
            <v>51600</v>
          </cell>
          <cell r="J826">
            <v>51700</v>
          </cell>
          <cell r="K826" t="str">
            <v>-</v>
          </cell>
          <cell r="L826">
            <v>52700</v>
          </cell>
          <cell r="M826">
            <v>51000</v>
          </cell>
          <cell r="N826">
            <v>50500</v>
          </cell>
          <cell r="O826">
            <v>49200</v>
          </cell>
          <cell r="P826">
            <v>47000</v>
          </cell>
          <cell r="Q826">
            <v>47500</v>
          </cell>
          <cell r="R826">
            <v>47500</v>
          </cell>
          <cell r="S826">
            <v>50000</v>
          </cell>
          <cell r="T826">
            <v>50300</v>
          </cell>
          <cell r="U826">
            <v>52300</v>
          </cell>
          <cell r="V826">
            <v>50800</v>
          </cell>
          <cell r="W826">
            <v>53400</v>
          </cell>
        </row>
        <row r="827">
          <cell r="A827">
            <v>45093</v>
          </cell>
          <cell r="B827">
            <v>51400</v>
          </cell>
          <cell r="C827">
            <v>50000</v>
          </cell>
          <cell r="D827">
            <v>51800</v>
          </cell>
          <cell r="E827">
            <v>47600</v>
          </cell>
          <cell r="F827">
            <v>51500</v>
          </cell>
          <cell r="G827" t="str">
            <v>-</v>
          </cell>
          <cell r="H827">
            <v>49000</v>
          </cell>
          <cell r="I827">
            <v>51500</v>
          </cell>
          <cell r="J827">
            <v>51700</v>
          </cell>
          <cell r="K827" t="str">
            <v>-</v>
          </cell>
          <cell r="L827">
            <v>52700</v>
          </cell>
          <cell r="M827">
            <v>50800</v>
          </cell>
          <cell r="N827">
            <v>50500</v>
          </cell>
          <cell r="O827">
            <v>49200</v>
          </cell>
          <cell r="P827">
            <v>46800</v>
          </cell>
          <cell r="Q827">
            <v>47700</v>
          </cell>
          <cell r="R827">
            <v>47500</v>
          </cell>
          <cell r="S827">
            <v>50100</v>
          </cell>
          <cell r="T827">
            <v>50300</v>
          </cell>
          <cell r="U827">
            <v>52300</v>
          </cell>
          <cell r="V827">
            <v>50700</v>
          </cell>
          <cell r="W827">
            <v>53300</v>
          </cell>
        </row>
        <row r="828">
          <cell r="A828">
            <v>45094</v>
          </cell>
          <cell r="B828">
            <v>51400</v>
          </cell>
          <cell r="C828">
            <v>49800</v>
          </cell>
          <cell r="D828">
            <v>51800</v>
          </cell>
          <cell r="E828">
            <v>47600</v>
          </cell>
          <cell r="F828">
            <v>51500</v>
          </cell>
          <cell r="G828" t="str">
            <v>-</v>
          </cell>
          <cell r="H828">
            <v>49000</v>
          </cell>
          <cell r="I828">
            <v>51500</v>
          </cell>
          <cell r="J828">
            <v>51700</v>
          </cell>
          <cell r="K828" t="str">
            <v>-</v>
          </cell>
          <cell r="L828">
            <v>52800</v>
          </cell>
          <cell r="M828">
            <v>50800</v>
          </cell>
          <cell r="N828">
            <v>50600</v>
          </cell>
          <cell r="O828">
            <v>49200</v>
          </cell>
          <cell r="P828">
            <v>47000</v>
          </cell>
          <cell r="Q828">
            <v>47700</v>
          </cell>
          <cell r="R828">
            <v>47500</v>
          </cell>
          <cell r="S828">
            <v>50100</v>
          </cell>
          <cell r="T828">
            <v>50300</v>
          </cell>
          <cell r="U828">
            <v>52300</v>
          </cell>
          <cell r="V828">
            <v>50700</v>
          </cell>
          <cell r="W828">
            <v>53300</v>
          </cell>
        </row>
        <row r="829">
          <cell r="A829">
            <v>45095</v>
          </cell>
          <cell r="B829" t="str">
            <v>H</v>
          </cell>
          <cell r="C829" t="str">
            <v>H</v>
          </cell>
          <cell r="D829" t="str">
            <v>H</v>
          </cell>
          <cell r="E829" t="str">
            <v>H</v>
          </cell>
          <cell r="F829" t="str">
            <v>H</v>
          </cell>
          <cell r="G829" t="str">
            <v>H</v>
          </cell>
          <cell r="H829" t="str">
            <v>H</v>
          </cell>
          <cell r="I829" t="str">
            <v>H</v>
          </cell>
          <cell r="J829" t="str">
            <v>H</v>
          </cell>
          <cell r="K829" t="str">
            <v>H</v>
          </cell>
          <cell r="L829" t="str">
            <v>H</v>
          </cell>
          <cell r="M829" t="str">
            <v>H</v>
          </cell>
          <cell r="N829" t="str">
            <v>H</v>
          </cell>
          <cell r="O829" t="str">
            <v>H</v>
          </cell>
          <cell r="P829" t="str">
            <v>H</v>
          </cell>
          <cell r="Q829" t="str">
            <v>H</v>
          </cell>
          <cell r="R829" t="str">
            <v>H</v>
          </cell>
          <cell r="S829" t="str">
            <v>H</v>
          </cell>
          <cell r="T829" t="str">
            <v>H</v>
          </cell>
          <cell r="U829" t="str">
            <v>H</v>
          </cell>
          <cell r="V829" t="str">
            <v>H</v>
          </cell>
          <cell r="W829" t="str">
            <v>H</v>
          </cell>
        </row>
        <row r="830">
          <cell r="A830">
            <v>45096</v>
          </cell>
          <cell r="B830">
            <v>51300</v>
          </cell>
          <cell r="C830">
            <v>49800</v>
          </cell>
          <cell r="D830">
            <v>51500</v>
          </cell>
          <cell r="E830">
            <v>47400</v>
          </cell>
          <cell r="F830">
            <v>51200</v>
          </cell>
          <cell r="G830" t="str">
            <v>-</v>
          </cell>
          <cell r="H830">
            <v>49000</v>
          </cell>
          <cell r="I830">
            <v>51300</v>
          </cell>
          <cell r="J830">
            <v>51500</v>
          </cell>
          <cell r="K830" t="str">
            <v>-</v>
          </cell>
          <cell r="L830">
            <v>52700</v>
          </cell>
          <cell r="M830">
            <v>50800</v>
          </cell>
          <cell r="N830">
            <v>50500</v>
          </cell>
          <cell r="O830">
            <v>48700</v>
          </cell>
          <cell r="P830">
            <v>46900</v>
          </cell>
          <cell r="Q830">
            <v>47600</v>
          </cell>
          <cell r="R830">
            <v>47400</v>
          </cell>
          <cell r="S830">
            <v>50000</v>
          </cell>
          <cell r="T830">
            <v>50300</v>
          </cell>
          <cell r="U830">
            <v>52300</v>
          </cell>
          <cell r="V830">
            <v>50500</v>
          </cell>
          <cell r="W830">
            <v>53200</v>
          </cell>
        </row>
        <row r="831">
          <cell r="A831">
            <v>45097</v>
          </cell>
          <cell r="B831">
            <v>51200</v>
          </cell>
          <cell r="C831">
            <v>49500</v>
          </cell>
          <cell r="D831">
            <v>51100</v>
          </cell>
          <cell r="E831">
            <v>47100</v>
          </cell>
          <cell r="F831">
            <v>51000</v>
          </cell>
          <cell r="G831" t="str">
            <v>-</v>
          </cell>
          <cell r="H831">
            <v>49000</v>
          </cell>
          <cell r="I831">
            <v>51000</v>
          </cell>
          <cell r="J831">
            <v>51500</v>
          </cell>
          <cell r="K831" t="str">
            <v>-</v>
          </cell>
          <cell r="L831">
            <v>52400</v>
          </cell>
          <cell r="M831">
            <v>50800</v>
          </cell>
          <cell r="N831">
            <v>50300</v>
          </cell>
          <cell r="O831">
            <v>48700</v>
          </cell>
          <cell r="P831">
            <v>46700</v>
          </cell>
          <cell r="Q831">
            <v>47200</v>
          </cell>
          <cell r="R831">
            <v>47000</v>
          </cell>
          <cell r="S831">
            <v>49600</v>
          </cell>
          <cell r="T831">
            <v>50000</v>
          </cell>
          <cell r="U831">
            <v>52300</v>
          </cell>
          <cell r="V831">
            <v>50500</v>
          </cell>
          <cell r="W831">
            <v>53200</v>
          </cell>
        </row>
        <row r="832">
          <cell r="A832">
            <v>45098</v>
          </cell>
          <cell r="B832">
            <v>51100</v>
          </cell>
          <cell r="C832">
            <v>49500</v>
          </cell>
          <cell r="D832">
            <v>51100</v>
          </cell>
          <cell r="E832">
            <v>46900</v>
          </cell>
          <cell r="F832">
            <v>50900</v>
          </cell>
          <cell r="G832" t="str">
            <v>-</v>
          </cell>
          <cell r="H832">
            <v>49000</v>
          </cell>
          <cell r="I832">
            <v>50800</v>
          </cell>
          <cell r="J832">
            <v>51500</v>
          </cell>
          <cell r="K832" t="str">
            <v>-</v>
          </cell>
          <cell r="L832">
            <v>52200</v>
          </cell>
          <cell r="M832">
            <v>50800</v>
          </cell>
          <cell r="N832">
            <v>50000</v>
          </cell>
          <cell r="O832">
            <v>48700</v>
          </cell>
          <cell r="P832">
            <v>46600</v>
          </cell>
          <cell r="Q832">
            <v>47100</v>
          </cell>
          <cell r="R832">
            <v>47000</v>
          </cell>
          <cell r="S832">
            <v>49400</v>
          </cell>
          <cell r="T832">
            <v>49800</v>
          </cell>
          <cell r="U832">
            <v>51800</v>
          </cell>
          <cell r="V832">
            <v>50500</v>
          </cell>
          <cell r="W832">
            <v>53200</v>
          </cell>
        </row>
        <row r="833">
          <cell r="A833">
            <v>45099</v>
          </cell>
          <cell r="B833">
            <v>50900</v>
          </cell>
          <cell r="C833">
            <v>49500</v>
          </cell>
          <cell r="D833">
            <v>51000</v>
          </cell>
          <cell r="E833">
            <v>46600</v>
          </cell>
          <cell r="F833">
            <v>50900</v>
          </cell>
          <cell r="G833" t="str">
            <v>-</v>
          </cell>
          <cell r="H833">
            <v>48500</v>
          </cell>
          <cell r="I833">
            <v>50300</v>
          </cell>
          <cell r="J833">
            <v>51500</v>
          </cell>
          <cell r="K833" t="str">
            <v>-</v>
          </cell>
          <cell r="L833">
            <v>52100</v>
          </cell>
          <cell r="M833">
            <v>50800</v>
          </cell>
          <cell r="N833">
            <v>50000</v>
          </cell>
          <cell r="O833">
            <v>48500</v>
          </cell>
          <cell r="P833">
            <v>46500</v>
          </cell>
          <cell r="Q833">
            <v>47000</v>
          </cell>
          <cell r="R833">
            <v>46800</v>
          </cell>
          <cell r="S833">
            <v>49100</v>
          </cell>
          <cell r="T833">
            <v>49500</v>
          </cell>
          <cell r="U833">
            <v>51800</v>
          </cell>
          <cell r="V833">
            <v>50200</v>
          </cell>
          <cell r="W833">
            <v>53000</v>
          </cell>
        </row>
        <row r="834">
          <cell r="A834">
            <v>45100</v>
          </cell>
          <cell r="B834">
            <v>50600</v>
          </cell>
          <cell r="C834">
            <v>49500</v>
          </cell>
          <cell r="D834">
            <v>50800</v>
          </cell>
          <cell r="E834">
            <v>46400</v>
          </cell>
          <cell r="F834">
            <v>50800</v>
          </cell>
          <cell r="G834" t="str">
            <v>-</v>
          </cell>
          <cell r="H834">
            <v>48500</v>
          </cell>
          <cell r="I834">
            <v>50300</v>
          </cell>
          <cell r="J834">
            <v>50900</v>
          </cell>
          <cell r="K834" t="str">
            <v>-</v>
          </cell>
          <cell r="L834">
            <v>51800</v>
          </cell>
          <cell r="M834">
            <v>50700</v>
          </cell>
          <cell r="N834">
            <v>49700</v>
          </cell>
          <cell r="O834">
            <v>48300</v>
          </cell>
          <cell r="P834">
            <v>46400</v>
          </cell>
          <cell r="Q834">
            <v>46900</v>
          </cell>
          <cell r="R834">
            <v>46700</v>
          </cell>
          <cell r="S834">
            <v>48900</v>
          </cell>
          <cell r="T834">
            <v>49500</v>
          </cell>
          <cell r="U834">
            <v>51800</v>
          </cell>
          <cell r="V834">
            <v>50000</v>
          </cell>
          <cell r="W834">
            <v>52700</v>
          </cell>
        </row>
        <row r="835">
          <cell r="A835">
            <v>45101</v>
          </cell>
          <cell r="B835">
            <v>50600</v>
          </cell>
          <cell r="C835">
            <v>49500</v>
          </cell>
          <cell r="D835">
            <v>50900</v>
          </cell>
          <cell r="E835">
            <v>46500</v>
          </cell>
          <cell r="F835">
            <v>50800</v>
          </cell>
          <cell r="G835" t="str">
            <v>-</v>
          </cell>
          <cell r="H835">
            <v>48500</v>
          </cell>
          <cell r="I835">
            <v>50600</v>
          </cell>
          <cell r="J835">
            <v>50900</v>
          </cell>
          <cell r="K835" t="str">
            <v>-</v>
          </cell>
          <cell r="L835">
            <v>52200</v>
          </cell>
          <cell r="M835">
            <v>50300</v>
          </cell>
          <cell r="N835">
            <v>49900</v>
          </cell>
          <cell r="O835">
            <v>48300</v>
          </cell>
          <cell r="P835">
            <v>46600</v>
          </cell>
          <cell r="Q835">
            <v>47100</v>
          </cell>
          <cell r="R835">
            <v>46800</v>
          </cell>
          <cell r="S835">
            <v>49000</v>
          </cell>
          <cell r="T835">
            <v>49700</v>
          </cell>
          <cell r="U835">
            <v>51800</v>
          </cell>
          <cell r="V835">
            <v>50000</v>
          </cell>
          <cell r="W835">
            <v>52700</v>
          </cell>
        </row>
        <row r="836">
          <cell r="A836">
            <v>45102</v>
          </cell>
          <cell r="B836" t="str">
            <v>H</v>
          </cell>
          <cell r="C836" t="str">
            <v>H</v>
          </cell>
          <cell r="D836" t="str">
            <v>H</v>
          </cell>
          <cell r="E836" t="str">
            <v>H</v>
          </cell>
          <cell r="F836" t="str">
            <v>H</v>
          </cell>
          <cell r="G836" t="str">
            <v>H</v>
          </cell>
          <cell r="H836" t="str">
            <v>H</v>
          </cell>
          <cell r="I836" t="str">
            <v>H</v>
          </cell>
          <cell r="J836" t="str">
            <v>H</v>
          </cell>
          <cell r="K836" t="str">
            <v>H</v>
          </cell>
          <cell r="L836" t="str">
            <v>H</v>
          </cell>
          <cell r="M836" t="str">
            <v>H</v>
          </cell>
          <cell r="N836" t="str">
            <v>H</v>
          </cell>
          <cell r="O836" t="str">
            <v>H</v>
          </cell>
          <cell r="P836" t="str">
            <v>H</v>
          </cell>
          <cell r="Q836" t="str">
            <v>H</v>
          </cell>
          <cell r="R836" t="str">
            <v>H</v>
          </cell>
          <cell r="S836" t="str">
            <v>H</v>
          </cell>
          <cell r="T836" t="str">
            <v>H</v>
          </cell>
          <cell r="U836" t="str">
            <v>H</v>
          </cell>
          <cell r="V836" t="str">
            <v>H</v>
          </cell>
          <cell r="W836" t="str">
            <v>H</v>
          </cell>
        </row>
        <row r="837">
          <cell r="A837">
            <v>45103</v>
          </cell>
          <cell r="B837">
            <v>50400</v>
          </cell>
          <cell r="C837">
            <v>49200</v>
          </cell>
          <cell r="D837">
            <v>50500</v>
          </cell>
          <cell r="E837">
            <v>46500</v>
          </cell>
          <cell r="F837">
            <v>50400</v>
          </cell>
          <cell r="G837" t="str">
            <v>-</v>
          </cell>
          <cell r="H837">
            <v>48000</v>
          </cell>
          <cell r="I837">
            <v>50500</v>
          </cell>
          <cell r="J837">
            <v>50800</v>
          </cell>
          <cell r="K837" t="str">
            <v>-</v>
          </cell>
          <cell r="L837">
            <v>51900</v>
          </cell>
          <cell r="M837">
            <v>50000</v>
          </cell>
          <cell r="N837">
            <v>49500</v>
          </cell>
          <cell r="O837">
            <v>48100</v>
          </cell>
          <cell r="P837">
            <v>46500</v>
          </cell>
          <cell r="Q837">
            <v>46800</v>
          </cell>
          <cell r="R837">
            <v>46800</v>
          </cell>
          <cell r="S837">
            <v>49000</v>
          </cell>
          <cell r="T837">
            <v>49500</v>
          </cell>
          <cell r="U837">
            <v>51800</v>
          </cell>
          <cell r="V837">
            <v>49700</v>
          </cell>
          <cell r="W837">
            <v>52500</v>
          </cell>
        </row>
        <row r="838">
          <cell r="A838">
            <v>45104</v>
          </cell>
          <cell r="B838">
            <v>50300</v>
          </cell>
          <cell r="C838">
            <v>49200</v>
          </cell>
          <cell r="D838">
            <v>50200</v>
          </cell>
          <cell r="E838">
            <v>46300</v>
          </cell>
          <cell r="F838">
            <v>50400</v>
          </cell>
          <cell r="G838" t="str">
            <v>-</v>
          </cell>
          <cell r="H838">
            <v>48000</v>
          </cell>
          <cell r="I838">
            <v>50100</v>
          </cell>
          <cell r="J838">
            <v>50800</v>
          </cell>
          <cell r="K838" t="str">
            <v>-</v>
          </cell>
          <cell r="L838">
            <v>51300</v>
          </cell>
          <cell r="M838">
            <v>49700</v>
          </cell>
          <cell r="N838">
            <v>49500</v>
          </cell>
          <cell r="O838">
            <v>48100</v>
          </cell>
          <cell r="P838">
            <v>46400</v>
          </cell>
          <cell r="Q838">
            <v>46600</v>
          </cell>
          <cell r="R838">
            <v>46500</v>
          </cell>
          <cell r="S838">
            <v>48800</v>
          </cell>
          <cell r="T838">
            <v>49300</v>
          </cell>
          <cell r="U838">
            <v>51800</v>
          </cell>
          <cell r="V838">
            <v>49700</v>
          </cell>
          <cell r="W838">
            <v>52500</v>
          </cell>
        </row>
        <row r="839">
          <cell r="A839">
            <v>45105</v>
          </cell>
          <cell r="B839">
            <v>50000</v>
          </cell>
          <cell r="C839">
            <v>49000</v>
          </cell>
          <cell r="D839">
            <v>50200</v>
          </cell>
          <cell r="E839">
            <v>46100</v>
          </cell>
          <cell r="F839">
            <v>50300</v>
          </cell>
          <cell r="G839" t="str">
            <v>-</v>
          </cell>
          <cell r="H839">
            <v>47500</v>
          </cell>
          <cell r="I839">
            <v>50000</v>
          </cell>
          <cell r="J839">
            <v>50700</v>
          </cell>
          <cell r="K839" t="str">
            <v>-</v>
          </cell>
          <cell r="L839">
            <v>51300</v>
          </cell>
          <cell r="M839">
            <v>49400</v>
          </cell>
          <cell r="N839">
            <v>49300</v>
          </cell>
          <cell r="O839">
            <v>48100</v>
          </cell>
          <cell r="P839">
            <v>46400</v>
          </cell>
          <cell r="Q839">
            <v>46500</v>
          </cell>
          <cell r="R839">
            <v>46500</v>
          </cell>
          <cell r="S839">
            <v>48600</v>
          </cell>
          <cell r="T839">
            <v>48900</v>
          </cell>
          <cell r="U839">
            <v>51800</v>
          </cell>
          <cell r="V839">
            <v>49500</v>
          </cell>
          <cell r="W839">
            <v>52400</v>
          </cell>
        </row>
        <row r="840">
          <cell r="A840">
            <v>45106</v>
          </cell>
          <cell r="B840">
            <v>50000</v>
          </cell>
          <cell r="C840">
            <v>49000</v>
          </cell>
          <cell r="D840">
            <v>49900</v>
          </cell>
          <cell r="E840">
            <v>46000</v>
          </cell>
          <cell r="F840">
            <v>49800</v>
          </cell>
          <cell r="G840" t="str">
            <v>-</v>
          </cell>
          <cell r="H840">
            <v>47500</v>
          </cell>
          <cell r="I840">
            <v>49800</v>
          </cell>
          <cell r="J840">
            <v>50100</v>
          </cell>
          <cell r="K840" t="str">
            <v>-</v>
          </cell>
          <cell r="L840">
            <v>51300</v>
          </cell>
          <cell r="M840">
            <v>48600</v>
          </cell>
          <cell r="N840">
            <v>49200</v>
          </cell>
          <cell r="O840">
            <v>47800</v>
          </cell>
          <cell r="P840">
            <v>46200</v>
          </cell>
          <cell r="Q840">
            <v>46500</v>
          </cell>
          <cell r="R840">
            <v>46300</v>
          </cell>
          <cell r="S840">
            <v>48600</v>
          </cell>
          <cell r="T840">
            <v>49000</v>
          </cell>
          <cell r="U840">
            <v>51300</v>
          </cell>
          <cell r="V840">
            <v>49500</v>
          </cell>
          <cell r="W840">
            <v>52400</v>
          </cell>
        </row>
        <row r="841">
          <cell r="A841">
            <v>45107</v>
          </cell>
          <cell r="B841">
            <v>49800</v>
          </cell>
          <cell r="C841">
            <v>49000</v>
          </cell>
          <cell r="D841">
            <v>50100</v>
          </cell>
          <cell r="E841">
            <v>46200</v>
          </cell>
          <cell r="F841">
            <v>49800</v>
          </cell>
          <cell r="G841" t="str">
            <v>-</v>
          </cell>
          <cell r="H841">
            <v>47500</v>
          </cell>
          <cell r="I841">
            <v>49900</v>
          </cell>
          <cell r="J841">
            <v>50100</v>
          </cell>
          <cell r="K841" t="str">
            <v>-</v>
          </cell>
          <cell r="L841">
            <v>51500</v>
          </cell>
          <cell r="M841">
            <v>48600</v>
          </cell>
          <cell r="N841">
            <v>49500</v>
          </cell>
          <cell r="O841">
            <v>47800</v>
          </cell>
          <cell r="P841">
            <v>46200</v>
          </cell>
          <cell r="Q841">
            <v>46500</v>
          </cell>
          <cell r="R841">
            <v>46500</v>
          </cell>
          <cell r="S841">
            <v>48700</v>
          </cell>
          <cell r="T841">
            <v>49000</v>
          </cell>
          <cell r="U841">
            <v>51300</v>
          </cell>
          <cell r="V841">
            <v>49300</v>
          </cell>
          <cell r="W841">
            <v>52200</v>
          </cell>
        </row>
        <row r="842">
          <cell r="A842">
            <v>45108</v>
          </cell>
          <cell r="B842">
            <v>49800</v>
          </cell>
          <cell r="C842">
            <v>49000</v>
          </cell>
          <cell r="D842">
            <v>50100</v>
          </cell>
          <cell r="E842">
            <v>46100</v>
          </cell>
          <cell r="F842">
            <v>49600</v>
          </cell>
          <cell r="G842" t="str">
            <v>-</v>
          </cell>
          <cell r="H842">
            <v>48000</v>
          </cell>
          <cell r="I842">
            <v>49800</v>
          </cell>
          <cell r="J842">
            <v>49700</v>
          </cell>
          <cell r="K842" t="str">
            <v>-</v>
          </cell>
          <cell r="L842">
            <v>51500</v>
          </cell>
          <cell r="M842">
            <v>48400</v>
          </cell>
          <cell r="N842">
            <v>49500</v>
          </cell>
          <cell r="O842">
            <v>47800</v>
          </cell>
          <cell r="P842">
            <v>46200</v>
          </cell>
          <cell r="Q842">
            <v>46000</v>
          </cell>
          <cell r="R842">
            <v>46500</v>
          </cell>
          <cell r="S842">
            <v>48600</v>
          </cell>
          <cell r="T842">
            <v>48700</v>
          </cell>
          <cell r="U842">
            <v>51300</v>
          </cell>
          <cell r="V842">
            <v>49300</v>
          </cell>
          <cell r="W842">
            <v>52200</v>
          </cell>
        </row>
        <row r="843">
          <cell r="A843">
            <v>45109</v>
          </cell>
          <cell r="B843" t="str">
            <v>H</v>
          </cell>
          <cell r="C843" t="str">
            <v>H</v>
          </cell>
          <cell r="D843" t="str">
            <v>H</v>
          </cell>
          <cell r="E843" t="str">
            <v>H</v>
          </cell>
          <cell r="F843" t="str">
            <v>H</v>
          </cell>
          <cell r="G843" t="str">
            <v>H</v>
          </cell>
          <cell r="H843" t="str">
            <v>H</v>
          </cell>
          <cell r="I843" t="str">
            <v>H</v>
          </cell>
          <cell r="J843" t="str">
            <v>H</v>
          </cell>
          <cell r="K843" t="str">
            <v>H</v>
          </cell>
          <cell r="L843" t="str">
            <v>H</v>
          </cell>
          <cell r="M843" t="str">
            <v>H</v>
          </cell>
          <cell r="N843" t="str">
            <v>H</v>
          </cell>
          <cell r="O843" t="str">
            <v>H</v>
          </cell>
          <cell r="P843" t="str">
            <v>H</v>
          </cell>
          <cell r="Q843" t="str">
            <v>H</v>
          </cell>
          <cell r="R843" t="str">
            <v>H</v>
          </cell>
          <cell r="S843" t="str">
            <v>H</v>
          </cell>
          <cell r="T843" t="str">
            <v>H</v>
          </cell>
          <cell r="U843" t="str">
            <v>H</v>
          </cell>
          <cell r="V843" t="str">
            <v>H</v>
          </cell>
          <cell r="W843" t="str">
            <v>H</v>
          </cell>
        </row>
        <row r="844">
          <cell r="A844">
            <v>45110</v>
          </cell>
          <cell r="B844">
            <v>49700</v>
          </cell>
          <cell r="C844">
            <v>49000</v>
          </cell>
          <cell r="D844">
            <v>50000</v>
          </cell>
          <cell r="E844">
            <v>45700</v>
          </cell>
          <cell r="F844">
            <v>49100</v>
          </cell>
          <cell r="G844" t="str">
            <v>-</v>
          </cell>
          <cell r="H844">
            <v>47500</v>
          </cell>
          <cell r="I844">
            <v>49600</v>
          </cell>
          <cell r="J844">
            <v>49700</v>
          </cell>
          <cell r="K844" t="str">
            <v>-</v>
          </cell>
          <cell r="L844">
            <v>51300</v>
          </cell>
          <cell r="M844">
            <v>48400</v>
          </cell>
          <cell r="N844">
            <v>49200</v>
          </cell>
          <cell r="O844">
            <v>47600</v>
          </cell>
          <cell r="P844">
            <v>45600</v>
          </cell>
          <cell r="Q844">
            <v>45900</v>
          </cell>
          <cell r="R844">
            <v>46000</v>
          </cell>
          <cell r="S844">
            <v>48200</v>
          </cell>
          <cell r="T844">
            <v>48600</v>
          </cell>
          <cell r="U844">
            <v>51000</v>
          </cell>
          <cell r="V844">
            <v>49200</v>
          </cell>
          <cell r="W844">
            <v>52000</v>
          </cell>
        </row>
        <row r="845">
          <cell r="A845">
            <v>45111</v>
          </cell>
          <cell r="B845">
            <v>48800</v>
          </cell>
          <cell r="C845">
            <v>48900</v>
          </cell>
          <cell r="D845">
            <v>49600</v>
          </cell>
          <cell r="E845">
            <v>45400</v>
          </cell>
          <cell r="F845">
            <v>49000</v>
          </cell>
          <cell r="G845" t="str">
            <v>-</v>
          </cell>
          <cell r="H845">
            <v>47000</v>
          </cell>
          <cell r="I845">
            <v>49300</v>
          </cell>
          <cell r="J845">
            <v>49500</v>
          </cell>
          <cell r="K845" t="str">
            <v>-</v>
          </cell>
          <cell r="L845">
            <v>51200</v>
          </cell>
          <cell r="M845">
            <v>48400</v>
          </cell>
          <cell r="N845">
            <v>49000</v>
          </cell>
          <cell r="O845">
            <v>47400</v>
          </cell>
          <cell r="P845">
            <v>45000</v>
          </cell>
          <cell r="Q845">
            <v>45700</v>
          </cell>
          <cell r="R845">
            <v>45700</v>
          </cell>
          <cell r="S845">
            <v>47600</v>
          </cell>
          <cell r="T845">
            <v>48500</v>
          </cell>
          <cell r="U845">
            <v>51000</v>
          </cell>
          <cell r="V845">
            <v>49200</v>
          </cell>
          <cell r="W845">
            <v>52000</v>
          </cell>
        </row>
        <row r="846">
          <cell r="A846">
            <v>45112</v>
          </cell>
          <cell r="B846">
            <v>48800</v>
          </cell>
          <cell r="C846">
            <v>48500</v>
          </cell>
          <cell r="D846">
            <v>49600</v>
          </cell>
          <cell r="E846">
            <v>45400</v>
          </cell>
          <cell r="F846">
            <v>48900</v>
          </cell>
          <cell r="G846" t="str">
            <v>-</v>
          </cell>
          <cell r="H846">
            <v>47000</v>
          </cell>
          <cell r="I846">
            <v>49300</v>
          </cell>
          <cell r="J846">
            <v>49500</v>
          </cell>
          <cell r="K846" t="str">
            <v>-</v>
          </cell>
          <cell r="L846">
            <v>51200</v>
          </cell>
          <cell r="M846">
            <v>48200</v>
          </cell>
          <cell r="N846">
            <v>48800</v>
          </cell>
          <cell r="O846">
            <v>47400</v>
          </cell>
          <cell r="P846">
            <v>45200</v>
          </cell>
          <cell r="Q846">
            <v>45300</v>
          </cell>
          <cell r="R846">
            <v>45700</v>
          </cell>
          <cell r="S846">
            <v>47600</v>
          </cell>
          <cell r="T846">
            <v>48000</v>
          </cell>
          <cell r="U846">
            <v>51000</v>
          </cell>
          <cell r="V846">
            <v>49000</v>
          </cell>
          <cell r="W846">
            <v>51900</v>
          </cell>
        </row>
        <row r="847">
          <cell r="A847">
            <v>45113</v>
          </cell>
          <cell r="B847">
            <v>48900</v>
          </cell>
          <cell r="C847">
            <v>48500</v>
          </cell>
          <cell r="D847">
            <v>49800</v>
          </cell>
          <cell r="E847">
            <v>45500</v>
          </cell>
          <cell r="F847">
            <v>48900</v>
          </cell>
          <cell r="G847" t="str">
            <v>-</v>
          </cell>
          <cell r="H847">
            <v>47000</v>
          </cell>
          <cell r="I847">
            <v>49400</v>
          </cell>
          <cell r="J847">
            <v>49500</v>
          </cell>
          <cell r="K847" t="str">
            <v>-</v>
          </cell>
          <cell r="L847">
            <v>51400</v>
          </cell>
          <cell r="M847">
            <v>47900</v>
          </cell>
          <cell r="N847">
            <v>49000</v>
          </cell>
          <cell r="O847">
            <v>47400</v>
          </cell>
          <cell r="P847">
            <v>45400</v>
          </cell>
          <cell r="Q847">
            <v>45500</v>
          </cell>
          <cell r="R847">
            <v>45700</v>
          </cell>
          <cell r="S847">
            <v>47700</v>
          </cell>
          <cell r="T847">
            <v>48300</v>
          </cell>
          <cell r="U847">
            <v>51000</v>
          </cell>
          <cell r="V847">
            <v>49000</v>
          </cell>
          <cell r="W847">
            <v>51900</v>
          </cell>
        </row>
        <row r="848">
          <cell r="A848">
            <v>45114</v>
          </cell>
          <cell r="B848">
            <v>48900</v>
          </cell>
          <cell r="C848">
            <v>48500</v>
          </cell>
          <cell r="D848">
            <v>49500</v>
          </cell>
          <cell r="E848">
            <v>45300</v>
          </cell>
          <cell r="F848">
            <v>48900</v>
          </cell>
          <cell r="G848" t="str">
            <v>-</v>
          </cell>
          <cell r="H848">
            <v>47000</v>
          </cell>
          <cell r="I848">
            <v>49400</v>
          </cell>
          <cell r="J848">
            <v>49300</v>
          </cell>
          <cell r="K848" t="str">
            <v>-</v>
          </cell>
          <cell r="L848">
            <v>51300</v>
          </cell>
          <cell r="M848">
            <v>47600</v>
          </cell>
          <cell r="N848">
            <v>49000</v>
          </cell>
          <cell r="O848">
            <v>47000</v>
          </cell>
          <cell r="P848">
            <v>45000</v>
          </cell>
          <cell r="Q848">
            <v>45200</v>
          </cell>
          <cell r="R848">
            <v>45500</v>
          </cell>
          <cell r="S848">
            <v>47500</v>
          </cell>
          <cell r="T848">
            <v>48300</v>
          </cell>
          <cell r="U848">
            <v>51000</v>
          </cell>
          <cell r="V848">
            <v>49000</v>
          </cell>
          <cell r="W848">
            <v>51900</v>
          </cell>
        </row>
        <row r="849">
          <cell r="A849">
            <v>45115</v>
          </cell>
          <cell r="B849">
            <v>48500</v>
          </cell>
          <cell r="C849">
            <v>48500</v>
          </cell>
          <cell r="D849">
            <v>49400</v>
          </cell>
          <cell r="E849">
            <v>45100</v>
          </cell>
          <cell r="F849">
            <v>48900</v>
          </cell>
          <cell r="G849" t="str">
            <v>-</v>
          </cell>
          <cell r="H849">
            <v>47000</v>
          </cell>
          <cell r="I849">
            <v>49200</v>
          </cell>
          <cell r="J849">
            <v>49300</v>
          </cell>
          <cell r="K849" t="str">
            <v>-</v>
          </cell>
          <cell r="L849">
            <v>51000</v>
          </cell>
          <cell r="M849">
            <v>47600</v>
          </cell>
          <cell r="N849">
            <v>48800</v>
          </cell>
          <cell r="O849">
            <v>47000</v>
          </cell>
          <cell r="P849">
            <v>44600</v>
          </cell>
          <cell r="Q849">
            <v>45000</v>
          </cell>
          <cell r="R849">
            <v>45300</v>
          </cell>
          <cell r="S849">
            <v>47100</v>
          </cell>
          <cell r="T849">
            <v>48100</v>
          </cell>
          <cell r="U849">
            <v>51000</v>
          </cell>
          <cell r="V849">
            <v>48500</v>
          </cell>
          <cell r="W849">
            <v>51500</v>
          </cell>
        </row>
        <row r="850">
          <cell r="A850">
            <v>45116</v>
          </cell>
          <cell r="B850" t="str">
            <v>H</v>
          </cell>
          <cell r="C850" t="str">
            <v>H</v>
          </cell>
          <cell r="D850" t="str">
            <v>H</v>
          </cell>
          <cell r="E850" t="str">
            <v>H</v>
          </cell>
          <cell r="F850" t="str">
            <v>H</v>
          </cell>
          <cell r="G850" t="str">
            <v>H</v>
          </cell>
          <cell r="H850" t="str">
            <v>H</v>
          </cell>
          <cell r="I850" t="str">
            <v>H</v>
          </cell>
          <cell r="J850" t="str">
            <v>H</v>
          </cell>
          <cell r="K850" t="str">
            <v>H</v>
          </cell>
          <cell r="L850" t="str">
            <v>H</v>
          </cell>
          <cell r="M850" t="str">
            <v>H</v>
          </cell>
          <cell r="N850" t="str">
            <v>H</v>
          </cell>
          <cell r="O850" t="str">
            <v>H</v>
          </cell>
          <cell r="P850" t="str">
            <v>H</v>
          </cell>
          <cell r="Q850" t="str">
            <v>H</v>
          </cell>
          <cell r="R850" t="str">
            <v>H</v>
          </cell>
          <cell r="S850" t="str">
            <v>H</v>
          </cell>
          <cell r="T850" t="str">
            <v>H</v>
          </cell>
          <cell r="U850" t="str">
            <v>H</v>
          </cell>
          <cell r="V850" t="str">
            <v>H</v>
          </cell>
          <cell r="W850" t="str">
            <v>H</v>
          </cell>
        </row>
        <row r="851">
          <cell r="A851">
            <v>45117</v>
          </cell>
          <cell r="B851">
            <v>48100</v>
          </cell>
          <cell r="C851">
            <v>48300</v>
          </cell>
          <cell r="D851">
            <v>48900</v>
          </cell>
          <cell r="E851">
            <v>44900</v>
          </cell>
          <cell r="F851">
            <v>48900</v>
          </cell>
          <cell r="G851" t="str">
            <v>-</v>
          </cell>
          <cell r="H851">
            <v>46500</v>
          </cell>
          <cell r="I851">
            <v>48800</v>
          </cell>
          <cell r="J851">
            <v>48700</v>
          </cell>
          <cell r="K851" t="str">
            <v>-</v>
          </cell>
          <cell r="L851">
            <v>50700</v>
          </cell>
          <cell r="M851">
            <v>47100</v>
          </cell>
          <cell r="N851">
            <v>48800</v>
          </cell>
          <cell r="O851">
            <v>47000</v>
          </cell>
          <cell r="P851">
            <v>44400</v>
          </cell>
          <cell r="Q851">
            <v>44800</v>
          </cell>
          <cell r="R851">
            <v>44800</v>
          </cell>
          <cell r="S851">
            <v>47000</v>
          </cell>
          <cell r="T851">
            <v>47500</v>
          </cell>
          <cell r="U851">
            <v>50800</v>
          </cell>
          <cell r="V851">
            <v>48200</v>
          </cell>
          <cell r="W851">
            <v>51200</v>
          </cell>
        </row>
        <row r="852">
          <cell r="A852">
            <v>45118</v>
          </cell>
          <cell r="B852">
            <v>47600</v>
          </cell>
          <cell r="C852">
            <v>48200</v>
          </cell>
          <cell r="D852">
            <v>48900</v>
          </cell>
          <cell r="E852">
            <v>44500</v>
          </cell>
          <cell r="F852">
            <v>48700</v>
          </cell>
          <cell r="G852" t="str">
            <v>-</v>
          </cell>
          <cell r="H852">
            <v>46500</v>
          </cell>
          <cell r="I852">
            <v>48600</v>
          </cell>
          <cell r="J852">
            <v>48200</v>
          </cell>
          <cell r="K852" t="str">
            <v>-</v>
          </cell>
          <cell r="L852">
            <v>50400</v>
          </cell>
          <cell r="M852">
            <v>47100</v>
          </cell>
          <cell r="N852">
            <v>48500</v>
          </cell>
          <cell r="O852">
            <v>46600</v>
          </cell>
          <cell r="P852">
            <v>44000</v>
          </cell>
          <cell r="Q852">
            <v>44100</v>
          </cell>
          <cell r="R852">
            <v>44500</v>
          </cell>
          <cell r="S852">
            <v>46500</v>
          </cell>
          <cell r="T852">
            <v>47000</v>
          </cell>
          <cell r="U852">
            <v>50800</v>
          </cell>
          <cell r="V852">
            <v>48200</v>
          </cell>
          <cell r="W852">
            <v>51200</v>
          </cell>
        </row>
        <row r="853">
          <cell r="A853">
            <v>45119</v>
          </cell>
          <cell r="B853">
            <v>47700</v>
          </cell>
          <cell r="C853">
            <v>48200</v>
          </cell>
          <cell r="D853">
            <v>48900</v>
          </cell>
          <cell r="E853">
            <v>44400</v>
          </cell>
          <cell r="F853">
            <v>48700</v>
          </cell>
          <cell r="G853" t="str">
            <v>-</v>
          </cell>
          <cell r="H853">
            <v>46500</v>
          </cell>
          <cell r="I853">
            <v>48500</v>
          </cell>
          <cell r="J853">
            <v>48200</v>
          </cell>
          <cell r="K853" t="str">
            <v>-</v>
          </cell>
          <cell r="L853">
            <v>50400</v>
          </cell>
          <cell r="M853">
            <v>47100</v>
          </cell>
          <cell r="N853">
            <v>48500</v>
          </cell>
          <cell r="O853">
            <v>46600</v>
          </cell>
          <cell r="P853">
            <v>44100</v>
          </cell>
          <cell r="Q853">
            <v>44300</v>
          </cell>
          <cell r="R853">
            <v>44500</v>
          </cell>
          <cell r="S853">
            <v>46500</v>
          </cell>
          <cell r="T853">
            <v>47000</v>
          </cell>
          <cell r="U853">
            <v>50800</v>
          </cell>
          <cell r="V853">
            <v>48000</v>
          </cell>
          <cell r="W853">
            <v>50800</v>
          </cell>
        </row>
        <row r="854">
          <cell r="A854">
            <v>45120</v>
          </cell>
          <cell r="B854">
            <v>47600</v>
          </cell>
          <cell r="C854">
            <v>48000</v>
          </cell>
          <cell r="D854">
            <v>48900</v>
          </cell>
          <cell r="E854">
            <v>44200</v>
          </cell>
          <cell r="F854">
            <v>48700</v>
          </cell>
          <cell r="G854" t="str">
            <v>-</v>
          </cell>
          <cell r="H854">
            <v>46500</v>
          </cell>
          <cell r="I854">
            <v>48300</v>
          </cell>
          <cell r="J854">
            <v>48200</v>
          </cell>
          <cell r="K854" t="str">
            <v>-</v>
          </cell>
          <cell r="L854">
            <v>50300</v>
          </cell>
          <cell r="M854">
            <v>47100</v>
          </cell>
          <cell r="N854">
            <v>48500</v>
          </cell>
          <cell r="O854">
            <v>46500</v>
          </cell>
          <cell r="P854">
            <v>43900</v>
          </cell>
          <cell r="Q854">
            <v>44000</v>
          </cell>
          <cell r="R854">
            <v>44500</v>
          </cell>
          <cell r="S854">
            <v>46300</v>
          </cell>
          <cell r="T854">
            <v>46800</v>
          </cell>
          <cell r="U854">
            <v>50800</v>
          </cell>
          <cell r="V854">
            <v>47900</v>
          </cell>
          <cell r="W854">
            <v>50700</v>
          </cell>
        </row>
        <row r="855">
          <cell r="A855">
            <v>45121</v>
          </cell>
          <cell r="B855">
            <v>47300</v>
          </cell>
          <cell r="C855">
            <v>48000</v>
          </cell>
          <cell r="D855">
            <v>48200</v>
          </cell>
          <cell r="E855">
            <v>43900</v>
          </cell>
          <cell r="F855">
            <v>48700</v>
          </cell>
          <cell r="G855" t="str">
            <v>-</v>
          </cell>
          <cell r="H855">
            <v>46500</v>
          </cell>
          <cell r="I855">
            <v>48000</v>
          </cell>
          <cell r="J855">
            <v>48000</v>
          </cell>
          <cell r="K855" t="str">
            <v>-</v>
          </cell>
          <cell r="L855">
            <v>50000</v>
          </cell>
          <cell r="M855">
            <v>47100</v>
          </cell>
          <cell r="N855">
            <v>48500</v>
          </cell>
          <cell r="O855">
            <v>46000</v>
          </cell>
          <cell r="P855">
            <v>43600</v>
          </cell>
          <cell r="Q855">
            <v>43600</v>
          </cell>
          <cell r="R855">
            <v>44000</v>
          </cell>
          <cell r="S855">
            <v>45900</v>
          </cell>
          <cell r="T855">
            <v>46200</v>
          </cell>
          <cell r="U855">
            <v>50000</v>
          </cell>
          <cell r="V855">
            <v>47900</v>
          </cell>
          <cell r="W855">
            <v>50700</v>
          </cell>
        </row>
        <row r="856">
          <cell r="A856">
            <v>45122</v>
          </cell>
          <cell r="B856">
            <v>46900</v>
          </cell>
          <cell r="C856">
            <v>48000</v>
          </cell>
          <cell r="D856">
            <v>47900</v>
          </cell>
          <cell r="E856">
            <v>43800</v>
          </cell>
          <cell r="F856">
            <v>48200</v>
          </cell>
          <cell r="G856" t="str">
            <v>-</v>
          </cell>
          <cell r="H856">
            <v>46500</v>
          </cell>
          <cell r="I856">
            <v>47500</v>
          </cell>
          <cell r="J856">
            <v>47700</v>
          </cell>
          <cell r="K856" t="str">
            <v>-</v>
          </cell>
          <cell r="L856">
            <v>49600</v>
          </cell>
          <cell r="M856">
            <v>46800</v>
          </cell>
          <cell r="N856">
            <v>48200</v>
          </cell>
          <cell r="O856">
            <v>45700</v>
          </cell>
          <cell r="P856">
            <v>43500</v>
          </cell>
          <cell r="Q856">
            <v>43500</v>
          </cell>
          <cell r="R856">
            <v>44000</v>
          </cell>
          <cell r="S856">
            <v>45900</v>
          </cell>
          <cell r="T856">
            <v>46100</v>
          </cell>
          <cell r="U856">
            <v>50000</v>
          </cell>
          <cell r="V856">
            <v>47600</v>
          </cell>
          <cell r="W856">
            <v>50500</v>
          </cell>
        </row>
        <row r="857">
          <cell r="A857">
            <v>45123</v>
          </cell>
          <cell r="B857" t="str">
            <v>H</v>
          </cell>
          <cell r="C857" t="str">
            <v>H</v>
          </cell>
          <cell r="D857" t="str">
            <v>H</v>
          </cell>
          <cell r="E857" t="str">
            <v>H</v>
          </cell>
          <cell r="F857" t="str">
            <v>H</v>
          </cell>
          <cell r="G857" t="str">
            <v>H</v>
          </cell>
          <cell r="H857" t="str">
            <v>H</v>
          </cell>
          <cell r="I857" t="str">
            <v>H</v>
          </cell>
          <cell r="J857" t="str">
            <v>H</v>
          </cell>
          <cell r="K857" t="str">
            <v>H</v>
          </cell>
          <cell r="L857" t="str">
            <v>H</v>
          </cell>
          <cell r="M857" t="str">
            <v>H</v>
          </cell>
          <cell r="N857" t="str">
            <v>H</v>
          </cell>
          <cell r="O857" t="str">
            <v>H</v>
          </cell>
          <cell r="P857" t="str">
            <v>H</v>
          </cell>
          <cell r="Q857" t="str">
            <v>H</v>
          </cell>
          <cell r="R857" t="str">
            <v>H</v>
          </cell>
          <cell r="S857" t="str">
            <v>H</v>
          </cell>
          <cell r="T857" t="str">
            <v>H</v>
          </cell>
          <cell r="U857" t="str">
            <v>H</v>
          </cell>
          <cell r="V857" t="str">
            <v>H</v>
          </cell>
          <cell r="W857" t="str">
            <v>H</v>
          </cell>
        </row>
        <row r="858">
          <cell r="A858">
            <v>45124</v>
          </cell>
          <cell r="B858">
            <v>47600</v>
          </cell>
          <cell r="C858">
            <v>48000</v>
          </cell>
          <cell r="D858">
            <v>47900</v>
          </cell>
          <cell r="E858">
            <v>43700</v>
          </cell>
          <cell r="F858">
            <v>47700</v>
          </cell>
          <cell r="G858" t="str">
            <v>-</v>
          </cell>
          <cell r="H858">
            <v>46500</v>
          </cell>
          <cell r="I858">
            <v>47300</v>
          </cell>
          <cell r="J858">
            <v>47700</v>
          </cell>
          <cell r="K858" t="str">
            <v>-</v>
          </cell>
          <cell r="L858">
            <v>49500</v>
          </cell>
          <cell r="M858">
            <v>46800</v>
          </cell>
          <cell r="N858">
            <v>47700</v>
          </cell>
          <cell r="O858">
            <v>45500</v>
          </cell>
          <cell r="P858">
            <v>43300</v>
          </cell>
          <cell r="Q858">
            <v>43200</v>
          </cell>
          <cell r="R858">
            <v>43800</v>
          </cell>
          <cell r="S858">
            <v>45800</v>
          </cell>
          <cell r="T858">
            <v>45500</v>
          </cell>
          <cell r="U858">
            <v>50000</v>
          </cell>
          <cell r="V858">
            <v>47400</v>
          </cell>
          <cell r="W858">
            <v>50300</v>
          </cell>
        </row>
        <row r="859">
          <cell r="A859">
            <v>45125</v>
          </cell>
          <cell r="B859">
            <v>47800</v>
          </cell>
          <cell r="C859">
            <v>48000</v>
          </cell>
          <cell r="D859">
            <v>48200</v>
          </cell>
          <cell r="E859">
            <v>43700</v>
          </cell>
          <cell r="F859">
            <v>47900</v>
          </cell>
          <cell r="G859" t="str">
            <v>-</v>
          </cell>
          <cell r="H859">
            <v>46500</v>
          </cell>
          <cell r="I859">
            <v>47400</v>
          </cell>
          <cell r="J859">
            <v>47700</v>
          </cell>
          <cell r="K859" t="str">
            <v>-</v>
          </cell>
          <cell r="L859">
            <v>49600</v>
          </cell>
          <cell r="M859">
            <v>46800</v>
          </cell>
          <cell r="N859">
            <v>47800</v>
          </cell>
          <cell r="O859">
            <v>45300</v>
          </cell>
          <cell r="P859">
            <v>43500</v>
          </cell>
          <cell r="Q859">
            <v>43500</v>
          </cell>
          <cell r="R859">
            <v>44200</v>
          </cell>
          <cell r="S859">
            <v>45800</v>
          </cell>
          <cell r="T859">
            <v>45800</v>
          </cell>
          <cell r="U859">
            <v>50000</v>
          </cell>
          <cell r="V859">
            <v>47400</v>
          </cell>
          <cell r="W859">
            <v>50300</v>
          </cell>
        </row>
        <row r="860">
          <cell r="A860">
            <v>45126</v>
          </cell>
          <cell r="B860">
            <v>47800</v>
          </cell>
          <cell r="C860">
            <v>48000</v>
          </cell>
          <cell r="D860">
            <v>48200</v>
          </cell>
          <cell r="E860">
            <v>43600</v>
          </cell>
          <cell r="F860">
            <v>47900</v>
          </cell>
          <cell r="G860" t="str">
            <v>-</v>
          </cell>
          <cell r="H860">
            <v>46500</v>
          </cell>
          <cell r="I860">
            <v>47400</v>
          </cell>
          <cell r="J860">
            <v>47700</v>
          </cell>
          <cell r="K860" t="str">
            <v>-</v>
          </cell>
          <cell r="L860">
            <v>49500</v>
          </cell>
          <cell r="M860">
            <v>46800</v>
          </cell>
          <cell r="N860">
            <v>47700</v>
          </cell>
          <cell r="O860">
            <v>45300</v>
          </cell>
          <cell r="P860">
            <v>43200</v>
          </cell>
          <cell r="Q860">
            <v>43100</v>
          </cell>
          <cell r="R860">
            <v>44000</v>
          </cell>
          <cell r="S860">
            <v>45700</v>
          </cell>
          <cell r="T860">
            <v>45800</v>
          </cell>
          <cell r="U860">
            <v>50000</v>
          </cell>
          <cell r="V860">
            <v>47700</v>
          </cell>
          <cell r="W860">
            <v>50300</v>
          </cell>
        </row>
        <row r="861">
          <cell r="A861">
            <v>45127</v>
          </cell>
          <cell r="B861">
            <v>47600</v>
          </cell>
          <cell r="C861">
            <v>48000</v>
          </cell>
          <cell r="D861">
            <v>47800</v>
          </cell>
          <cell r="E861">
            <v>43400</v>
          </cell>
          <cell r="F861">
            <v>47900</v>
          </cell>
          <cell r="G861" t="str">
            <v>-</v>
          </cell>
          <cell r="H861">
            <v>46000</v>
          </cell>
          <cell r="I861">
            <v>47000</v>
          </cell>
          <cell r="J861">
            <v>47500</v>
          </cell>
          <cell r="K861" t="str">
            <v>-</v>
          </cell>
          <cell r="L861">
            <v>49200</v>
          </cell>
          <cell r="M861">
            <v>46800</v>
          </cell>
          <cell r="N861">
            <v>47500</v>
          </cell>
          <cell r="O861">
            <v>44900</v>
          </cell>
          <cell r="P861">
            <v>42800</v>
          </cell>
          <cell r="Q861">
            <v>42800</v>
          </cell>
          <cell r="R861">
            <v>44000</v>
          </cell>
          <cell r="S861">
            <v>45400</v>
          </cell>
          <cell r="T861">
            <v>45700</v>
          </cell>
          <cell r="U861">
            <v>50000</v>
          </cell>
          <cell r="V861">
            <v>47700</v>
          </cell>
          <cell r="W861">
            <v>50300</v>
          </cell>
        </row>
        <row r="862">
          <cell r="A862">
            <v>45128</v>
          </cell>
          <cell r="B862">
            <v>47000</v>
          </cell>
          <cell r="C862">
            <v>47800</v>
          </cell>
          <cell r="D862">
            <v>47800</v>
          </cell>
          <cell r="E862">
            <v>43400</v>
          </cell>
          <cell r="F862">
            <v>47800</v>
          </cell>
          <cell r="G862" t="str">
            <v>-</v>
          </cell>
          <cell r="H862">
            <v>46000</v>
          </cell>
          <cell r="I862">
            <v>47000</v>
          </cell>
          <cell r="J862">
            <v>47400</v>
          </cell>
          <cell r="K862" t="str">
            <v>-</v>
          </cell>
          <cell r="L862">
            <v>49200</v>
          </cell>
          <cell r="M862">
            <v>46300</v>
          </cell>
          <cell r="N862">
            <v>47300</v>
          </cell>
          <cell r="O862">
            <v>45000</v>
          </cell>
          <cell r="P862">
            <v>43000</v>
          </cell>
          <cell r="Q862">
            <v>43000</v>
          </cell>
          <cell r="R862">
            <v>43700</v>
          </cell>
          <cell r="S862">
            <v>45400</v>
          </cell>
          <cell r="T862">
            <v>46000</v>
          </cell>
          <cell r="U862">
            <v>50000</v>
          </cell>
          <cell r="V862">
            <v>47700</v>
          </cell>
          <cell r="W862">
            <v>50300</v>
          </cell>
        </row>
        <row r="863">
          <cell r="A863">
            <v>45129</v>
          </cell>
          <cell r="B863">
            <v>46700</v>
          </cell>
          <cell r="C863">
            <v>47800</v>
          </cell>
          <cell r="D863">
            <v>47700</v>
          </cell>
          <cell r="E863">
            <v>43200</v>
          </cell>
          <cell r="F863">
            <v>47800</v>
          </cell>
          <cell r="G863" t="str">
            <v>-</v>
          </cell>
          <cell r="H863">
            <v>45500</v>
          </cell>
          <cell r="I863">
            <v>46800</v>
          </cell>
          <cell r="J863">
            <v>47400</v>
          </cell>
          <cell r="K863" t="str">
            <v>-</v>
          </cell>
          <cell r="L863">
            <v>49000</v>
          </cell>
          <cell r="M863">
            <v>46300</v>
          </cell>
          <cell r="N863">
            <v>47100</v>
          </cell>
          <cell r="O863">
            <v>45000</v>
          </cell>
          <cell r="P863">
            <v>42800</v>
          </cell>
          <cell r="Q863">
            <v>42800</v>
          </cell>
          <cell r="R863">
            <v>43500</v>
          </cell>
          <cell r="S863">
            <v>45200</v>
          </cell>
          <cell r="T863">
            <v>45800</v>
          </cell>
          <cell r="U863">
            <v>49800</v>
          </cell>
          <cell r="V863">
            <v>47700</v>
          </cell>
          <cell r="W863">
            <v>50300</v>
          </cell>
        </row>
        <row r="864">
          <cell r="A864">
            <v>45130</v>
          </cell>
          <cell r="B864" t="str">
            <v>H</v>
          </cell>
          <cell r="C864" t="str">
            <v>H</v>
          </cell>
          <cell r="D864" t="str">
            <v>H</v>
          </cell>
          <cell r="E864" t="str">
            <v>H</v>
          </cell>
          <cell r="F864" t="str">
            <v>H</v>
          </cell>
          <cell r="G864" t="str">
            <v>H</v>
          </cell>
          <cell r="H864" t="str">
            <v>H</v>
          </cell>
          <cell r="I864" t="str">
            <v>H</v>
          </cell>
          <cell r="J864" t="str">
            <v>H</v>
          </cell>
          <cell r="K864" t="str">
            <v>H</v>
          </cell>
          <cell r="L864" t="str">
            <v>H</v>
          </cell>
          <cell r="M864" t="str">
            <v>H</v>
          </cell>
          <cell r="N864" t="str">
            <v>H</v>
          </cell>
          <cell r="O864" t="str">
            <v>H</v>
          </cell>
          <cell r="P864" t="str">
            <v>H</v>
          </cell>
          <cell r="Q864" t="str">
            <v>H</v>
          </cell>
          <cell r="R864" t="str">
            <v>H</v>
          </cell>
          <cell r="S864" t="str">
            <v>H</v>
          </cell>
          <cell r="T864" t="str">
            <v>H</v>
          </cell>
          <cell r="U864" t="str">
            <v>H</v>
          </cell>
          <cell r="V864" t="str">
            <v>H</v>
          </cell>
          <cell r="W864" t="str">
            <v>H</v>
          </cell>
        </row>
        <row r="865">
          <cell r="A865">
            <v>45131</v>
          </cell>
          <cell r="B865">
            <v>46700</v>
          </cell>
          <cell r="C865">
            <v>47800</v>
          </cell>
          <cell r="D865">
            <v>47300</v>
          </cell>
          <cell r="E865">
            <v>43000</v>
          </cell>
          <cell r="F865">
            <v>47800</v>
          </cell>
          <cell r="G865" t="str">
            <v>-</v>
          </cell>
          <cell r="H865">
            <v>45500</v>
          </cell>
          <cell r="I865">
            <v>46400</v>
          </cell>
          <cell r="J865">
            <v>47300</v>
          </cell>
          <cell r="K865" t="str">
            <v>-</v>
          </cell>
          <cell r="L865">
            <v>48800</v>
          </cell>
          <cell r="M865">
            <v>46300</v>
          </cell>
          <cell r="N865">
            <v>46600</v>
          </cell>
          <cell r="O865">
            <v>44500</v>
          </cell>
          <cell r="P865">
            <v>42700</v>
          </cell>
          <cell r="Q865">
            <v>42700</v>
          </cell>
          <cell r="R865">
            <v>43300</v>
          </cell>
          <cell r="S865">
            <v>45000</v>
          </cell>
          <cell r="T865">
            <v>45500</v>
          </cell>
          <cell r="U865">
            <v>49800</v>
          </cell>
          <cell r="V865">
            <v>47500</v>
          </cell>
          <cell r="W865">
            <v>50300</v>
          </cell>
        </row>
        <row r="866">
          <cell r="A866">
            <v>45132</v>
          </cell>
          <cell r="B866">
            <v>46700</v>
          </cell>
          <cell r="C866">
            <v>47500</v>
          </cell>
          <cell r="D866">
            <v>47300</v>
          </cell>
          <cell r="E866">
            <v>42700</v>
          </cell>
          <cell r="F866">
            <v>47800</v>
          </cell>
          <cell r="G866" t="str">
            <v>-</v>
          </cell>
          <cell r="H866">
            <v>45500</v>
          </cell>
          <cell r="I866">
            <v>46200</v>
          </cell>
          <cell r="J866">
            <v>47000</v>
          </cell>
          <cell r="K866" t="str">
            <v>-</v>
          </cell>
          <cell r="L866">
            <v>48400</v>
          </cell>
          <cell r="M866">
            <v>46300</v>
          </cell>
          <cell r="N866">
            <v>46100</v>
          </cell>
          <cell r="O866">
            <v>44500</v>
          </cell>
          <cell r="P866">
            <v>42500</v>
          </cell>
          <cell r="Q866">
            <v>42500</v>
          </cell>
          <cell r="R866">
            <v>43300</v>
          </cell>
          <cell r="S866">
            <v>44700</v>
          </cell>
          <cell r="T866">
            <v>45500</v>
          </cell>
          <cell r="U866">
            <v>49800</v>
          </cell>
          <cell r="V866">
            <v>47500</v>
          </cell>
          <cell r="W866">
            <v>50300</v>
          </cell>
        </row>
        <row r="867">
          <cell r="A867">
            <v>45133</v>
          </cell>
          <cell r="B867">
            <v>46500</v>
          </cell>
          <cell r="C867">
            <v>47500</v>
          </cell>
          <cell r="D867">
            <v>47300</v>
          </cell>
          <cell r="E867">
            <v>42900</v>
          </cell>
          <cell r="F867">
            <v>47600</v>
          </cell>
          <cell r="G867" t="str">
            <v>-</v>
          </cell>
          <cell r="H867">
            <v>45500</v>
          </cell>
          <cell r="I867">
            <v>46200</v>
          </cell>
          <cell r="J867">
            <v>47000</v>
          </cell>
          <cell r="K867" t="str">
            <v>-</v>
          </cell>
          <cell r="L867">
            <v>48400</v>
          </cell>
          <cell r="M867">
            <v>46000</v>
          </cell>
          <cell r="N867">
            <v>46200</v>
          </cell>
          <cell r="O867">
            <v>44500</v>
          </cell>
          <cell r="P867">
            <v>42800</v>
          </cell>
          <cell r="Q867">
            <v>42800</v>
          </cell>
          <cell r="R867">
            <v>43300</v>
          </cell>
          <cell r="S867">
            <v>44900</v>
          </cell>
          <cell r="T867">
            <v>45800</v>
          </cell>
          <cell r="U867">
            <v>49800</v>
          </cell>
          <cell r="V867">
            <v>47300</v>
          </cell>
          <cell r="W867">
            <v>50100</v>
          </cell>
        </row>
        <row r="868">
          <cell r="A868">
            <v>45134</v>
          </cell>
          <cell r="B868">
            <v>46500</v>
          </cell>
          <cell r="C868">
            <v>47500</v>
          </cell>
          <cell r="D868">
            <v>47200</v>
          </cell>
          <cell r="E868">
            <v>42700</v>
          </cell>
          <cell r="F868">
            <v>47600</v>
          </cell>
          <cell r="G868" t="str">
            <v>-</v>
          </cell>
          <cell r="H868">
            <v>45000</v>
          </cell>
          <cell r="I868">
            <v>46000</v>
          </cell>
          <cell r="J868">
            <v>47000</v>
          </cell>
          <cell r="K868" t="str">
            <v>-</v>
          </cell>
          <cell r="L868">
            <v>48200</v>
          </cell>
          <cell r="M868">
            <v>46000</v>
          </cell>
          <cell r="N868">
            <v>45800</v>
          </cell>
          <cell r="O868">
            <v>44500</v>
          </cell>
          <cell r="P868">
            <v>42700</v>
          </cell>
          <cell r="Q868">
            <v>42700</v>
          </cell>
          <cell r="R868">
            <v>43500</v>
          </cell>
          <cell r="S868">
            <v>44700</v>
          </cell>
          <cell r="T868">
            <v>45600</v>
          </cell>
          <cell r="U868">
            <v>49800</v>
          </cell>
          <cell r="V868">
            <v>47300</v>
          </cell>
          <cell r="W868">
            <v>49800</v>
          </cell>
        </row>
        <row r="869">
          <cell r="A869">
            <v>45135</v>
          </cell>
          <cell r="B869">
            <v>46900</v>
          </cell>
          <cell r="C869">
            <v>47500</v>
          </cell>
          <cell r="D869">
            <v>47200</v>
          </cell>
          <cell r="E869">
            <v>43200</v>
          </cell>
          <cell r="F869">
            <v>47600</v>
          </cell>
          <cell r="G869" t="str">
            <v>-</v>
          </cell>
          <cell r="H869">
            <v>45000</v>
          </cell>
          <cell r="I869">
            <v>46400</v>
          </cell>
          <cell r="J869">
            <v>47000</v>
          </cell>
          <cell r="K869" t="str">
            <v>-</v>
          </cell>
          <cell r="L869">
            <v>48200</v>
          </cell>
          <cell r="M869">
            <v>46000</v>
          </cell>
          <cell r="N869">
            <v>45800</v>
          </cell>
          <cell r="O869">
            <v>44900</v>
          </cell>
          <cell r="P869">
            <v>43200</v>
          </cell>
          <cell r="Q869">
            <v>43400</v>
          </cell>
          <cell r="R869">
            <v>43500</v>
          </cell>
          <cell r="S869">
            <v>45100</v>
          </cell>
          <cell r="T869">
            <v>46000</v>
          </cell>
          <cell r="U869">
            <v>49800</v>
          </cell>
          <cell r="V869">
            <v>47200</v>
          </cell>
          <cell r="W869">
            <v>49800</v>
          </cell>
        </row>
        <row r="870">
          <cell r="A870">
            <v>45136</v>
          </cell>
          <cell r="B870">
            <v>47000</v>
          </cell>
          <cell r="C870">
            <v>47500</v>
          </cell>
          <cell r="D870">
            <v>47400</v>
          </cell>
          <cell r="E870">
            <v>43800</v>
          </cell>
          <cell r="F870">
            <v>47800</v>
          </cell>
          <cell r="G870" t="str">
            <v>-</v>
          </cell>
          <cell r="H870">
            <v>45500</v>
          </cell>
          <cell r="I870">
            <v>46700</v>
          </cell>
          <cell r="J870">
            <v>47000</v>
          </cell>
          <cell r="K870" t="str">
            <v>-</v>
          </cell>
          <cell r="L870">
            <v>48700</v>
          </cell>
          <cell r="M870">
            <v>46000</v>
          </cell>
          <cell r="N870">
            <v>46200</v>
          </cell>
          <cell r="O870">
            <v>44900</v>
          </cell>
          <cell r="P870">
            <v>43500</v>
          </cell>
          <cell r="Q870">
            <v>43800</v>
          </cell>
          <cell r="R870">
            <v>43800</v>
          </cell>
          <cell r="S870">
            <v>45900</v>
          </cell>
          <cell r="T870">
            <v>46500</v>
          </cell>
          <cell r="U870">
            <v>49800</v>
          </cell>
          <cell r="V870">
            <v>47500</v>
          </cell>
          <cell r="W870">
            <v>49800</v>
          </cell>
        </row>
        <row r="871">
          <cell r="A871">
            <v>45137</v>
          </cell>
          <cell r="B871" t="str">
            <v>H</v>
          </cell>
          <cell r="C871" t="str">
            <v>H</v>
          </cell>
          <cell r="D871" t="str">
            <v>H</v>
          </cell>
          <cell r="E871" t="str">
            <v>H</v>
          </cell>
          <cell r="F871" t="str">
            <v>H</v>
          </cell>
          <cell r="G871" t="str">
            <v>H</v>
          </cell>
          <cell r="H871" t="str">
            <v>H</v>
          </cell>
          <cell r="I871" t="str">
            <v>H</v>
          </cell>
          <cell r="J871" t="str">
            <v>H</v>
          </cell>
          <cell r="K871" t="str">
            <v>H</v>
          </cell>
          <cell r="L871" t="str">
            <v>H</v>
          </cell>
          <cell r="M871" t="str">
            <v>H</v>
          </cell>
          <cell r="N871" t="str">
            <v>H</v>
          </cell>
          <cell r="O871" t="str">
            <v>H</v>
          </cell>
          <cell r="P871" t="str">
            <v>H</v>
          </cell>
          <cell r="Q871" t="str">
            <v>H</v>
          </cell>
          <cell r="R871" t="str">
            <v>H</v>
          </cell>
          <cell r="S871" t="str">
            <v>H</v>
          </cell>
          <cell r="T871" t="str">
            <v>H</v>
          </cell>
          <cell r="U871" t="str">
            <v>H</v>
          </cell>
          <cell r="V871" t="str">
            <v>H</v>
          </cell>
          <cell r="W871" t="str">
            <v>H</v>
          </cell>
        </row>
        <row r="872">
          <cell r="A872">
            <v>45138</v>
          </cell>
          <cell r="B872">
            <v>47000</v>
          </cell>
          <cell r="C872">
            <v>47500</v>
          </cell>
          <cell r="D872">
            <v>47300</v>
          </cell>
          <cell r="E872">
            <v>43800</v>
          </cell>
          <cell r="F872">
            <v>47800</v>
          </cell>
          <cell r="G872" t="str">
            <v>-</v>
          </cell>
          <cell r="H872">
            <v>45500</v>
          </cell>
          <cell r="I872">
            <v>46600</v>
          </cell>
          <cell r="J872">
            <v>47000</v>
          </cell>
          <cell r="K872" t="str">
            <v>-</v>
          </cell>
          <cell r="L872">
            <v>48700</v>
          </cell>
          <cell r="M872">
            <v>46000</v>
          </cell>
          <cell r="N872">
            <v>46100</v>
          </cell>
          <cell r="O872">
            <v>44900</v>
          </cell>
          <cell r="P872">
            <v>43700</v>
          </cell>
          <cell r="Q872">
            <v>44000</v>
          </cell>
          <cell r="R872">
            <v>44000</v>
          </cell>
          <cell r="S872">
            <v>45800</v>
          </cell>
          <cell r="T872">
            <v>46500</v>
          </cell>
          <cell r="U872">
            <v>49800</v>
          </cell>
          <cell r="V872">
            <v>47500</v>
          </cell>
          <cell r="W872">
            <v>49800</v>
          </cell>
        </row>
        <row r="873">
          <cell r="A873">
            <v>45139</v>
          </cell>
          <cell r="B873">
            <v>47700</v>
          </cell>
          <cell r="C873">
            <v>48000</v>
          </cell>
          <cell r="D873">
            <v>47800</v>
          </cell>
          <cell r="E873">
            <v>44400</v>
          </cell>
          <cell r="F873">
            <v>48200</v>
          </cell>
          <cell r="G873" t="str">
            <v>-</v>
          </cell>
          <cell r="H873">
            <v>46000</v>
          </cell>
          <cell r="I873">
            <v>47400</v>
          </cell>
          <cell r="J873">
            <v>47500</v>
          </cell>
          <cell r="K873" t="str">
            <v>-</v>
          </cell>
          <cell r="L873">
            <v>49400</v>
          </cell>
          <cell r="M873">
            <v>47100</v>
          </cell>
          <cell r="N873">
            <v>46500</v>
          </cell>
          <cell r="O873">
            <v>45500</v>
          </cell>
          <cell r="P873">
            <v>44500</v>
          </cell>
          <cell r="Q873">
            <v>44700</v>
          </cell>
          <cell r="R873">
            <v>45000</v>
          </cell>
          <cell r="S873">
            <v>46600</v>
          </cell>
          <cell r="T873">
            <v>47000</v>
          </cell>
          <cell r="U873">
            <v>50300</v>
          </cell>
          <cell r="V873">
            <v>48400</v>
          </cell>
          <cell r="W873">
            <v>50200</v>
          </cell>
        </row>
        <row r="874">
          <cell r="A874">
            <v>45140</v>
          </cell>
          <cell r="B874">
            <v>48000</v>
          </cell>
          <cell r="C874">
            <v>48000</v>
          </cell>
          <cell r="D874">
            <v>48000</v>
          </cell>
          <cell r="E874">
            <v>44700</v>
          </cell>
          <cell r="F874">
            <v>48300</v>
          </cell>
          <cell r="G874" t="str">
            <v>-</v>
          </cell>
          <cell r="H874">
            <v>46500</v>
          </cell>
          <cell r="I874">
            <v>47800</v>
          </cell>
          <cell r="J874">
            <v>47500</v>
          </cell>
          <cell r="K874" t="str">
            <v>-</v>
          </cell>
          <cell r="L874">
            <v>49700</v>
          </cell>
          <cell r="M874">
            <v>47400</v>
          </cell>
          <cell r="N874">
            <v>46800</v>
          </cell>
          <cell r="O874">
            <v>46200</v>
          </cell>
          <cell r="P874">
            <v>44700</v>
          </cell>
          <cell r="Q874">
            <v>44700</v>
          </cell>
          <cell r="R874">
            <v>45200</v>
          </cell>
          <cell r="S874">
            <v>46900</v>
          </cell>
          <cell r="T874">
            <v>47300</v>
          </cell>
          <cell r="U874">
            <v>50800</v>
          </cell>
          <cell r="V874">
            <v>48600</v>
          </cell>
          <cell r="W874">
            <v>50800</v>
          </cell>
        </row>
        <row r="875">
          <cell r="A875">
            <v>45141</v>
          </cell>
          <cell r="B875">
            <v>48200</v>
          </cell>
          <cell r="C875">
            <v>48500</v>
          </cell>
          <cell r="D875">
            <v>48000</v>
          </cell>
          <cell r="E875">
            <v>44800</v>
          </cell>
          <cell r="F875">
            <v>48700</v>
          </cell>
          <cell r="G875" t="str">
            <v>-</v>
          </cell>
          <cell r="H875">
            <v>47500</v>
          </cell>
          <cell r="I875">
            <v>48000</v>
          </cell>
          <cell r="J875">
            <v>47700</v>
          </cell>
          <cell r="K875" t="str">
            <v>-</v>
          </cell>
          <cell r="L875">
            <v>49900</v>
          </cell>
          <cell r="M875">
            <v>47700</v>
          </cell>
          <cell r="N875">
            <v>47200</v>
          </cell>
          <cell r="O875">
            <v>46200</v>
          </cell>
          <cell r="P875">
            <v>44700</v>
          </cell>
          <cell r="Q875">
            <v>44900</v>
          </cell>
          <cell r="R875">
            <v>45300</v>
          </cell>
          <cell r="S875">
            <v>47000</v>
          </cell>
          <cell r="T875">
            <v>47600</v>
          </cell>
          <cell r="U875">
            <v>50800</v>
          </cell>
          <cell r="V875">
            <v>49000</v>
          </cell>
          <cell r="W875">
            <v>51600</v>
          </cell>
        </row>
        <row r="876">
          <cell r="A876">
            <v>45142</v>
          </cell>
          <cell r="B876">
            <v>48200</v>
          </cell>
          <cell r="C876">
            <v>48600</v>
          </cell>
          <cell r="D876">
            <v>48000</v>
          </cell>
          <cell r="E876">
            <v>44500</v>
          </cell>
          <cell r="F876">
            <v>49000</v>
          </cell>
          <cell r="G876" t="str">
            <v>-</v>
          </cell>
          <cell r="H876">
            <v>47500</v>
          </cell>
          <cell r="I876">
            <v>48000</v>
          </cell>
          <cell r="J876">
            <v>47700</v>
          </cell>
          <cell r="K876" t="str">
            <v>-</v>
          </cell>
          <cell r="L876">
            <v>49800</v>
          </cell>
          <cell r="M876">
            <v>48000</v>
          </cell>
          <cell r="N876">
            <v>47100</v>
          </cell>
          <cell r="O876">
            <v>46200</v>
          </cell>
          <cell r="P876">
            <v>44500</v>
          </cell>
          <cell r="Q876">
            <v>44700</v>
          </cell>
          <cell r="R876">
            <v>45000</v>
          </cell>
          <cell r="S876">
            <v>46700</v>
          </cell>
          <cell r="T876">
            <v>47500</v>
          </cell>
          <cell r="U876">
            <v>50800</v>
          </cell>
          <cell r="V876">
            <v>49200</v>
          </cell>
          <cell r="W876">
            <v>52000</v>
          </cell>
        </row>
        <row r="877">
          <cell r="A877">
            <v>45143</v>
          </cell>
          <cell r="B877">
            <v>48200</v>
          </cell>
          <cell r="C877">
            <v>48600</v>
          </cell>
          <cell r="D877">
            <v>47800</v>
          </cell>
          <cell r="E877">
            <v>44700</v>
          </cell>
          <cell r="F877">
            <v>49000</v>
          </cell>
          <cell r="G877" t="str">
            <v>-</v>
          </cell>
          <cell r="H877">
            <v>47000</v>
          </cell>
          <cell r="I877">
            <v>48200</v>
          </cell>
          <cell r="J877">
            <v>47700</v>
          </cell>
          <cell r="K877" t="str">
            <v>-</v>
          </cell>
          <cell r="L877">
            <v>49800</v>
          </cell>
          <cell r="M877">
            <v>48000</v>
          </cell>
          <cell r="N877">
            <v>47200</v>
          </cell>
          <cell r="O877">
            <v>46200</v>
          </cell>
          <cell r="P877">
            <v>44500</v>
          </cell>
          <cell r="Q877">
            <v>44600</v>
          </cell>
          <cell r="R877">
            <v>45000</v>
          </cell>
          <cell r="S877">
            <v>46900</v>
          </cell>
          <cell r="T877">
            <v>47500</v>
          </cell>
          <cell r="U877">
            <v>50800</v>
          </cell>
          <cell r="V877">
            <v>49200</v>
          </cell>
          <cell r="W877">
            <v>52000</v>
          </cell>
        </row>
        <row r="878">
          <cell r="A878">
            <v>45144</v>
          </cell>
          <cell r="B878" t="str">
            <v>H</v>
          </cell>
          <cell r="C878" t="str">
            <v>H</v>
          </cell>
          <cell r="D878" t="str">
            <v>H</v>
          </cell>
          <cell r="E878" t="str">
            <v>H</v>
          </cell>
          <cell r="F878" t="str">
            <v>H</v>
          </cell>
          <cell r="G878" t="str">
            <v>H</v>
          </cell>
          <cell r="H878" t="str">
            <v>H</v>
          </cell>
          <cell r="I878" t="str">
            <v>H</v>
          </cell>
          <cell r="J878" t="str">
            <v>H</v>
          </cell>
          <cell r="K878" t="str">
            <v>H</v>
          </cell>
          <cell r="L878" t="str">
            <v>H</v>
          </cell>
          <cell r="M878" t="str">
            <v>H</v>
          </cell>
          <cell r="N878" t="str">
            <v>H</v>
          </cell>
          <cell r="O878" t="str">
            <v>H</v>
          </cell>
          <cell r="P878" t="str">
            <v>H</v>
          </cell>
          <cell r="Q878" t="str">
            <v>H</v>
          </cell>
          <cell r="R878" t="str">
            <v>H</v>
          </cell>
          <cell r="S878" t="str">
            <v>H</v>
          </cell>
          <cell r="T878" t="str">
            <v>H</v>
          </cell>
          <cell r="U878" t="str">
            <v>H</v>
          </cell>
          <cell r="V878" t="str">
            <v>H</v>
          </cell>
          <cell r="W878" t="str">
            <v>H</v>
          </cell>
        </row>
        <row r="879">
          <cell r="A879">
            <v>45145</v>
          </cell>
          <cell r="B879">
            <v>48400</v>
          </cell>
          <cell r="C879">
            <v>48800</v>
          </cell>
          <cell r="D879">
            <v>48200</v>
          </cell>
          <cell r="E879">
            <v>45100</v>
          </cell>
          <cell r="F879">
            <v>49000</v>
          </cell>
          <cell r="G879" t="str">
            <v>-</v>
          </cell>
          <cell r="H879">
            <v>47000</v>
          </cell>
          <cell r="I879">
            <v>48400</v>
          </cell>
          <cell r="J879">
            <v>47700</v>
          </cell>
          <cell r="K879" t="str">
            <v>-</v>
          </cell>
          <cell r="L879">
            <v>50400</v>
          </cell>
          <cell r="M879">
            <v>48000</v>
          </cell>
          <cell r="N879">
            <v>47300</v>
          </cell>
          <cell r="O879">
            <v>46600</v>
          </cell>
          <cell r="P879">
            <v>44700</v>
          </cell>
          <cell r="Q879">
            <v>44600</v>
          </cell>
          <cell r="R879">
            <v>45000</v>
          </cell>
          <cell r="S879">
            <v>47300</v>
          </cell>
          <cell r="T879">
            <v>47500</v>
          </cell>
          <cell r="U879">
            <v>50800</v>
          </cell>
          <cell r="V879">
            <v>49400</v>
          </cell>
          <cell r="W879">
            <v>52400</v>
          </cell>
        </row>
        <row r="880">
          <cell r="A880">
            <v>45146</v>
          </cell>
          <cell r="B880">
            <v>48400</v>
          </cell>
          <cell r="C880">
            <v>48800</v>
          </cell>
          <cell r="D880">
            <v>48000</v>
          </cell>
          <cell r="E880">
            <v>44800</v>
          </cell>
          <cell r="F880">
            <v>48900</v>
          </cell>
          <cell r="G880" t="str">
            <v>-</v>
          </cell>
          <cell r="H880">
            <v>47000</v>
          </cell>
          <cell r="I880">
            <v>48200</v>
          </cell>
          <cell r="J880">
            <v>47700</v>
          </cell>
          <cell r="K880" t="str">
            <v>-</v>
          </cell>
          <cell r="L880">
            <v>50300</v>
          </cell>
          <cell r="M880">
            <v>48000</v>
          </cell>
          <cell r="N880">
            <v>47100</v>
          </cell>
          <cell r="O880">
            <v>46600</v>
          </cell>
          <cell r="P880">
            <v>44400</v>
          </cell>
          <cell r="Q880">
            <v>44400</v>
          </cell>
          <cell r="R880">
            <v>45000</v>
          </cell>
          <cell r="S880">
            <v>47000</v>
          </cell>
          <cell r="T880">
            <v>47300</v>
          </cell>
          <cell r="U880">
            <v>50800</v>
          </cell>
          <cell r="V880">
            <v>49400</v>
          </cell>
          <cell r="W880">
            <v>52400</v>
          </cell>
        </row>
        <row r="881">
          <cell r="A881">
            <v>45147</v>
          </cell>
          <cell r="B881">
            <v>48400</v>
          </cell>
          <cell r="C881">
            <v>48500</v>
          </cell>
          <cell r="D881">
            <v>48000</v>
          </cell>
          <cell r="E881">
            <v>44600</v>
          </cell>
          <cell r="F881">
            <v>48800</v>
          </cell>
          <cell r="G881" t="str">
            <v>-</v>
          </cell>
          <cell r="H881">
            <v>47000</v>
          </cell>
          <cell r="I881">
            <v>48400</v>
          </cell>
          <cell r="J881">
            <v>47700</v>
          </cell>
          <cell r="K881" t="str">
            <v>-</v>
          </cell>
          <cell r="L881">
            <v>50300</v>
          </cell>
          <cell r="M881">
            <v>47700</v>
          </cell>
          <cell r="N881">
            <v>47400</v>
          </cell>
          <cell r="O881">
            <v>46600</v>
          </cell>
          <cell r="P881">
            <v>44400</v>
          </cell>
          <cell r="Q881">
            <v>44200</v>
          </cell>
          <cell r="R881">
            <v>45000</v>
          </cell>
          <cell r="S881">
            <v>46800</v>
          </cell>
          <cell r="T881">
            <v>47300</v>
          </cell>
          <cell r="U881">
            <v>50800</v>
          </cell>
          <cell r="V881">
            <v>49400</v>
          </cell>
          <cell r="W881">
            <v>52400</v>
          </cell>
        </row>
        <row r="882">
          <cell r="A882">
            <v>45148</v>
          </cell>
          <cell r="B882">
            <v>48300</v>
          </cell>
          <cell r="C882">
            <v>48500</v>
          </cell>
          <cell r="D882">
            <v>48000</v>
          </cell>
          <cell r="E882">
            <v>44300</v>
          </cell>
          <cell r="F882">
            <v>48800</v>
          </cell>
          <cell r="G882" t="str">
            <v>-</v>
          </cell>
          <cell r="H882">
            <v>47000</v>
          </cell>
          <cell r="I882">
            <v>48200</v>
          </cell>
          <cell r="J882">
            <v>47500</v>
          </cell>
          <cell r="K882" t="str">
            <v>-</v>
          </cell>
          <cell r="L882">
            <v>50200</v>
          </cell>
          <cell r="M882">
            <v>47500</v>
          </cell>
          <cell r="N882">
            <v>47400</v>
          </cell>
          <cell r="O882">
            <v>46200</v>
          </cell>
          <cell r="P882">
            <v>44000</v>
          </cell>
          <cell r="Q882">
            <v>44100</v>
          </cell>
          <cell r="R882">
            <v>44800</v>
          </cell>
          <cell r="S882">
            <v>46300</v>
          </cell>
          <cell r="T882">
            <v>47100</v>
          </cell>
          <cell r="U882">
            <v>50800</v>
          </cell>
          <cell r="V882">
            <v>49400</v>
          </cell>
          <cell r="W882">
            <v>52400</v>
          </cell>
        </row>
        <row r="883">
          <cell r="A883">
            <v>45149</v>
          </cell>
          <cell r="B883">
            <v>48300</v>
          </cell>
          <cell r="C883">
            <v>48500</v>
          </cell>
          <cell r="D883">
            <v>48000</v>
          </cell>
          <cell r="E883">
            <v>44300</v>
          </cell>
          <cell r="F883">
            <v>48600</v>
          </cell>
          <cell r="G883" t="str">
            <v>-</v>
          </cell>
          <cell r="H883">
            <v>47000</v>
          </cell>
          <cell r="I883">
            <v>48200</v>
          </cell>
          <cell r="J883">
            <v>47500</v>
          </cell>
          <cell r="K883" t="str">
            <v>-</v>
          </cell>
          <cell r="L883">
            <v>50200</v>
          </cell>
          <cell r="M883">
            <v>47500</v>
          </cell>
          <cell r="N883">
            <v>47400</v>
          </cell>
          <cell r="O883">
            <v>46000</v>
          </cell>
          <cell r="P883">
            <v>44000</v>
          </cell>
          <cell r="Q883">
            <v>44100</v>
          </cell>
          <cell r="R883">
            <v>44800</v>
          </cell>
          <cell r="S883">
            <v>46300</v>
          </cell>
          <cell r="T883">
            <v>46800</v>
          </cell>
          <cell r="U883">
            <v>50800</v>
          </cell>
          <cell r="V883">
            <v>49400</v>
          </cell>
          <cell r="W883">
            <v>52400</v>
          </cell>
        </row>
        <row r="884">
          <cell r="A884">
            <v>45150</v>
          </cell>
          <cell r="B884">
            <v>48300</v>
          </cell>
          <cell r="C884">
            <v>48500</v>
          </cell>
          <cell r="D884">
            <v>47800</v>
          </cell>
          <cell r="E884">
            <v>44300</v>
          </cell>
          <cell r="F884">
            <v>48600</v>
          </cell>
          <cell r="G884" t="str">
            <v>-</v>
          </cell>
          <cell r="H884">
            <v>47000</v>
          </cell>
          <cell r="I884">
            <v>48000</v>
          </cell>
          <cell r="J884">
            <v>47500</v>
          </cell>
          <cell r="K884" t="str">
            <v>-</v>
          </cell>
          <cell r="L884">
            <v>50000</v>
          </cell>
          <cell r="M884">
            <v>47500</v>
          </cell>
          <cell r="N884">
            <v>47200</v>
          </cell>
          <cell r="O884">
            <v>46000</v>
          </cell>
          <cell r="P884">
            <v>43700</v>
          </cell>
          <cell r="Q884">
            <v>44000</v>
          </cell>
          <cell r="R884">
            <v>44800</v>
          </cell>
          <cell r="S884">
            <v>46300</v>
          </cell>
          <cell r="T884">
            <v>46800</v>
          </cell>
          <cell r="U884">
            <v>50800</v>
          </cell>
          <cell r="V884">
            <v>49400</v>
          </cell>
          <cell r="W884">
            <v>52400</v>
          </cell>
        </row>
        <row r="885">
          <cell r="A885">
            <v>45151</v>
          </cell>
          <cell r="B885" t="str">
            <v>H</v>
          </cell>
          <cell r="C885" t="str">
            <v>H</v>
          </cell>
          <cell r="D885" t="str">
            <v>H</v>
          </cell>
          <cell r="E885" t="str">
            <v>H</v>
          </cell>
          <cell r="F885" t="str">
            <v>H</v>
          </cell>
          <cell r="G885" t="str">
            <v>H</v>
          </cell>
          <cell r="H885" t="str">
            <v>H</v>
          </cell>
          <cell r="I885" t="str">
            <v>H</v>
          </cell>
          <cell r="J885" t="str">
            <v>H</v>
          </cell>
          <cell r="K885" t="str">
            <v>H</v>
          </cell>
          <cell r="L885" t="str">
            <v>H</v>
          </cell>
          <cell r="M885" t="str">
            <v>H</v>
          </cell>
          <cell r="N885" t="str">
            <v>H</v>
          </cell>
          <cell r="O885" t="str">
            <v>H</v>
          </cell>
          <cell r="P885" t="str">
            <v>H</v>
          </cell>
          <cell r="Q885" t="str">
            <v>H</v>
          </cell>
          <cell r="R885" t="str">
            <v>H</v>
          </cell>
          <cell r="S885" t="str">
            <v>H</v>
          </cell>
          <cell r="T885" t="str">
            <v>H</v>
          </cell>
          <cell r="U885" t="str">
            <v>H</v>
          </cell>
          <cell r="V885" t="str">
            <v>H</v>
          </cell>
          <cell r="W885" t="str">
            <v>H</v>
          </cell>
        </row>
        <row r="886">
          <cell r="A886">
            <v>45152</v>
          </cell>
          <cell r="B886">
            <v>48300</v>
          </cell>
          <cell r="C886">
            <v>48500</v>
          </cell>
          <cell r="D886">
            <v>47900</v>
          </cell>
          <cell r="E886">
            <v>44200</v>
          </cell>
          <cell r="F886">
            <v>48500</v>
          </cell>
          <cell r="G886" t="str">
            <v>-</v>
          </cell>
          <cell r="H886">
            <v>46500</v>
          </cell>
          <cell r="I886">
            <v>48000</v>
          </cell>
          <cell r="J886">
            <v>47500</v>
          </cell>
          <cell r="K886" t="str">
            <v>-</v>
          </cell>
          <cell r="L886">
            <v>49500</v>
          </cell>
          <cell r="M886">
            <v>47500</v>
          </cell>
          <cell r="N886">
            <v>47200</v>
          </cell>
          <cell r="O886">
            <v>46000</v>
          </cell>
          <cell r="P886">
            <v>43800</v>
          </cell>
          <cell r="Q886">
            <v>44200</v>
          </cell>
          <cell r="R886">
            <v>44500</v>
          </cell>
          <cell r="S886">
            <v>46200</v>
          </cell>
          <cell r="T886">
            <v>46800</v>
          </cell>
          <cell r="U886">
            <v>50800</v>
          </cell>
          <cell r="V886">
            <v>49300</v>
          </cell>
          <cell r="W886">
            <v>52200</v>
          </cell>
        </row>
        <row r="887">
          <cell r="A887">
            <v>45153</v>
          </cell>
          <cell r="B887" t="str">
            <v>H</v>
          </cell>
          <cell r="C887" t="str">
            <v>H</v>
          </cell>
          <cell r="D887" t="str">
            <v>H</v>
          </cell>
          <cell r="E887" t="str">
            <v>H</v>
          </cell>
          <cell r="F887" t="str">
            <v>H</v>
          </cell>
          <cell r="G887" t="str">
            <v>H</v>
          </cell>
          <cell r="H887" t="str">
            <v>H</v>
          </cell>
          <cell r="I887" t="str">
            <v>H</v>
          </cell>
          <cell r="J887" t="str">
            <v>H</v>
          </cell>
          <cell r="K887" t="str">
            <v>H</v>
          </cell>
          <cell r="L887" t="str">
            <v>H</v>
          </cell>
          <cell r="M887" t="str">
            <v>H</v>
          </cell>
          <cell r="N887" t="str">
            <v>H</v>
          </cell>
          <cell r="O887" t="str">
            <v>H</v>
          </cell>
          <cell r="P887" t="str">
            <v>H</v>
          </cell>
          <cell r="Q887" t="str">
            <v>H</v>
          </cell>
          <cell r="R887" t="str">
            <v>H</v>
          </cell>
          <cell r="S887" t="str">
            <v>H</v>
          </cell>
          <cell r="T887" t="str">
            <v>H</v>
          </cell>
          <cell r="U887" t="str">
            <v>H</v>
          </cell>
          <cell r="V887" t="str">
            <v>H</v>
          </cell>
          <cell r="W887" t="str">
            <v>H</v>
          </cell>
        </row>
        <row r="888">
          <cell r="A888">
            <v>45154</v>
          </cell>
          <cell r="B888">
            <v>48800</v>
          </cell>
          <cell r="C888">
            <v>48500</v>
          </cell>
          <cell r="D888">
            <v>48000</v>
          </cell>
          <cell r="E888">
            <v>44700</v>
          </cell>
          <cell r="F888">
            <v>48500</v>
          </cell>
          <cell r="G888" t="str">
            <v>-</v>
          </cell>
          <cell r="H888">
            <v>46500</v>
          </cell>
          <cell r="I888">
            <v>48200</v>
          </cell>
          <cell r="J888">
            <v>48000</v>
          </cell>
          <cell r="K888" t="str">
            <v>-</v>
          </cell>
          <cell r="L888">
            <v>49800</v>
          </cell>
          <cell r="M888">
            <v>47700</v>
          </cell>
          <cell r="N888">
            <v>47200</v>
          </cell>
          <cell r="O888">
            <v>46000</v>
          </cell>
          <cell r="P888">
            <v>44700</v>
          </cell>
          <cell r="Q888">
            <v>44800</v>
          </cell>
          <cell r="R888">
            <v>45000</v>
          </cell>
          <cell r="S888">
            <v>46800</v>
          </cell>
          <cell r="T888">
            <v>46800</v>
          </cell>
          <cell r="U888">
            <v>50800</v>
          </cell>
          <cell r="V888">
            <v>49000</v>
          </cell>
          <cell r="W888">
            <v>52000</v>
          </cell>
        </row>
        <row r="889">
          <cell r="A889">
            <v>45155</v>
          </cell>
          <cell r="B889">
            <v>49000</v>
          </cell>
          <cell r="C889">
            <v>48500</v>
          </cell>
          <cell r="D889">
            <v>49000</v>
          </cell>
          <cell r="E889">
            <v>45300</v>
          </cell>
          <cell r="F889">
            <v>49500</v>
          </cell>
          <cell r="G889" t="str">
            <v>-</v>
          </cell>
          <cell r="H889">
            <v>47000</v>
          </cell>
          <cell r="I889">
            <v>49000</v>
          </cell>
          <cell r="J889">
            <v>49300</v>
          </cell>
          <cell r="K889" t="str">
            <v>-</v>
          </cell>
          <cell r="L889">
            <v>50500</v>
          </cell>
          <cell r="M889">
            <v>48900</v>
          </cell>
          <cell r="N889">
            <v>48200</v>
          </cell>
          <cell r="O889">
            <v>46600</v>
          </cell>
          <cell r="P889">
            <v>45200</v>
          </cell>
          <cell r="Q889">
            <v>45600</v>
          </cell>
          <cell r="R889">
            <v>45800</v>
          </cell>
          <cell r="S889">
            <v>47400</v>
          </cell>
          <cell r="T889">
            <v>47800</v>
          </cell>
          <cell r="U889">
            <v>51300</v>
          </cell>
          <cell r="V889">
            <v>50000</v>
          </cell>
          <cell r="W889">
            <v>53000</v>
          </cell>
        </row>
        <row r="890">
          <cell r="A890">
            <v>45156</v>
          </cell>
          <cell r="B890">
            <v>49200</v>
          </cell>
          <cell r="C890">
            <v>48500</v>
          </cell>
          <cell r="D890">
            <v>49200</v>
          </cell>
          <cell r="E890">
            <v>45500</v>
          </cell>
          <cell r="F890">
            <v>50200</v>
          </cell>
          <cell r="G890" t="str">
            <v>-</v>
          </cell>
          <cell r="H890">
            <v>47500</v>
          </cell>
          <cell r="I890">
            <v>49200</v>
          </cell>
          <cell r="J890">
            <v>49800</v>
          </cell>
          <cell r="K890" t="str">
            <v>-</v>
          </cell>
          <cell r="L890">
            <v>50700</v>
          </cell>
          <cell r="M890">
            <v>49500</v>
          </cell>
          <cell r="N890">
            <v>48200</v>
          </cell>
          <cell r="O890">
            <v>46800</v>
          </cell>
          <cell r="P890">
            <v>45500</v>
          </cell>
          <cell r="Q890">
            <v>46000</v>
          </cell>
          <cell r="R890">
            <v>46000</v>
          </cell>
          <cell r="S890">
            <v>47600</v>
          </cell>
          <cell r="T890">
            <v>48600</v>
          </cell>
          <cell r="U890">
            <v>51300</v>
          </cell>
          <cell r="V890">
            <v>50300</v>
          </cell>
          <cell r="W890">
            <v>53100</v>
          </cell>
        </row>
        <row r="891">
          <cell r="A891">
            <v>45157</v>
          </cell>
          <cell r="B891">
            <v>49200</v>
          </cell>
          <cell r="C891">
            <v>48800</v>
          </cell>
          <cell r="D891">
            <v>49200</v>
          </cell>
          <cell r="E891">
            <v>45500</v>
          </cell>
          <cell r="F891">
            <v>50200</v>
          </cell>
          <cell r="G891" t="str">
            <v>-</v>
          </cell>
          <cell r="H891">
            <v>48000</v>
          </cell>
          <cell r="I891">
            <v>49200</v>
          </cell>
          <cell r="J891">
            <v>49800</v>
          </cell>
          <cell r="K891" t="str">
            <v>-</v>
          </cell>
          <cell r="L891">
            <v>50700</v>
          </cell>
          <cell r="M891">
            <v>49500</v>
          </cell>
          <cell r="N891">
            <v>48200</v>
          </cell>
          <cell r="O891">
            <v>47000</v>
          </cell>
          <cell r="P891">
            <v>45500</v>
          </cell>
          <cell r="Q891">
            <v>46000</v>
          </cell>
          <cell r="R891">
            <v>46000</v>
          </cell>
          <cell r="S891">
            <v>47600</v>
          </cell>
          <cell r="T891">
            <v>48600</v>
          </cell>
          <cell r="U891">
            <v>51300</v>
          </cell>
          <cell r="V891">
            <v>50300</v>
          </cell>
          <cell r="W891">
            <v>53100</v>
          </cell>
        </row>
        <row r="892">
          <cell r="A892">
            <v>45158</v>
          </cell>
          <cell r="B892" t="str">
            <v>H</v>
          </cell>
          <cell r="C892" t="str">
            <v>H</v>
          </cell>
          <cell r="D892" t="str">
            <v>H</v>
          </cell>
          <cell r="E892" t="str">
            <v>H</v>
          </cell>
          <cell r="F892" t="str">
            <v>H</v>
          </cell>
          <cell r="G892" t="str">
            <v>H</v>
          </cell>
          <cell r="H892" t="str">
            <v>H</v>
          </cell>
          <cell r="I892" t="str">
            <v>H</v>
          </cell>
          <cell r="J892" t="str">
            <v>H</v>
          </cell>
          <cell r="K892" t="str">
            <v>H</v>
          </cell>
          <cell r="L892" t="str">
            <v>H</v>
          </cell>
          <cell r="M892" t="str">
            <v>H</v>
          </cell>
          <cell r="N892" t="str">
            <v>H</v>
          </cell>
          <cell r="O892" t="str">
            <v>H</v>
          </cell>
          <cell r="P892" t="str">
            <v>H</v>
          </cell>
          <cell r="Q892" t="str">
            <v>H</v>
          </cell>
          <cell r="R892" t="str">
            <v>H</v>
          </cell>
          <cell r="S892" t="str">
            <v>H</v>
          </cell>
          <cell r="T892" t="str">
            <v>H</v>
          </cell>
          <cell r="U892" t="str">
            <v>H</v>
          </cell>
          <cell r="V892" t="str">
            <v>H</v>
          </cell>
          <cell r="W892" t="str">
            <v>H</v>
          </cell>
        </row>
        <row r="893">
          <cell r="A893">
            <v>45159</v>
          </cell>
          <cell r="B893">
            <v>48800</v>
          </cell>
          <cell r="C893">
            <v>49300</v>
          </cell>
          <cell r="D893">
            <v>48800</v>
          </cell>
          <cell r="E893">
            <v>45300</v>
          </cell>
          <cell r="F893">
            <v>50200</v>
          </cell>
          <cell r="G893" t="str">
            <v>-</v>
          </cell>
          <cell r="H893">
            <v>48000</v>
          </cell>
          <cell r="I893">
            <v>49000</v>
          </cell>
          <cell r="J893">
            <v>49800</v>
          </cell>
          <cell r="K893" t="str">
            <v>-</v>
          </cell>
          <cell r="L893">
            <v>50500</v>
          </cell>
          <cell r="M893">
            <v>49500</v>
          </cell>
          <cell r="N893">
            <v>48000</v>
          </cell>
          <cell r="O893">
            <v>47000</v>
          </cell>
          <cell r="P893">
            <v>45300</v>
          </cell>
          <cell r="Q893">
            <v>45900</v>
          </cell>
          <cell r="R893">
            <v>46000</v>
          </cell>
          <cell r="S893">
            <v>47400</v>
          </cell>
          <cell r="T893">
            <v>48500</v>
          </cell>
          <cell r="U893">
            <v>51300</v>
          </cell>
          <cell r="V893">
            <v>50100</v>
          </cell>
          <cell r="W893">
            <v>53000</v>
          </cell>
        </row>
        <row r="894">
          <cell r="A894">
            <v>45160</v>
          </cell>
          <cell r="B894">
            <v>49000</v>
          </cell>
          <cell r="C894">
            <v>49200</v>
          </cell>
          <cell r="D894">
            <v>48400</v>
          </cell>
          <cell r="E894">
            <v>45500</v>
          </cell>
          <cell r="F894">
            <v>50200</v>
          </cell>
          <cell r="G894" t="str">
            <v>-</v>
          </cell>
          <cell r="H894">
            <v>47500</v>
          </cell>
          <cell r="I894">
            <v>49000</v>
          </cell>
          <cell r="J894">
            <v>49800</v>
          </cell>
          <cell r="K894" t="str">
            <v>-</v>
          </cell>
          <cell r="L894">
            <v>50500</v>
          </cell>
          <cell r="M894">
            <v>49500</v>
          </cell>
          <cell r="N894">
            <v>48200</v>
          </cell>
          <cell r="O894">
            <v>47300</v>
          </cell>
          <cell r="P894">
            <v>45400</v>
          </cell>
          <cell r="Q894">
            <v>45800</v>
          </cell>
          <cell r="R894">
            <v>46000</v>
          </cell>
          <cell r="S894">
            <v>47600</v>
          </cell>
          <cell r="T894">
            <v>48500</v>
          </cell>
          <cell r="U894">
            <v>51300</v>
          </cell>
          <cell r="V894">
            <v>50100</v>
          </cell>
          <cell r="W894">
            <v>53000</v>
          </cell>
        </row>
        <row r="895">
          <cell r="A895">
            <v>45161</v>
          </cell>
          <cell r="B895">
            <v>49000</v>
          </cell>
          <cell r="C895">
            <v>49200</v>
          </cell>
          <cell r="D895">
            <v>48400</v>
          </cell>
          <cell r="E895">
            <v>45400</v>
          </cell>
          <cell r="F895">
            <v>50100</v>
          </cell>
          <cell r="G895" t="str">
            <v>-</v>
          </cell>
          <cell r="H895">
            <v>47500</v>
          </cell>
          <cell r="I895">
            <v>49000</v>
          </cell>
          <cell r="J895">
            <v>49800</v>
          </cell>
          <cell r="K895" t="str">
            <v>-</v>
          </cell>
          <cell r="L895">
            <v>50500</v>
          </cell>
          <cell r="M895">
            <v>49500</v>
          </cell>
          <cell r="N895">
            <v>48200</v>
          </cell>
          <cell r="O895">
            <v>47300</v>
          </cell>
          <cell r="P895">
            <v>45500</v>
          </cell>
          <cell r="Q895">
            <v>45800</v>
          </cell>
          <cell r="R895">
            <v>46000</v>
          </cell>
          <cell r="S895">
            <v>47500</v>
          </cell>
          <cell r="T895">
            <v>48500</v>
          </cell>
          <cell r="U895">
            <v>51300</v>
          </cell>
          <cell r="V895">
            <v>50100</v>
          </cell>
          <cell r="W895">
            <v>53000</v>
          </cell>
        </row>
        <row r="896">
          <cell r="A896">
            <v>45162</v>
          </cell>
          <cell r="B896">
            <v>49500</v>
          </cell>
          <cell r="C896">
            <v>49200</v>
          </cell>
          <cell r="D896">
            <v>49000</v>
          </cell>
          <cell r="E896">
            <v>46100</v>
          </cell>
          <cell r="F896">
            <v>50300</v>
          </cell>
          <cell r="G896" t="str">
            <v>-</v>
          </cell>
          <cell r="H896">
            <v>48000</v>
          </cell>
          <cell r="I896">
            <v>49300</v>
          </cell>
          <cell r="J896">
            <v>49800</v>
          </cell>
          <cell r="K896" t="str">
            <v>-</v>
          </cell>
          <cell r="L896">
            <v>50700</v>
          </cell>
          <cell r="M896">
            <v>50100</v>
          </cell>
          <cell r="N896">
            <v>48300</v>
          </cell>
          <cell r="O896">
            <v>47900</v>
          </cell>
          <cell r="P896">
            <v>47000</v>
          </cell>
          <cell r="Q896">
            <v>46900</v>
          </cell>
          <cell r="R896">
            <v>47200</v>
          </cell>
          <cell r="S896">
            <v>48200</v>
          </cell>
          <cell r="T896">
            <v>49100</v>
          </cell>
          <cell r="U896" t="str">
            <v>-</v>
          </cell>
          <cell r="V896">
            <v>51000</v>
          </cell>
          <cell r="W896">
            <v>53900</v>
          </cell>
        </row>
        <row r="897">
          <cell r="A897">
            <v>45163</v>
          </cell>
          <cell r="B897">
            <v>50000</v>
          </cell>
          <cell r="C897">
            <v>50000</v>
          </cell>
          <cell r="D897">
            <v>49200</v>
          </cell>
          <cell r="E897">
            <v>46800</v>
          </cell>
          <cell r="F897">
            <v>51300</v>
          </cell>
          <cell r="G897" t="str">
            <v>-</v>
          </cell>
          <cell r="H897">
            <v>49000</v>
          </cell>
          <cell r="I897">
            <v>50000</v>
          </cell>
          <cell r="J897">
            <v>50500</v>
          </cell>
          <cell r="K897" t="str">
            <v>-</v>
          </cell>
          <cell r="L897">
            <v>51100</v>
          </cell>
          <cell r="M897">
            <v>50500</v>
          </cell>
          <cell r="N897">
            <v>49000</v>
          </cell>
          <cell r="O897">
            <v>47900</v>
          </cell>
          <cell r="P897">
            <v>47400</v>
          </cell>
          <cell r="Q897">
            <v>47600</v>
          </cell>
          <cell r="R897">
            <v>47800</v>
          </cell>
          <cell r="S897">
            <v>49000</v>
          </cell>
          <cell r="T897">
            <v>50300</v>
          </cell>
          <cell r="U897">
            <v>52300</v>
          </cell>
          <cell r="V897">
            <v>52200</v>
          </cell>
          <cell r="W897">
            <v>55000</v>
          </cell>
        </row>
        <row r="898">
          <cell r="A898">
            <v>45164</v>
          </cell>
          <cell r="B898">
            <v>50200</v>
          </cell>
          <cell r="C898">
            <v>50300</v>
          </cell>
          <cell r="D898">
            <v>49200</v>
          </cell>
          <cell r="E898">
            <v>46800</v>
          </cell>
          <cell r="F898">
            <v>51900</v>
          </cell>
          <cell r="G898" t="str">
            <v>-</v>
          </cell>
          <cell r="H898">
            <v>49000</v>
          </cell>
          <cell r="I898">
            <v>50000</v>
          </cell>
          <cell r="J898">
            <v>50700</v>
          </cell>
          <cell r="K898" t="str">
            <v>-</v>
          </cell>
          <cell r="L898">
            <v>51100</v>
          </cell>
          <cell r="M898">
            <v>50800</v>
          </cell>
          <cell r="N898">
            <v>48900</v>
          </cell>
          <cell r="O898">
            <v>47900</v>
          </cell>
          <cell r="P898">
            <v>47500</v>
          </cell>
          <cell r="Q898">
            <v>47600</v>
          </cell>
          <cell r="R898">
            <v>48300</v>
          </cell>
          <cell r="S898">
            <v>49000</v>
          </cell>
          <cell r="T898">
            <v>50300</v>
          </cell>
          <cell r="U898">
            <v>52300</v>
          </cell>
          <cell r="V898">
            <v>53000</v>
          </cell>
          <cell r="W898">
            <v>55000</v>
          </cell>
        </row>
        <row r="899">
          <cell r="A899">
            <v>45165</v>
          </cell>
          <cell r="B899" t="str">
            <v>H</v>
          </cell>
          <cell r="C899" t="str">
            <v>H</v>
          </cell>
          <cell r="D899" t="str">
            <v>H</v>
          </cell>
          <cell r="E899" t="str">
            <v>H</v>
          </cell>
          <cell r="F899" t="str">
            <v>H</v>
          </cell>
          <cell r="G899" t="str">
            <v>H</v>
          </cell>
          <cell r="H899" t="str">
            <v>H</v>
          </cell>
          <cell r="I899" t="str">
            <v>H</v>
          </cell>
          <cell r="J899" t="str">
            <v>H</v>
          </cell>
          <cell r="K899" t="str">
            <v>H</v>
          </cell>
          <cell r="L899" t="str">
            <v>H</v>
          </cell>
          <cell r="M899" t="str">
            <v>H</v>
          </cell>
          <cell r="N899" t="str">
            <v>H</v>
          </cell>
          <cell r="O899" t="str">
            <v>H</v>
          </cell>
          <cell r="P899" t="str">
            <v>H</v>
          </cell>
          <cell r="Q899" t="str">
            <v>H</v>
          </cell>
          <cell r="R899" t="str">
            <v>H</v>
          </cell>
          <cell r="S899" t="str">
            <v>H</v>
          </cell>
          <cell r="T899" t="str">
            <v>H</v>
          </cell>
          <cell r="U899" t="str">
            <v>H</v>
          </cell>
          <cell r="V899" t="str">
            <v>H</v>
          </cell>
          <cell r="W899" t="str">
            <v>H</v>
          </cell>
        </row>
        <row r="900">
          <cell r="A900">
            <v>45166</v>
          </cell>
          <cell r="B900">
            <v>50900</v>
          </cell>
          <cell r="C900">
            <v>50800</v>
          </cell>
          <cell r="D900">
            <v>50100</v>
          </cell>
          <cell r="E900">
            <v>47500</v>
          </cell>
          <cell r="F900">
            <v>52700</v>
          </cell>
          <cell r="G900" t="str">
            <v>-</v>
          </cell>
          <cell r="H900">
            <v>50500</v>
          </cell>
          <cell r="I900">
            <v>50300</v>
          </cell>
          <cell r="J900">
            <v>51500</v>
          </cell>
          <cell r="K900" t="str">
            <v>-</v>
          </cell>
          <cell r="L900">
            <v>51500</v>
          </cell>
          <cell r="M900">
            <v>51300</v>
          </cell>
          <cell r="N900">
            <v>49300</v>
          </cell>
          <cell r="O900">
            <v>48500</v>
          </cell>
          <cell r="P900">
            <v>48200</v>
          </cell>
          <cell r="Q900">
            <v>48200</v>
          </cell>
          <cell r="R900">
            <v>48500</v>
          </cell>
          <cell r="S900">
            <v>50000</v>
          </cell>
          <cell r="T900">
            <v>50700</v>
          </cell>
          <cell r="U900">
            <v>53800</v>
          </cell>
          <cell r="V900">
            <v>53100</v>
          </cell>
          <cell r="W900">
            <v>55300</v>
          </cell>
        </row>
        <row r="901">
          <cell r="A901">
            <v>45167</v>
          </cell>
          <cell r="B901">
            <v>51500</v>
          </cell>
          <cell r="C901">
            <v>51500</v>
          </cell>
          <cell r="D901">
            <v>50200</v>
          </cell>
          <cell r="E901">
            <v>48000</v>
          </cell>
          <cell r="F901">
            <v>52800</v>
          </cell>
          <cell r="G901" t="str">
            <v>-</v>
          </cell>
          <cell r="H901">
            <v>51000</v>
          </cell>
          <cell r="I901">
            <v>50700</v>
          </cell>
          <cell r="J901">
            <v>51700</v>
          </cell>
          <cell r="K901" t="str">
            <v>-</v>
          </cell>
          <cell r="L901">
            <v>52000</v>
          </cell>
          <cell r="M901">
            <v>51300</v>
          </cell>
          <cell r="N901">
            <v>49700</v>
          </cell>
          <cell r="O901">
            <v>49200</v>
          </cell>
          <cell r="P901">
            <v>48500</v>
          </cell>
          <cell r="Q901">
            <v>48500</v>
          </cell>
          <cell r="R901">
            <v>48800</v>
          </cell>
          <cell r="S901">
            <v>50500</v>
          </cell>
          <cell r="T901">
            <v>51000</v>
          </cell>
          <cell r="U901">
            <v>53800</v>
          </cell>
          <cell r="V901">
            <v>53500</v>
          </cell>
          <cell r="W901">
            <v>55700</v>
          </cell>
        </row>
        <row r="902">
          <cell r="A902">
            <v>45168</v>
          </cell>
          <cell r="B902" t="str">
            <v>H</v>
          </cell>
          <cell r="C902" t="str">
            <v>H</v>
          </cell>
          <cell r="D902" t="str">
            <v>H</v>
          </cell>
          <cell r="E902" t="str">
            <v>H</v>
          </cell>
          <cell r="F902" t="str">
            <v>H</v>
          </cell>
          <cell r="G902" t="str">
            <v>H</v>
          </cell>
          <cell r="H902" t="str">
            <v>H</v>
          </cell>
          <cell r="I902" t="str">
            <v>H</v>
          </cell>
          <cell r="J902" t="str">
            <v>H</v>
          </cell>
          <cell r="K902" t="str">
            <v>H</v>
          </cell>
          <cell r="L902" t="str">
            <v>H</v>
          </cell>
          <cell r="M902" t="str">
            <v>H</v>
          </cell>
          <cell r="N902" t="str">
            <v>H</v>
          </cell>
          <cell r="O902" t="str">
            <v>H</v>
          </cell>
          <cell r="P902" t="str">
            <v>H</v>
          </cell>
          <cell r="Q902" t="str">
            <v>H</v>
          </cell>
          <cell r="R902" t="str">
            <v>H</v>
          </cell>
          <cell r="S902" t="str">
            <v>H</v>
          </cell>
          <cell r="T902" t="str">
            <v>H</v>
          </cell>
          <cell r="U902" t="str">
            <v>H</v>
          </cell>
          <cell r="V902" t="str">
            <v>H</v>
          </cell>
          <cell r="W902" t="str">
            <v>H</v>
          </cell>
        </row>
        <row r="903">
          <cell r="A903">
            <v>45169</v>
          </cell>
          <cell r="B903">
            <v>51700</v>
          </cell>
          <cell r="C903">
            <v>51500</v>
          </cell>
          <cell r="D903">
            <v>50200</v>
          </cell>
          <cell r="E903">
            <v>48000</v>
          </cell>
          <cell r="F903">
            <v>53000</v>
          </cell>
          <cell r="G903" t="str">
            <v>-</v>
          </cell>
          <cell r="H903">
            <v>50800</v>
          </cell>
          <cell r="I903">
            <v>50800</v>
          </cell>
          <cell r="J903">
            <v>51700</v>
          </cell>
          <cell r="K903" t="str">
            <v>-</v>
          </cell>
          <cell r="L903">
            <v>52000</v>
          </cell>
          <cell r="M903">
            <v>51500</v>
          </cell>
          <cell r="N903">
            <v>49700</v>
          </cell>
          <cell r="O903">
            <v>49200</v>
          </cell>
          <cell r="P903">
            <v>48500</v>
          </cell>
          <cell r="Q903">
            <v>48500</v>
          </cell>
          <cell r="R903">
            <v>48800</v>
          </cell>
          <cell r="S903">
            <v>50500</v>
          </cell>
          <cell r="T903">
            <v>51000</v>
          </cell>
          <cell r="U903">
            <v>53800</v>
          </cell>
          <cell r="V903">
            <v>53500</v>
          </cell>
          <cell r="W903">
            <v>55700</v>
          </cell>
        </row>
        <row r="904">
          <cell r="A904">
            <v>45170</v>
          </cell>
          <cell r="B904">
            <v>51700</v>
          </cell>
          <cell r="C904">
            <v>51800</v>
          </cell>
          <cell r="D904">
            <v>51000</v>
          </cell>
          <cell r="E904">
            <v>47900</v>
          </cell>
          <cell r="F904">
            <v>53000</v>
          </cell>
          <cell r="G904" t="str">
            <v>-</v>
          </cell>
          <cell r="H904">
            <v>52000</v>
          </cell>
          <cell r="I904">
            <v>51000</v>
          </cell>
          <cell r="J904">
            <v>51700</v>
          </cell>
          <cell r="K904" t="str">
            <v>-</v>
          </cell>
          <cell r="L904">
            <v>52000</v>
          </cell>
          <cell r="M904">
            <v>51600</v>
          </cell>
          <cell r="N904">
            <v>50400</v>
          </cell>
          <cell r="O904">
            <v>49200</v>
          </cell>
          <cell r="P904">
            <v>48800</v>
          </cell>
          <cell r="Q904">
            <v>48300</v>
          </cell>
          <cell r="R904">
            <v>49000</v>
          </cell>
          <cell r="S904">
            <v>50400</v>
          </cell>
          <cell r="T904">
            <v>51000</v>
          </cell>
          <cell r="U904">
            <v>53800</v>
          </cell>
          <cell r="V904">
            <v>53500</v>
          </cell>
          <cell r="W904">
            <v>56200</v>
          </cell>
        </row>
        <row r="905">
          <cell r="A905">
            <v>45171</v>
          </cell>
          <cell r="B905">
            <v>51700</v>
          </cell>
          <cell r="C905">
            <v>52000</v>
          </cell>
          <cell r="D905">
            <v>51300</v>
          </cell>
          <cell r="E905">
            <v>47800</v>
          </cell>
          <cell r="F905">
            <v>53800</v>
          </cell>
          <cell r="G905" t="str">
            <v>-</v>
          </cell>
          <cell r="H905">
            <v>52000</v>
          </cell>
          <cell r="I905">
            <v>50800</v>
          </cell>
          <cell r="J905">
            <v>51700</v>
          </cell>
          <cell r="K905" t="str">
            <v>-</v>
          </cell>
          <cell r="L905">
            <v>51900</v>
          </cell>
          <cell r="M905">
            <v>51600</v>
          </cell>
          <cell r="N905">
            <v>50300</v>
          </cell>
          <cell r="O905">
            <v>49200</v>
          </cell>
          <cell r="P905">
            <v>48500</v>
          </cell>
          <cell r="Q905">
            <v>48400</v>
          </cell>
          <cell r="R905">
            <v>49000</v>
          </cell>
          <cell r="S905">
            <v>50300</v>
          </cell>
          <cell r="T905">
            <v>51000</v>
          </cell>
          <cell r="U905">
            <v>53800</v>
          </cell>
          <cell r="V905">
            <v>53500</v>
          </cell>
          <cell r="W905">
            <v>56200</v>
          </cell>
        </row>
        <row r="906">
          <cell r="A906">
            <v>45172</v>
          </cell>
          <cell r="B906" t="str">
            <v>H</v>
          </cell>
          <cell r="C906" t="str">
            <v>H</v>
          </cell>
          <cell r="D906" t="str">
            <v>H</v>
          </cell>
          <cell r="E906" t="str">
            <v>H</v>
          </cell>
          <cell r="F906" t="str">
            <v>H</v>
          </cell>
          <cell r="G906" t="str">
            <v>H</v>
          </cell>
          <cell r="H906" t="str">
            <v>H</v>
          </cell>
          <cell r="I906" t="str">
            <v>H</v>
          </cell>
          <cell r="J906" t="str">
            <v>H</v>
          </cell>
          <cell r="K906" t="str">
            <v>H</v>
          </cell>
          <cell r="L906" t="str">
            <v>H</v>
          </cell>
          <cell r="M906" t="str">
            <v>H</v>
          </cell>
          <cell r="N906" t="str">
            <v>H</v>
          </cell>
          <cell r="O906" t="str">
            <v>H</v>
          </cell>
          <cell r="P906" t="str">
            <v>H</v>
          </cell>
          <cell r="Q906" t="str">
            <v>H</v>
          </cell>
          <cell r="R906" t="str">
            <v>H</v>
          </cell>
          <cell r="S906" t="str">
            <v>H</v>
          </cell>
          <cell r="T906" t="str">
            <v>H</v>
          </cell>
          <cell r="U906" t="str">
            <v>H</v>
          </cell>
          <cell r="V906" t="str">
            <v>H</v>
          </cell>
          <cell r="W906" t="str">
            <v>H</v>
          </cell>
        </row>
        <row r="907">
          <cell r="A907">
            <v>45173</v>
          </cell>
          <cell r="B907">
            <v>51600</v>
          </cell>
          <cell r="C907">
            <v>52300</v>
          </cell>
          <cell r="D907">
            <v>51300</v>
          </cell>
          <cell r="E907">
            <v>48000</v>
          </cell>
          <cell r="F907">
            <v>53900</v>
          </cell>
          <cell r="G907" t="str">
            <v>-</v>
          </cell>
          <cell r="H907">
            <v>52000</v>
          </cell>
          <cell r="I907">
            <v>50800</v>
          </cell>
          <cell r="J907">
            <v>51700</v>
          </cell>
          <cell r="K907" t="str">
            <v>-</v>
          </cell>
          <cell r="L907">
            <v>52000</v>
          </cell>
          <cell r="M907">
            <v>51600</v>
          </cell>
          <cell r="N907">
            <v>50700</v>
          </cell>
          <cell r="O907">
            <v>49200</v>
          </cell>
          <cell r="P907">
            <v>48700</v>
          </cell>
          <cell r="Q907">
            <v>48600</v>
          </cell>
          <cell r="R907">
            <v>49300</v>
          </cell>
          <cell r="S907">
            <v>50500</v>
          </cell>
          <cell r="T907">
            <v>51100</v>
          </cell>
          <cell r="U907">
            <v>53800</v>
          </cell>
          <cell r="V907">
            <v>53500</v>
          </cell>
          <cell r="W907">
            <v>56000</v>
          </cell>
        </row>
        <row r="908">
          <cell r="A908">
            <v>45174</v>
          </cell>
          <cell r="B908">
            <v>51900</v>
          </cell>
          <cell r="C908">
            <v>52300</v>
          </cell>
          <cell r="D908">
            <v>51300</v>
          </cell>
          <cell r="E908">
            <v>48200</v>
          </cell>
          <cell r="F908">
            <v>53900</v>
          </cell>
          <cell r="G908" t="str">
            <v>-</v>
          </cell>
          <cell r="H908">
            <v>51500</v>
          </cell>
          <cell r="I908">
            <v>51000</v>
          </cell>
          <cell r="J908">
            <v>51700</v>
          </cell>
          <cell r="K908" t="str">
            <v>-</v>
          </cell>
          <cell r="L908">
            <v>52200</v>
          </cell>
          <cell r="M908">
            <v>52000</v>
          </cell>
          <cell r="N908">
            <v>51000</v>
          </cell>
          <cell r="O908">
            <v>49200</v>
          </cell>
          <cell r="P908">
            <v>48700</v>
          </cell>
          <cell r="Q908">
            <v>48700</v>
          </cell>
          <cell r="R908">
            <v>49300</v>
          </cell>
          <cell r="S908">
            <v>50700</v>
          </cell>
          <cell r="T908">
            <v>51100</v>
          </cell>
          <cell r="U908">
            <v>53800</v>
          </cell>
          <cell r="V908">
            <v>53500</v>
          </cell>
          <cell r="W908">
            <v>56000</v>
          </cell>
        </row>
        <row r="909">
          <cell r="A909">
            <v>45175</v>
          </cell>
          <cell r="B909">
            <v>51700</v>
          </cell>
          <cell r="C909">
            <v>52300</v>
          </cell>
          <cell r="D909">
            <v>51300</v>
          </cell>
          <cell r="E909">
            <v>48000</v>
          </cell>
          <cell r="F909">
            <v>53900</v>
          </cell>
          <cell r="G909" t="str">
            <v>-</v>
          </cell>
          <cell r="H909">
            <v>51500</v>
          </cell>
          <cell r="I909">
            <v>50800</v>
          </cell>
          <cell r="J909">
            <v>51700</v>
          </cell>
          <cell r="K909" t="str">
            <v>-</v>
          </cell>
          <cell r="L909">
            <v>52100</v>
          </cell>
          <cell r="M909">
            <v>52200</v>
          </cell>
          <cell r="N909">
            <v>50800</v>
          </cell>
          <cell r="O909">
            <v>49200</v>
          </cell>
          <cell r="P909">
            <v>48500</v>
          </cell>
          <cell r="Q909">
            <v>48400</v>
          </cell>
          <cell r="R909">
            <v>49300</v>
          </cell>
          <cell r="S909">
            <v>50500</v>
          </cell>
          <cell r="T909">
            <v>51000</v>
          </cell>
          <cell r="U909">
            <v>53800</v>
          </cell>
          <cell r="V909">
            <v>53500</v>
          </cell>
          <cell r="W909">
            <v>56000</v>
          </cell>
        </row>
        <row r="910">
          <cell r="A910">
            <v>45176</v>
          </cell>
          <cell r="B910" t="str">
            <v>-</v>
          </cell>
          <cell r="C910">
            <v>52200</v>
          </cell>
          <cell r="D910">
            <v>51100</v>
          </cell>
          <cell r="E910">
            <v>47800</v>
          </cell>
          <cell r="F910">
            <v>53900</v>
          </cell>
          <cell r="G910" t="str">
            <v>-</v>
          </cell>
          <cell r="H910">
            <v>51500</v>
          </cell>
          <cell r="I910">
            <v>50800</v>
          </cell>
          <cell r="J910">
            <v>51700</v>
          </cell>
          <cell r="K910" t="str">
            <v>-</v>
          </cell>
          <cell r="L910">
            <v>52000</v>
          </cell>
          <cell r="M910">
            <v>52200</v>
          </cell>
          <cell r="N910">
            <v>50600</v>
          </cell>
          <cell r="O910">
            <v>49200</v>
          </cell>
          <cell r="P910">
            <v>48500</v>
          </cell>
          <cell r="Q910">
            <v>48300</v>
          </cell>
          <cell r="R910">
            <v>49300</v>
          </cell>
          <cell r="S910">
            <v>50300</v>
          </cell>
          <cell r="T910">
            <v>50700</v>
          </cell>
          <cell r="U910">
            <v>53800</v>
          </cell>
          <cell r="V910">
            <v>53200</v>
          </cell>
          <cell r="W910">
            <v>55700</v>
          </cell>
        </row>
        <row r="911">
          <cell r="A911">
            <v>45177</v>
          </cell>
          <cell r="B911">
            <v>51500</v>
          </cell>
          <cell r="C911">
            <v>52000</v>
          </cell>
          <cell r="D911">
            <v>51100</v>
          </cell>
          <cell r="E911">
            <v>47400</v>
          </cell>
          <cell r="F911">
            <v>53800</v>
          </cell>
          <cell r="G911" t="str">
            <v>-</v>
          </cell>
          <cell r="H911">
            <v>51000</v>
          </cell>
          <cell r="I911">
            <v>50500</v>
          </cell>
          <cell r="J911">
            <v>51700</v>
          </cell>
          <cell r="K911" t="str">
            <v>-</v>
          </cell>
          <cell r="L911">
            <v>51900</v>
          </cell>
          <cell r="M911">
            <v>52200</v>
          </cell>
          <cell r="N911">
            <v>50200</v>
          </cell>
          <cell r="O911">
            <v>48700</v>
          </cell>
          <cell r="P911">
            <v>48300</v>
          </cell>
          <cell r="Q911">
            <v>48200</v>
          </cell>
          <cell r="R911">
            <v>49000</v>
          </cell>
          <cell r="S911">
            <v>49900</v>
          </cell>
          <cell r="T911">
            <v>50600</v>
          </cell>
          <cell r="U911">
            <v>53800</v>
          </cell>
          <cell r="V911">
            <v>53200</v>
          </cell>
          <cell r="W911">
            <v>55700</v>
          </cell>
        </row>
        <row r="912">
          <cell r="A912">
            <v>45178</v>
          </cell>
          <cell r="B912">
            <v>51500</v>
          </cell>
          <cell r="C912">
            <v>52000</v>
          </cell>
          <cell r="D912">
            <v>50800</v>
          </cell>
          <cell r="E912">
            <v>47200</v>
          </cell>
          <cell r="F912">
            <v>53700</v>
          </cell>
          <cell r="G912" t="str">
            <v>-</v>
          </cell>
          <cell r="H912">
            <v>51000</v>
          </cell>
          <cell r="I912">
            <v>50400</v>
          </cell>
          <cell r="J912">
            <v>51700</v>
          </cell>
          <cell r="K912" t="str">
            <v>-</v>
          </cell>
          <cell r="L912">
            <v>51600</v>
          </cell>
          <cell r="M912">
            <v>52200</v>
          </cell>
          <cell r="N912">
            <v>50200</v>
          </cell>
          <cell r="O912">
            <v>48700</v>
          </cell>
          <cell r="P912">
            <v>47500</v>
          </cell>
          <cell r="Q912">
            <v>47500</v>
          </cell>
          <cell r="R912">
            <v>48500</v>
          </cell>
          <cell r="S912">
            <v>49700</v>
          </cell>
          <cell r="T912">
            <v>50200</v>
          </cell>
          <cell r="U912">
            <v>53800</v>
          </cell>
          <cell r="V912">
            <v>53000</v>
          </cell>
          <cell r="W912">
            <v>55500</v>
          </cell>
        </row>
        <row r="913">
          <cell r="A913">
            <v>45179</v>
          </cell>
          <cell r="B913" t="str">
            <v>H</v>
          </cell>
          <cell r="C913" t="str">
            <v>H</v>
          </cell>
          <cell r="D913" t="str">
            <v>H</v>
          </cell>
          <cell r="E913" t="str">
            <v>H</v>
          </cell>
          <cell r="F913" t="str">
            <v>H</v>
          </cell>
          <cell r="G913" t="str">
            <v>H</v>
          </cell>
          <cell r="H913" t="str">
            <v>H</v>
          </cell>
          <cell r="I913" t="str">
            <v>H</v>
          </cell>
          <cell r="J913" t="str">
            <v>H</v>
          </cell>
          <cell r="K913" t="str">
            <v>H</v>
          </cell>
          <cell r="L913" t="str">
            <v>H</v>
          </cell>
          <cell r="M913" t="str">
            <v>H</v>
          </cell>
          <cell r="N913" t="str">
            <v>H</v>
          </cell>
          <cell r="O913" t="str">
            <v>H</v>
          </cell>
          <cell r="P913" t="str">
            <v>H</v>
          </cell>
          <cell r="Q913" t="str">
            <v>H</v>
          </cell>
          <cell r="R913" t="str">
            <v>H</v>
          </cell>
          <cell r="S913" t="str">
            <v>H</v>
          </cell>
          <cell r="T913" t="str">
            <v>H</v>
          </cell>
          <cell r="U913" t="str">
            <v>H</v>
          </cell>
          <cell r="V913" t="str">
            <v>H</v>
          </cell>
          <cell r="W913" t="str">
            <v>H</v>
          </cell>
        </row>
        <row r="914">
          <cell r="A914">
            <v>45180</v>
          </cell>
          <cell r="B914">
            <v>51500</v>
          </cell>
          <cell r="C914">
            <v>52000</v>
          </cell>
          <cell r="D914">
            <v>50500</v>
          </cell>
          <cell r="E914">
            <v>47000</v>
          </cell>
          <cell r="F914">
            <v>53000</v>
          </cell>
          <cell r="G914" t="str">
            <v>-</v>
          </cell>
          <cell r="H914">
            <v>50500</v>
          </cell>
          <cell r="I914">
            <v>50300</v>
          </cell>
          <cell r="J914">
            <v>51500</v>
          </cell>
          <cell r="K914" t="str">
            <v>-</v>
          </cell>
          <cell r="L914">
            <v>51500</v>
          </cell>
          <cell r="M914">
            <v>52200</v>
          </cell>
          <cell r="N914">
            <v>49900</v>
          </cell>
          <cell r="O914">
            <v>48500</v>
          </cell>
          <cell r="P914">
            <v>47400</v>
          </cell>
          <cell r="Q914">
            <v>47500</v>
          </cell>
          <cell r="R914">
            <v>48300</v>
          </cell>
          <cell r="S914">
            <v>49500</v>
          </cell>
          <cell r="T914">
            <v>50200</v>
          </cell>
          <cell r="U914">
            <v>53800</v>
          </cell>
          <cell r="V914">
            <v>53000</v>
          </cell>
          <cell r="W914">
            <v>55500</v>
          </cell>
        </row>
        <row r="915">
          <cell r="A915">
            <v>45181</v>
          </cell>
          <cell r="B915">
            <v>51200</v>
          </cell>
          <cell r="C915">
            <v>51700</v>
          </cell>
          <cell r="D915">
            <v>50300</v>
          </cell>
          <cell r="E915">
            <v>46800</v>
          </cell>
          <cell r="F915">
            <v>52500</v>
          </cell>
          <cell r="G915" t="str">
            <v>-</v>
          </cell>
          <cell r="H915">
            <v>50500</v>
          </cell>
          <cell r="I915">
            <v>49800</v>
          </cell>
          <cell r="J915">
            <v>51800</v>
          </cell>
          <cell r="K915" t="str">
            <v>-</v>
          </cell>
          <cell r="L915">
            <v>51200</v>
          </cell>
          <cell r="M915">
            <v>51700</v>
          </cell>
          <cell r="N915">
            <v>49600</v>
          </cell>
          <cell r="O915">
            <v>48300</v>
          </cell>
          <cell r="P915">
            <v>46900</v>
          </cell>
          <cell r="Q915">
            <v>47000</v>
          </cell>
          <cell r="R915">
            <v>47800</v>
          </cell>
          <cell r="S915">
            <v>49300</v>
          </cell>
          <cell r="T915">
            <v>49700</v>
          </cell>
          <cell r="U915">
            <v>53300</v>
          </cell>
          <cell r="V915">
            <v>53000</v>
          </cell>
          <cell r="W915">
            <v>55500</v>
          </cell>
        </row>
        <row r="916">
          <cell r="A916">
            <v>45182</v>
          </cell>
          <cell r="B916">
            <v>51200</v>
          </cell>
          <cell r="C916">
            <v>51500</v>
          </cell>
          <cell r="D916">
            <v>50500</v>
          </cell>
          <cell r="E916">
            <v>46800</v>
          </cell>
          <cell r="F916">
            <v>52800</v>
          </cell>
          <cell r="G916" t="str">
            <v>-</v>
          </cell>
          <cell r="H916">
            <v>51000</v>
          </cell>
          <cell r="I916">
            <v>50000</v>
          </cell>
          <cell r="J916">
            <v>51800</v>
          </cell>
          <cell r="K916" t="str">
            <v>-</v>
          </cell>
          <cell r="L916">
            <v>51300</v>
          </cell>
          <cell r="M916">
            <v>51700</v>
          </cell>
          <cell r="N916">
            <v>50000</v>
          </cell>
          <cell r="O916">
            <v>48300</v>
          </cell>
          <cell r="P916">
            <v>47200</v>
          </cell>
          <cell r="Q916">
            <v>47400</v>
          </cell>
          <cell r="R916">
            <v>47800</v>
          </cell>
          <cell r="S916">
            <v>49100</v>
          </cell>
          <cell r="T916">
            <v>50000</v>
          </cell>
          <cell r="U916">
            <v>53300</v>
          </cell>
          <cell r="V916">
            <v>53000</v>
          </cell>
          <cell r="W916">
            <v>55500</v>
          </cell>
        </row>
        <row r="917">
          <cell r="A917">
            <v>45183</v>
          </cell>
          <cell r="B917">
            <v>51400</v>
          </cell>
          <cell r="C917">
            <v>51500</v>
          </cell>
          <cell r="D917">
            <v>50700</v>
          </cell>
          <cell r="E917">
            <v>47400</v>
          </cell>
          <cell r="F917">
            <v>53200</v>
          </cell>
          <cell r="G917" t="str">
            <v>-</v>
          </cell>
          <cell r="H917">
            <v>51000</v>
          </cell>
          <cell r="I917">
            <v>50000</v>
          </cell>
          <cell r="J917">
            <v>51800</v>
          </cell>
          <cell r="K917" t="str">
            <v>-</v>
          </cell>
          <cell r="L917">
            <v>51300</v>
          </cell>
          <cell r="M917">
            <v>51700</v>
          </cell>
          <cell r="N917">
            <v>50000</v>
          </cell>
          <cell r="O917">
            <v>48300</v>
          </cell>
          <cell r="P917">
            <v>47200</v>
          </cell>
          <cell r="Q917">
            <v>47400</v>
          </cell>
          <cell r="R917">
            <v>47800</v>
          </cell>
          <cell r="S917">
            <v>49700</v>
          </cell>
          <cell r="T917">
            <v>50000</v>
          </cell>
          <cell r="U917">
            <v>53300</v>
          </cell>
          <cell r="V917">
            <v>53000</v>
          </cell>
          <cell r="W917">
            <v>55500</v>
          </cell>
        </row>
        <row r="918">
          <cell r="A918">
            <v>45184</v>
          </cell>
          <cell r="B918">
            <v>51500</v>
          </cell>
          <cell r="C918">
            <v>51500</v>
          </cell>
          <cell r="D918">
            <v>50900</v>
          </cell>
          <cell r="E918">
            <v>47800</v>
          </cell>
          <cell r="F918">
            <v>53500</v>
          </cell>
          <cell r="G918" t="str">
            <v>-</v>
          </cell>
          <cell r="H918">
            <v>51500</v>
          </cell>
          <cell r="I918">
            <v>50300</v>
          </cell>
          <cell r="J918">
            <v>51800</v>
          </cell>
          <cell r="K918" t="str">
            <v>-</v>
          </cell>
          <cell r="L918">
            <v>51700</v>
          </cell>
          <cell r="M918">
            <v>51700</v>
          </cell>
          <cell r="N918">
            <v>50300</v>
          </cell>
          <cell r="O918">
            <v>49200</v>
          </cell>
          <cell r="P918">
            <v>47500</v>
          </cell>
          <cell r="Q918">
            <v>47700</v>
          </cell>
          <cell r="R918">
            <v>48300</v>
          </cell>
          <cell r="S918">
            <v>50100</v>
          </cell>
          <cell r="T918">
            <v>50500</v>
          </cell>
          <cell r="U918">
            <v>53800</v>
          </cell>
          <cell r="V918">
            <v>53000</v>
          </cell>
          <cell r="W918">
            <v>55800</v>
          </cell>
        </row>
        <row r="919">
          <cell r="A919">
            <v>45185</v>
          </cell>
          <cell r="B919">
            <v>51500</v>
          </cell>
          <cell r="C919">
            <v>51800</v>
          </cell>
          <cell r="D919">
            <v>50700</v>
          </cell>
          <cell r="E919">
            <v>47800</v>
          </cell>
          <cell r="F919">
            <v>53500</v>
          </cell>
          <cell r="G919" t="str">
            <v>-</v>
          </cell>
          <cell r="H919">
            <v>52000</v>
          </cell>
          <cell r="I919">
            <v>50300</v>
          </cell>
          <cell r="J919">
            <v>51800</v>
          </cell>
          <cell r="K919" t="str">
            <v>-</v>
          </cell>
          <cell r="L919">
            <v>51800</v>
          </cell>
          <cell r="M919">
            <v>51900</v>
          </cell>
          <cell r="N919">
            <v>50200</v>
          </cell>
          <cell r="O919">
            <v>49200</v>
          </cell>
          <cell r="P919">
            <v>47500</v>
          </cell>
          <cell r="Q919">
            <v>47700</v>
          </cell>
          <cell r="R919">
            <v>48300</v>
          </cell>
          <cell r="S919">
            <v>50100</v>
          </cell>
          <cell r="T919">
            <v>50500</v>
          </cell>
          <cell r="U919">
            <v>53800</v>
          </cell>
          <cell r="V919">
            <v>53200</v>
          </cell>
          <cell r="W919">
            <v>55800</v>
          </cell>
        </row>
        <row r="920">
          <cell r="A920">
            <v>45186</v>
          </cell>
          <cell r="B920" t="str">
            <v>H</v>
          </cell>
          <cell r="C920" t="str">
            <v>H</v>
          </cell>
          <cell r="D920" t="str">
            <v>H</v>
          </cell>
          <cell r="E920" t="str">
            <v>H</v>
          </cell>
          <cell r="F920" t="str">
            <v>H</v>
          </cell>
          <cell r="G920" t="str">
            <v>H</v>
          </cell>
          <cell r="H920" t="str">
            <v>H</v>
          </cell>
          <cell r="I920" t="str">
            <v>H</v>
          </cell>
          <cell r="J920" t="str">
            <v>H</v>
          </cell>
          <cell r="K920" t="str">
            <v>H</v>
          </cell>
          <cell r="L920" t="str">
            <v>H</v>
          </cell>
          <cell r="M920" t="str">
            <v>H</v>
          </cell>
          <cell r="N920" t="str">
            <v>H</v>
          </cell>
          <cell r="O920" t="str">
            <v>H</v>
          </cell>
          <cell r="P920" t="str">
            <v>H</v>
          </cell>
          <cell r="Q920" t="str">
            <v>H</v>
          </cell>
          <cell r="R920" t="str">
            <v>H</v>
          </cell>
          <cell r="S920" t="str">
            <v>H</v>
          </cell>
          <cell r="T920" t="str">
            <v>H</v>
          </cell>
          <cell r="U920" t="str">
            <v>H</v>
          </cell>
          <cell r="V920" t="str">
            <v>H</v>
          </cell>
          <cell r="W920" t="str">
            <v>H</v>
          </cell>
        </row>
        <row r="921">
          <cell r="A921">
            <v>45187</v>
          </cell>
          <cell r="B921">
            <v>51800</v>
          </cell>
          <cell r="C921">
            <v>51800</v>
          </cell>
          <cell r="D921">
            <v>51200</v>
          </cell>
          <cell r="E921">
            <v>48100</v>
          </cell>
          <cell r="F921">
            <v>53500</v>
          </cell>
          <cell r="G921" t="str">
            <v>-</v>
          </cell>
          <cell r="H921">
            <v>52000</v>
          </cell>
          <cell r="I921">
            <v>50800</v>
          </cell>
          <cell r="J921">
            <v>51800</v>
          </cell>
          <cell r="K921" t="str">
            <v>-</v>
          </cell>
          <cell r="L921">
            <v>52100</v>
          </cell>
          <cell r="M921">
            <v>52100</v>
          </cell>
          <cell r="N921">
            <v>50200</v>
          </cell>
          <cell r="O921">
            <v>49200</v>
          </cell>
          <cell r="P921">
            <v>47500</v>
          </cell>
          <cell r="Q921">
            <v>47700</v>
          </cell>
          <cell r="R921">
            <v>48300</v>
          </cell>
          <cell r="S921">
            <v>50400</v>
          </cell>
          <cell r="T921">
            <v>50500</v>
          </cell>
          <cell r="U921">
            <v>53800</v>
          </cell>
          <cell r="V921">
            <v>53300</v>
          </cell>
          <cell r="W921">
            <v>56200</v>
          </cell>
        </row>
        <row r="922">
          <cell r="A922">
            <v>45188</v>
          </cell>
          <cell r="B922">
            <v>51800</v>
          </cell>
          <cell r="C922">
            <v>51800</v>
          </cell>
          <cell r="D922">
            <v>51200</v>
          </cell>
          <cell r="E922">
            <v>48200</v>
          </cell>
          <cell r="F922">
            <v>53500</v>
          </cell>
          <cell r="G922" t="str">
            <v>-</v>
          </cell>
          <cell r="H922">
            <v>52000</v>
          </cell>
          <cell r="I922">
            <v>50800</v>
          </cell>
          <cell r="J922">
            <v>51800</v>
          </cell>
          <cell r="K922" t="str">
            <v>-</v>
          </cell>
          <cell r="L922">
            <v>52300</v>
          </cell>
          <cell r="M922">
            <v>52100</v>
          </cell>
          <cell r="N922">
            <v>50200</v>
          </cell>
          <cell r="O922">
            <v>49500</v>
          </cell>
          <cell r="P922">
            <v>47600</v>
          </cell>
          <cell r="Q922">
            <v>47900</v>
          </cell>
          <cell r="R922">
            <v>48500</v>
          </cell>
          <cell r="S922">
            <v>50500</v>
          </cell>
          <cell r="T922">
            <v>50800</v>
          </cell>
          <cell r="U922">
            <v>53800</v>
          </cell>
          <cell r="V922">
            <v>53500</v>
          </cell>
          <cell r="W922">
            <v>56300</v>
          </cell>
        </row>
        <row r="923">
          <cell r="A923">
            <v>45189</v>
          </cell>
          <cell r="B923">
            <v>51600</v>
          </cell>
          <cell r="C923">
            <v>51700</v>
          </cell>
          <cell r="D923">
            <v>51000</v>
          </cell>
          <cell r="E923">
            <v>47800</v>
          </cell>
          <cell r="F923">
            <v>53500</v>
          </cell>
          <cell r="G923" t="str">
            <v>-</v>
          </cell>
          <cell r="H923">
            <v>51500</v>
          </cell>
          <cell r="I923">
            <v>50700</v>
          </cell>
          <cell r="J923">
            <v>51800</v>
          </cell>
          <cell r="K923" t="str">
            <v>-</v>
          </cell>
          <cell r="L923">
            <v>52000</v>
          </cell>
          <cell r="M923">
            <v>52100</v>
          </cell>
          <cell r="N923">
            <v>50200</v>
          </cell>
          <cell r="O923">
            <v>49100</v>
          </cell>
          <cell r="P923">
            <v>47200</v>
          </cell>
          <cell r="Q923">
            <v>47600</v>
          </cell>
          <cell r="R923">
            <v>48200</v>
          </cell>
          <cell r="S923">
            <v>50100</v>
          </cell>
          <cell r="T923">
            <v>50800</v>
          </cell>
          <cell r="U923">
            <v>53800</v>
          </cell>
          <cell r="V923">
            <v>53700</v>
          </cell>
          <cell r="W923">
            <v>56600</v>
          </cell>
        </row>
        <row r="924">
          <cell r="A924">
            <v>45190</v>
          </cell>
          <cell r="B924">
            <v>51300</v>
          </cell>
          <cell r="C924">
            <v>51700</v>
          </cell>
          <cell r="D924">
            <v>50600</v>
          </cell>
          <cell r="E924">
            <v>47100</v>
          </cell>
          <cell r="F924">
            <v>53500</v>
          </cell>
          <cell r="G924" t="str">
            <v>-</v>
          </cell>
          <cell r="H924">
            <v>51500</v>
          </cell>
          <cell r="I924">
            <v>50300</v>
          </cell>
          <cell r="J924">
            <v>51800</v>
          </cell>
          <cell r="K924" t="str">
            <v>-</v>
          </cell>
          <cell r="L924">
            <v>51700</v>
          </cell>
          <cell r="M924">
            <v>52100</v>
          </cell>
          <cell r="N924">
            <v>49700</v>
          </cell>
          <cell r="O924">
            <v>48700</v>
          </cell>
          <cell r="P924">
            <v>46900</v>
          </cell>
          <cell r="Q924">
            <v>47000</v>
          </cell>
          <cell r="R924">
            <v>47800</v>
          </cell>
          <cell r="S924">
            <v>49400</v>
          </cell>
          <cell r="T924">
            <v>50400</v>
          </cell>
          <cell r="U924">
            <v>53800</v>
          </cell>
          <cell r="V924">
            <v>53700</v>
          </cell>
          <cell r="W924">
            <v>56600</v>
          </cell>
        </row>
        <row r="925">
          <cell r="A925">
            <v>45191</v>
          </cell>
          <cell r="B925">
            <v>51300</v>
          </cell>
          <cell r="C925">
            <v>51500</v>
          </cell>
          <cell r="D925">
            <v>50400</v>
          </cell>
          <cell r="E925">
            <v>46700</v>
          </cell>
          <cell r="F925">
            <v>53200</v>
          </cell>
          <cell r="G925" t="str">
            <v>-</v>
          </cell>
          <cell r="H925">
            <v>51500</v>
          </cell>
          <cell r="I925">
            <v>50200</v>
          </cell>
          <cell r="J925">
            <v>51500</v>
          </cell>
          <cell r="K925" t="str">
            <v>-</v>
          </cell>
          <cell r="L925">
            <v>51500</v>
          </cell>
          <cell r="M925">
            <v>52100</v>
          </cell>
          <cell r="N925">
            <v>49400</v>
          </cell>
          <cell r="O925">
            <v>48300</v>
          </cell>
          <cell r="P925">
            <v>46600</v>
          </cell>
          <cell r="Q925">
            <v>46900</v>
          </cell>
          <cell r="R925">
            <v>47500</v>
          </cell>
          <cell r="S925">
            <v>49000</v>
          </cell>
          <cell r="T925">
            <v>50000</v>
          </cell>
          <cell r="U925">
            <v>53800</v>
          </cell>
          <cell r="V925">
            <v>53400</v>
          </cell>
          <cell r="W925">
            <v>56400</v>
          </cell>
        </row>
        <row r="926">
          <cell r="A926">
            <v>45192</v>
          </cell>
          <cell r="B926">
            <v>51000</v>
          </cell>
          <cell r="C926">
            <v>51500</v>
          </cell>
          <cell r="D926">
            <v>49700</v>
          </cell>
          <cell r="E926">
            <v>46400</v>
          </cell>
          <cell r="F926">
            <v>53200</v>
          </cell>
          <cell r="G926" t="str">
            <v>-</v>
          </cell>
          <cell r="H926">
            <v>51000</v>
          </cell>
          <cell r="I926">
            <v>50000</v>
          </cell>
          <cell r="J926">
            <v>51500</v>
          </cell>
          <cell r="K926" t="str">
            <v>-</v>
          </cell>
          <cell r="L926">
            <v>51200</v>
          </cell>
          <cell r="M926">
            <v>52100</v>
          </cell>
          <cell r="N926">
            <v>48800</v>
          </cell>
          <cell r="O926">
            <v>48000</v>
          </cell>
          <cell r="P926">
            <v>46300</v>
          </cell>
          <cell r="Q926">
            <v>46700</v>
          </cell>
          <cell r="R926">
            <v>47200</v>
          </cell>
          <cell r="S926">
            <v>48700</v>
          </cell>
          <cell r="T926">
            <v>49800</v>
          </cell>
          <cell r="U926">
            <v>53300</v>
          </cell>
          <cell r="V926">
            <v>53400</v>
          </cell>
          <cell r="W926">
            <v>56400</v>
          </cell>
        </row>
        <row r="927">
          <cell r="A927">
            <v>45193</v>
          </cell>
          <cell r="B927" t="str">
            <v>H</v>
          </cell>
          <cell r="C927" t="str">
            <v>H</v>
          </cell>
          <cell r="D927" t="str">
            <v>H</v>
          </cell>
          <cell r="E927" t="str">
            <v>H</v>
          </cell>
          <cell r="F927" t="str">
            <v>H</v>
          </cell>
          <cell r="G927" t="str">
            <v>H</v>
          </cell>
          <cell r="H927" t="str">
            <v>H</v>
          </cell>
          <cell r="I927" t="str">
            <v>H</v>
          </cell>
          <cell r="J927" t="str">
            <v>H</v>
          </cell>
          <cell r="K927" t="str">
            <v>H</v>
          </cell>
          <cell r="L927" t="str">
            <v>H</v>
          </cell>
          <cell r="M927" t="str">
            <v>H</v>
          </cell>
          <cell r="N927" t="str">
            <v>H</v>
          </cell>
          <cell r="O927" t="str">
            <v>H</v>
          </cell>
          <cell r="P927" t="str">
            <v>H</v>
          </cell>
          <cell r="Q927" t="str">
            <v>H</v>
          </cell>
          <cell r="R927" t="str">
            <v>H</v>
          </cell>
          <cell r="S927" t="str">
            <v>H</v>
          </cell>
          <cell r="T927" t="str">
            <v>H</v>
          </cell>
          <cell r="U927" t="str">
            <v>H</v>
          </cell>
          <cell r="V927" t="str">
            <v>H</v>
          </cell>
          <cell r="W927" t="str">
            <v>H</v>
          </cell>
        </row>
        <row r="928">
          <cell r="A928">
            <v>45194</v>
          </cell>
          <cell r="B928">
            <v>51000</v>
          </cell>
          <cell r="C928">
            <v>51500</v>
          </cell>
          <cell r="D928">
            <v>49700</v>
          </cell>
          <cell r="E928">
            <v>46900</v>
          </cell>
          <cell r="F928">
            <v>52900</v>
          </cell>
          <cell r="G928" t="str">
            <v>-</v>
          </cell>
          <cell r="H928">
            <v>51000</v>
          </cell>
          <cell r="I928">
            <v>49900</v>
          </cell>
          <cell r="J928">
            <v>51000</v>
          </cell>
          <cell r="K928" t="str">
            <v>-</v>
          </cell>
          <cell r="L928">
            <v>51200</v>
          </cell>
          <cell r="M928">
            <v>52100</v>
          </cell>
          <cell r="N928">
            <v>49000</v>
          </cell>
          <cell r="O928">
            <v>48000</v>
          </cell>
          <cell r="P928">
            <v>46500</v>
          </cell>
          <cell r="Q928">
            <v>46600</v>
          </cell>
          <cell r="R928">
            <v>47200</v>
          </cell>
          <cell r="S928">
            <v>49200</v>
          </cell>
          <cell r="T928">
            <v>50000</v>
          </cell>
          <cell r="U928">
            <v>53300</v>
          </cell>
          <cell r="V928">
            <v>53200</v>
          </cell>
          <cell r="W928">
            <v>56400</v>
          </cell>
        </row>
        <row r="929">
          <cell r="A929">
            <v>45195</v>
          </cell>
          <cell r="B929">
            <v>51000</v>
          </cell>
          <cell r="C929">
            <v>51300</v>
          </cell>
          <cell r="D929">
            <v>49500</v>
          </cell>
          <cell r="E929">
            <v>46600</v>
          </cell>
          <cell r="F929">
            <v>52900</v>
          </cell>
          <cell r="G929" t="str">
            <v>-</v>
          </cell>
          <cell r="H929">
            <v>51000</v>
          </cell>
          <cell r="I929">
            <v>49600</v>
          </cell>
          <cell r="J929">
            <v>51000</v>
          </cell>
          <cell r="K929" t="str">
            <v>-</v>
          </cell>
          <cell r="L929">
            <v>51000</v>
          </cell>
          <cell r="M929">
            <v>52100</v>
          </cell>
          <cell r="N929">
            <v>48800</v>
          </cell>
          <cell r="O929">
            <v>47900</v>
          </cell>
          <cell r="P929">
            <v>46300</v>
          </cell>
          <cell r="Q929">
            <v>46200</v>
          </cell>
          <cell r="R929">
            <v>47000</v>
          </cell>
          <cell r="S929">
            <v>48900</v>
          </cell>
          <cell r="T929">
            <v>49800</v>
          </cell>
          <cell r="U929">
            <v>53300</v>
          </cell>
          <cell r="V929">
            <v>53200</v>
          </cell>
          <cell r="W929">
            <v>56400</v>
          </cell>
        </row>
        <row r="930">
          <cell r="A930">
            <v>45196</v>
          </cell>
          <cell r="B930">
            <v>50700</v>
          </cell>
          <cell r="C930">
            <v>51200</v>
          </cell>
          <cell r="D930">
            <v>49000</v>
          </cell>
          <cell r="E930">
            <v>46300</v>
          </cell>
          <cell r="F930">
            <v>52800</v>
          </cell>
          <cell r="G930" t="str">
            <v>-</v>
          </cell>
          <cell r="H930">
            <v>50750</v>
          </cell>
          <cell r="I930">
            <v>49200</v>
          </cell>
          <cell r="J930">
            <v>51000</v>
          </cell>
          <cell r="K930" t="str">
            <v>-</v>
          </cell>
          <cell r="L930">
            <v>50800</v>
          </cell>
          <cell r="M930">
            <v>52100</v>
          </cell>
          <cell r="N930">
            <v>48700</v>
          </cell>
          <cell r="O930">
            <v>47700</v>
          </cell>
          <cell r="P930">
            <v>45800</v>
          </cell>
          <cell r="Q930">
            <v>46000</v>
          </cell>
          <cell r="R930">
            <v>46800</v>
          </cell>
          <cell r="S930">
            <v>48600</v>
          </cell>
          <cell r="T930">
            <v>49500</v>
          </cell>
          <cell r="U930">
            <v>52800</v>
          </cell>
          <cell r="V930">
            <v>53200</v>
          </cell>
          <cell r="W930">
            <v>56400</v>
          </cell>
        </row>
        <row r="931">
          <cell r="A931">
            <v>45197</v>
          </cell>
          <cell r="B931">
            <v>50600</v>
          </cell>
          <cell r="C931">
            <v>51200</v>
          </cell>
          <cell r="D931">
            <v>49000</v>
          </cell>
          <cell r="E931">
            <v>46500</v>
          </cell>
          <cell r="F931">
            <v>52500</v>
          </cell>
          <cell r="G931" t="str">
            <v>-</v>
          </cell>
          <cell r="H931">
            <v>50500</v>
          </cell>
          <cell r="I931">
            <v>49200</v>
          </cell>
          <cell r="J931">
            <v>51000</v>
          </cell>
          <cell r="K931" t="str">
            <v>-</v>
          </cell>
          <cell r="L931">
            <v>50800</v>
          </cell>
          <cell r="M931">
            <v>52100</v>
          </cell>
          <cell r="N931">
            <v>48700</v>
          </cell>
          <cell r="O931">
            <v>47700</v>
          </cell>
          <cell r="P931">
            <v>45800</v>
          </cell>
          <cell r="Q931">
            <v>46000</v>
          </cell>
          <cell r="R931">
            <v>46800</v>
          </cell>
          <cell r="S931">
            <v>48800</v>
          </cell>
          <cell r="T931">
            <v>49300</v>
          </cell>
          <cell r="U931">
            <v>52800</v>
          </cell>
          <cell r="V931">
            <v>52800</v>
          </cell>
          <cell r="W931">
            <v>55600</v>
          </cell>
        </row>
        <row r="932">
          <cell r="A932">
            <v>45198</v>
          </cell>
          <cell r="B932">
            <v>50400</v>
          </cell>
          <cell r="C932">
            <v>51000</v>
          </cell>
          <cell r="D932">
            <v>49000</v>
          </cell>
          <cell r="E932">
            <v>46000</v>
          </cell>
          <cell r="F932">
            <v>52500</v>
          </cell>
          <cell r="G932" t="str">
            <v>-</v>
          </cell>
          <cell r="H932">
            <v>50500</v>
          </cell>
          <cell r="I932">
            <v>49000</v>
          </cell>
          <cell r="J932">
            <v>51000</v>
          </cell>
          <cell r="K932" t="str">
            <v>-</v>
          </cell>
          <cell r="L932">
            <v>50700</v>
          </cell>
          <cell r="M932">
            <v>52100</v>
          </cell>
          <cell r="N932">
            <v>48400</v>
          </cell>
          <cell r="O932">
            <v>47500</v>
          </cell>
          <cell r="P932">
            <v>45500</v>
          </cell>
          <cell r="Q932">
            <v>45900</v>
          </cell>
          <cell r="R932">
            <v>46500</v>
          </cell>
          <cell r="S932">
            <v>48300</v>
          </cell>
          <cell r="T932">
            <v>49000</v>
          </cell>
          <cell r="U932">
            <v>52800</v>
          </cell>
          <cell r="V932">
            <v>52800</v>
          </cell>
          <cell r="W932">
            <v>55600</v>
          </cell>
        </row>
        <row r="933">
          <cell r="A933">
            <v>45199</v>
          </cell>
          <cell r="B933">
            <v>50400</v>
          </cell>
          <cell r="C933">
            <v>51000</v>
          </cell>
          <cell r="D933">
            <v>49300</v>
          </cell>
          <cell r="E933">
            <v>46000</v>
          </cell>
          <cell r="F933">
            <v>51500</v>
          </cell>
          <cell r="G933" t="str">
            <v>-</v>
          </cell>
          <cell r="H933">
            <v>50500</v>
          </cell>
          <cell r="I933">
            <v>48800</v>
          </cell>
          <cell r="J933">
            <v>51000</v>
          </cell>
          <cell r="K933" t="str">
            <v>-</v>
          </cell>
          <cell r="L933">
            <v>50700</v>
          </cell>
          <cell r="M933">
            <v>52100</v>
          </cell>
          <cell r="N933">
            <v>48200</v>
          </cell>
          <cell r="O933">
            <v>47500</v>
          </cell>
          <cell r="P933">
            <v>45500</v>
          </cell>
          <cell r="Q933">
            <v>45900</v>
          </cell>
          <cell r="R933">
            <v>46500</v>
          </cell>
          <cell r="S933">
            <v>48300</v>
          </cell>
          <cell r="T933">
            <v>49000</v>
          </cell>
          <cell r="U933">
            <v>52800</v>
          </cell>
          <cell r="V933">
            <v>52400</v>
          </cell>
          <cell r="W933">
            <v>54800</v>
          </cell>
        </row>
        <row r="934">
          <cell r="A934">
            <v>45200</v>
          </cell>
          <cell r="B934" t="str">
            <v>H</v>
          </cell>
          <cell r="C934" t="str">
            <v>H</v>
          </cell>
          <cell r="D934" t="str">
            <v>H</v>
          </cell>
          <cell r="E934" t="str">
            <v>H</v>
          </cell>
          <cell r="F934" t="str">
            <v>H</v>
          </cell>
          <cell r="G934" t="str">
            <v>H</v>
          </cell>
          <cell r="H934" t="str">
            <v>H</v>
          </cell>
          <cell r="I934" t="str">
            <v>H</v>
          </cell>
          <cell r="J934" t="str">
            <v>H</v>
          </cell>
          <cell r="K934" t="str">
            <v>H</v>
          </cell>
          <cell r="L934" t="str">
            <v>H</v>
          </cell>
          <cell r="M934" t="str">
            <v>H</v>
          </cell>
          <cell r="N934" t="str">
            <v>H</v>
          </cell>
          <cell r="O934" t="str">
            <v>H</v>
          </cell>
          <cell r="P934" t="str">
            <v>H</v>
          </cell>
          <cell r="Q934" t="str">
            <v>H</v>
          </cell>
          <cell r="R934" t="str">
            <v>H</v>
          </cell>
          <cell r="S934" t="str">
            <v>H</v>
          </cell>
          <cell r="T934" t="str">
            <v>H</v>
          </cell>
          <cell r="U934" t="str">
            <v>H</v>
          </cell>
          <cell r="V934" t="str">
            <v>H</v>
          </cell>
          <cell r="W934" t="str">
            <v>H</v>
          </cell>
        </row>
        <row r="935">
          <cell r="A935">
            <v>45201</v>
          </cell>
          <cell r="B935" t="str">
            <v>H</v>
          </cell>
          <cell r="C935" t="str">
            <v>H</v>
          </cell>
          <cell r="D935" t="str">
            <v>H</v>
          </cell>
          <cell r="E935" t="str">
            <v>H</v>
          </cell>
          <cell r="F935" t="str">
            <v>H</v>
          </cell>
          <cell r="G935" t="str">
            <v>H</v>
          </cell>
          <cell r="H935" t="str">
            <v>H</v>
          </cell>
          <cell r="I935" t="str">
            <v>H</v>
          </cell>
          <cell r="J935" t="str">
            <v>H</v>
          </cell>
          <cell r="K935" t="str">
            <v>H</v>
          </cell>
          <cell r="L935" t="str">
            <v>H</v>
          </cell>
          <cell r="M935" t="str">
            <v>H</v>
          </cell>
          <cell r="N935" t="str">
            <v>H</v>
          </cell>
          <cell r="O935" t="str">
            <v>H</v>
          </cell>
          <cell r="P935" t="str">
            <v>H</v>
          </cell>
          <cell r="Q935" t="str">
            <v>H</v>
          </cell>
          <cell r="R935" t="str">
            <v>H</v>
          </cell>
          <cell r="S935" t="str">
            <v>H</v>
          </cell>
          <cell r="T935" t="str">
            <v>H</v>
          </cell>
          <cell r="U935" t="str">
            <v>H</v>
          </cell>
          <cell r="V935" t="str">
            <v>H</v>
          </cell>
          <cell r="W935" t="str">
            <v>H</v>
          </cell>
        </row>
        <row r="936">
          <cell r="A936">
            <v>45202</v>
          </cell>
          <cell r="B936">
            <v>50200</v>
          </cell>
          <cell r="C936">
            <v>51000</v>
          </cell>
          <cell r="D936">
            <v>49100</v>
          </cell>
          <cell r="E936">
            <v>45800</v>
          </cell>
          <cell r="F936">
            <v>51200</v>
          </cell>
          <cell r="G936" t="str">
            <v>-</v>
          </cell>
          <cell r="H936">
            <v>50500</v>
          </cell>
          <cell r="I936">
            <v>48300</v>
          </cell>
          <cell r="J936">
            <v>50700</v>
          </cell>
          <cell r="K936" t="str">
            <v>-</v>
          </cell>
          <cell r="L936">
            <v>50500</v>
          </cell>
          <cell r="M936">
            <v>52000</v>
          </cell>
          <cell r="N936">
            <v>48000</v>
          </cell>
          <cell r="O936">
            <v>47500</v>
          </cell>
          <cell r="P936">
            <v>45300</v>
          </cell>
          <cell r="Q936">
            <v>45700</v>
          </cell>
          <cell r="R936">
            <v>46100</v>
          </cell>
          <cell r="S936">
            <v>48100</v>
          </cell>
          <cell r="T936">
            <v>48700</v>
          </cell>
          <cell r="U936">
            <v>52800</v>
          </cell>
          <cell r="V936">
            <v>51700</v>
          </cell>
          <cell r="W936">
            <v>54500</v>
          </cell>
        </row>
        <row r="937">
          <cell r="A937">
            <v>45203</v>
          </cell>
          <cell r="B937">
            <v>50000</v>
          </cell>
          <cell r="C937">
            <v>51000</v>
          </cell>
          <cell r="D937">
            <v>49200</v>
          </cell>
          <cell r="E937">
            <v>46200</v>
          </cell>
          <cell r="F937">
            <v>51500</v>
          </cell>
          <cell r="G937" t="str">
            <v>-</v>
          </cell>
          <cell r="H937">
            <v>50500</v>
          </cell>
          <cell r="I937">
            <v>48400</v>
          </cell>
          <cell r="J937">
            <v>50700</v>
          </cell>
          <cell r="K937" t="str">
            <v>-</v>
          </cell>
          <cell r="L937">
            <v>50500</v>
          </cell>
          <cell r="M937">
            <v>51700</v>
          </cell>
          <cell r="N937">
            <v>48000</v>
          </cell>
          <cell r="O937">
            <v>47400</v>
          </cell>
          <cell r="P937">
            <v>45800</v>
          </cell>
          <cell r="Q937">
            <v>46300</v>
          </cell>
          <cell r="R937">
            <v>46300</v>
          </cell>
          <cell r="S937">
            <v>48500</v>
          </cell>
          <cell r="T937">
            <v>49200</v>
          </cell>
          <cell r="U937">
            <v>52800</v>
          </cell>
          <cell r="V937">
            <v>51700</v>
          </cell>
          <cell r="W937">
            <v>54500</v>
          </cell>
        </row>
        <row r="938">
          <cell r="A938">
            <v>45204</v>
          </cell>
          <cell r="B938">
            <v>50300</v>
          </cell>
          <cell r="C938">
            <v>51300</v>
          </cell>
          <cell r="D938">
            <v>49200</v>
          </cell>
          <cell r="E938">
            <v>46300</v>
          </cell>
          <cell r="F938">
            <v>51600</v>
          </cell>
          <cell r="G938" t="str">
            <v>-</v>
          </cell>
          <cell r="H938">
            <v>51000</v>
          </cell>
          <cell r="I938">
            <v>48700</v>
          </cell>
          <cell r="J938">
            <v>51200</v>
          </cell>
          <cell r="K938" t="str">
            <v>-</v>
          </cell>
          <cell r="L938">
            <v>50800</v>
          </cell>
          <cell r="M938">
            <v>51700</v>
          </cell>
          <cell r="N938">
            <v>48300</v>
          </cell>
          <cell r="O938">
            <v>47800</v>
          </cell>
          <cell r="P938">
            <v>46500</v>
          </cell>
          <cell r="Q938">
            <v>47200</v>
          </cell>
          <cell r="R938">
            <v>46800</v>
          </cell>
          <cell r="S938">
            <v>48600</v>
          </cell>
          <cell r="T938">
            <v>49500</v>
          </cell>
          <cell r="U938">
            <v>52800</v>
          </cell>
          <cell r="V938">
            <v>51700</v>
          </cell>
          <cell r="W938">
            <v>54700</v>
          </cell>
        </row>
        <row r="939">
          <cell r="A939">
            <v>45205</v>
          </cell>
          <cell r="B939">
            <v>50600</v>
          </cell>
          <cell r="C939">
            <v>51500</v>
          </cell>
          <cell r="D939">
            <v>49500</v>
          </cell>
          <cell r="E939">
            <v>47000</v>
          </cell>
          <cell r="F939">
            <v>52400</v>
          </cell>
          <cell r="G939" t="str">
            <v>-</v>
          </cell>
          <cell r="H939">
            <v>51000</v>
          </cell>
          <cell r="I939">
            <v>49200</v>
          </cell>
          <cell r="J939">
            <v>51700</v>
          </cell>
          <cell r="K939" t="str">
            <v>-</v>
          </cell>
          <cell r="L939">
            <v>51200</v>
          </cell>
          <cell r="M939">
            <v>51700</v>
          </cell>
          <cell r="N939">
            <v>48700</v>
          </cell>
          <cell r="O939">
            <v>47900</v>
          </cell>
          <cell r="P939">
            <v>46800</v>
          </cell>
          <cell r="Q939">
            <v>47300</v>
          </cell>
          <cell r="R939">
            <v>47300</v>
          </cell>
          <cell r="S939">
            <v>49300</v>
          </cell>
          <cell r="T939">
            <v>50000</v>
          </cell>
          <cell r="U939">
            <v>52800</v>
          </cell>
          <cell r="V939">
            <v>52300</v>
          </cell>
          <cell r="W939">
            <v>55600</v>
          </cell>
        </row>
        <row r="940">
          <cell r="A940">
            <v>45206</v>
          </cell>
          <cell r="B940">
            <v>50600</v>
          </cell>
          <cell r="C940">
            <v>51500</v>
          </cell>
          <cell r="D940">
            <v>49400</v>
          </cell>
          <cell r="E940">
            <v>46500</v>
          </cell>
          <cell r="F940">
            <v>52400</v>
          </cell>
          <cell r="G940" t="str">
            <v>-</v>
          </cell>
          <cell r="H940">
            <v>51000</v>
          </cell>
          <cell r="I940">
            <v>49200</v>
          </cell>
          <cell r="J940">
            <v>51700</v>
          </cell>
          <cell r="K940" t="str">
            <v>-</v>
          </cell>
          <cell r="L940">
            <v>51000</v>
          </cell>
          <cell r="M940">
            <v>51700</v>
          </cell>
          <cell r="N940">
            <v>48500</v>
          </cell>
          <cell r="O940">
            <v>47800</v>
          </cell>
          <cell r="P940">
            <v>46300</v>
          </cell>
          <cell r="Q940">
            <v>47200</v>
          </cell>
          <cell r="R940">
            <v>47000</v>
          </cell>
          <cell r="S940">
            <v>48800</v>
          </cell>
          <cell r="T940">
            <v>50000</v>
          </cell>
          <cell r="U940">
            <v>52800</v>
          </cell>
          <cell r="V940">
            <v>52300</v>
          </cell>
          <cell r="W940">
            <v>55600</v>
          </cell>
        </row>
        <row r="941">
          <cell r="A941">
            <v>45207</v>
          </cell>
          <cell r="B941" t="str">
            <v>H</v>
          </cell>
          <cell r="C941" t="str">
            <v>H</v>
          </cell>
          <cell r="D941" t="str">
            <v>H</v>
          </cell>
          <cell r="E941" t="str">
            <v>H</v>
          </cell>
          <cell r="F941" t="str">
            <v>H</v>
          </cell>
          <cell r="G941" t="str">
            <v>H</v>
          </cell>
          <cell r="H941" t="str">
            <v>H</v>
          </cell>
          <cell r="I941" t="str">
            <v>H</v>
          </cell>
          <cell r="J941" t="str">
            <v>H</v>
          </cell>
          <cell r="K941" t="str">
            <v>H</v>
          </cell>
          <cell r="L941" t="str">
            <v>H</v>
          </cell>
          <cell r="M941" t="str">
            <v>H</v>
          </cell>
          <cell r="N941" t="str">
            <v>H</v>
          </cell>
          <cell r="O941" t="str">
            <v>H</v>
          </cell>
          <cell r="P941" t="str">
            <v>H</v>
          </cell>
          <cell r="Q941" t="str">
            <v>H</v>
          </cell>
          <cell r="R941" t="str">
            <v>H</v>
          </cell>
          <cell r="S941" t="str">
            <v>H</v>
          </cell>
          <cell r="T941" t="str">
            <v>H</v>
          </cell>
          <cell r="U941" t="str">
            <v>H</v>
          </cell>
          <cell r="V941" t="str">
            <v>H</v>
          </cell>
          <cell r="W941" t="str">
            <v>H</v>
          </cell>
        </row>
        <row r="942">
          <cell r="A942">
            <v>45208</v>
          </cell>
          <cell r="B942">
            <v>50600</v>
          </cell>
          <cell r="C942">
            <v>51000</v>
          </cell>
          <cell r="D942">
            <v>48400</v>
          </cell>
          <cell r="E942">
            <v>46100</v>
          </cell>
          <cell r="F942">
            <v>52400</v>
          </cell>
          <cell r="G942" t="str">
            <v>-</v>
          </cell>
          <cell r="H942">
            <v>50500</v>
          </cell>
          <cell r="I942">
            <v>49200</v>
          </cell>
          <cell r="J942">
            <v>51700</v>
          </cell>
          <cell r="K942" t="str">
            <v>-</v>
          </cell>
          <cell r="L942">
            <v>50900</v>
          </cell>
          <cell r="M942">
            <v>51700</v>
          </cell>
          <cell r="N942">
            <v>48000</v>
          </cell>
          <cell r="O942">
            <v>47500</v>
          </cell>
          <cell r="P942">
            <v>46100</v>
          </cell>
          <cell r="Q942">
            <v>46800</v>
          </cell>
          <cell r="R942">
            <v>46800</v>
          </cell>
          <cell r="S942">
            <v>48800</v>
          </cell>
          <cell r="T942">
            <v>49800</v>
          </cell>
          <cell r="U942">
            <v>52800</v>
          </cell>
          <cell r="V942">
            <v>52300</v>
          </cell>
          <cell r="W942">
            <v>55500</v>
          </cell>
        </row>
        <row r="943">
          <cell r="A943">
            <v>45209</v>
          </cell>
          <cell r="B943">
            <v>50300</v>
          </cell>
          <cell r="C943">
            <v>51000</v>
          </cell>
          <cell r="D943">
            <v>48700</v>
          </cell>
          <cell r="E943">
            <v>45800</v>
          </cell>
          <cell r="F943">
            <v>52200</v>
          </cell>
          <cell r="G943" t="str">
            <v>-</v>
          </cell>
          <cell r="H943">
            <v>50500</v>
          </cell>
          <cell r="I943">
            <v>48800</v>
          </cell>
          <cell r="J943">
            <v>51300</v>
          </cell>
          <cell r="K943" t="str">
            <v>-</v>
          </cell>
          <cell r="L943">
            <v>50700</v>
          </cell>
          <cell r="M943">
            <v>51400</v>
          </cell>
          <cell r="N943">
            <v>48000</v>
          </cell>
          <cell r="O943">
            <v>47200</v>
          </cell>
          <cell r="P943">
            <v>45300</v>
          </cell>
          <cell r="Q943">
            <v>46500</v>
          </cell>
          <cell r="R943">
            <v>46300</v>
          </cell>
          <cell r="S943">
            <v>48100</v>
          </cell>
          <cell r="T943">
            <v>49500</v>
          </cell>
          <cell r="U943">
            <v>52800</v>
          </cell>
          <cell r="V943">
            <v>52300</v>
          </cell>
          <cell r="W943">
            <v>55500</v>
          </cell>
        </row>
        <row r="944">
          <cell r="A944">
            <v>45210</v>
          </cell>
          <cell r="B944">
            <v>50200</v>
          </cell>
          <cell r="C944">
            <v>51000</v>
          </cell>
          <cell r="D944">
            <v>48900</v>
          </cell>
          <cell r="E944">
            <v>45700</v>
          </cell>
          <cell r="F944">
            <v>52200</v>
          </cell>
          <cell r="G944" t="str">
            <v>-</v>
          </cell>
          <cell r="H944">
            <v>50250</v>
          </cell>
          <cell r="I944">
            <v>48700</v>
          </cell>
          <cell r="J944">
            <v>51300</v>
          </cell>
          <cell r="K944" t="str">
            <v>-</v>
          </cell>
          <cell r="L944">
            <v>50600</v>
          </cell>
          <cell r="M944">
            <v>51400</v>
          </cell>
          <cell r="N944">
            <v>47800</v>
          </cell>
          <cell r="O944">
            <v>47200</v>
          </cell>
          <cell r="P944">
            <v>45500</v>
          </cell>
          <cell r="Q944">
            <v>46300</v>
          </cell>
          <cell r="R944">
            <v>46100</v>
          </cell>
          <cell r="S944">
            <v>48000</v>
          </cell>
          <cell r="T944">
            <v>49300</v>
          </cell>
          <cell r="U944">
            <v>52800</v>
          </cell>
          <cell r="V944">
            <v>52300</v>
          </cell>
          <cell r="W944">
            <v>55500</v>
          </cell>
        </row>
        <row r="945">
          <cell r="A945">
            <v>45211</v>
          </cell>
          <cell r="B945">
            <v>50000</v>
          </cell>
          <cell r="C945">
            <v>50800</v>
          </cell>
          <cell r="D945">
            <v>48900</v>
          </cell>
          <cell r="E945">
            <v>45700</v>
          </cell>
          <cell r="F945">
            <v>51400</v>
          </cell>
          <cell r="G945" t="str">
            <v>-</v>
          </cell>
          <cell r="H945">
            <v>50000</v>
          </cell>
          <cell r="I945">
            <v>48200</v>
          </cell>
          <cell r="J945">
            <v>51000</v>
          </cell>
          <cell r="K945" t="str">
            <v>-</v>
          </cell>
          <cell r="L945">
            <v>50100</v>
          </cell>
          <cell r="M945">
            <v>51100</v>
          </cell>
          <cell r="N945">
            <v>47300</v>
          </cell>
          <cell r="O945">
            <v>46800</v>
          </cell>
          <cell r="P945">
            <v>45200</v>
          </cell>
          <cell r="Q945">
            <v>45800</v>
          </cell>
          <cell r="R945">
            <v>45900</v>
          </cell>
          <cell r="S945">
            <v>47900</v>
          </cell>
          <cell r="T945">
            <v>48800</v>
          </cell>
          <cell r="U945">
            <v>51800</v>
          </cell>
          <cell r="V945">
            <v>52000</v>
          </cell>
          <cell r="W945">
            <v>55400</v>
          </cell>
        </row>
        <row r="946">
          <cell r="A946">
            <v>45212</v>
          </cell>
          <cell r="B946">
            <v>49700</v>
          </cell>
          <cell r="C946">
            <v>50800</v>
          </cell>
          <cell r="D946">
            <v>48200</v>
          </cell>
          <cell r="E946">
            <v>45100</v>
          </cell>
          <cell r="F946">
            <v>51400</v>
          </cell>
          <cell r="G946" t="str">
            <v>-</v>
          </cell>
          <cell r="H946">
            <v>49500</v>
          </cell>
          <cell r="I946">
            <v>47800</v>
          </cell>
          <cell r="J946">
            <v>50800</v>
          </cell>
          <cell r="K946" t="str">
            <v>-</v>
          </cell>
          <cell r="L946">
            <v>49800</v>
          </cell>
          <cell r="M946">
            <v>50900</v>
          </cell>
          <cell r="N946">
            <v>47000</v>
          </cell>
          <cell r="O946">
            <v>46800</v>
          </cell>
          <cell r="P946">
            <v>44500</v>
          </cell>
          <cell r="Q946">
            <v>45700</v>
          </cell>
          <cell r="R946">
            <v>45600</v>
          </cell>
          <cell r="S946">
            <v>47400</v>
          </cell>
          <cell r="T946">
            <v>48500</v>
          </cell>
          <cell r="U946">
            <v>51800</v>
          </cell>
          <cell r="V946">
            <v>51900</v>
          </cell>
          <cell r="W946">
            <v>55200</v>
          </cell>
        </row>
        <row r="947">
          <cell r="A947">
            <v>45213</v>
          </cell>
          <cell r="B947">
            <v>49900</v>
          </cell>
          <cell r="C947">
            <v>51000</v>
          </cell>
          <cell r="D947">
            <v>48400</v>
          </cell>
          <cell r="E947">
            <v>45200</v>
          </cell>
          <cell r="F947">
            <v>51700</v>
          </cell>
          <cell r="G947" t="str">
            <v>-</v>
          </cell>
          <cell r="H947">
            <v>50500</v>
          </cell>
          <cell r="I947">
            <v>47800</v>
          </cell>
          <cell r="J947">
            <v>51000</v>
          </cell>
          <cell r="K947" t="str">
            <v>-</v>
          </cell>
          <cell r="L947">
            <v>49800</v>
          </cell>
          <cell r="M947">
            <v>51000</v>
          </cell>
          <cell r="N947">
            <v>47400</v>
          </cell>
          <cell r="O947">
            <v>47000</v>
          </cell>
          <cell r="P947">
            <v>45700</v>
          </cell>
          <cell r="Q947">
            <v>46500</v>
          </cell>
          <cell r="R947">
            <v>46800</v>
          </cell>
          <cell r="S947">
            <v>47500</v>
          </cell>
          <cell r="T947">
            <v>49000</v>
          </cell>
          <cell r="U947">
            <v>51800</v>
          </cell>
          <cell r="V947">
            <v>51800</v>
          </cell>
          <cell r="W947">
            <v>55000</v>
          </cell>
        </row>
        <row r="948">
          <cell r="A948">
            <v>45214</v>
          </cell>
          <cell r="B948" t="str">
            <v>H</v>
          </cell>
          <cell r="C948" t="str">
            <v>H</v>
          </cell>
          <cell r="D948" t="str">
            <v>H</v>
          </cell>
          <cell r="E948" t="str">
            <v>H</v>
          </cell>
          <cell r="F948" t="str">
            <v>H</v>
          </cell>
          <cell r="G948" t="str">
            <v>H</v>
          </cell>
          <cell r="H948" t="str">
            <v>H</v>
          </cell>
          <cell r="I948" t="str">
            <v>H</v>
          </cell>
          <cell r="J948" t="str">
            <v>H</v>
          </cell>
          <cell r="K948" t="str">
            <v>H</v>
          </cell>
          <cell r="L948" t="str">
            <v>H</v>
          </cell>
          <cell r="M948" t="str">
            <v>H</v>
          </cell>
          <cell r="N948" t="str">
            <v>H</v>
          </cell>
          <cell r="O948" t="str">
            <v>H</v>
          </cell>
          <cell r="P948" t="str">
            <v>H</v>
          </cell>
          <cell r="Q948" t="str">
            <v>H</v>
          </cell>
          <cell r="R948" t="str">
            <v>H</v>
          </cell>
          <cell r="S948" t="str">
            <v>H</v>
          </cell>
          <cell r="T948" t="str">
            <v>H</v>
          </cell>
          <cell r="U948" t="str">
            <v>H</v>
          </cell>
          <cell r="V948" t="str">
            <v>H</v>
          </cell>
          <cell r="W948" t="str">
            <v>H</v>
          </cell>
        </row>
        <row r="949">
          <cell r="A949">
            <v>45215</v>
          </cell>
          <cell r="B949">
            <v>49900</v>
          </cell>
          <cell r="C949">
            <v>50800</v>
          </cell>
          <cell r="D949">
            <v>48500</v>
          </cell>
          <cell r="E949">
            <v>45200</v>
          </cell>
          <cell r="F949">
            <v>51700</v>
          </cell>
          <cell r="G949" t="str">
            <v>-</v>
          </cell>
          <cell r="H949">
            <v>50000</v>
          </cell>
          <cell r="I949">
            <v>47700</v>
          </cell>
          <cell r="J949">
            <v>51000</v>
          </cell>
          <cell r="K949" t="str">
            <v>-</v>
          </cell>
          <cell r="L949">
            <v>49800</v>
          </cell>
          <cell r="M949">
            <v>51000</v>
          </cell>
          <cell r="N949">
            <v>47300</v>
          </cell>
          <cell r="O949">
            <v>47000</v>
          </cell>
          <cell r="P949">
            <v>45400</v>
          </cell>
          <cell r="Q949">
            <v>46200</v>
          </cell>
          <cell r="R949">
            <v>46300</v>
          </cell>
          <cell r="S949">
            <v>47500</v>
          </cell>
          <cell r="T949">
            <v>49000</v>
          </cell>
          <cell r="U949">
            <v>51800</v>
          </cell>
          <cell r="V949">
            <v>51700</v>
          </cell>
          <cell r="W949">
            <v>55000</v>
          </cell>
        </row>
        <row r="950">
          <cell r="A950">
            <v>45216</v>
          </cell>
          <cell r="B950">
            <v>49700</v>
          </cell>
          <cell r="C950">
            <v>50500</v>
          </cell>
          <cell r="D950">
            <v>47900</v>
          </cell>
          <cell r="E950">
            <v>45000</v>
          </cell>
          <cell r="F950">
            <v>51700</v>
          </cell>
          <cell r="G950" t="str">
            <v>-</v>
          </cell>
          <cell r="H950">
            <v>49500</v>
          </cell>
          <cell r="I950">
            <v>47500</v>
          </cell>
          <cell r="J950">
            <v>51000</v>
          </cell>
          <cell r="K950" t="str">
            <v>-</v>
          </cell>
          <cell r="L950">
            <v>49500</v>
          </cell>
          <cell r="M950">
            <v>51000</v>
          </cell>
          <cell r="N950">
            <v>47300</v>
          </cell>
          <cell r="O950">
            <v>46500</v>
          </cell>
          <cell r="P950">
            <v>45000</v>
          </cell>
          <cell r="Q950">
            <v>46000</v>
          </cell>
          <cell r="R950">
            <v>45700</v>
          </cell>
          <cell r="S950">
            <v>47300</v>
          </cell>
          <cell r="T950">
            <v>48700</v>
          </cell>
          <cell r="U950">
            <v>51800</v>
          </cell>
          <cell r="V950">
            <v>51700</v>
          </cell>
          <cell r="W950">
            <v>55000</v>
          </cell>
        </row>
        <row r="951">
          <cell r="A951">
            <v>45217</v>
          </cell>
          <cell r="B951">
            <v>49700</v>
          </cell>
          <cell r="C951">
            <v>50500</v>
          </cell>
          <cell r="D951">
            <v>47800</v>
          </cell>
          <cell r="E951">
            <v>44800</v>
          </cell>
          <cell r="F951">
            <v>51400</v>
          </cell>
          <cell r="G951" t="str">
            <v>-</v>
          </cell>
          <cell r="H951">
            <v>49500</v>
          </cell>
          <cell r="I951">
            <v>47400</v>
          </cell>
          <cell r="J951">
            <v>50800</v>
          </cell>
          <cell r="K951" t="str">
            <v>-</v>
          </cell>
          <cell r="L951">
            <v>49400</v>
          </cell>
          <cell r="M951">
            <v>50700</v>
          </cell>
          <cell r="N951">
            <v>47200</v>
          </cell>
          <cell r="O951">
            <v>46500</v>
          </cell>
          <cell r="P951">
            <v>45000</v>
          </cell>
          <cell r="Q951">
            <v>45700</v>
          </cell>
          <cell r="R951">
            <v>45400</v>
          </cell>
          <cell r="S951">
            <v>47100</v>
          </cell>
          <cell r="T951">
            <v>48700</v>
          </cell>
          <cell r="U951">
            <v>51800</v>
          </cell>
          <cell r="V951">
            <v>51700</v>
          </cell>
          <cell r="W951">
            <v>55000</v>
          </cell>
        </row>
        <row r="952">
          <cell r="A952">
            <v>45218</v>
          </cell>
          <cell r="B952">
            <v>49500</v>
          </cell>
          <cell r="C952">
            <v>50500</v>
          </cell>
          <cell r="D952">
            <v>47500</v>
          </cell>
          <cell r="E952">
            <v>44600</v>
          </cell>
          <cell r="F952">
            <v>51400</v>
          </cell>
          <cell r="G952" t="str">
            <v>-</v>
          </cell>
          <cell r="H952">
            <v>49500</v>
          </cell>
          <cell r="I952">
            <v>47000</v>
          </cell>
          <cell r="J952">
            <v>50500</v>
          </cell>
          <cell r="K952" t="str">
            <v>-</v>
          </cell>
          <cell r="L952">
            <v>49000</v>
          </cell>
          <cell r="M952">
            <v>50700</v>
          </cell>
          <cell r="N952">
            <v>46800</v>
          </cell>
          <cell r="O952">
            <v>46200</v>
          </cell>
          <cell r="P952">
            <v>44700</v>
          </cell>
          <cell r="Q952">
            <v>45500</v>
          </cell>
          <cell r="R952">
            <v>45000</v>
          </cell>
          <cell r="S952">
            <v>47100</v>
          </cell>
          <cell r="T952">
            <v>48100</v>
          </cell>
          <cell r="U952">
            <v>51800</v>
          </cell>
          <cell r="V952">
            <v>51700</v>
          </cell>
          <cell r="W952">
            <v>54800</v>
          </cell>
        </row>
        <row r="953">
          <cell r="A953">
            <v>45219</v>
          </cell>
          <cell r="B953">
            <v>49300</v>
          </cell>
          <cell r="C953">
            <v>50500</v>
          </cell>
          <cell r="D953">
            <v>47200</v>
          </cell>
          <cell r="E953">
            <v>44500</v>
          </cell>
          <cell r="F953">
            <v>51000</v>
          </cell>
          <cell r="G953" t="str">
            <v>-</v>
          </cell>
          <cell r="H953">
            <v>49000</v>
          </cell>
          <cell r="I953">
            <v>46700</v>
          </cell>
          <cell r="J953">
            <v>50200</v>
          </cell>
          <cell r="K953" t="str">
            <v>-</v>
          </cell>
          <cell r="L953">
            <v>48700</v>
          </cell>
          <cell r="M953">
            <v>50300</v>
          </cell>
          <cell r="N953">
            <v>46400</v>
          </cell>
          <cell r="O953">
            <v>46000</v>
          </cell>
          <cell r="P953">
            <v>44400</v>
          </cell>
          <cell r="Q953">
            <v>45300</v>
          </cell>
          <cell r="R953">
            <v>44700</v>
          </cell>
          <cell r="S953">
            <v>46800</v>
          </cell>
          <cell r="T953">
            <v>48000</v>
          </cell>
          <cell r="U953">
            <v>50300</v>
          </cell>
          <cell r="V953">
            <v>51500</v>
          </cell>
          <cell r="W953">
            <v>54700</v>
          </cell>
        </row>
        <row r="954">
          <cell r="A954">
            <v>45220</v>
          </cell>
          <cell r="B954">
            <v>49000</v>
          </cell>
          <cell r="C954">
            <v>50500</v>
          </cell>
          <cell r="D954">
            <v>47200</v>
          </cell>
          <cell r="E954" t="str">
            <v>-</v>
          </cell>
          <cell r="F954">
            <v>51000</v>
          </cell>
          <cell r="G954" t="str">
            <v>-</v>
          </cell>
          <cell r="H954">
            <v>49000</v>
          </cell>
          <cell r="I954">
            <v>46700</v>
          </cell>
          <cell r="J954">
            <v>50200</v>
          </cell>
          <cell r="K954" t="str">
            <v>-</v>
          </cell>
          <cell r="L954">
            <v>48500</v>
          </cell>
          <cell r="M954">
            <v>49900</v>
          </cell>
          <cell r="N954">
            <v>46300</v>
          </cell>
          <cell r="O954">
            <v>46000</v>
          </cell>
          <cell r="P954">
            <v>44700</v>
          </cell>
          <cell r="Q954">
            <v>45500</v>
          </cell>
          <cell r="R954">
            <v>45200</v>
          </cell>
          <cell r="S954" t="str">
            <v>-</v>
          </cell>
          <cell r="T954">
            <v>48000</v>
          </cell>
          <cell r="U954">
            <v>50300</v>
          </cell>
          <cell r="V954">
            <v>51200</v>
          </cell>
          <cell r="W954">
            <v>54700</v>
          </cell>
        </row>
        <row r="955">
          <cell r="A955">
            <v>45221</v>
          </cell>
          <cell r="B955" t="str">
            <v>H</v>
          </cell>
          <cell r="C955" t="str">
            <v>H</v>
          </cell>
          <cell r="D955" t="str">
            <v>H</v>
          </cell>
          <cell r="E955" t="str">
            <v>H</v>
          </cell>
          <cell r="F955" t="str">
            <v>H</v>
          </cell>
          <cell r="G955" t="str">
            <v>H</v>
          </cell>
          <cell r="H955" t="str">
            <v>H</v>
          </cell>
          <cell r="I955" t="str">
            <v>H</v>
          </cell>
          <cell r="J955" t="str">
            <v>H</v>
          </cell>
          <cell r="K955" t="str">
            <v>H</v>
          </cell>
          <cell r="L955" t="str">
            <v>H</v>
          </cell>
          <cell r="M955" t="str">
            <v>H</v>
          </cell>
          <cell r="N955" t="str">
            <v>H</v>
          </cell>
          <cell r="O955" t="str">
            <v>H</v>
          </cell>
          <cell r="P955" t="str">
            <v>H</v>
          </cell>
          <cell r="Q955" t="str">
            <v>H</v>
          </cell>
          <cell r="R955" t="str">
            <v>H</v>
          </cell>
          <cell r="S955" t="str">
            <v>H</v>
          </cell>
          <cell r="T955" t="str">
            <v>H</v>
          </cell>
          <cell r="U955" t="str">
            <v>H</v>
          </cell>
          <cell r="V955" t="str">
            <v>H</v>
          </cell>
          <cell r="W955" t="str">
            <v>H</v>
          </cell>
        </row>
        <row r="956">
          <cell r="A956">
            <v>45222</v>
          </cell>
          <cell r="B956">
            <v>49000</v>
          </cell>
          <cell r="C956" t="str">
            <v>-</v>
          </cell>
          <cell r="D956">
            <v>46800</v>
          </cell>
          <cell r="E956" t="str">
            <v>-</v>
          </cell>
          <cell r="F956">
            <v>51000</v>
          </cell>
          <cell r="G956" t="str">
            <v>-</v>
          </cell>
          <cell r="H956">
            <v>48500</v>
          </cell>
          <cell r="I956">
            <v>46500</v>
          </cell>
          <cell r="J956">
            <v>50200</v>
          </cell>
          <cell r="K956" t="str">
            <v>-</v>
          </cell>
          <cell r="L956">
            <v>48300</v>
          </cell>
          <cell r="M956">
            <v>49900</v>
          </cell>
          <cell r="N956">
            <v>45800</v>
          </cell>
          <cell r="O956">
            <v>45700</v>
          </cell>
          <cell r="P956">
            <v>44300</v>
          </cell>
          <cell r="Q956">
            <v>44800</v>
          </cell>
          <cell r="R956" t="str">
            <v>-</v>
          </cell>
          <cell r="S956" t="str">
            <v>-</v>
          </cell>
          <cell r="T956">
            <v>48000</v>
          </cell>
          <cell r="U956" t="str">
            <v>-</v>
          </cell>
          <cell r="V956">
            <v>51100</v>
          </cell>
          <cell r="W956">
            <v>54300</v>
          </cell>
        </row>
        <row r="957">
          <cell r="A957">
            <v>45223</v>
          </cell>
          <cell r="B957" t="str">
            <v>H</v>
          </cell>
          <cell r="C957" t="str">
            <v>H</v>
          </cell>
          <cell r="D957" t="str">
            <v>H</v>
          </cell>
          <cell r="E957" t="str">
            <v>H</v>
          </cell>
          <cell r="F957" t="str">
            <v>H</v>
          </cell>
          <cell r="G957" t="str">
            <v>H</v>
          </cell>
          <cell r="H957" t="str">
            <v>H</v>
          </cell>
          <cell r="I957" t="str">
            <v>H</v>
          </cell>
          <cell r="J957" t="str">
            <v>H</v>
          </cell>
          <cell r="K957" t="str">
            <v>H</v>
          </cell>
          <cell r="L957" t="str">
            <v>H</v>
          </cell>
          <cell r="M957" t="str">
            <v>H</v>
          </cell>
          <cell r="N957" t="str">
            <v>H</v>
          </cell>
          <cell r="O957" t="str">
            <v>H</v>
          </cell>
          <cell r="P957" t="str">
            <v>H</v>
          </cell>
          <cell r="Q957" t="str">
            <v>H</v>
          </cell>
          <cell r="R957" t="str">
            <v>H</v>
          </cell>
          <cell r="S957" t="str">
            <v>H</v>
          </cell>
          <cell r="T957" t="str">
            <v>H</v>
          </cell>
          <cell r="U957" t="str">
            <v>H</v>
          </cell>
          <cell r="V957" t="str">
            <v>H</v>
          </cell>
          <cell r="W957" t="str">
            <v>H</v>
          </cell>
        </row>
        <row r="958">
          <cell r="A958">
            <v>45224</v>
          </cell>
          <cell r="B958">
            <v>48300</v>
          </cell>
          <cell r="C958">
            <v>50500</v>
          </cell>
          <cell r="D958">
            <v>46800</v>
          </cell>
          <cell r="E958">
            <v>44400</v>
          </cell>
          <cell r="F958">
            <v>50300</v>
          </cell>
          <cell r="G958" t="str">
            <v>-</v>
          </cell>
          <cell r="H958">
            <v>48000</v>
          </cell>
          <cell r="I958">
            <v>46700</v>
          </cell>
          <cell r="J958">
            <v>50200</v>
          </cell>
          <cell r="K958" t="str">
            <v>-</v>
          </cell>
          <cell r="L958">
            <v>48000</v>
          </cell>
          <cell r="M958">
            <v>49900</v>
          </cell>
          <cell r="N958">
            <v>46000</v>
          </cell>
          <cell r="O958">
            <v>45600</v>
          </cell>
          <cell r="P958">
            <v>44550</v>
          </cell>
          <cell r="Q958">
            <v>44800</v>
          </cell>
          <cell r="R958">
            <v>45000</v>
          </cell>
          <cell r="S958">
            <v>46700</v>
          </cell>
          <cell r="T958">
            <v>47800</v>
          </cell>
          <cell r="U958">
            <v>50300</v>
          </cell>
          <cell r="V958">
            <v>51100</v>
          </cell>
          <cell r="W958">
            <v>54300</v>
          </cell>
        </row>
        <row r="959">
          <cell r="A959">
            <v>45225</v>
          </cell>
          <cell r="B959">
            <v>48500</v>
          </cell>
          <cell r="C959">
            <v>50500</v>
          </cell>
          <cell r="D959">
            <v>47250</v>
          </cell>
          <cell r="E959">
            <v>44500</v>
          </cell>
          <cell r="F959">
            <v>50300</v>
          </cell>
          <cell r="G959" t="str">
            <v>-</v>
          </cell>
          <cell r="H959">
            <v>48000</v>
          </cell>
          <cell r="I959">
            <v>47000</v>
          </cell>
          <cell r="J959">
            <v>50200</v>
          </cell>
          <cell r="K959" t="str">
            <v>-</v>
          </cell>
          <cell r="L959">
            <v>48100</v>
          </cell>
          <cell r="M959">
            <v>49900</v>
          </cell>
          <cell r="N959">
            <v>46200</v>
          </cell>
          <cell r="O959">
            <v>46200</v>
          </cell>
          <cell r="P959">
            <v>44600</v>
          </cell>
          <cell r="Q959">
            <v>45000</v>
          </cell>
          <cell r="R959">
            <v>45000</v>
          </cell>
          <cell r="S959">
            <v>46800</v>
          </cell>
          <cell r="T959">
            <v>48000</v>
          </cell>
          <cell r="U959">
            <v>50300</v>
          </cell>
          <cell r="V959">
            <v>51000</v>
          </cell>
          <cell r="W959">
            <v>54300</v>
          </cell>
        </row>
        <row r="960">
          <cell r="A960">
            <v>45226</v>
          </cell>
          <cell r="B960">
            <v>48800</v>
          </cell>
          <cell r="C960">
            <v>50500</v>
          </cell>
          <cell r="D960">
            <v>47700</v>
          </cell>
          <cell r="E960">
            <v>45000</v>
          </cell>
          <cell r="F960">
            <v>50500</v>
          </cell>
          <cell r="G960" t="str">
            <v>-</v>
          </cell>
          <cell r="H960">
            <v>48500</v>
          </cell>
          <cell r="I960">
            <v>47400</v>
          </cell>
          <cell r="J960">
            <v>50400</v>
          </cell>
          <cell r="K960" t="str">
            <v>-</v>
          </cell>
          <cell r="L960">
            <v>48500</v>
          </cell>
          <cell r="M960">
            <v>49900</v>
          </cell>
          <cell r="N960">
            <v>47000</v>
          </cell>
          <cell r="O960">
            <v>46200</v>
          </cell>
          <cell r="P960">
            <v>45000</v>
          </cell>
          <cell r="Q960">
            <v>45500</v>
          </cell>
          <cell r="R960">
            <v>45500</v>
          </cell>
          <cell r="S960">
            <v>47300</v>
          </cell>
          <cell r="T960">
            <v>48200</v>
          </cell>
          <cell r="U960">
            <v>50300</v>
          </cell>
          <cell r="V960">
            <v>51000</v>
          </cell>
          <cell r="W960">
            <v>54100</v>
          </cell>
        </row>
        <row r="961">
          <cell r="A961">
            <v>45227</v>
          </cell>
          <cell r="B961">
            <v>48800</v>
          </cell>
          <cell r="C961">
            <v>50500</v>
          </cell>
          <cell r="D961">
            <v>47700</v>
          </cell>
          <cell r="E961">
            <v>45000</v>
          </cell>
          <cell r="F961">
            <v>50500</v>
          </cell>
          <cell r="G961" t="str">
            <v>-</v>
          </cell>
          <cell r="H961">
            <v>49000</v>
          </cell>
          <cell r="I961">
            <v>47600</v>
          </cell>
          <cell r="J961">
            <v>50400</v>
          </cell>
          <cell r="K961" t="str">
            <v>-</v>
          </cell>
          <cell r="L961">
            <v>48800</v>
          </cell>
          <cell r="M961">
            <v>49900</v>
          </cell>
          <cell r="N961">
            <v>46800</v>
          </cell>
          <cell r="O961">
            <v>46200</v>
          </cell>
          <cell r="P961">
            <v>45000</v>
          </cell>
          <cell r="Q961">
            <v>45500</v>
          </cell>
          <cell r="R961">
            <v>45500</v>
          </cell>
          <cell r="S961">
            <v>47300</v>
          </cell>
          <cell r="T961">
            <v>48200</v>
          </cell>
          <cell r="U961">
            <v>50300</v>
          </cell>
          <cell r="V961">
            <v>51000</v>
          </cell>
          <cell r="W961">
            <v>54100</v>
          </cell>
        </row>
        <row r="962">
          <cell r="A962">
            <v>45228</v>
          </cell>
          <cell r="B962" t="str">
            <v>H</v>
          </cell>
          <cell r="C962" t="str">
            <v>H</v>
          </cell>
          <cell r="D962" t="str">
            <v>H</v>
          </cell>
          <cell r="E962" t="str">
            <v>H</v>
          </cell>
          <cell r="F962" t="str">
            <v>H</v>
          </cell>
          <cell r="G962" t="str">
            <v>H</v>
          </cell>
          <cell r="H962" t="str">
            <v>H</v>
          </cell>
          <cell r="I962" t="str">
            <v>H</v>
          </cell>
          <cell r="J962" t="str">
            <v>H</v>
          </cell>
          <cell r="K962" t="str">
            <v>H</v>
          </cell>
          <cell r="L962" t="str">
            <v>H</v>
          </cell>
          <cell r="M962" t="str">
            <v>H</v>
          </cell>
          <cell r="N962" t="str">
            <v>H</v>
          </cell>
          <cell r="O962" t="str">
            <v>H</v>
          </cell>
          <cell r="P962" t="str">
            <v>H</v>
          </cell>
          <cell r="Q962" t="str">
            <v>H</v>
          </cell>
          <cell r="R962" t="str">
            <v>H</v>
          </cell>
          <cell r="S962" t="str">
            <v>H</v>
          </cell>
          <cell r="T962" t="str">
            <v>H</v>
          </cell>
          <cell r="U962" t="str">
            <v>H</v>
          </cell>
          <cell r="V962" t="str">
            <v>H</v>
          </cell>
          <cell r="W962" t="str">
            <v>H</v>
          </cell>
        </row>
        <row r="963">
          <cell r="A963">
            <v>45229</v>
          </cell>
          <cell r="B963">
            <v>48900</v>
          </cell>
          <cell r="C963">
            <v>50500</v>
          </cell>
          <cell r="D963">
            <v>48300</v>
          </cell>
          <cell r="E963">
            <v>45200</v>
          </cell>
          <cell r="F963">
            <v>50500</v>
          </cell>
          <cell r="G963" t="str">
            <v>-</v>
          </cell>
          <cell r="H963">
            <v>49000</v>
          </cell>
          <cell r="I963">
            <v>48000</v>
          </cell>
          <cell r="J963">
            <v>50400</v>
          </cell>
          <cell r="K963" t="str">
            <v>-</v>
          </cell>
          <cell r="L963">
            <v>49400</v>
          </cell>
          <cell r="M963">
            <v>49900</v>
          </cell>
          <cell r="N963">
            <v>47500</v>
          </cell>
          <cell r="O963">
            <v>46600</v>
          </cell>
          <cell r="P963">
            <v>45000</v>
          </cell>
          <cell r="Q963">
            <v>45400</v>
          </cell>
          <cell r="R963">
            <v>45500</v>
          </cell>
          <cell r="S963">
            <v>47500</v>
          </cell>
          <cell r="T963">
            <v>48200</v>
          </cell>
          <cell r="U963">
            <v>50300</v>
          </cell>
          <cell r="V963">
            <v>50700</v>
          </cell>
          <cell r="W963">
            <v>53900</v>
          </cell>
        </row>
        <row r="964">
          <cell r="A964">
            <v>45230</v>
          </cell>
          <cell r="B964">
            <v>48900</v>
          </cell>
          <cell r="C964">
            <v>50200</v>
          </cell>
          <cell r="D964">
            <v>48000</v>
          </cell>
          <cell r="E964">
            <v>45000</v>
          </cell>
          <cell r="F964">
            <v>50400</v>
          </cell>
          <cell r="G964" t="str">
            <v>-</v>
          </cell>
          <cell r="H964">
            <v>49000</v>
          </cell>
          <cell r="I964">
            <v>48000</v>
          </cell>
          <cell r="J964">
            <v>49700</v>
          </cell>
          <cell r="K964" t="str">
            <v>-</v>
          </cell>
          <cell r="L964">
            <v>49400</v>
          </cell>
          <cell r="M964">
            <v>49900</v>
          </cell>
          <cell r="N964">
            <v>47500</v>
          </cell>
          <cell r="O964">
            <v>46600</v>
          </cell>
          <cell r="P964">
            <v>44800</v>
          </cell>
          <cell r="Q964">
            <v>45200</v>
          </cell>
          <cell r="R964">
            <v>45200</v>
          </cell>
          <cell r="S964">
            <v>47300</v>
          </cell>
          <cell r="T964">
            <v>48200</v>
          </cell>
          <cell r="U964">
            <v>50300</v>
          </cell>
          <cell r="V964">
            <v>50700</v>
          </cell>
          <cell r="W964">
            <v>53900</v>
          </cell>
        </row>
        <row r="965">
          <cell r="A965">
            <v>45231</v>
          </cell>
          <cell r="B965">
            <v>48900</v>
          </cell>
          <cell r="C965">
            <v>50000</v>
          </cell>
          <cell r="D965">
            <v>47700</v>
          </cell>
          <cell r="E965">
            <v>44800</v>
          </cell>
          <cell r="F965">
            <v>50400</v>
          </cell>
          <cell r="G965" t="str">
            <v>-</v>
          </cell>
          <cell r="H965">
            <v>48500</v>
          </cell>
          <cell r="I965">
            <v>47700</v>
          </cell>
          <cell r="J965">
            <v>49700</v>
          </cell>
          <cell r="K965" t="str">
            <v>-</v>
          </cell>
          <cell r="L965">
            <v>49200</v>
          </cell>
          <cell r="M965">
            <v>49800</v>
          </cell>
          <cell r="N965">
            <v>47200</v>
          </cell>
          <cell r="O965">
            <v>46200</v>
          </cell>
          <cell r="P965">
            <v>44200</v>
          </cell>
          <cell r="Q965">
            <v>44900</v>
          </cell>
          <cell r="R965">
            <v>45000</v>
          </cell>
          <cell r="S965">
            <v>47100</v>
          </cell>
          <cell r="T965">
            <v>48200</v>
          </cell>
          <cell r="U965">
            <v>50300</v>
          </cell>
          <cell r="V965">
            <v>50700</v>
          </cell>
          <cell r="W965">
            <v>53600</v>
          </cell>
        </row>
        <row r="966">
          <cell r="A966">
            <v>45232</v>
          </cell>
          <cell r="B966">
            <v>48500</v>
          </cell>
          <cell r="C966">
            <v>49800</v>
          </cell>
          <cell r="D966">
            <v>47500</v>
          </cell>
          <cell r="E966">
            <v>44700</v>
          </cell>
          <cell r="F966">
            <v>49800</v>
          </cell>
          <cell r="G966" t="str">
            <v>-</v>
          </cell>
          <cell r="H966">
            <v>48500</v>
          </cell>
          <cell r="I966">
            <v>47500</v>
          </cell>
          <cell r="J966">
            <v>49700</v>
          </cell>
          <cell r="K966" t="str">
            <v>-</v>
          </cell>
          <cell r="L966">
            <v>49000</v>
          </cell>
          <cell r="M966">
            <v>49800</v>
          </cell>
          <cell r="N966">
            <v>46700</v>
          </cell>
          <cell r="O966">
            <v>46200</v>
          </cell>
          <cell r="P966">
            <v>44000</v>
          </cell>
          <cell r="Q966">
            <v>44800</v>
          </cell>
          <cell r="R966">
            <v>44700</v>
          </cell>
          <cell r="S966">
            <v>47000</v>
          </cell>
          <cell r="T966">
            <v>47400</v>
          </cell>
          <cell r="U966">
            <v>50300</v>
          </cell>
          <cell r="V966">
            <v>50700</v>
          </cell>
          <cell r="W966">
            <v>53600</v>
          </cell>
        </row>
        <row r="967">
          <cell r="A967">
            <v>45233</v>
          </cell>
          <cell r="B967">
            <v>48500</v>
          </cell>
          <cell r="C967">
            <v>49800</v>
          </cell>
          <cell r="D967">
            <v>47600</v>
          </cell>
          <cell r="E967">
            <v>44700</v>
          </cell>
          <cell r="F967">
            <v>49600</v>
          </cell>
          <cell r="G967" t="str">
            <v>-</v>
          </cell>
          <cell r="H967">
            <v>48000</v>
          </cell>
          <cell r="I967">
            <v>47500</v>
          </cell>
          <cell r="J967">
            <v>49500</v>
          </cell>
          <cell r="K967" t="str">
            <v>-</v>
          </cell>
          <cell r="L967">
            <v>49200</v>
          </cell>
          <cell r="M967">
            <v>49800</v>
          </cell>
          <cell r="N967">
            <v>46600</v>
          </cell>
          <cell r="O967">
            <v>46200</v>
          </cell>
          <cell r="P967">
            <v>44000</v>
          </cell>
          <cell r="Q967">
            <v>44700</v>
          </cell>
          <cell r="R967">
            <v>44900</v>
          </cell>
          <cell r="S967">
            <v>47000</v>
          </cell>
          <cell r="T967">
            <v>47400</v>
          </cell>
          <cell r="U967">
            <v>50300</v>
          </cell>
          <cell r="V967">
            <v>50700</v>
          </cell>
          <cell r="W967">
            <v>53600</v>
          </cell>
        </row>
        <row r="968">
          <cell r="A968">
            <v>45234</v>
          </cell>
          <cell r="B968">
            <v>48300</v>
          </cell>
          <cell r="C968">
            <v>49500</v>
          </cell>
          <cell r="D968">
            <v>47700</v>
          </cell>
          <cell r="E968">
            <v>44400</v>
          </cell>
          <cell r="F968">
            <v>49600</v>
          </cell>
          <cell r="G968" t="str">
            <v>-</v>
          </cell>
          <cell r="H968">
            <v>48000</v>
          </cell>
          <cell r="I968">
            <v>47200</v>
          </cell>
          <cell r="J968">
            <v>49500</v>
          </cell>
          <cell r="K968" t="str">
            <v>-</v>
          </cell>
          <cell r="L968">
            <v>49000</v>
          </cell>
          <cell r="M968">
            <v>49300</v>
          </cell>
          <cell r="N968">
            <v>46500</v>
          </cell>
          <cell r="O968">
            <v>46200</v>
          </cell>
          <cell r="P968">
            <v>43800</v>
          </cell>
          <cell r="Q968">
            <v>44400</v>
          </cell>
          <cell r="R968">
            <v>44700</v>
          </cell>
          <cell r="S968">
            <v>46700</v>
          </cell>
          <cell r="T968">
            <v>47000</v>
          </cell>
          <cell r="U968">
            <v>50300</v>
          </cell>
          <cell r="V968">
            <v>50700</v>
          </cell>
          <cell r="W968">
            <v>53600</v>
          </cell>
        </row>
        <row r="969">
          <cell r="A969">
            <v>45235</v>
          </cell>
          <cell r="B969" t="str">
            <v>H</v>
          </cell>
          <cell r="C969" t="str">
            <v>H</v>
          </cell>
          <cell r="D969" t="str">
            <v>H</v>
          </cell>
          <cell r="E969" t="str">
            <v>H</v>
          </cell>
          <cell r="F969" t="str">
            <v>H</v>
          </cell>
          <cell r="G969" t="str">
            <v>H</v>
          </cell>
          <cell r="H969" t="str">
            <v>H</v>
          </cell>
          <cell r="I969" t="str">
            <v>H</v>
          </cell>
          <cell r="J969" t="str">
            <v>H</v>
          </cell>
          <cell r="K969" t="str">
            <v>H</v>
          </cell>
          <cell r="L969" t="str">
            <v>H</v>
          </cell>
          <cell r="M969" t="str">
            <v>H</v>
          </cell>
          <cell r="N969" t="str">
            <v>H</v>
          </cell>
          <cell r="O969" t="str">
            <v>H</v>
          </cell>
          <cell r="P969" t="str">
            <v>H</v>
          </cell>
          <cell r="Q969" t="str">
            <v>H</v>
          </cell>
          <cell r="R969" t="str">
            <v>H</v>
          </cell>
          <cell r="S969" t="str">
            <v>H</v>
          </cell>
          <cell r="T969" t="str">
            <v>H</v>
          </cell>
          <cell r="U969" t="str">
            <v>H</v>
          </cell>
          <cell r="V969" t="str">
            <v>H</v>
          </cell>
          <cell r="W969" t="str">
            <v>H</v>
          </cell>
        </row>
        <row r="970">
          <cell r="A970">
            <v>45236</v>
          </cell>
          <cell r="B970">
            <v>48200</v>
          </cell>
          <cell r="C970">
            <v>49500</v>
          </cell>
          <cell r="D970">
            <v>46900</v>
          </cell>
          <cell r="E970">
            <v>44000</v>
          </cell>
          <cell r="F970">
            <v>49600</v>
          </cell>
          <cell r="G970" t="str">
            <v>-</v>
          </cell>
          <cell r="H970">
            <v>48000</v>
          </cell>
          <cell r="I970">
            <v>46800</v>
          </cell>
          <cell r="J970">
            <v>49500</v>
          </cell>
          <cell r="K970" t="str">
            <v>-</v>
          </cell>
          <cell r="L970">
            <v>48600</v>
          </cell>
          <cell r="M970">
            <v>49300</v>
          </cell>
          <cell r="N970">
            <v>46200</v>
          </cell>
          <cell r="O970">
            <v>45700</v>
          </cell>
          <cell r="P970">
            <v>43300</v>
          </cell>
          <cell r="Q970">
            <v>44100</v>
          </cell>
          <cell r="R970">
            <v>44200</v>
          </cell>
          <cell r="S970">
            <v>46300</v>
          </cell>
          <cell r="T970">
            <v>47000</v>
          </cell>
          <cell r="U970">
            <v>49800</v>
          </cell>
          <cell r="V970">
            <v>50300</v>
          </cell>
          <cell r="W970">
            <v>53000</v>
          </cell>
        </row>
        <row r="971">
          <cell r="A971">
            <v>45237</v>
          </cell>
          <cell r="B971">
            <v>48000</v>
          </cell>
          <cell r="C971">
            <v>49300</v>
          </cell>
          <cell r="D971">
            <v>46600</v>
          </cell>
          <cell r="E971">
            <v>43900</v>
          </cell>
          <cell r="F971">
            <v>49500</v>
          </cell>
          <cell r="G971" t="str">
            <v>-</v>
          </cell>
          <cell r="H971">
            <v>47500</v>
          </cell>
          <cell r="I971">
            <v>46600</v>
          </cell>
          <cell r="J971">
            <v>49500</v>
          </cell>
          <cell r="K971" t="str">
            <v>-</v>
          </cell>
          <cell r="L971">
            <v>48300</v>
          </cell>
          <cell r="M971">
            <v>49000</v>
          </cell>
          <cell r="N971">
            <v>45700</v>
          </cell>
          <cell r="O971">
            <v>45700</v>
          </cell>
          <cell r="P971">
            <v>43300</v>
          </cell>
          <cell r="Q971">
            <v>43900</v>
          </cell>
          <cell r="R971">
            <v>44000</v>
          </cell>
          <cell r="S971">
            <v>46200</v>
          </cell>
          <cell r="T971">
            <v>46800</v>
          </cell>
          <cell r="U971">
            <v>49800</v>
          </cell>
          <cell r="V971">
            <v>50300</v>
          </cell>
          <cell r="W971">
            <v>53000</v>
          </cell>
        </row>
        <row r="972">
          <cell r="A972">
            <v>45238</v>
          </cell>
          <cell r="B972">
            <v>47800</v>
          </cell>
          <cell r="C972">
            <v>49300</v>
          </cell>
          <cell r="D972">
            <v>46600</v>
          </cell>
          <cell r="E972">
            <v>44000</v>
          </cell>
          <cell r="F972">
            <v>49500</v>
          </cell>
          <cell r="G972" t="str">
            <v>-</v>
          </cell>
          <cell r="H972">
            <v>47500</v>
          </cell>
          <cell r="I972">
            <v>46800</v>
          </cell>
          <cell r="J972">
            <v>48700</v>
          </cell>
          <cell r="K972" t="str">
            <v>-</v>
          </cell>
          <cell r="L972">
            <v>48300</v>
          </cell>
          <cell r="M972">
            <v>48700</v>
          </cell>
          <cell r="N972">
            <v>46000</v>
          </cell>
          <cell r="O972">
            <v>45800</v>
          </cell>
          <cell r="P972">
            <v>43500</v>
          </cell>
          <cell r="Q972">
            <v>44300</v>
          </cell>
          <cell r="R972">
            <v>44300</v>
          </cell>
          <cell r="S972">
            <v>46200</v>
          </cell>
          <cell r="T972">
            <v>47000</v>
          </cell>
          <cell r="U972">
            <v>49800</v>
          </cell>
          <cell r="V972">
            <v>50100</v>
          </cell>
          <cell r="W972">
            <v>53000</v>
          </cell>
        </row>
        <row r="973">
          <cell r="A973">
            <v>45239</v>
          </cell>
          <cell r="B973">
            <v>47800</v>
          </cell>
          <cell r="C973">
            <v>49300</v>
          </cell>
          <cell r="D973">
            <v>47000</v>
          </cell>
          <cell r="E973">
            <v>44300</v>
          </cell>
          <cell r="F973">
            <v>49500</v>
          </cell>
          <cell r="G973" t="str">
            <v>-</v>
          </cell>
          <cell r="H973">
            <v>47500</v>
          </cell>
          <cell r="I973">
            <v>46900</v>
          </cell>
          <cell r="J973">
            <v>48700</v>
          </cell>
          <cell r="K973" t="str">
            <v>-</v>
          </cell>
          <cell r="L973">
            <v>48300</v>
          </cell>
          <cell r="M973">
            <v>48700</v>
          </cell>
          <cell r="N973">
            <v>46000</v>
          </cell>
          <cell r="O973">
            <v>45700</v>
          </cell>
          <cell r="P973">
            <v>43500</v>
          </cell>
          <cell r="Q973">
            <v>44400</v>
          </cell>
          <cell r="R973">
            <v>44300</v>
          </cell>
          <cell r="S973">
            <v>46500</v>
          </cell>
          <cell r="T973">
            <v>47200</v>
          </cell>
          <cell r="U973">
            <v>49800</v>
          </cell>
          <cell r="V973">
            <v>49900</v>
          </cell>
          <cell r="W973">
            <v>53000</v>
          </cell>
        </row>
        <row r="974">
          <cell r="A974">
            <v>45240</v>
          </cell>
          <cell r="B974">
            <v>48000</v>
          </cell>
          <cell r="C974">
            <v>49300</v>
          </cell>
          <cell r="D974">
            <v>47100</v>
          </cell>
          <cell r="E974">
            <v>44700</v>
          </cell>
          <cell r="F974">
            <v>49500</v>
          </cell>
          <cell r="G974" t="str">
            <v>-</v>
          </cell>
          <cell r="H974">
            <v>48000</v>
          </cell>
          <cell r="I974">
            <v>47400</v>
          </cell>
          <cell r="J974">
            <v>49300</v>
          </cell>
          <cell r="K974" t="str">
            <v>-</v>
          </cell>
          <cell r="L974">
            <v>48500</v>
          </cell>
          <cell r="M974">
            <v>49000</v>
          </cell>
          <cell r="N974">
            <v>46200</v>
          </cell>
          <cell r="O974">
            <v>46200</v>
          </cell>
          <cell r="P974">
            <v>44200</v>
          </cell>
          <cell r="Q974">
            <v>44600</v>
          </cell>
          <cell r="R974">
            <v>44800</v>
          </cell>
          <cell r="S974">
            <v>47000</v>
          </cell>
          <cell r="T974">
            <v>46400</v>
          </cell>
          <cell r="U974">
            <v>49800</v>
          </cell>
          <cell r="V974">
            <v>49900</v>
          </cell>
          <cell r="W974">
            <v>52500</v>
          </cell>
        </row>
        <row r="975">
          <cell r="A975">
            <v>45241</v>
          </cell>
          <cell r="B975">
            <v>48000</v>
          </cell>
          <cell r="C975">
            <v>49500</v>
          </cell>
          <cell r="D975">
            <v>47300</v>
          </cell>
          <cell r="E975">
            <v>44700</v>
          </cell>
          <cell r="F975">
            <v>49600</v>
          </cell>
          <cell r="G975" t="str">
            <v>-</v>
          </cell>
          <cell r="H975">
            <v>47500</v>
          </cell>
          <cell r="I975">
            <v>47200</v>
          </cell>
          <cell r="J975">
            <v>49300</v>
          </cell>
          <cell r="K975" t="str">
            <v>-</v>
          </cell>
          <cell r="L975">
            <v>48500</v>
          </cell>
          <cell r="M975">
            <v>49200</v>
          </cell>
          <cell r="N975">
            <v>46200</v>
          </cell>
          <cell r="O975">
            <v>46200</v>
          </cell>
          <cell r="P975">
            <v>44000</v>
          </cell>
          <cell r="Q975">
            <v>44500</v>
          </cell>
          <cell r="R975">
            <v>44500</v>
          </cell>
          <cell r="S975">
            <v>47000</v>
          </cell>
          <cell r="T975">
            <v>47000</v>
          </cell>
          <cell r="U975">
            <v>49800</v>
          </cell>
          <cell r="V975">
            <v>49900</v>
          </cell>
          <cell r="W975">
            <v>52500</v>
          </cell>
        </row>
        <row r="976">
          <cell r="A976">
            <v>45242</v>
          </cell>
          <cell r="B976" t="str">
            <v>H</v>
          </cell>
          <cell r="C976" t="str">
            <v>H</v>
          </cell>
          <cell r="D976" t="str">
            <v>H</v>
          </cell>
          <cell r="E976" t="str">
            <v>H</v>
          </cell>
          <cell r="F976" t="str">
            <v>H</v>
          </cell>
          <cell r="G976" t="str">
            <v>H</v>
          </cell>
          <cell r="H976" t="str">
            <v>H</v>
          </cell>
          <cell r="I976" t="str">
            <v>H</v>
          </cell>
          <cell r="J976" t="str">
            <v>H</v>
          </cell>
          <cell r="K976" t="str">
            <v>H</v>
          </cell>
          <cell r="L976" t="str">
            <v>H</v>
          </cell>
          <cell r="M976" t="str">
            <v>H</v>
          </cell>
          <cell r="N976" t="str">
            <v>H</v>
          </cell>
          <cell r="O976" t="str">
            <v>H</v>
          </cell>
          <cell r="P976" t="str">
            <v>H</v>
          </cell>
          <cell r="Q976" t="str">
            <v>H</v>
          </cell>
          <cell r="R976" t="str">
            <v>H</v>
          </cell>
          <cell r="S976" t="str">
            <v>H</v>
          </cell>
          <cell r="T976" t="str">
            <v>H</v>
          </cell>
          <cell r="U976" t="str">
            <v>H</v>
          </cell>
          <cell r="V976" t="str">
            <v>H</v>
          </cell>
          <cell r="W976" t="str">
            <v>H</v>
          </cell>
        </row>
        <row r="977">
          <cell r="A977">
            <v>45243</v>
          </cell>
          <cell r="B977" t="str">
            <v>H</v>
          </cell>
          <cell r="C977" t="str">
            <v>H</v>
          </cell>
          <cell r="D977" t="str">
            <v>H</v>
          </cell>
          <cell r="E977" t="str">
            <v>H</v>
          </cell>
          <cell r="F977" t="str">
            <v>H</v>
          </cell>
          <cell r="G977" t="str">
            <v>H</v>
          </cell>
          <cell r="H977" t="str">
            <v>H</v>
          </cell>
          <cell r="I977" t="str">
            <v>H</v>
          </cell>
          <cell r="J977" t="str">
            <v>H</v>
          </cell>
          <cell r="K977" t="str">
            <v>H</v>
          </cell>
          <cell r="L977" t="str">
            <v>H</v>
          </cell>
          <cell r="M977" t="str">
            <v>H</v>
          </cell>
          <cell r="N977" t="str">
            <v>H</v>
          </cell>
          <cell r="O977" t="str">
            <v>H</v>
          </cell>
          <cell r="P977" t="str">
            <v>H</v>
          </cell>
          <cell r="Q977" t="str">
            <v>H</v>
          </cell>
          <cell r="R977" t="str">
            <v>H</v>
          </cell>
          <cell r="S977" t="str">
            <v>H</v>
          </cell>
          <cell r="T977" t="str">
            <v>H</v>
          </cell>
          <cell r="U977" t="str">
            <v>H</v>
          </cell>
          <cell r="V977" t="str">
            <v>H</v>
          </cell>
          <cell r="W977" t="str">
            <v>H</v>
          </cell>
        </row>
        <row r="978">
          <cell r="A978">
            <v>45244</v>
          </cell>
          <cell r="B978" t="str">
            <v>-</v>
          </cell>
          <cell r="C978">
            <v>49500</v>
          </cell>
          <cell r="D978">
            <v>47200</v>
          </cell>
          <cell r="E978">
            <v>44500</v>
          </cell>
          <cell r="F978">
            <v>49800</v>
          </cell>
          <cell r="G978" t="str">
            <v>-</v>
          </cell>
          <cell r="H978">
            <v>47500</v>
          </cell>
          <cell r="I978">
            <v>47000</v>
          </cell>
          <cell r="J978">
            <v>49300</v>
          </cell>
          <cell r="K978" t="str">
            <v>-</v>
          </cell>
          <cell r="L978">
            <v>48400</v>
          </cell>
          <cell r="M978">
            <v>49200</v>
          </cell>
          <cell r="N978">
            <v>46200</v>
          </cell>
          <cell r="O978">
            <v>46200</v>
          </cell>
          <cell r="P978">
            <v>43700</v>
          </cell>
          <cell r="Q978">
            <v>44500</v>
          </cell>
          <cell r="R978">
            <v>44200</v>
          </cell>
          <cell r="S978">
            <v>46800</v>
          </cell>
          <cell r="T978">
            <v>47100</v>
          </cell>
          <cell r="U978">
            <v>49800</v>
          </cell>
          <cell r="V978">
            <v>49900</v>
          </cell>
          <cell r="W978">
            <v>52500</v>
          </cell>
        </row>
        <row r="979">
          <cell r="A979">
            <v>45245</v>
          </cell>
          <cell r="B979" t="str">
            <v>-</v>
          </cell>
          <cell r="C979">
            <v>49500</v>
          </cell>
          <cell r="D979">
            <v>47300</v>
          </cell>
          <cell r="E979">
            <v>44300</v>
          </cell>
          <cell r="F979">
            <v>49800</v>
          </cell>
          <cell r="G979" t="str">
            <v>-</v>
          </cell>
          <cell r="H979">
            <v>48000</v>
          </cell>
          <cell r="I979">
            <v>47000</v>
          </cell>
          <cell r="J979">
            <v>49300</v>
          </cell>
          <cell r="K979" t="str">
            <v>-</v>
          </cell>
          <cell r="L979">
            <v>48300</v>
          </cell>
          <cell r="M979">
            <v>49200</v>
          </cell>
          <cell r="N979">
            <v>46000</v>
          </cell>
          <cell r="O979">
            <v>46200</v>
          </cell>
          <cell r="P979">
            <v>43900</v>
          </cell>
          <cell r="Q979">
            <v>44600</v>
          </cell>
          <cell r="R979">
            <v>44200</v>
          </cell>
          <cell r="S979">
            <v>46600</v>
          </cell>
          <cell r="T979">
            <v>47100</v>
          </cell>
          <cell r="U979">
            <v>49800</v>
          </cell>
          <cell r="V979">
            <v>49900</v>
          </cell>
          <cell r="W979">
            <v>52500</v>
          </cell>
        </row>
        <row r="980">
          <cell r="A980">
            <v>45246</v>
          </cell>
          <cell r="B980">
            <v>48700</v>
          </cell>
          <cell r="C980">
            <v>49000</v>
          </cell>
          <cell r="D980">
            <v>47400</v>
          </cell>
          <cell r="E980">
            <v>44300</v>
          </cell>
          <cell r="F980">
            <v>49800</v>
          </cell>
          <cell r="G980" t="str">
            <v>-</v>
          </cell>
          <cell r="H980">
            <v>48000</v>
          </cell>
          <cell r="I980">
            <v>47000</v>
          </cell>
          <cell r="J980">
            <v>49300</v>
          </cell>
          <cell r="K980" t="str">
            <v>-</v>
          </cell>
          <cell r="L980">
            <v>48500</v>
          </cell>
          <cell r="M980">
            <v>49200</v>
          </cell>
          <cell r="N980">
            <v>46500</v>
          </cell>
          <cell r="O980">
            <v>46200</v>
          </cell>
          <cell r="P980">
            <v>44000</v>
          </cell>
          <cell r="Q980">
            <v>44700</v>
          </cell>
          <cell r="R980">
            <v>44500</v>
          </cell>
          <cell r="S980">
            <v>46600</v>
          </cell>
          <cell r="T980">
            <v>47100</v>
          </cell>
          <cell r="U980">
            <v>49800</v>
          </cell>
          <cell r="V980">
            <v>49900</v>
          </cell>
          <cell r="W980">
            <v>52500</v>
          </cell>
        </row>
        <row r="981">
          <cell r="A981">
            <v>45247</v>
          </cell>
          <cell r="B981">
            <v>48700</v>
          </cell>
          <cell r="C981">
            <v>49000</v>
          </cell>
          <cell r="D981">
            <v>47300</v>
          </cell>
          <cell r="E981">
            <v>44200</v>
          </cell>
          <cell r="F981">
            <v>49800</v>
          </cell>
          <cell r="G981" t="str">
            <v>-</v>
          </cell>
          <cell r="H981">
            <v>47500</v>
          </cell>
          <cell r="I981">
            <v>46800</v>
          </cell>
          <cell r="J981">
            <v>49300</v>
          </cell>
          <cell r="K981" t="str">
            <v>-</v>
          </cell>
          <cell r="L981">
            <v>48500</v>
          </cell>
          <cell r="M981">
            <v>49200</v>
          </cell>
          <cell r="N981">
            <v>46400</v>
          </cell>
          <cell r="O981">
            <v>46200</v>
          </cell>
          <cell r="P981">
            <v>44000</v>
          </cell>
          <cell r="Q981">
            <v>44800</v>
          </cell>
          <cell r="R981">
            <v>44500</v>
          </cell>
          <cell r="S981">
            <v>46500</v>
          </cell>
          <cell r="T981">
            <v>47100</v>
          </cell>
          <cell r="U981">
            <v>49800</v>
          </cell>
          <cell r="V981">
            <v>49900</v>
          </cell>
          <cell r="W981">
            <v>52500</v>
          </cell>
        </row>
        <row r="982">
          <cell r="A982">
            <v>45248</v>
          </cell>
          <cell r="B982">
            <v>48700</v>
          </cell>
          <cell r="C982">
            <v>49000</v>
          </cell>
          <cell r="D982">
            <v>47300</v>
          </cell>
          <cell r="E982">
            <v>44200</v>
          </cell>
          <cell r="F982">
            <v>49800</v>
          </cell>
          <cell r="G982" t="str">
            <v>-</v>
          </cell>
          <cell r="H982">
            <v>47500</v>
          </cell>
          <cell r="I982">
            <v>46800</v>
          </cell>
          <cell r="J982">
            <v>49300</v>
          </cell>
          <cell r="K982" t="str">
            <v>-</v>
          </cell>
          <cell r="L982">
            <v>48400</v>
          </cell>
          <cell r="M982">
            <v>49200</v>
          </cell>
          <cell r="N982">
            <v>46200</v>
          </cell>
          <cell r="O982" t="str">
            <v>-</v>
          </cell>
          <cell r="P982">
            <v>44000</v>
          </cell>
          <cell r="Q982">
            <v>44600</v>
          </cell>
          <cell r="R982">
            <v>44400</v>
          </cell>
          <cell r="S982">
            <v>46500</v>
          </cell>
          <cell r="T982">
            <v>47100</v>
          </cell>
          <cell r="U982">
            <v>49800</v>
          </cell>
          <cell r="V982">
            <v>49900</v>
          </cell>
          <cell r="W982">
            <v>52500</v>
          </cell>
        </row>
        <row r="983">
          <cell r="A983">
            <v>45249</v>
          </cell>
          <cell r="B983" t="str">
            <v>H</v>
          </cell>
          <cell r="C983" t="str">
            <v>H</v>
          </cell>
          <cell r="D983" t="str">
            <v>H</v>
          </cell>
          <cell r="E983" t="str">
            <v>H</v>
          </cell>
          <cell r="F983" t="str">
            <v>H</v>
          </cell>
          <cell r="G983" t="str">
            <v>H</v>
          </cell>
          <cell r="H983" t="str">
            <v>H</v>
          </cell>
          <cell r="I983" t="str">
            <v>H</v>
          </cell>
          <cell r="J983" t="str">
            <v>H</v>
          </cell>
          <cell r="K983" t="str">
            <v>H</v>
          </cell>
          <cell r="L983" t="str">
            <v>H</v>
          </cell>
          <cell r="M983" t="str">
            <v>H</v>
          </cell>
          <cell r="N983" t="str">
            <v>H</v>
          </cell>
          <cell r="O983" t="str">
            <v>H</v>
          </cell>
          <cell r="P983" t="str">
            <v>H</v>
          </cell>
          <cell r="Q983" t="str">
            <v>H</v>
          </cell>
          <cell r="R983" t="str">
            <v>H</v>
          </cell>
          <cell r="S983" t="str">
            <v>H</v>
          </cell>
          <cell r="T983" t="str">
            <v>H</v>
          </cell>
          <cell r="U983" t="str">
            <v>H</v>
          </cell>
          <cell r="V983" t="str">
            <v>H</v>
          </cell>
          <cell r="W983" t="str">
            <v>H</v>
          </cell>
        </row>
        <row r="984">
          <cell r="A984">
            <v>45250</v>
          </cell>
          <cell r="B984">
            <v>48600</v>
          </cell>
          <cell r="C984">
            <v>49000</v>
          </cell>
          <cell r="D984">
            <v>47300</v>
          </cell>
          <cell r="E984">
            <v>44200</v>
          </cell>
          <cell r="F984">
            <v>49400</v>
          </cell>
          <cell r="G984" t="str">
            <v>-</v>
          </cell>
          <cell r="H984">
            <v>47500</v>
          </cell>
          <cell r="I984">
            <v>46700</v>
          </cell>
          <cell r="J984">
            <v>49300</v>
          </cell>
          <cell r="K984" t="str">
            <v>-</v>
          </cell>
          <cell r="L984">
            <v>48200</v>
          </cell>
          <cell r="M984">
            <v>49200</v>
          </cell>
          <cell r="N984">
            <v>45800</v>
          </cell>
          <cell r="O984" t="str">
            <v>-</v>
          </cell>
          <cell r="P984">
            <v>44000</v>
          </cell>
          <cell r="Q984">
            <v>44600</v>
          </cell>
          <cell r="R984">
            <v>44400</v>
          </cell>
          <cell r="S984">
            <v>46500</v>
          </cell>
          <cell r="T984">
            <v>47100</v>
          </cell>
          <cell r="U984">
            <v>49800</v>
          </cell>
          <cell r="V984">
            <v>49400</v>
          </cell>
          <cell r="W984">
            <v>51800</v>
          </cell>
        </row>
        <row r="985">
          <cell r="A985">
            <v>45251</v>
          </cell>
          <cell r="B985">
            <v>48300</v>
          </cell>
          <cell r="C985">
            <v>49000</v>
          </cell>
          <cell r="D985">
            <v>46800</v>
          </cell>
          <cell r="E985">
            <v>43800</v>
          </cell>
          <cell r="F985">
            <v>49200</v>
          </cell>
          <cell r="G985" t="str">
            <v>-</v>
          </cell>
          <cell r="H985">
            <v>47000</v>
          </cell>
          <cell r="I985">
            <v>46600</v>
          </cell>
          <cell r="J985">
            <v>49300</v>
          </cell>
          <cell r="K985" t="str">
            <v>-</v>
          </cell>
          <cell r="L985">
            <v>48200</v>
          </cell>
          <cell r="M985">
            <v>49200</v>
          </cell>
          <cell r="N985">
            <v>45800</v>
          </cell>
          <cell r="O985">
            <v>45800</v>
          </cell>
          <cell r="P985">
            <v>43800</v>
          </cell>
          <cell r="Q985">
            <v>44500</v>
          </cell>
          <cell r="R985">
            <v>44200</v>
          </cell>
          <cell r="S985">
            <v>46100</v>
          </cell>
          <cell r="T985">
            <v>47000</v>
          </cell>
          <cell r="U985">
            <v>49800</v>
          </cell>
          <cell r="V985">
            <v>49300</v>
          </cell>
          <cell r="W985">
            <v>51800</v>
          </cell>
        </row>
        <row r="986">
          <cell r="A986">
            <v>45252</v>
          </cell>
          <cell r="B986">
            <v>48300</v>
          </cell>
          <cell r="C986">
            <v>49000</v>
          </cell>
          <cell r="D986">
            <v>46700</v>
          </cell>
          <cell r="E986">
            <v>43700</v>
          </cell>
          <cell r="F986">
            <v>49200</v>
          </cell>
          <cell r="G986" t="str">
            <v>-</v>
          </cell>
          <cell r="H986">
            <v>47000</v>
          </cell>
          <cell r="I986">
            <v>46400</v>
          </cell>
          <cell r="J986">
            <v>48500</v>
          </cell>
          <cell r="K986" t="str">
            <v>-</v>
          </cell>
          <cell r="L986">
            <v>48100</v>
          </cell>
          <cell r="M986">
            <v>48700</v>
          </cell>
          <cell r="N986">
            <v>45800</v>
          </cell>
          <cell r="O986">
            <v>45700</v>
          </cell>
          <cell r="P986">
            <v>43600</v>
          </cell>
          <cell r="Q986">
            <v>44200</v>
          </cell>
          <cell r="R986">
            <v>44000</v>
          </cell>
          <cell r="S986">
            <v>46000</v>
          </cell>
          <cell r="T986">
            <v>47000</v>
          </cell>
          <cell r="U986">
            <v>49800</v>
          </cell>
          <cell r="V986">
            <v>49000</v>
          </cell>
          <cell r="W986">
            <v>51800</v>
          </cell>
        </row>
        <row r="987">
          <cell r="A987">
            <v>45253</v>
          </cell>
          <cell r="B987">
            <v>48700</v>
          </cell>
          <cell r="C987">
            <v>48800</v>
          </cell>
          <cell r="D987">
            <v>47000</v>
          </cell>
          <cell r="E987">
            <v>44000</v>
          </cell>
          <cell r="F987">
            <v>49200</v>
          </cell>
          <cell r="G987" t="str">
            <v>-</v>
          </cell>
          <cell r="H987">
            <v>47000</v>
          </cell>
          <cell r="I987">
            <v>46500</v>
          </cell>
          <cell r="J987">
            <v>49000</v>
          </cell>
          <cell r="K987" t="str">
            <v>-</v>
          </cell>
          <cell r="L987">
            <v>48400</v>
          </cell>
          <cell r="M987">
            <v>48700</v>
          </cell>
          <cell r="N987">
            <v>46300</v>
          </cell>
          <cell r="O987">
            <v>45800</v>
          </cell>
          <cell r="P987">
            <v>44000</v>
          </cell>
          <cell r="Q987">
            <v>44200</v>
          </cell>
          <cell r="R987">
            <v>44200</v>
          </cell>
          <cell r="S987">
            <v>46300</v>
          </cell>
          <cell r="T987">
            <v>47000</v>
          </cell>
          <cell r="U987">
            <v>49800</v>
          </cell>
          <cell r="V987">
            <v>49000</v>
          </cell>
          <cell r="W987">
            <v>51800</v>
          </cell>
        </row>
        <row r="988">
          <cell r="A988">
            <v>45254</v>
          </cell>
          <cell r="B988">
            <v>48700</v>
          </cell>
          <cell r="C988">
            <v>49000</v>
          </cell>
          <cell r="D988">
            <v>47000</v>
          </cell>
          <cell r="E988">
            <v>43800</v>
          </cell>
          <cell r="F988">
            <v>49300</v>
          </cell>
          <cell r="G988" t="str">
            <v>-</v>
          </cell>
          <cell r="H988">
            <v>47000</v>
          </cell>
          <cell r="I988">
            <v>46500</v>
          </cell>
          <cell r="J988">
            <v>49000</v>
          </cell>
          <cell r="K988" t="str">
            <v>-</v>
          </cell>
          <cell r="L988">
            <v>48400</v>
          </cell>
          <cell r="M988">
            <v>48700</v>
          </cell>
          <cell r="N988">
            <v>46000</v>
          </cell>
          <cell r="O988">
            <v>45600</v>
          </cell>
          <cell r="P988">
            <v>43700</v>
          </cell>
          <cell r="Q988">
            <v>44200</v>
          </cell>
          <cell r="R988">
            <v>44000</v>
          </cell>
          <cell r="S988">
            <v>46100</v>
          </cell>
          <cell r="T988">
            <v>47000</v>
          </cell>
          <cell r="U988">
            <v>49800</v>
          </cell>
          <cell r="V988">
            <v>49000</v>
          </cell>
          <cell r="W988">
            <v>51800</v>
          </cell>
        </row>
        <row r="989">
          <cell r="A989">
            <v>45255</v>
          </cell>
          <cell r="B989">
            <v>48500</v>
          </cell>
          <cell r="C989">
            <v>48700</v>
          </cell>
          <cell r="D989">
            <v>46800</v>
          </cell>
          <cell r="E989">
            <v>43600</v>
          </cell>
          <cell r="F989">
            <v>49300</v>
          </cell>
          <cell r="G989" t="str">
            <v>-</v>
          </cell>
          <cell r="H989">
            <v>47000</v>
          </cell>
          <cell r="I989">
            <v>46200</v>
          </cell>
          <cell r="J989">
            <v>49000</v>
          </cell>
          <cell r="K989" t="str">
            <v>-</v>
          </cell>
          <cell r="L989">
            <v>48200</v>
          </cell>
          <cell r="M989">
            <v>48700</v>
          </cell>
          <cell r="N989">
            <v>45600</v>
          </cell>
          <cell r="O989">
            <v>45300</v>
          </cell>
          <cell r="P989">
            <v>43300</v>
          </cell>
          <cell r="Q989">
            <v>44000</v>
          </cell>
          <cell r="R989">
            <v>43800</v>
          </cell>
          <cell r="S989">
            <v>45900</v>
          </cell>
          <cell r="T989">
            <v>46800</v>
          </cell>
          <cell r="U989">
            <v>49800</v>
          </cell>
          <cell r="V989">
            <v>49000</v>
          </cell>
          <cell r="W989">
            <v>51800</v>
          </cell>
        </row>
        <row r="990">
          <cell r="A990">
            <v>45256</v>
          </cell>
          <cell r="B990" t="str">
            <v>H</v>
          </cell>
          <cell r="C990" t="str">
            <v>H</v>
          </cell>
          <cell r="D990" t="str">
            <v>H</v>
          </cell>
          <cell r="E990" t="str">
            <v>H</v>
          </cell>
          <cell r="F990" t="str">
            <v>H</v>
          </cell>
          <cell r="G990" t="str">
            <v>H</v>
          </cell>
          <cell r="H990" t="str">
            <v>H</v>
          </cell>
          <cell r="I990" t="str">
            <v>H</v>
          </cell>
          <cell r="J990" t="str">
            <v>H</v>
          </cell>
          <cell r="K990" t="str">
            <v>H</v>
          </cell>
          <cell r="L990" t="str">
            <v>H</v>
          </cell>
          <cell r="M990" t="str">
            <v>H</v>
          </cell>
          <cell r="N990" t="str">
            <v>H</v>
          </cell>
          <cell r="O990" t="str">
            <v>H</v>
          </cell>
          <cell r="P990" t="str">
            <v>H</v>
          </cell>
          <cell r="Q990" t="str">
            <v>H</v>
          </cell>
          <cell r="R990" t="str">
            <v>H</v>
          </cell>
          <cell r="S990" t="str">
            <v>H</v>
          </cell>
          <cell r="T990" t="str">
            <v>H</v>
          </cell>
          <cell r="U990" t="str">
            <v>H</v>
          </cell>
          <cell r="V990" t="str">
            <v>H</v>
          </cell>
          <cell r="W990" t="str">
            <v>H</v>
          </cell>
        </row>
        <row r="991">
          <cell r="A991">
            <v>45257</v>
          </cell>
          <cell r="B991">
            <v>48000</v>
          </cell>
          <cell r="C991">
            <v>48800</v>
          </cell>
          <cell r="D991">
            <v>46500</v>
          </cell>
          <cell r="E991">
            <v>43200</v>
          </cell>
          <cell r="F991">
            <v>49300</v>
          </cell>
          <cell r="G991" t="str">
            <v>-</v>
          </cell>
          <cell r="H991">
            <v>47000</v>
          </cell>
          <cell r="I991">
            <v>45900</v>
          </cell>
          <cell r="J991">
            <v>49000</v>
          </cell>
          <cell r="K991" t="str">
            <v>-</v>
          </cell>
          <cell r="L991">
            <v>47800</v>
          </cell>
          <cell r="M991">
            <v>48700</v>
          </cell>
          <cell r="N991">
            <v>45600</v>
          </cell>
          <cell r="O991">
            <v>45100</v>
          </cell>
          <cell r="P991">
            <v>43000</v>
          </cell>
          <cell r="Q991">
            <v>43400</v>
          </cell>
          <cell r="R991">
            <v>43700</v>
          </cell>
          <cell r="S991">
            <v>45500</v>
          </cell>
          <cell r="T991">
            <v>46600</v>
          </cell>
          <cell r="U991">
            <v>48800</v>
          </cell>
          <cell r="V991">
            <v>48300</v>
          </cell>
          <cell r="W991">
            <v>51000</v>
          </cell>
        </row>
        <row r="992">
          <cell r="A992">
            <v>45258</v>
          </cell>
          <cell r="B992">
            <v>47600</v>
          </cell>
          <cell r="C992">
            <v>48500</v>
          </cell>
          <cell r="D992">
            <v>46000</v>
          </cell>
          <cell r="E992">
            <v>43000</v>
          </cell>
          <cell r="F992">
            <v>48800</v>
          </cell>
          <cell r="G992" t="str">
            <v>-</v>
          </cell>
          <cell r="H992">
            <v>46500</v>
          </cell>
          <cell r="I992">
            <v>45500</v>
          </cell>
          <cell r="J992">
            <v>48800</v>
          </cell>
          <cell r="K992" t="str">
            <v>-</v>
          </cell>
          <cell r="L992">
            <v>47500</v>
          </cell>
          <cell r="M992">
            <v>48700</v>
          </cell>
          <cell r="N992">
            <v>45300</v>
          </cell>
          <cell r="O992">
            <v>44800</v>
          </cell>
          <cell r="P992">
            <v>42800</v>
          </cell>
          <cell r="Q992">
            <v>43200</v>
          </cell>
          <cell r="R992">
            <v>43600</v>
          </cell>
          <cell r="S992">
            <v>45300</v>
          </cell>
          <cell r="T992">
            <v>46200</v>
          </cell>
          <cell r="U992">
            <v>48800</v>
          </cell>
          <cell r="V992">
            <v>48100</v>
          </cell>
          <cell r="W992">
            <v>51000</v>
          </cell>
        </row>
        <row r="993">
          <cell r="A993">
            <v>45259</v>
          </cell>
          <cell r="B993">
            <v>47400</v>
          </cell>
          <cell r="C993">
            <v>48500</v>
          </cell>
          <cell r="D993">
            <v>46200</v>
          </cell>
          <cell r="E993">
            <v>43100</v>
          </cell>
          <cell r="F993">
            <v>48800</v>
          </cell>
          <cell r="G993" t="str">
            <v>-</v>
          </cell>
          <cell r="H993">
            <v>47000</v>
          </cell>
          <cell r="I993">
            <v>45600</v>
          </cell>
          <cell r="J993">
            <v>48800</v>
          </cell>
          <cell r="K993" t="str">
            <v>-</v>
          </cell>
          <cell r="L993">
            <v>47500</v>
          </cell>
          <cell r="M993">
            <v>48700</v>
          </cell>
          <cell r="N993">
            <v>45500</v>
          </cell>
          <cell r="O993">
            <v>44900</v>
          </cell>
          <cell r="P993">
            <v>43200</v>
          </cell>
          <cell r="Q993">
            <v>43500</v>
          </cell>
          <cell r="R993">
            <v>43800</v>
          </cell>
          <cell r="S993">
            <v>45400</v>
          </cell>
          <cell r="T993">
            <v>46200</v>
          </cell>
          <cell r="U993">
            <v>48800</v>
          </cell>
          <cell r="V993">
            <v>48100</v>
          </cell>
          <cell r="W993">
            <v>51000</v>
          </cell>
        </row>
        <row r="994">
          <cell r="A994">
            <v>45260</v>
          </cell>
          <cell r="B994">
            <v>47300</v>
          </cell>
          <cell r="C994">
            <v>48500</v>
          </cell>
          <cell r="D994">
            <v>46000</v>
          </cell>
          <cell r="E994">
            <v>42800</v>
          </cell>
          <cell r="F994">
            <v>48600</v>
          </cell>
          <cell r="G994" t="str">
            <v>-</v>
          </cell>
          <cell r="H994">
            <v>47000</v>
          </cell>
          <cell r="I994">
            <v>45400</v>
          </cell>
          <cell r="J994">
            <v>48000</v>
          </cell>
          <cell r="K994" t="str">
            <v>-</v>
          </cell>
          <cell r="L994">
            <v>47200</v>
          </cell>
          <cell r="M994">
            <v>48200</v>
          </cell>
          <cell r="N994">
            <v>45200</v>
          </cell>
          <cell r="O994">
            <v>44500</v>
          </cell>
          <cell r="P994">
            <v>43000</v>
          </cell>
          <cell r="Q994">
            <v>43300</v>
          </cell>
          <cell r="R994">
            <v>43300</v>
          </cell>
          <cell r="S994">
            <v>45000</v>
          </cell>
          <cell r="T994">
            <v>46200</v>
          </cell>
          <cell r="U994">
            <v>48800</v>
          </cell>
          <cell r="V994">
            <v>48100</v>
          </cell>
          <cell r="W994">
            <v>51000</v>
          </cell>
        </row>
        <row r="995">
          <cell r="A995">
            <v>45261</v>
          </cell>
          <cell r="B995">
            <v>47300</v>
          </cell>
          <cell r="C995">
            <v>48500</v>
          </cell>
          <cell r="D995">
            <v>45800</v>
          </cell>
          <cell r="E995">
            <v>42700</v>
          </cell>
          <cell r="F995">
            <v>48600</v>
          </cell>
          <cell r="G995" t="str">
            <v>-</v>
          </cell>
          <cell r="H995">
            <v>46500</v>
          </cell>
          <cell r="I995">
            <v>45000</v>
          </cell>
          <cell r="J995">
            <v>48000</v>
          </cell>
          <cell r="K995" t="str">
            <v>-</v>
          </cell>
          <cell r="L995">
            <v>47000</v>
          </cell>
          <cell r="M995">
            <v>48200</v>
          </cell>
          <cell r="N995">
            <v>45000</v>
          </cell>
          <cell r="O995">
            <v>44500</v>
          </cell>
          <cell r="P995">
            <v>42500</v>
          </cell>
          <cell r="Q995">
            <v>43100</v>
          </cell>
          <cell r="R995">
            <v>43000</v>
          </cell>
          <cell r="S995">
            <v>45000</v>
          </cell>
          <cell r="T995">
            <v>46200</v>
          </cell>
          <cell r="U995">
            <v>48800</v>
          </cell>
          <cell r="V995">
            <v>48100</v>
          </cell>
          <cell r="W995">
            <v>51000</v>
          </cell>
        </row>
        <row r="996">
          <cell r="A996">
            <v>45262</v>
          </cell>
          <cell r="B996">
            <v>47300</v>
          </cell>
          <cell r="C996">
            <v>48500</v>
          </cell>
          <cell r="D996">
            <v>46100</v>
          </cell>
          <cell r="E996">
            <v>42900</v>
          </cell>
          <cell r="F996">
            <v>48600</v>
          </cell>
          <cell r="G996" t="str">
            <v>-</v>
          </cell>
          <cell r="H996">
            <v>46500</v>
          </cell>
          <cell r="I996">
            <v>45600</v>
          </cell>
          <cell r="J996">
            <v>48000</v>
          </cell>
          <cell r="K996" t="str">
            <v>-</v>
          </cell>
          <cell r="L996">
            <v>47200</v>
          </cell>
          <cell r="M996">
            <v>48200</v>
          </cell>
          <cell r="N996">
            <v>45400</v>
          </cell>
          <cell r="O996">
            <v>44500</v>
          </cell>
          <cell r="P996">
            <v>42800</v>
          </cell>
          <cell r="Q996">
            <v>43000</v>
          </cell>
          <cell r="R996">
            <v>43300</v>
          </cell>
          <cell r="S996">
            <v>45200</v>
          </cell>
          <cell r="T996">
            <v>46000</v>
          </cell>
          <cell r="U996">
            <v>48800</v>
          </cell>
          <cell r="V996">
            <v>48100</v>
          </cell>
          <cell r="W996">
            <v>51000</v>
          </cell>
        </row>
        <row r="997">
          <cell r="A997">
            <v>45263</v>
          </cell>
          <cell r="B997" t="str">
            <v>H</v>
          </cell>
          <cell r="C997" t="str">
            <v>H</v>
          </cell>
          <cell r="D997" t="str">
            <v>H</v>
          </cell>
          <cell r="E997" t="str">
            <v>H</v>
          </cell>
          <cell r="F997" t="str">
            <v>H</v>
          </cell>
          <cell r="G997" t="str">
            <v>H</v>
          </cell>
          <cell r="H997" t="str">
            <v>H</v>
          </cell>
          <cell r="I997" t="str">
            <v>H</v>
          </cell>
          <cell r="J997" t="str">
            <v>H</v>
          </cell>
          <cell r="K997" t="str">
            <v>H</v>
          </cell>
          <cell r="L997" t="str">
            <v>H</v>
          </cell>
          <cell r="M997" t="str">
            <v>H</v>
          </cell>
          <cell r="N997" t="str">
            <v>H</v>
          </cell>
          <cell r="O997" t="str">
            <v>H</v>
          </cell>
          <cell r="P997" t="str">
            <v>H</v>
          </cell>
          <cell r="Q997" t="str">
            <v>H</v>
          </cell>
          <cell r="R997" t="str">
            <v>H</v>
          </cell>
          <cell r="S997" t="str">
            <v>H</v>
          </cell>
          <cell r="T997" t="str">
            <v>H</v>
          </cell>
          <cell r="U997" t="str">
            <v>H</v>
          </cell>
          <cell r="V997" t="str">
            <v>H</v>
          </cell>
          <cell r="W997" t="str">
            <v>H</v>
          </cell>
        </row>
        <row r="998">
          <cell r="A998">
            <v>45264</v>
          </cell>
          <cell r="B998">
            <v>47400</v>
          </cell>
          <cell r="C998" t="str">
            <v>-</v>
          </cell>
          <cell r="D998">
            <v>46000</v>
          </cell>
          <cell r="E998">
            <v>43000</v>
          </cell>
          <cell r="F998">
            <v>48500</v>
          </cell>
          <cell r="G998" t="str">
            <v>-</v>
          </cell>
          <cell r="H998">
            <v>46500</v>
          </cell>
          <cell r="I998">
            <v>45300</v>
          </cell>
          <cell r="J998">
            <v>48000</v>
          </cell>
          <cell r="K998" t="str">
            <v>-</v>
          </cell>
          <cell r="L998">
            <v>47000</v>
          </cell>
          <cell r="M998">
            <v>48200</v>
          </cell>
          <cell r="N998">
            <v>45400</v>
          </cell>
          <cell r="O998">
            <v>44300</v>
          </cell>
          <cell r="P998">
            <v>42800</v>
          </cell>
          <cell r="Q998">
            <v>43200</v>
          </cell>
          <cell r="R998">
            <v>43000</v>
          </cell>
          <cell r="S998">
            <v>45300</v>
          </cell>
          <cell r="T998">
            <v>46200</v>
          </cell>
          <cell r="U998">
            <v>48800</v>
          </cell>
          <cell r="V998">
            <v>48100</v>
          </cell>
          <cell r="W998">
            <v>51000</v>
          </cell>
        </row>
        <row r="999">
          <cell r="A999">
            <v>45265</v>
          </cell>
          <cell r="B999">
            <v>47600</v>
          </cell>
          <cell r="C999" t="str">
            <v>-</v>
          </cell>
          <cell r="D999">
            <v>46200</v>
          </cell>
          <cell r="E999">
            <v>43200</v>
          </cell>
          <cell r="F999">
            <v>48700</v>
          </cell>
          <cell r="G999" t="str">
            <v>-</v>
          </cell>
          <cell r="H999">
            <v>46500</v>
          </cell>
          <cell r="I999">
            <v>45300</v>
          </cell>
          <cell r="J999">
            <v>48300</v>
          </cell>
          <cell r="K999" t="str">
            <v>-</v>
          </cell>
          <cell r="L999">
            <v>47200</v>
          </cell>
          <cell r="M999">
            <v>48200</v>
          </cell>
          <cell r="N999">
            <v>45500</v>
          </cell>
          <cell r="O999">
            <v>44500</v>
          </cell>
          <cell r="P999">
            <v>42700</v>
          </cell>
          <cell r="Q999">
            <v>43200</v>
          </cell>
          <cell r="R999">
            <v>43300</v>
          </cell>
          <cell r="S999">
            <v>45500</v>
          </cell>
          <cell r="T999">
            <v>46300</v>
          </cell>
          <cell r="U999">
            <v>48800</v>
          </cell>
          <cell r="V999">
            <v>48100</v>
          </cell>
          <cell r="W999">
            <v>51000</v>
          </cell>
        </row>
        <row r="1000">
          <cell r="A1000">
            <v>45266</v>
          </cell>
          <cell r="B1000">
            <v>47800</v>
          </cell>
          <cell r="C1000" t="str">
            <v>-</v>
          </cell>
          <cell r="D1000">
            <v>46400</v>
          </cell>
          <cell r="E1000">
            <v>43700</v>
          </cell>
          <cell r="F1000">
            <v>49200</v>
          </cell>
          <cell r="G1000" t="str">
            <v>-</v>
          </cell>
          <cell r="H1000">
            <v>46500</v>
          </cell>
          <cell r="I1000">
            <v>45800</v>
          </cell>
          <cell r="J1000">
            <v>48700</v>
          </cell>
          <cell r="K1000" t="str">
            <v>-</v>
          </cell>
          <cell r="L1000">
            <v>47500</v>
          </cell>
          <cell r="M1000">
            <v>48300</v>
          </cell>
          <cell r="N1000">
            <v>45600</v>
          </cell>
          <cell r="O1000">
            <v>44900</v>
          </cell>
          <cell r="P1000">
            <v>43000</v>
          </cell>
          <cell r="Q1000">
            <v>43400</v>
          </cell>
          <cell r="R1000">
            <v>43800</v>
          </cell>
          <cell r="S1000">
            <v>46000</v>
          </cell>
          <cell r="T1000">
            <v>46300</v>
          </cell>
          <cell r="U1000">
            <v>48800</v>
          </cell>
          <cell r="V1000">
            <v>48800</v>
          </cell>
          <cell r="W1000">
            <v>52200</v>
          </cell>
        </row>
        <row r="1001">
          <cell r="A1001">
            <v>45267</v>
          </cell>
          <cell r="B1001">
            <v>47800</v>
          </cell>
          <cell r="C1001">
            <v>48500</v>
          </cell>
          <cell r="D1001">
            <v>46400</v>
          </cell>
          <cell r="E1001">
            <v>43400</v>
          </cell>
          <cell r="F1001">
            <v>49200</v>
          </cell>
          <cell r="G1001" t="str">
            <v>-</v>
          </cell>
          <cell r="H1001">
            <v>47000</v>
          </cell>
          <cell r="I1001">
            <v>45600</v>
          </cell>
          <cell r="J1001">
            <v>48700</v>
          </cell>
          <cell r="K1001" t="str">
            <v>-</v>
          </cell>
          <cell r="L1001">
            <v>47400</v>
          </cell>
          <cell r="M1001">
            <v>48300</v>
          </cell>
          <cell r="N1001">
            <v>45500</v>
          </cell>
          <cell r="O1001">
            <v>44700</v>
          </cell>
          <cell r="P1001">
            <v>42700</v>
          </cell>
          <cell r="Q1001">
            <v>43200</v>
          </cell>
          <cell r="R1001">
            <v>43500</v>
          </cell>
          <cell r="S1001">
            <v>45700</v>
          </cell>
          <cell r="T1001">
            <v>46300</v>
          </cell>
          <cell r="U1001">
            <v>48800</v>
          </cell>
          <cell r="V1001">
            <v>48800</v>
          </cell>
          <cell r="W1001">
            <v>52200</v>
          </cell>
        </row>
        <row r="1002">
          <cell r="A1002">
            <v>45268</v>
          </cell>
          <cell r="B1002">
            <v>48200</v>
          </cell>
          <cell r="C1002">
            <v>48800</v>
          </cell>
          <cell r="D1002">
            <v>46600</v>
          </cell>
          <cell r="E1002">
            <v>43800</v>
          </cell>
          <cell r="F1002">
            <v>49800</v>
          </cell>
          <cell r="G1002" t="str">
            <v>-</v>
          </cell>
          <cell r="H1002">
            <v>47000</v>
          </cell>
          <cell r="I1002">
            <v>46200</v>
          </cell>
          <cell r="J1002">
            <v>49200</v>
          </cell>
          <cell r="K1002" t="str">
            <v>-</v>
          </cell>
          <cell r="L1002">
            <v>47800</v>
          </cell>
          <cell r="M1002">
            <v>48500</v>
          </cell>
          <cell r="N1002">
            <v>45600</v>
          </cell>
          <cell r="O1002">
            <v>44900</v>
          </cell>
          <cell r="P1002">
            <v>43200</v>
          </cell>
          <cell r="Q1002">
            <v>43900</v>
          </cell>
          <cell r="R1002">
            <v>44000</v>
          </cell>
          <cell r="S1002">
            <v>46100</v>
          </cell>
          <cell r="T1002">
            <v>47000</v>
          </cell>
          <cell r="U1002" t="str">
            <v>-</v>
          </cell>
          <cell r="V1002">
            <v>49000</v>
          </cell>
          <cell r="W1002">
            <v>52200</v>
          </cell>
        </row>
        <row r="1003">
          <cell r="A1003">
            <v>45269</v>
          </cell>
          <cell r="B1003">
            <v>48500</v>
          </cell>
          <cell r="C1003">
            <v>48800</v>
          </cell>
          <cell r="D1003">
            <v>47100</v>
          </cell>
          <cell r="E1003">
            <v>44000</v>
          </cell>
          <cell r="F1003">
            <v>50000</v>
          </cell>
          <cell r="G1003" t="str">
            <v>-</v>
          </cell>
          <cell r="H1003">
            <v>47500</v>
          </cell>
          <cell r="I1003">
            <v>46500</v>
          </cell>
          <cell r="J1003">
            <v>49600</v>
          </cell>
          <cell r="K1003" t="str">
            <v>-</v>
          </cell>
          <cell r="L1003">
            <v>48200</v>
          </cell>
          <cell r="M1003">
            <v>48800</v>
          </cell>
          <cell r="N1003">
            <v>46100</v>
          </cell>
          <cell r="O1003">
            <v>45300</v>
          </cell>
          <cell r="P1003">
            <v>43500</v>
          </cell>
          <cell r="Q1003">
            <v>44500</v>
          </cell>
          <cell r="R1003">
            <v>44200</v>
          </cell>
          <cell r="S1003">
            <v>46300</v>
          </cell>
          <cell r="T1003">
            <v>47300</v>
          </cell>
          <cell r="U1003">
            <v>48800</v>
          </cell>
          <cell r="V1003">
            <v>49600</v>
          </cell>
          <cell r="W1003">
            <v>52200</v>
          </cell>
        </row>
        <row r="1004">
          <cell r="A1004">
            <v>45270</v>
          </cell>
          <cell r="B1004" t="str">
            <v>H</v>
          </cell>
          <cell r="C1004" t="str">
            <v>H</v>
          </cell>
          <cell r="D1004" t="str">
            <v>H</v>
          </cell>
          <cell r="E1004" t="str">
            <v>H</v>
          </cell>
          <cell r="F1004" t="str">
            <v>H</v>
          </cell>
          <cell r="G1004" t="str">
            <v>H</v>
          </cell>
          <cell r="H1004" t="str">
            <v>H</v>
          </cell>
          <cell r="I1004" t="str">
            <v>H</v>
          </cell>
          <cell r="J1004" t="str">
            <v>H</v>
          </cell>
          <cell r="K1004" t="str">
            <v>H</v>
          </cell>
          <cell r="L1004" t="str">
            <v>H</v>
          </cell>
          <cell r="M1004" t="str">
            <v>H</v>
          </cell>
          <cell r="N1004" t="str">
            <v>H</v>
          </cell>
          <cell r="O1004" t="str">
            <v>H</v>
          </cell>
          <cell r="P1004" t="str">
            <v>H</v>
          </cell>
          <cell r="Q1004" t="str">
            <v>H</v>
          </cell>
          <cell r="R1004" t="str">
            <v>H</v>
          </cell>
          <cell r="S1004" t="str">
            <v>H</v>
          </cell>
          <cell r="T1004" t="str">
            <v>H</v>
          </cell>
          <cell r="U1004" t="str">
            <v>H</v>
          </cell>
          <cell r="V1004" t="str">
            <v>H</v>
          </cell>
          <cell r="W1004" t="str">
            <v>H</v>
          </cell>
        </row>
        <row r="1005">
          <cell r="A1005">
            <v>45271</v>
          </cell>
          <cell r="B1005">
            <v>48500</v>
          </cell>
          <cell r="C1005">
            <v>49000</v>
          </cell>
          <cell r="D1005">
            <v>46600</v>
          </cell>
          <cell r="E1005">
            <v>44200</v>
          </cell>
          <cell r="F1005">
            <v>50300</v>
          </cell>
          <cell r="G1005" t="str">
            <v>-</v>
          </cell>
          <cell r="H1005">
            <v>47500</v>
          </cell>
          <cell r="I1005">
            <v>46600</v>
          </cell>
          <cell r="J1005">
            <v>49600</v>
          </cell>
          <cell r="K1005" t="str">
            <v>-</v>
          </cell>
          <cell r="L1005">
            <v>48200</v>
          </cell>
          <cell r="M1005">
            <v>49100</v>
          </cell>
          <cell r="N1005">
            <v>45700</v>
          </cell>
          <cell r="O1005">
            <v>45100</v>
          </cell>
          <cell r="P1005">
            <v>43200</v>
          </cell>
          <cell r="Q1005">
            <v>44200</v>
          </cell>
          <cell r="R1005">
            <v>44000</v>
          </cell>
          <cell r="S1005">
            <v>46500</v>
          </cell>
          <cell r="T1005">
            <v>47100</v>
          </cell>
          <cell r="U1005">
            <v>48800</v>
          </cell>
          <cell r="V1005">
            <v>49600</v>
          </cell>
          <cell r="W1005">
            <v>52200</v>
          </cell>
        </row>
        <row r="1006">
          <cell r="A1006">
            <v>45272</v>
          </cell>
          <cell r="B1006">
            <v>48500</v>
          </cell>
          <cell r="C1006">
            <v>49000</v>
          </cell>
          <cell r="D1006">
            <v>47200</v>
          </cell>
          <cell r="E1006">
            <v>44000</v>
          </cell>
          <cell r="F1006">
            <v>50300</v>
          </cell>
          <cell r="G1006" t="str">
            <v>-</v>
          </cell>
          <cell r="H1006">
            <v>47500</v>
          </cell>
          <cell r="I1006">
            <v>46700</v>
          </cell>
          <cell r="J1006">
            <v>49600</v>
          </cell>
          <cell r="K1006" t="str">
            <v>-</v>
          </cell>
          <cell r="L1006">
            <v>48400</v>
          </cell>
          <cell r="M1006">
            <v>49200</v>
          </cell>
          <cell r="N1006">
            <v>45700</v>
          </cell>
          <cell r="O1006">
            <v>45300</v>
          </cell>
          <cell r="P1006">
            <v>43500</v>
          </cell>
          <cell r="Q1006">
            <v>44500</v>
          </cell>
          <cell r="R1006">
            <v>44300</v>
          </cell>
          <cell r="S1006">
            <v>46300</v>
          </cell>
          <cell r="T1006">
            <v>47300</v>
          </cell>
          <cell r="U1006">
            <v>48800</v>
          </cell>
          <cell r="V1006">
            <v>49600</v>
          </cell>
          <cell r="W1006">
            <v>52200</v>
          </cell>
        </row>
        <row r="1007">
          <cell r="A1007">
            <v>45273</v>
          </cell>
          <cell r="B1007">
            <v>48500</v>
          </cell>
          <cell r="C1007">
            <v>49000</v>
          </cell>
          <cell r="D1007">
            <v>46800</v>
          </cell>
          <cell r="E1007">
            <v>43700</v>
          </cell>
          <cell r="F1007">
            <v>50300</v>
          </cell>
          <cell r="G1007" t="str">
            <v>-</v>
          </cell>
          <cell r="H1007">
            <v>47500</v>
          </cell>
          <cell r="I1007">
            <v>46600</v>
          </cell>
          <cell r="J1007">
            <v>49200</v>
          </cell>
          <cell r="K1007" t="str">
            <v>-</v>
          </cell>
          <cell r="L1007">
            <v>48400</v>
          </cell>
          <cell r="M1007">
            <v>49200</v>
          </cell>
          <cell r="N1007">
            <v>46000</v>
          </cell>
          <cell r="O1007">
            <v>45300</v>
          </cell>
          <cell r="P1007">
            <v>43200</v>
          </cell>
          <cell r="Q1007">
            <v>44300</v>
          </cell>
          <cell r="R1007">
            <v>44100</v>
          </cell>
          <cell r="S1007">
            <v>46200</v>
          </cell>
          <cell r="T1007">
            <v>47100</v>
          </cell>
          <cell r="U1007">
            <v>48800</v>
          </cell>
          <cell r="V1007">
            <v>49500</v>
          </cell>
          <cell r="W1007">
            <v>52200</v>
          </cell>
        </row>
        <row r="1008">
          <cell r="A1008">
            <v>45274</v>
          </cell>
          <cell r="B1008">
            <v>48700</v>
          </cell>
          <cell r="C1008">
            <v>49200</v>
          </cell>
          <cell r="D1008">
            <v>47000</v>
          </cell>
          <cell r="E1008">
            <v>44000</v>
          </cell>
          <cell r="F1008">
            <v>50300</v>
          </cell>
          <cell r="G1008" t="str">
            <v>-</v>
          </cell>
          <cell r="H1008">
            <v>48000</v>
          </cell>
          <cell r="I1008">
            <v>46800</v>
          </cell>
          <cell r="J1008">
            <v>49200</v>
          </cell>
          <cell r="K1008" t="str">
            <v>-</v>
          </cell>
          <cell r="L1008">
            <v>48600</v>
          </cell>
          <cell r="M1008">
            <v>49200</v>
          </cell>
          <cell r="N1008">
            <v>46200</v>
          </cell>
          <cell r="O1008">
            <v>45300</v>
          </cell>
          <cell r="P1008">
            <v>43400</v>
          </cell>
          <cell r="Q1008">
            <v>44400</v>
          </cell>
          <cell r="R1008">
            <v>44300</v>
          </cell>
          <cell r="S1008">
            <v>46500</v>
          </cell>
          <cell r="T1008">
            <v>47100</v>
          </cell>
          <cell r="U1008">
            <v>48800</v>
          </cell>
          <cell r="V1008">
            <v>49500</v>
          </cell>
          <cell r="W1008">
            <v>52200</v>
          </cell>
        </row>
        <row r="1009">
          <cell r="A1009">
            <v>45275</v>
          </cell>
          <cell r="B1009">
            <v>48700</v>
          </cell>
          <cell r="C1009">
            <v>49200</v>
          </cell>
          <cell r="D1009">
            <v>47100</v>
          </cell>
          <cell r="E1009">
            <v>43900</v>
          </cell>
          <cell r="F1009">
            <v>50200</v>
          </cell>
          <cell r="G1009" t="str">
            <v>-</v>
          </cell>
          <cell r="H1009">
            <v>47500</v>
          </cell>
          <cell r="I1009">
            <v>47000</v>
          </cell>
          <cell r="J1009">
            <v>49200</v>
          </cell>
          <cell r="K1009" t="str">
            <v>-</v>
          </cell>
          <cell r="L1009">
            <v>48600</v>
          </cell>
          <cell r="M1009">
            <v>49400</v>
          </cell>
          <cell r="N1009">
            <v>46300</v>
          </cell>
          <cell r="O1009">
            <v>45200</v>
          </cell>
          <cell r="P1009">
            <v>43000</v>
          </cell>
          <cell r="Q1009">
            <v>44200</v>
          </cell>
          <cell r="R1009">
            <v>44000</v>
          </cell>
          <cell r="S1009">
            <v>46400</v>
          </cell>
          <cell r="T1009">
            <v>47100</v>
          </cell>
          <cell r="U1009">
            <v>48800</v>
          </cell>
          <cell r="V1009">
            <v>49500</v>
          </cell>
          <cell r="W1009">
            <v>52200</v>
          </cell>
        </row>
        <row r="1010">
          <cell r="A1010">
            <v>45276</v>
          </cell>
          <cell r="B1010">
            <v>48700</v>
          </cell>
          <cell r="C1010">
            <v>49200</v>
          </cell>
          <cell r="D1010">
            <v>47100</v>
          </cell>
          <cell r="E1010">
            <v>43700</v>
          </cell>
          <cell r="F1010">
            <v>50000</v>
          </cell>
          <cell r="G1010" t="str">
            <v>-</v>
          </cell>
          <cell r="H1010">
            <v>47500</v>
          </cell>
          <cell r="I1010">
            <v>47000</v>
          </cell>
          <cell r="J1010">
            <v>49200</v>
          </cell>
          <cell r="K1010" t="str">
            <v>-</v>
          </cell>
          <cell r="L1010">
            <v>48600</v>
          </cell>
          <cell r="M1010">
            <v>49400</v>
          </cell>
          <cell r="N1010">
            <v>46100</v>
          </cell>
          <cell r="O1010">
            <v>45100</v>
          </cell>
          <cell r="P1010">
            <v>42800</v>
          </cell>
          <cell r="Q1010">
            <v>43900</v>
          </cell>
          <cell r="R1010">
            <v>43800</v>
          </cell>
          <cell r="S1010">
            <v>46500</v>
          </cell>
          <cell r="T1010">
            <v>46900</v>
          </cell>
          <cell r="U1010">
            <v>48800</v>
          </cell>
          <cell r="V1010">
            <v>49400</v>
          </cell>
          <cell r="W1010">
            <v>52000</v>
          </cell>
        </row>
        <row r="1011">
          <cell r="A1011">
            <v>45277</v>
          </cell>
          <cell r="B1011" t="str">
            <v>H</v>
          </cell>
          <cell r="C1011" t="str">
            <v>H</v>
          </cell>
          <cell r="D1011" t="str">
            <v>H</v>
          </cell>
          <cell r="E1011" t="str">
            <v>H</v>
          </cell>
          <cell r="F1011" t="str">
            <v>H</v>
          </cell>
          <cell r="G1011" t="str">
            <v>H</v>
          </cell>
          <cell r="H1011" t="str">
            <v>H</v>
          </cell>
          <cell r="I1011" t="str">
            <v>H</v>
          </cell>
          <cell r="J1011" t="str">
            <v>H</v>
          </cell>
          <cell r="K1011" t="str">
            <v>H</v>
          </cell>
          <cell r="L1011" t="str">
            <v>H</v>
          </cell>
          <cell r="M1011" t="str">
            <v>H</v>
          </cell>
          <cell r="N1011" t="str">
            <v>H</v>
          </cell>
          <cell r="O1011" t="str">
            <v>H</v>
          </cell>
          <cell r="P1011" t="str">
            <v>H</v>
          </cell>
          <cell r="Q1011" t="str">
            <v>H</v>
          </cell>
          <cell r="R1011" t="str">
            <v>H</v>
          </cell>
          <cell r="S1011" t="str">
            <v>H</v>
          </cell>
          <cell r="T1011" t="str">
            <v>H</v>
          </cell>
          <cell r="U1011" t="str">
            <v>H</v>
          </cell>
          <cell r="V1011" t="str">
            <v>H</v>
          </cell>
          <cell r="W1011" t="str">
            <v>H</v>
          </cell>
        </row>
        <row r="1012">
          <cell r="A1012">
            <v>45278</v>
          </cell>
          <cell r="B1012">
            <v>48500</v>
          </cell>
          <cell r="C1012">
            <v>49000</v>
          </cell>
          <cell r="D1012">
            <v>47100</v>
          </cell>
          <cell r="E1012">
            <v>43800</v>
          </cell>
          <cell r="F1012">
            <v>49900</v>
          </cell>
          <cell r="G1012" t="str">
            <v>-</v>
          </cell>
          <cell r="H1012">
            <v>47500</v>
          </cell>
          <cell r="I1012">
            <v>46900</v>
          </cell>
          <cell r="J1012">
            <v>48800</v>
          </cell>
          <cell r="K1012" t="str">
            <v>-</v>
          </cell>
          <cell r="L1012">
            <v>48700</v>
          </cell>
          <cell r="M1012">
            <v>49300</v>
          </cell>
          <cell r="N1012">
            <v>46400</v>
          </cell>
          <cell r="O1012">
            <v>45300</v>
          </cell>
          <cell r="P1012">
            <v>43000</v>
          </cell>
          <cell r="Q1012">
            <v>43800</v>
          </cell>
          <cell r="R1012">
            <v>43800</v>
          </cell>
          <cell r="S1012">
            <v>46000</v>
          </cell>
          <cell r="T1012">
            <v>47000</v>
          </cell>
          <cell r="U1012">
            <v>48800</v>
          </cell>
          <cell r="V1012">
            <v>49400</v>
          </cell>
          <cell r="W1012">
            <v>52000</v>
          </cell>
        </row>
        <row r="1013">
          <cell r="A1013">
            <v>45279</v>
          </cell>
          <cell r="B1013">
            <v>48500</v>
          </cell>
          <cell r="C1013">
            <v>49000</v>
          </cell>
          <cell r="D1013">
            <v>47200</v>
          </cell>
          <cell r="E1013">
            <v>43700</v>
          </cell>
          <cell r="F1013">
            <v>49800</v>
          </cell>
          <cell r="G1013" t="str">
            <v>-</v>
          </cell>
          <cell r="H1013">
            <v>47500</v>
          </cell>
          <cell r="I1013">
            <v>46700</v>
          </cell>
          <cell r="J1013">
            <v>48800</v>
          </cell>
          <cell r="K1013" t="str">
            <v>-</v>
          </cell>
          <cell r="L1013">
            <v>48500</v>
          </cell>
          <cell r="M1013">
            <v>48900</v>
          </cell>
          <cell r="N1013">
            <v>46300</v>
          </cell>
          <cell r="O1013">
            <v>45100</v>
          </cell>
          <cell r="P1013">
            <v>42800</v>
          </cell>
          <cell r="Q1013">
            <v>43500</v>
          </cell>
          <cell r="R1013">
            <v>43800</v>
          </cell>
          <cell r="S1013">
            <v>45900</v>
          </cell>
          <cell r="T1013">
            <v>46700</v>
          </cell>
          <cell r="U1013">
            <v>48800</v>
          </cell>
          <cell r="V1013">
            <v>49400</v>
          </cell>
          <cell r="W1013">
            <v>52000</v>
          </cell>
        </row>
        <row r="1014">
          <cell r="A1014">
            <v>45280</v>
          </cell>
          <cell r="B1014">
            <v>48000</v>
          </cell>
          <cell r="C1014">
            <v>48800</v>
          </cell>
          <cell r="D1014">
            <v>46700</v>
          </cell>
          <cell r="E1014">
            <v>43700</v>
          </cell>
          <cell r="F1014">
            <v>49400</v>
          </cell>
          <cell r="G1014" t="str">
            <v>-</v>
          </cell>
          <cell r="H1014">
            <v>47000</v>
          </cell>
          <cell r="I1014">
            <v>46600</v>
          </cell>
          <cell r="J1014">
            <v>48500</v>
          </cell>
          <cell r="K1014" t="str">
            <v>-</v>
          </cell>
          <cell r="L1014">
            <v>48500</v>
          </cell>
          <cell r="M1014">
            <v>48500</v>
          </cell>
          <cell r="N1014">
            <v>46200</v>
          </cell>
          <cell r="O1014">
            <v>44900</v>
          </cell>
          <cell r="P1014">
            <v>42800</v>
          </cell>
          <cell r="Q1014">
            <v>43100</v>
          </cell>
          <cell r="R1014">
            <v>43500</v>
          </cell>
          <cell r="S1014">
            <v>45900</v>
          </cell>
          <cell r="T1014">
            <v>46400</v>
          </cell>
          <cell r="U1014">
            <v>48800</v>
          </cell>
          <cell r="V1014">
            <v>49300</v>
          </cell>
          <cell r="W1014">
            <v>51800</v>
          </cell>
        </row>
        <row r="1015">
          <cell r="A1015">
            <v>45281</v>
          </cell>
          <cell r="B1015">
            <v>47600</v>
          </cell>
          <cell r="C1015">
            <v>48500</v>
          </cell>
          <cell r="D1015">
            <v>46700</v>
          </cell>
          <cell r="E1015">
            <v>43300</v>
          </cell>
          <cell r="F1015">
            <v>49000</v>
          </cell>
          <cell r="G1015" t="str">
            <v>-</v>
          </cell>
          <cell r="H1015">
            <v>46500</v>
          </cell>
          <cell r="I1015">
            <v>46000</v>
          </cell>
          <cell r="J1015">
            <v>48200</v>
          </cell>
          <cell r="K1015" t="str">
            <v>-</v>
          </cell>
          <cell r="L1015">
            <v>48400</v>
          </cell>
          <cell r="M1015">
            <v>48500</v>
          </cell>
          <cell r="N1015">
            <v>46100</v>
          </cell>
          <cell r="O1015">
            <v>44700</v>
          </cell>
          <cell r="P1015">
            <v>42500</v>
          </cell>
          <cell r="Q1015">
            <v>43100</v>
          </cell>
          <cell r="R1015">
            <v>43300</v>
          </cell>
          <cell r="S1015">
            <v>45500</v>
          </cell>
          <cell r="T1015">
            <v>46200</v>
          </cell>
          <cell r="U1015">
            <v>48800</v>
          </cell>
          <cell r="V1015">
            <v>49000</v>
          </cell>
          <cell r="W1015">
            <v>51800</v>
          </cell>
        </row>
        <row r="1016">
          <cell r="A1016">
            <v>45282</v>
          </cell>
          <cell r="B1016">
            <v>47400</v>
          </cell>
          <cell r="C1016">
            <v>48300</v>
          </cell>
          <cell r="D1016">
            <v>46600</v>
          </cell>
          <cell r="E1016">
            <v>43000</v>
          </cell>
          <cell r="F1016">
            <v>49000</v>
          </cell>
          <cell r="G1016" t="str">
            <v>-</v>
          </cell>
          <cell r="H1016">
            <v>46500</v>
          </cell>
          <cell r="I1016">
            <v>46000</v>
          </cell>
          <cell r="J1016">
            <v>48200</v>
          </cell>
          <cell r="K1016" t="str">
            <v>-</v>
          </cell>
          <cell r="L1016">
            <v>48000</v>
          </cell>
          <cell r="M1016">
            <v>48500</v>
          </cell>
          <cell r="N1016">
            <v>45700</v>
          </cell>
          <cell r="O1016">
            <v>44700</v>
          </cell>
          <cell r="P1016">
            <v>42300</v>
          </cell>
          <cell r="Q1016">
            <v>43200</v>
          </cell>
          <cell r="R1016">
            <v>43000</v>
          </cell>
          <cell r="S1016">
            <v>45200</v>
          </cell>
          <cell r="T1016">
            <v>46000</v>
          </cell>
          <cell r="U1016">
            <v>48300</v>
          </cell>
          <cell r="V1016">
            <v>48700</v>
          </cell>
          <cell r="W1016">
            <v>51700</v>
          </cell>
        </row>
        <row r="1017">
          <cell r="A1017">
            <v>45283</v>
          </cell>
          <cell r="B1017">
            <v>47600</v>
          </cell>
          <cell r="C1017">
            <v>48300</v>
          </cell>
          <cell r="D1017">
            <v>46700</v>
          </cell>
          <cell r="E1017">
            <v>43300</v>
          </cell>
          <cell r="F1017">
            <v>49200</v>
          </cell>
          <cell r="G1017" t="str">
            <v>-</v>
          </cell>
          <cell r="H1017">
            <v>46500</v>
          </cell>
          <cell r="I1017">
            <v>46000</v>
          </cell>
          <cell r="J1017">
            <v>48400</v>
          </cell>
          <cell r="K1017" t="str">
            <v>-</v>
          </cell>
          <cell r="L1017">
            <v>48000</v>
          </cell>
          <cell r="M1017">
            <v>48800</v>
          </cell>
          <cell r="N1017">
            <v>46300</v>
          </cell>
          <cell r="O1017">
            <v>44700</v>
          </cell>
          <cell r="P1017">
            <v>42700</v>
          </cell>
          <cell r="Q1017">
            <v>43400</v>
          </cell>
          <cell r="R1017">
            <v>43500</v>
          </cell>
          <cell r="S1017">
            <v>45500</v>
          </cell>
          <cell r="T1017">
            <v>46300</v>
          </cell>
          <cell r="U1017">
            <v>48300</v>
          </cell>
          <cell r="V1017">
            <v>48500</v>
          </cell>
          <cell r="W1017">
            <v>51700</v>
          </cell>
        </row>
        <row r="1018">
          <cell r="A1018">
            <v>45284</v>
          </cell>
          <cell r="B1018" t="str">
            <v>H</v>
          </cell>
          <cell r="C1018" t="str">
            <v>H</v>
          </cell>
          <cell r="D1018" t="str">
            <v>H</v>
          </cell>
          <cell r="E1018" t="str">
            <v>H</v>
          </cell>
          <cell r="F1018" t="str">
            <v>H</v>
          </cell>
          <cell r="G1018" t="str">
            <v>H</v>
          </cell>
          <cell r="H1018" t="str">
            <v>H</v>
          </cell>
          <cell r="I1018" t="str">
            <v>H</v>
          </cell>
          <cell r="J1018" t="str">
            <v>H</v>
          </cell>
          <cell r="K1018" t="str">
            <v>H</v>
          </cell>
          <cell r="L1018" t="str">
            <v>H</v>
          </cell>
          <cell r="M1018" t="str">
            <v>H</v>
          </cell>
          <cell r="N1018" t="str">
            <v>H</v>
          </cell>
          <cell r="O1018" t="str">
            <v>H</v>
          </cell>
          <cell r="P1018" t="str">
            <v>H</v>
          </cell>
          <cell r="Q1018" t="str">
            <v>H</v>
          </cell>
          <cell r="R1018" t="str">
            <v>H</v>
          </cell>
          <cell r="S1018" t="str">
            <v>H</v>
          </cell>
          <cell r="T1018" t="str">
            <v>H</v>
          </cell>
          <cell r="U1018" t="str">
            <v>H</v>
          </cell>
          <cell r="V1018" t="str">
            <v>H</v>
          </cell>
          <cell r="W1018" t="str">
            <v>H</v>
          </cell>
        </row>
        <row r="1019">
          <cell r="A1019">
            <v>45285</v>
          </cell>
          <cell r="B1019" t="str">
            <v>H</v>
          </cell>
          <cell r="C1019" t="str">
            <v>H</v>
          </cell>
          <cell r="D1019" t="str">
            <v>H</v>
          </cell>
          <cell r="E1019" t="str">
            <v>H</v>
          </cell>
          <cell r="F1019" t="str">
            <v>H</v>
          </cell>
          <cell r="G1019" t="str">
            <v>H</v>
          </cell>
          <cell r="H1019" t="str">
            <v>H</v>
          </cell>
          <cell r="I1019" t="str">
            <v>H</v>
          </cell>
          <cell r="J1019" t="str">
            <v>H</v>
          </cell>
          <cell r="K1019" t="str">
            <v>H</v>
          </cell>
          <cell r="L1019" t="str">
            <v>H</v>
          </cell>
          <cell r="M1019" t="str">
            <v>H</v>
          </cell>
          <cell r="N1019" t="str">
            <v>H</v>
          </cell>
          <cell r="O1019" t="str">
            <v>H</v>
          </cell>
          <cell r="P1019" t="str">
            <v>H</v>
          </cell>
          <cell r="Q1019" t="str">
            <v>H</v>
          </cell>
          <cell r="R1019" t="str">
            <v>H</v>
          </cell>
          <cell r="S1019" t="str">
            <v>H</v>
          </cell>
          <cell r="T1019" t="str">
            <v>H</v>
          </cell>
          <cell r="U1019" t="str">
            <v>H</v>
          </cell>
          <cell r="V1019" t="str">
            <v>H</v>
          </cell>
          <cell r="W1019" t="str">
            <v>H</v>
          </cell>
        </row>
        <row r="1020">
          <cell r="A1020">
            <v>45286</v>
          </cell>
          <cell r="B1020">
            <v>47500</v>
          </cell>
          <cell r="C1020">
            <v>48000</v>
          </cell>
          <cell r="D1020">
            <v>46200</v>
          </cell>
          <cell r="E1020">
            <v>42600</v>
          </cell>
          <cell r="F1020">
            <v>49200</v>
          </cell>
          <cell r="G1020" t="str">
            <v>-</v>
          </cell>
          <cell r="H1020">
            <v>46000</v>
          </cell>
          <cell r="I1020">
            <v>45700</v>
          </cell>
          <cell r="J1020">
            <v>48000</v>
          </cell>
          <cell r="K1020" t="str">
            <v>-</v>
          </cell>
          <cell r="L1020">
            <v>47400</v>
          </cell>
          <cell r="M1020">
            <v>48800</v>
          </cell>
          <cell r="N1020">
            <v>45700</v>
          </cell>
          <cell r="O1020">
            <v>44500</v>
          </cell>
          <cell r="P1020">
            <v>42300</v>
          </cell>
          <cell r="Q1020">
            <v>43100</v>
          </cell>
          <cell r="R1020">
            <v>43200</v>
          </cell>
          <cell r="S1020">
            <v>44800</v>
          </cell>
          <cell r="T1020">
            <v>46000</v>
          </cell>
          <cell r="U1020">
            <v>48300</v>
          </cell>
          <cell r="V1020">
            <v>48500</v>
          </cell>
          <cell r="W1020">
            <v>51700</v>
          </cell>
        </row>
        <row r="1021">
          <cell r="A1021">
            <v>45287</v>
          </cell>
          <cell r="B1021">
            <v>47400</v>
          </cell>
          <cell r="C1021">
            <v>48000</v>
          </cell>
          <cell r="D1021">
            <v>46500</v>
          </cell>
          <cell r="E1021">
            <v>42700</v>
          </cell>
          <cell r="F1021">
            <v>48700</v>
          </cell>
          <cell r="G1021" t="str">
            <v>-</v>
          </cell>
          <cell r="H1021">
            <v>45500</v>
          </cell>
          <cell r="I1021">
            <v>45700</v>
          </cell>
          <cell r="J1021">
            <v>48000</v>
          </cell>
          <cell r="K1021" t="str">
            <v>-</v>
          </cell>
          <cell r="L1021">
            <v>47400</v>
          </cell>
          <cell r="M1021">
            <v>48800</v>
          </cell>
          <cell r="N1021">
            <v>45900</v>
          </cell>
          <cell r="O1021">
            <v>44500</v>
          </cell>
          <cell r="P1021">
            <v>42500</v>
          </cell>
          <cell r="Q1021">
            <v>43100</v>
          </cell>
          <cell r="R1021">
            <v>43000</v>
          </cell>
          <cell r="S1021">
            <v>44900</v>
          </cell>
          <cell r="T1021">
            <v>46000</v>
          </cell>
          <cell r="U1021">
            <v>48300</v>
          </cell>
          <cell r="V1021">
            <v>48500</v>
          </cell>
          <cell r="W1021">
            <v>51400</v>
          </cell>
        </row>
        <row r="1022">
          <cell r="A1022">
            <v>45288</v>
          </cell>
          <cell r="B1022">
            <v>47300</v>
          </cell>
          <cell r="C1022">
            <v>47800</v>
          </cell>
          <cell r="D1022">
            <v>46200</v>
          </cell>
          <cell r="E1022">
            <v>42500</v>
          </cell>
          <cell r="F1022">
            <v>48500</v>
          </cell>
          <cell r="G1022" t="str">
            <v>-</v>
          </cell>
          <cell r="H1022">
            <v>45500</v>
          </cell>
          <cell r="I1022">
            <v>45400</v>
          </cell>
          <cell r="J1022">
            <v>47500</v>
          </cell>
          <cell r="K1022" t="str">
            <v>-</v>
          </cell>
          <cell r="L1022">
            <v>47100</v>
          </cell>
          <cell r="M1022">
            <v>48800</v>
          </cell>
          <cell r="N1022">
            <v>45600</v>
          </cell>
          <cell r="O1022">
            <v>44500</v>
          </cell>
          <cell r="P1022">
            <v>42200</v>
          </cell>
          <cell r="Q1022">
            <v>42900</v>
          </cell>
          <cell r="R1022">
            <v>43000</v>
          </cell>
          <cell r="S1022">
            <v>44700</v>
          </cell>
          <cell r="T1022">
            <v>45800</v>
          </cell>
          <cell r="U1022">
            <v>48300</v>
          </cell>
          <cell r="V1022">
            <v>48200</v>
          </cell>
          <cell r="W1022">
            <v>51100</v>
          </cell>
        </row>
        <row r="1023">
          <cell r="A1023">
            <v>45289</v>
          </cell>
          <cell r="B1023">
            <v>47100</v>
          </cell>
          <cell r="C1023">
            <v>47500</v>
          </cell>
          <cell r="D1023">
            <v>46300</v>
          </cell>
          <cell r="E1023">
            <v>42900</v>
          </cell>
          <cell r="F1023">
            <v>48400</v>
          </cell>
          <cell r="G1023" t="str">
            <v>-</v>
          </cell>
          <cell r="H1023">
            <v>45000</v>
          </cell>
          <cell r="I1023">
            <v>45400</v>
          </cell>
          <cell r="J1023">
            <v>47700</v>
          </cell>
          <cell r="K1023" t="str">
            <v>-</v>
          </cell>
          <cell r="L1023">
            <v>47100</v>
          </cell>
          <cell r="M1023">
            <v>48800</v>
          </cell>
          <cell r="N1023">
            <v>45800</v>
          </cell>
          <cell r="O1023">
            <v>44100</v>
          </cell>
          <cell r="P1023">
            <v>42200</v>
          </cell>
          <cell r="Q1023">
            <v>42800</v>
          </cell>
          <cell r="R1023">
            <v>43000</v>
          </cell>
          <cell r="S1023">
            <v>45100</v>
          </cell>
          <cell r="T1023">
            <v>45800</v>
          </cell>
          <cell r="U1023">
            <v>48300</v>
          </cell>
          <cell r="V1023">
            <v>48200</v>
          </cell>
          <cell r="W1023">
            <v>51100</v>
          </cell>
        </row>
        <row r="1024">
          <cell r="A1024">
            <v>45290</v>
          </cell>
          <cell r="B1024">
            <v>47100</v>
          </cell>
          <cell r="C1024">
            <v>47500</v>
          </cell>
          <cell r="D1024">
            <v>46500</v>
          </cell>
          <cell r="E1024">
            <v>43000</v>
          </cell>
          <cell r="F1024">
            <v>48400</v>
          </cell>
          <cell r="G1024" t="str">
            <v>-</v>
          </cell>
          <cell r="H1024">
            <v>45500</v>
          </cell>
          <cell r="I1024">
            <v>45600</v>
          </cell>
          <cell r="J1024">
            <v>47700</v>
          </cell>
          <cell r="K1024" t="str">
            <v>-</v>
          </cell>
          <cell r="L1024">
            <v>47300</v>
          </cell>
          <cell r="M1024">
            <v>48800</v>
          </cell>
          <cell r="N1024">
            <v>46000</v>
          </cell>
          <cell r="O1024">
            <v>44100</v>
          </cell>
          <cell r="P1024">
            <v>42300</v>
          </cell>
          <cell r="Q1024">
            <v>43000</v>
          </cell>
          <cell r="R1024">
            <v>43000</v>
          </cell>
          <cell r="S1024">
            <v>45200</v>
          </cell>
          <cell r="T1024">
            <v>45800</v>
          </cell>
          <cell r="U1024">
            <v>48300</v>
          </cell>
          <cell r="V1024">
            <v>48200</v>
          </cell>
          <cell r="W1024">
            <v>51100</v>
          </cell>
        </row>
        <row r="1025">
          <cell r="A1025">
            <v>45291</v>
          </cell>
          <cell r="B1025" t="str">
            <v>H</v>
          </cell>
          <cell r="C1025" t="str">
            <v>H</v>
          </cell>
          <cell r="D1025" t="str">
            <v>H</v>
          </cell>
          <cell r="E1025" t="str">
            <v>H</v>
          </cell>
          <cell r="F1025" t="str">
            <v>H</v>
          </cell>
          <cell r="G1025" t="str">
            <v>H</v>
          </cell>
          <cell r="H1025" t="str">
            <v>H</v>
          </cell>
          <cell r="I1025" t="str">
            <v>H</v>
          </cell>
          <cell r="J1025" t="str">
            <v>H</v>
          </cell>
          <cell r="K1025" t="str">
            <v>H</v>
          </cell>
          <cell r="L1025" t="str">
            <v>H</v>
          </cell>
          <cell r="M1025" t="str">
            <v>H</v>
          </cell>
          <cell r="N1025" t="str">
            <v>H</v>
          </cell>
          <cell r="O1025" t="str">
            <v>H</v>
          </cell>
          <cell r="P1025" t="str">
            <v>H</v>
          </cell>
          <cell r="Q1025" t="str">
            <v>H</v>
          </cell>
          <cell r="R1025" t="str">
            <v>H</v>
          </cell>
          <cell r="S1025" t="str">
            <v>H</v>
          </cell>
          <cell r="T1025" t="str">
            <v>H</v>
          </cell>
          <cell r="U1025" t="str">
            <v>H</v>
          </cell>
          <cell r="V1025" t="str">
            <v>H</v>
          </cell>
          <cell r="W1025" t="str">
            <v>H</v>
          </cell>
        </row>
        <row r="1026">
          <cell r="A1026">
            <v>45292</v>
          </cell>
          <cell r="B1026">
            <v>47600</v>
          </cell>
          <cell r="C1026">
            <v>47500</v>
          </cell>
          <cell r="D1026">
            <v>46600</v>
          </cell>
          <cell r="E1026">
            <v>43300</v>
          </cell>
          <cell r="F1026">
            <v>48600</v>
          </cell>
          <cell r="G1026" t="str">
            <v>-</v>
          </cell>
          <cell r="H1026">
            <v>46000</v>
          </cell>
          <cell r="I1026">
            <v>46200</v>
          </cell>
          <cell r="J1026">
            <v>48200</v>
          </cell>
          <cell r="K1026" t="str">
            <v>-</v>
          </cell>
          <cell r="L1026">
            <v>47700</v>
          </cell>
          <cell r="M1026">
            <v>48900</v>
          </cell>
          <cell r="N1026">
            <v>46500</v>
          </cell>
          <cell r="O1026">
            <v>44500</v>
          </cell>
          <cell r="P1026">
            <v>43000</v>
          </cell>
          <cell r="Q1026">
            <v>43500</v>
          </cell>
          <cell r="R1026">
            <v>43300</v>
          </cell>
          <cell r="S1026">
            <v>45500</v>
          </cell>
          <cell r="T1026">
            <v>46500</v>
          </cell>
          <cell r="U1026">
            <v>48300</v>
          </cell>
          <cell r="V1026">
            <v>48200</v>
          </cell>
          <cell r="W1026">
            <v>51100</v>
          </cell>
        </row>
        <row r="1027">
          <cell r="A1027">
            <v>45293</v>
          </cell>
          <cell r="B1027">
            <v>47600</v>
          </cell>
          <cell r="C1027">
            <v>48000</v>
          </cell>
          <cell r="D1027">
            <v>46700</v>
          </cell>
          <cell r="E1027">
            <v>43400</v>
          </cell>
          <cell r="F1027">
            <v>48600</v>
          </cell>
          <cell r="G1027" t="str">
            <v>-</v>
          </cell>
          <cell r="H1027">
            <v>46000</v>
          </cell>
          <cell r="I1027">
            <v>46000</v>
          </cell>
          <cell r="J1027">
            <v>48500</v>
          </cell>
          <cell r="K1027" t="str">
            <v>-</v>
          </cell>
          <cell r="L1027">
            <v>47500</v>
          </cell>
          <cell r="M1027">
            <v>48900</v>
          </cell>
          <cell r="N1027">
            <v>46500</v>
          </cell>
          <cell r="O1027">
            <v>44500</v>
          </cell>
          <cell r="P1027">
            <v>42800</v>
          </cell>
          <cell r="Q1027">
            <v>43500</v>
          </cell>
          <cell r="R1027">
            <v>43500</v>
          </cell>
          <cell r="S1027">
            <v>45600</v>
          </cell>
          <cell r="T1027">
            <v>46500</v>
          </cell>
          <cell r="U1027">
            <v>48300</v>
          </cell>
          <cell r="V1027">
            <v>48600</v>
          </cell>
          <cell r="W1027">
            <v>51100</v>
          </cell>
        </row>
        <row r="1028">
          <cell r="A1028">
            <v>45294</v>
          </cell>
          <cell r="B1028">
            <v>47900</v>
          </cell>
          <cell r="C1028">
            <v>48000</v>
          </cell>
          <cell r="D1028">
            <v>47000</v>
          </cell>
          <cell r="E1028">
            <v>43600</v>
          </cell>
          <cell r="F1028">
            <v>48600</v>
          </cell>
          <cell r="G1028" t="str">
            <v>-</v>
          </cell>
          <cell r="H1028">
            <v>46000</v>
          </cell>
          <cell r="I1028">
            <v>46300</v>
          </cell>
          <cell r="J1028">
            <v>49000</v>
          </cell>
          <cell r="K1028" t="str">
            <v>-</v>
          </cell>
          <cell r="L1028">
            <v>47700</v>
          </cell>
          <cell r="M1028">
            <v>48900</v>
          </cell>
          <cell r="N1028">
            <v>46700</v>
          </cell>
          <cell r="O1028">
            <v>44500</v>
          </cell>
          <cell r="P1028">
            <v>43000</v>
          </cell>
          <cell r="Q1028">
            <v>43700</v>
          </cell>
          <cell r="R1028">
            <v>43500</v>
          </cell>
          <cell r="S1028">
            <v>45800</v>
          </cell>
          <cell r="T1028">
            <v>46500</v>
          </cell>
          <cell r="U1028">
            <v>48300</v>
          </cell>
          <cell r="V1028">
            <v>48800</v>
          </cell>
          <cell r="W1028">
            <v>51300</v>
          </cell>
        </row>
        <row r="1029">
          <cell r="A1029">
            <v>45295</v>
          </cell>
          <cell r="B1029">
            <v>48200</v>
          </cell>
          <cell r="C1029">
            <v>47800</v>
          </cell>
          <cell r="D1029">
            <v>47300</v>
          </cell>
          <cell r="E1029">
            <v>44000</v>
          </cell>
          <cell r="F1029">
            <v>49300</v>
          </cell>
          <cell r="G1029" t="str">
            <v>-</v>
          </cell>
          <cell r="H1029">
            <v>46500</v>
          </cell>
          <cell r="I1029">
            <v>46600</v>
          </cell>
          <cell r="J1029">
            <v>49000</v>
          </cell>
          <cell r="K1029" t="str">
            <v>-</v>
          </cell>
          <cell r="L1029">
            <v>47800</v>
          </cell>
          <cell r="M1029">
            <v>49000</v>
          </cell>
          <cell r="N1029">
            <v>47000</v>
          </cell>
          <cell r="O1029">
            <v>44700</v>
          </cell>
          <cell r="P1029">
            <v>43300</v>
          </cell>
          <cell r="Q1029">
            <v>43800</v>
          </cell>
          <cell r="R1029">
            <v>43800</v>
          </cell>
          <cell r="S1029">
            <v>46200</v>
          </cell>
          <cell r="T1029">
            <v>46700</v>
          </cell>
          <cell r="U1029">
            <v>48300</v>
          </cell>
          <cell r="V1029">
            <v>49000</v>
          </cell>
          <cell r="W1029">
            <v>51300</v>
          </cell>
        </row>
        <row r="1030">
          <cell r="A1030">
            <v>45296</v>
          </cell>
          <cell r="B1030">
            <v>48200</v>
          </cell>
          <cell r="C1030">
            <v>48000</v>
          </cell>
          <cell r="D1030">
            <v>47300</v>
          </cell>
          <cell r="E1030">
            <v>43700</v>
          </cell>
          <cell r="F1030">
            <v>49300</v>
          </cell>
          <cell r="G1030" t="str">
            <v>-</v>
          </cell>
          <cell r="H1030">
            <v>46500</v>
          </cell>
          <cell r="I1030">
            <v>46500</v>
          </cell>
          <cell r="J1030">
            <v>49000</v>
          </cell>
          <cell r="K1030" t="str">
            <v>-</v>
          </cell>
          <cell r="L1030">
            <v>47800</v>
          </cell>
          <cell r="M1030">
            <v>49000</v>
          </cell>
          <cell r="N1030">
            <v>46800</v>
          </cell>
          <cell r="O1030">
            <v>44700</v>
          </cell>
          <cell r="P1030">
            <v>43100</v>
          </cell>
          <cell r="Q1030">
            <v>43600</v>
          </cell>
          <cell r="R1030">
            <v>43800</v>
          </cell>
          <cell r="S1030">
            <v>45900</v>
          </cell>
          <cell r="T1030">
            <v>46500</v>
          </cell>
          <cell r="U1030">
            <v>48300</v>
          </cell>
          <cell r="V1030">
            <v>49200</v>
          </cell>
          <cell r="W1030">
            <v>51300</v>
          </cell>
        </row>
        <row r="1031">
          <cell r="A1031">
            <v>45297</v>
          </cell>
          <cell r="B1031">
            <v>48200</v>
          </cell>
          <cell r="C1031">
            <v>48000</v>
          </cell>
          <cell r="D1031">
            <v>47300</v>
          </cell>
          <cell r="E1031">
            <v>43600</v>
          </cell>
          <cell r="F1031">
            <v>49300</v>
          </cell>
          <cell r="G1031" t="str">
            <v>-</v>
          </cell>
          <cell r="H1031">
            <v>46000</v>
          </cell>
          <cell r="I1031">
            <v>46300</v>
          </cell>
          <cell r="J1031">
            <v>49000</v>
          </cell>
          <cell r="K1031" t="str">
            <v>-</v>
          </cell>
          <cell r="L1031">
            <v>47600</v>
          </cell>
          <cell r="M1031">
            <v>48900</v>
          </cell>
          <cell r="N1031">
            <v>46600</v>
          </cell>
          <cell r="O1031">
            <v>44700</v>
          </cell>
          <cell r="P1031">
            <v>43000</v>
          </cell>
          <cell r="Q1031">
            <v>43500</v>
          </cell>
          <cell r="R1031">
            <v>43700</v>
          </cell>
          <cell r="S1031">
            <v>45800</v>
          </cell>
          <cell r="T1031">
            <v>46500</v>
          </cell>
          <cell r="U1031">
            <v>48300</v>
          </cell>
          <cell r="V1031">
            <v>49200</v>
          </cell>
          <cell r="W1031">
            <v>51300</v>
          </cell>
        </row>
        <row r="1032">
          <cell r="A1032">
            <v>45298</v>
          </cell>
          <cell r="B1032" t="str">
            <v>H</v>
          </cell>
          <cell r="C1032" t="str">
            <v>H</v>
          </cell>
          <cell r="D1032" t="str">
            <v>H</v>
          </cell>
          <cell r="E1032" t="str">
            <v>H</v>
          </cell>
          <cell r="F1032" t="str">
            <v>H</v>
          </cell>
          <cell r="G1032" t="str">
            <v>H</v>
          </cell>
          <cell r="H1032" t="str">
            <v>H</v>
          </cell>
          <cell r="I1032" t="str">
            <v>H</v>
          </cell>
          <cell r="J1032" t="str">
            <v>H</v>
          </cell>
          <cell r="K1032" t="str">
            <v>H</v>
          </cell>
          <cell r="L1032" t="str">
            <v>H</v>
          </cell>
          <cell r="M1032" t="str">
            <v>H</v>
          </cell>
          <cell r="N1032" t="str">
            <v>H</v>
          </cell>
          <cell r="O1032" t="str">
            <v>H</v>
          </cell>
          <cell r="P1032" t="str">
            <v>H</v>
          </cell>
          <cell r="Q1032" t="str">
            <v>H</v>
          </cell>
          <cell r="R1032" t="str">
            <v>H</v>
          </cell>
          <cell r="S1032" t="str">
            <v>H</v>
          </cell>
          <cell r="T1032" t="str">
            <v>H</v>
          </cell>
          <cell r="U1032" t="str">
            <v>H</v>
          </cell>
          <cell r="V1032" t="str">
            <v>H</v>
          </cell>
          <cell r="W1032" t="str">
            <v>H</v>
          </cell>
        </row>
        <row r="1033">
          <cell r="A1033">
            <v>45299</v>
          </cell>
          <cell r="B1033">
            <v>48200</v>
          </cell>
          <cell r="C1033">
            <v>48000</v>
          </cell>
          <cell r="D1033">
            <v>47300</v>
          </cell>
          <cell r="E1033">
            <v>43700</v>
          </cell>
          <cell r="F1033">
            <v>49200</v>
          </cell>
          <cell r="G1033" t="str">
            <v>-</v>
          </cell>
          <cell r="H1033">
            <v>46000</v>
          </cell>
          <cell r="I1033">
            <v>46400</v>
          </cell>
          <cell r="J1033">
            <v>49000</v>
          </cell>
          <cell r="K1033" t="str">
            <v>-</v>
          </cell>
          <cell r="L1033">
            <v>47600</v>
          </cell>
          <cell r="M1033">
            <v>48600</v>
          </cell>
          <cell r="N1033">
            <v>47000</v>
          </cell>
          <cell r="O1033">
            <v>44500</v>
          </cell>
          <cell r="P1033">
            <v>43000</v>
          </cell>
          <cell r="Q1033">
            <v>43500</v>
          </cell>
          <cell r="R1033">
            <v>43700</v>
          </cell>
          <cell r="S1033">
            <v>45900</v>
          </cell>
          <cell r="T1033">
            <v>46500</v>
          </cell>
          <cell r="U1033">
            <v>48300</v>
          </cell>
          <cell r="V1033">
            <v>49200</v>
          </cell>
          <cell r="W1033">
            <v>51300</v>
          </cell>
        </row>
        <row r="1034">
          <cell r="A1034">
            <v>45300</v>
          </cell>
          <cell r="B1034">
            <v>48000</v>
          </cell>
          <cell r="C1034">
            <v>48000</v>
          </cell>
          <cell r="D1034">
            <v>47000</v>
          </cell>
          <cell r="E1034">
            <v>43400</v>
          </cell>
          <cell r="F1034">
            <v>48600</v>
          </cell>
          <cell r="G1034" t="str">
            <v>-</v>
          </cell>
          <cell r="H1034">
            <v>45750</v>
          </cell>
          <cell r="I1034">
            <v>46200</v>
          </cell>
          <cell r="J1034">
            <v>48800</v>
          </cell>
          <cell r="K1034" t="str">
            <v>-</v>
          </cell>
          <cell r="L1034">
            <v>47600</v>
          </cell>
          <cell r="M1034">
            <v>48600</v>
          </cell>
          <cell r="N1034">
            <v>46600</v>
          </cell>
          <cell r="O1034">
            <v>44500</v>
          </cell>
          <cell r="P1034">
            <v>42500</v>
          </cell>
          <cell r="Q1034">
            <v>43100</v>
          </cell>
          <cell r="R1034">
            <v>43200</v>
          </cell>
          <cell r="S1034">
            <v>45600</v>
          </cell>
          <cell r="T1034">
            <v>46000</v>
          </cell>
          <cell r="U1034">
            <v>48300</v>
          </cell>
          <cell r="V1034">
            <v>48800</v>
          </cell>
          <cell r="W1034">
            <v>51000</v>
          </cell>
        </row>
        <row r="1035">
          <cell r="A1035">
            <v>45301</v>
          </cell>
          <cell r="B1035">
            <v>48200</v>
          </cell>
          <cell r="C1035">
            <v>47700</v>
          </cell>
          <cell r="D1035">
            <v>47300</v>
          </cell>
          <cell r="E1035">
            <v>43500</v>
          </cell>
          <cell r="F1035">
            <v>48600</v>
          </cell>
          <cell r="G1035" t="str">
            <v>-</v>
          </cell>
          <cell r="H1035">
            <v>45500</v>
          </cell>
          <cell r="I1035">
            <v>46300</v>
          </cell>
          <cell r="J1035">
            <v>48800</v>
          </cell>
          <cell r="K1035" t="str">
            <v>-</v>
          </cell>
          <cell r="L1035">
            <v>47700</v>
          </cell>
          <cell r="M1035">
            <v>48600</v>
          </cell>
          <cell r="N1035">
            <v>46800</v>
          </cell>
          <cell r="O1035">
            <v>44500</v>
          </cell>
          <cell r="P1035">
            <v>42700</v>
          </cell>
          <cell r="Q1035">
            <v>43200</v>
          </cell>
          <cell r="R1035">
            <v>43200</v>
          </cell>
          <cell r="S1035">
            <v>45700</v>
          </cell>
          <cell r="T1035">
            <v>46000</v>
          </cell>
          <cell r="U1035">
            <v>48300</v>
          </cell>
          <cell r="V1035">
            <v>48300</v>
          </cell>
          <cell r="W1035">
            <v>51000</v>
          </cell>
        </row>
        <row r="1036">
          <cell r="A1036">
            <v>45302</v>
          </cell>
          <cell r="B1036">
            <v>48200</v>
          </cell>
          <cell r="C1036">
            <v>47700</v>
          </cell>
          <cell r="D1036">
            <v>47000</v>
          </cell>
          <cell r="E1036">
            <v>43300</v>
          </cell>
          <cell r="F1036">
            <v>48400</v>
          </cell>
          <cell r="G1036" t="str">
            <v>-</v>
          </cell>
          <cell r="H1036">
            <v>45500</v>
          </cell>
          <cell r="I1036">
            <v>46200</v>
          </cell>
          <cell r="J1036">
            <v>48500</v>
          </cell>
          <cell r="K1036" t="str">
            <v>-</v>
          </cell>
          <cell r="L1036">
            <v>47700</v>
          </cell>
          <cell r="M1036">
            <v>48600</v>
          </cell>
          <cell r="N1036">
            <v>46600</v>
          </cell>
          <cell r="O1036">
            <v>44500</v>
          </cell>
          <cell r="P1036">
            <v>42400</v>
          </cell>
          <cell r="Q1036">
            <v>43100</v>
          </cell>
          <cell r="R1036">
            <v>43300</v>
          </cell>
          <cell r="S1036">
            <v>45500</v>
          </cell>
          <cell r="T1036">
            <v>46000</v>
          </cell>
          <cell r="U1036">
            <v>48300</v>
          </cell>
          <cell r="V1036">
            <v>48300</v>
          </cell>
          <cell r="W1036">
            <v>50800</v>
          </cell>
        </row>
        <row r="1037">
          <cell r="A1037">
            <v>45303</v>
          </cell>
          <cell r="B1037">
            <v>48000</v>
          </cell>
          <cell r="C1037">
            <v>47700</v>
          </cell>
          <cell r="D1037">
            <v>47000</v>
          </cell>
          <cell r="E1037">
            <v>43400</v>
          </cell>
          <cell r="F1037">
            <v>48300</v>
          </cell>
          <cell r="G1037" t="str">
            <v>-</v>
          </cell>
          <cell r="H1037">
            <v>45000</v>
          </cell>
          <cell r="I1037">
            <v>46200</v>
          </cell>
          <cell r="J1037">
            <v>48500</v>
          </cell>
          <cell r="K1037" t="str">
            <v>-</v>
          </cell>
          <cell r="L1037">
            <v>47700</v>
          </cell>
          <cell r="M1037">
            <v>48600</v>
          </cell>
          <cell r="N1037">
            <v>46800</v>
          </cell>
          <cell r="O1037">
            <v>44500</v>
          </cell>
          <cell r="P1037">
            <v>42500</v>
          </cell>
          <cell r="Q1037">
            <v>43100</v>
          </cell>
          <cell r="R1037">
            <v>43300</v>
          </cell>
          <cell r="S1037">
            <v>45600</v>
          </cell>
          <cell r="T1037">
            <v>46100</v>
          </cell>
          <cell r="U1037">
            <v>48300</v>
          </cell>
          <cell r="V1037">
            <v>48200</v>
          </cell>
          <cell r="W1037">
            <v>50800</v>
          </cell>
        </row>
        <row r="1038">
          <cell r="A1038">
            <v>45304</v>
          </cell>
          <cell r="B1038">
            <v>48000</v>
          </cell>
          <cell r="C1038">
            <v>47700</v>
          </cell>
          <cell r="D1038">
            <v>46900</v>
          </cell>
          <cell r="E1038">
            <v>43300</v>
          </cell>
          <cell r="F1038">
            <v>48300</v>
          </cell>
          <cell r="G1038" t="str">
            <v>-</v>
          </cell>
          <cell r="H1038">
            <v>45250</v>
          </cell>
          <cell r="I1038">
            <v>46200</v>
          </cell>
          <cell r="J1038">
            <v>48200</v>
          </cell>
          <cell r="K1038" t="str">
            <v>-</v>
          </cell>
          <cell r="L1038">
            <v>47600</v>
          </cell>
          <cell r="M1038">
            <v>48600</v>
          </cell>
          <cell r="N1038">
            <v>46700</v>
          </cell>
          <cell r="O1038">
            <v>44500</v>
          </cell>
          <cell r="P1038">
            <v>42400</v>
          </cell>
          <cell r="Q1038">
            <v>43100</v>
          </cell>
          <cell r="R1038">
            <v>43200</v>
          </cell>
          <cell r="S1038">
            <v>45500</v>
          </cell>
          <cell r="T1038">
            <v>46000</v>
          </cell>
          <cell r="U1038">
            <v>48300</v>
          </cell>
          <cell r="V1038">
            <v>48200</v>
          </cell>
          <cell r="W1038">
            <v>50800</v>
          </cell>
        </row>
        <row r="1039">
          <cell r="A1039">
            <v>45305</v>
          </cell>
          <cell r="B1039" t="str">
            <v>H</v>
          </cell>
          <cell r="C1039" t="str">
            <v>H</v>
          </cell>
          <cell r="D1039" t="str">
            <v>H</v>
          </cell>
          <cell r="E1039" t="str">
            <v>H</v>
          </cell>
          <cell r="F1039" t="str">
            <v>H</v>
          </cell>
          <cell r="G1039" t="str">
            <v>H</v>
          </cell>
          <cell r="H1039" t="str">
            <v>H</v>
          </cell>
          <cell r="I1039" t="str">
            <v>H</v>
          </cell>
          <cell r="J1039" t="str">
            <v>H</v>
          </cell>
          <cell r="K1039" t="str">
            <v>H</v>
          </cell>
          <cell r="L1039" t="str">
            <v>H</v>
          </cell>
          <cell r="M1039" t="str">
            <v>H</v>
          </cell>
          <cell r="N1039" t="str">
            <v>H</v>
          </cell>
          <cell r="O1039" t="str">
            <v>H</v>
          </cell>
          <cell r="P1039" t="str">
            <v>H</v>
          </cell>
          <cell r="Q1039" t="str">
            <v>H</v>
          </cell>
          <cell r="R1039" t="str">
            <v>H</v>
          </cell>
          <cell r="S1039" t="str">
            <v>H</v>
          </cell>
          <cell r="T1039" t="str">
            <v>H</v>
          </cell>
          <cell r="U1039" t="str">
            <v>H</v>
          </cell>
          <cell r="V1039" t="str">
            <v>H</v>
          </cell>
          <cell r="W1039" t="str">
            <v>H</v>
          </cell>
        </row>
        <row r="1040">
          <cell r="A1040">
            <v>45306</v>
          </cell>
          <cell r="B1040">
            <v>48000</v>
          </cell>
          <cell r="C1040" t="str">
            <v>-</v>
          </cell>
          <cell r="D1040">
            <v>46700</v>
          </cell>
          <cell r="E1040">
            <v>43300</v>
          </cell>
          <cell r="F1040">
            <v>48300</v>
          </cell>
          <cell r="G1040" t="str">
            <v>-</v>
          </cell>
          <cell r="H1040" t="str">
            <v>-</v>
          </cell>
          <cell r="I1040">
            <v>46100</v>
          </cell>
          <cell r="J1040">
            <v>48200</v>
          </cell>
          <cell r="K1040" t="str">
            <v>-</v>
          </cell>
          <cell r="L1040">
            <v>47600</v>
          </cell>
          <cell r="M1040">
            <v>48600</v>
          </cell>
          <cell r="N1040">
            <v>46600</v>
          </cell>
          <cell r="O1040">
            <v>44500</v>
          </cell>
          <cell r="P1040">
            <v>42400</v>
          </cell>
          <cell r="Q1040">
            <v>43100</v>
          </cell>
          <cell r="R1040" t="str">
            <v>-</v>
          </cell>
          <cell r="S1040">
            <v>45500</v>
          </cell>
          <cell r="T1040">
            <v>46000</v>
          </cell>
          <cell r="U1040" t="str">
            <v>-</v>
          </cell>
          <cell r="V1040">
            <v>48200</v>
          </cell>
          <cell r="W1040">
            <v>50800</v>
          </cell>
        </row>
        <row r="1041">
          <cell r="A1041">
            <v>45307</v>
          </cell>
          <cell r="B1041">
            <v>48000</v>
          </cell>
          <cell r="C1041" t="str">
            <v>-</v>
          </cell>
          <cell r="D1041">
            <v>46800</v>
          </cell>
          <cell r="E1041">
            <v>43100</v>
          </cell>
          <cell r="F1041">
            <v>48200</v>
          </cell>
          <cell r="G1041" t="str">
            <v>-</v>
          </cell>
          <cell r="H1041">
            <v>45250</v>
          </cell>
          <cell r="I1041">
            <v>46100</v>
          </cell>
          <cell r="J1041">
            <v>48000</v>
          </cell>
          <cell r="K1041" t="str">
            <v>-</v>
          </cell>
          <cell r="L1041">
            <v>47500</v>
          </cell>
          <cell r="M1041">
            <v>48600</v>
          </cell>
          <cell r="N1041">
            <v>46400</v>
          </cell>
          <cell r="O1041">
            <v>44500</v>
          </cell>
          <cell r="P1041">
            <v>42300</v>
          </cell>
          <cell r="Q1041">
            <v>43000</v>
          </cell>
          <cell r="R1041">
            <v>43000</v>
          </cell>
          <cell r="S1041">
            <v>45300</v>
          </cell>
          <cell r="T1041">
            <v>46000</v>
          </cell>
          <cell r="U1041">
            <v>48300</v>
          </cell>
          <cell r="V1041">
            <v>48100</v>
          </cell>
          <cell r="W1041">
            <v>50800</v>
          </cell>
        </row>
        <row r="1042">
          <cell r="A1042">
            <v>45308</v>
          </cell>
          <cell r="B1042">
            <v>48000</v>
          </cell>
          <cell r="C1042" t="str">
            <v>-</v>
          </cell>
          <cell r="D1042">
            <v>46600</v>
          </cell>
          <cell r="E1042">
            <v>42900</v>
          </cell>
          <cell r="F1042">
            <v>48100</v>
          </cell>
          <cell r="G1042" t="str">
            <v>-</v>
          </cell>
          <cell r="H1042">
            <v>45000</v>
          </cell>
          <cell r="I1042">
            <v>45700</v>
          </cell>
          <cell r="J1042">
            <v>48000</v>
          </cell>
          <cell r="K1042" t="str">
            <v>-</v>
          </cell>
          <cell r="L1042">
            <v>47300</v>
          </cell>
          <cell r="M1042">
            <v>48600</v>
          </cell>
          <cell r="N1042">
            <v>46300</v>
          </cell>
          <cell r="O1042">
            <v>44200</v>
          </cell>
          <cell r="P1042">
            <v>42200</v>
          </cell>
          <cell r="Q1042">
            <v>43000</v>
          </cell>
          <cell r="R1042">
            <v>43000</v>
          </cell>
          <cell r="S1042">
            <v>45100</v>
          </cell>
          <cell r="T1042">
            <v>45900</v>
          </cell>
          <cell r="U1042">
            <v>48300</v>
          </cell>
          <cell r="V1042">
            <v>48000</v>
          </cell>
          <cell r="W1042">
            <v>50800</v>
          </cell>
        </row>
        <row r="1043">
          <cell r="A1043">
            <v>45309</v>
          </cell>
          <cell r="B1043">
            <v>47800</v>
          </cell>
          <cell r="C1043">
            <v>47500</v>
          </cell>
          <cell r="D1043">
            <v>46700</v>
          </cell>
          <cell r="E1043">
            <v>43100</v>
          </cell>
          <cell r="F1043">
            <v>48000</v>
          </cell>
          <cell r="G1043" t="str">
            <v>-</v>
          </cell>
          <cell r="H1043">
            <v>45000</v>
          </cell>
          <cell r="I1043">
            <v>45700</v>
          </cell>
          <cell r="J1043">
            <v>47700</v>
          </cell>
          <cell r="K1043" t="str">
            <v>-</v>
          </cell>
          <cell r="L1043">
            <v>47300</v>
          </cell>
          <cell r="M1043">
            <v>48600</v>
          </cell>
          <cell r="N1043">
            <v>46000</v>
          </cell>
          <cell r="O1043">
            <v>44400</v>
          </cell>
          <cell r="P1043">
            <v>42100</v>
          </cell>
          <cell r="Q1043">
            <v>42900</v>
          </cell>
          <cell r="R1043">
            <v>43000</v>
          </cell>
          <cell r="S1043">
            <v>45300</v>
          </cell>
          <cell r="T1043">
            <v>45700</v>
          </cell>
          <cell r="U1043">
            <v>47800</v>
          </cell>
          <cell r="V1043">
            <v>48000</v>
          </cell>
          <cell r="W1043">
            <v>50800</v>
          </cell>
        </row>
        <row r="1044">
          <cell r="A1044">
            <v>45310</v>
          </cell>
          <cell r="B1044">
            <v>47800</v>
          </cell>
          <cell r="C1044">
            <v>47500</v>
          </cell>
          <cell r="D1044">
            <v>46800</v>
          </cell>
          <cell r="E1044">
            <v>43200</v>
          </cell>
          <cell r="F1044">
            <v>48400</v>
          </cell>
          <cell r="G1044" t="str">
            <v>-</v>
          </cell>
          <cell r="H1044">
            <v>45500</v>
          </cell>
          <cell r="I1044">
            <v>46000</v>
          </cell>
          <cell r="J1044">
            <v>48200</v>
          </cell>
          <cell r="K1044" t="str">
            <v>-</v>
          </cell>
          <cell r="L1044">
            <v>47500</v>
          </cell>
          <cell r="M1044">
            <v>48700</v>
          </cell>
          <cell r="N1044">
            <v>46500</v>
          </cell>
          <cell r="O1044">
            <v>44400</v>
          </cell>
          <cell r="P1044">
            <v>42500</v>
          </cell>
          <cell r="Q1044">
            <v>43200</v>
          </cell>
          <cell r="R1044">
            <v>43300</v>
          </cell>
          <cell r="S1044">
            <v>45400</v>
          </cell>
          <cell r="T1044">
            <v>46000</v>
          </cell>
          <cell r="U1044">
            <v>47800</v>
          </cell>
          <cell r="V1044">
            <v>47800</v>
          </cell>
          <cell r="W1044">
            <v>50800</v>
          </cell>
        </row>
        <row r="1045">
          <cell r="A1045">
            <v>45311</v>
          </cell>
          <cell r="B1045">
            <v>47800</v>
          </cell>
          <cell r="C1045">
            <v>47500</v>
          </cell>
          <cell r="D1045">
            <v>46800</v>
          </cell>
          <cell r="E1045">
            <v>43200</v>
          </cell>
          <cell r="F1045">
            <v>48400</v>
          </cell>
          <cell r="G1045" t="str">
            <v>-</v>
          </cell>
          <cell r="H1045">
            <v>45200</v>
          </cell>
          <cell r="I1045">
            <v>45800</v>
          </cell>
          <cell r="J1045">
            <v>48200</v>
          </cell>
          <cell r="K1045" t="str">
            <v>-</v>
          </cell>
          <cell r="L1045">
            <v>47400</v>
          </cell>
          <cell r="M1045">
            <v>48700</v>
          </cell>
          <cell r="N1045">
            <v>46300</v>
          </cell>
          <cell r="O1045">
            <v>44400</v>
          </cell>
          <cell r="P1045">
            <v>42500</v>
          </cell>
          <cell r="Q1045">
            <v>43200</v>
          </cell>
          <cell r="R1045">
            <v>43300</v>
          </cell>
          <cell r="S1045">
            <v>45400</v>
          </cell>
          <cell r="T1045">
            <v>46000</v>
          </cell>
          <cell r="U1045">
            <v>47800</v>
          </cell>
          <cell r="V1045">
            <v>47700</v>
          </cell>
          <cell r="W1045">
            <v>50800</v>
          </cell>
        </row>
        <row r="1046">
          <cell r="A1046">
            <v>45312</v>
          </cell>
          <cell r="B1046" t="str">
            <v>H</v>
          </cell>
          <cell r="C1046" t="str">
            <v>H</v>
          </cell>
          <cell r="D1046" t="str">
            <v>H</v>
          </cell>
          <cell r="E1046" t="str">
            <v>H</v>
          </cell>
          <cell r="F1046" t="str">
            <v>H</v>
          </cell>
          <cell r="G1046" t="str">
            <v>H</v>
          </cell>
          <cell r="H1046" t="str">
            <v>H</v>
          </cell>
          <cell r="I1046" t="str">
            <v>H</v>
          </cell>
          <cell r="J1046" t="str">
            <v>H</v>
          </cell>
          <cell r="K1046" t="str">
            <v>H</v>
          </cell>
          <cell r="L1046" t="str">
            <v>H</v>
          </cell>
          <cell r="M1046" t="str">
            <v>H</v>
          </cell>
          <cell r="N1046" t="str">
            <v>H</v>
          </cell>
          <cell r="O1046" t="str">
            <v>H</v>
          </cell>
          <cell r="P1046" t="str">
            <v>H</v>
          </cell>
          <cell r="Q1046" t="str">
            <v>H</v>
          </cell>
          <cell r="R1046" t="str">
            <v>H</v>
          </cell>
          <cell r="S1046" t="str">
            <v>H</v>
          </cell>
          <cell r="T1046" t="str">
            <v>H</v>
          </cell>
          <cell r="U1046" t="str">
            <v>H</v>
          </cell>
          <cell r="V1046" t="str">
            <v>H</v>
          </cell>
          <cell r="W1046" t="str">
            <v>H</v>
          </cell>
        </row>
        <row r="1047">
          <cell r="A1047">
            <v>45313</v>
          </cell>
          <cell r="B1047">
            <v>47800</v>
          </cell>
          <cell r="C1047">
            <v>47500</v>
          </cell>
          <cell r="D1047">
            <v>46800</v>
          </cell>
          <cell r="E1047">
            <v>43000</v>
          </cell>
          <cell r="F1047">
            <v>48400</v>
          </cell>
          <cell r="G1047" t="str">
            <v>-</v>
          </cell>
          <cell r="H1047">
            <v>45000</v>
          </cell>
          <cell r="I1047">
            <v>45800</v>
          </cell>
          <cell r="J1047">
            <v>48200</v>
          </cell>
          <cell r="K1047" t="str">
            <v>-</v>
          </cell>
          <cell r="L1047">
            <v>47400</v>
          </cell>
          <cell r="M1047">
            <v>48700</v>
          </cell>
          <cell r="N1047">
            <v>46000</v>
          </cell>
          <cell r="O1047">
            <v>44200</v>
          </cell>
          <cell r="P1047">
            <v>42500</v>
          </cell>
          <cell r="Q1047">
            <v>43100</v>
          </cell>
          <cell r="R1047">
            <v>43000</v>
          </cell>
          <cell r="S1047">
            <v>45200</v>
          </cell>
          <cell r="T1047">
            <v>46000</v>
          </cell>
          <cell r="U1047">
            <v>47800</v>
          </cell>
          <cell r="V1047">
            <v>47700</v>
          </cell>
          <cell r="W1047">
            <v>50700</v>
          </cell>
        </row>
        <row r="1048">
          <cell r="A1048">
            <v>45314</v>
          </cell>
          <cell r="B1048">
            <v>47800</v>
          </cell>
          <cell r="C1048">
            <v>47500</v>
          </cell>
          <cell r="D1048">
            <v>46800</v>
          </cell>
          <cell r="E1048">
            <v>42800</v>
          </cell>
          <cell r="F1048">
            <v>48400</v>
          </cell>
          <cell r="G1048" t="str">
            <v>-</v>
          </cell>
          <cell r="H1048">
            <v>45000</v>
          </cell>
          <cell r="I1048">
            <v>45800</v>
          </cell>
          <cell r="J1048">
            <v>48200</v>
          </cell>
          <cell r="K1048" t="str">
            <v>-</v>
          </cell>
          <cell r="L1048">
            <v>47300</v>
          </cell>
          <cell r="M1048">
            <v>48700</v>
          </cell>
          <cell r="N1048">
            <v>46000</v>
          </cell>
          <cell r="O1048">
            <v>44200</v>
          </cell>
          <cell r="P1048">
            <v>42200</v>
          </cell>
          <cell r="Q1048">
            <v>42900</v>
          </cell>
          <cell r="R1048">
            <v>42800</v>
          </cell>
          <cell r="S1048">
            <v>45000</v>
          </cell>
          <cell r="T1048">
            <v>45800</v>
          </cell>
          <cell r="U1048">
            <v>47800</v>
          </cell>
          <cell r="V1048">
            <v>47700</v>
          </cell>
          <cell r="W1048">
            <v>50700</v>
          </cell>
        </row>
        <row r="1049">
          <cell r="A1049">
            <v>45315</v>
          </cell>
          <cell r="B1049">
            <v>47700</v>
          </cell>
          <cell r="C1049">
            <v>47500</v>
          </cell>
          <cell r="D1049">
            <v>46700</v>
          </cell>
          <cell r="E1049">
            <v>42800</v>
          </cell>
          <cell r="F1049">
            <v>48000</v>
          </cell>
          <cell r="G1049" t="str">
            <v>-</v>
          </cell>
          <cell r="H1049">
            <v>45000</v>
          </cell>
          <cell r="I1049">
            <v>45700</v>
          </cell>
          <cell r="J1049">
            <v>48000</v>
          </cell>
          <cell r="K1049" t="str">
            <v>-</v>
          </cell>
          <cell r="L1049">
            <v>47200</v>
          </cell>
          <cell r="M1049">
            <v>48700</v>
          </cell>
          <cell r="N1049">
            <v>45800</v>
          </cell>
          <cell r="O1049">
            <v>44200</v>
          </cell>
          <cell r="P1049">
            <v>42200</v>
          </cell>
          <cell r="Q1049">
            <v>42700</v>
          </cell>
          <cell r="R1049">
            <v>43000</v>
          </cell>
          <cell r="S1049">
            <v>45000</v>
          </cell>
          <cell r="T1049">
            <v>45700</v>
          </cell>
          <cell r="U1049">
            <v>47800</v>
          </cell>
          <cell r="V1049">
            <v>47700</v>
          </cell>
          <cell r="W1049">
            <v>50700</v>
          </cell>
        </row>
        <row r="1050">
          <cell r="A1050">
            <v>45316</v>
          </cell>
          <cell r="B1050">
            <v>47400</v>
          </cell>
          <cell r="C1050">
            <v>47500</v>
          </cell>
          <cell r="D1050">
            <v>46400</v>
          </cell>
          <cell r="E1050">
            <v>42800</v>
          </cell>
          <cell r="F1050">
            <v>47800</v>
          </cell>
          <cell r="G1050" t="str">
            <v>-</v>
          </cell>
          <cell r="H1050">
            <v>45000</v>
          </cell>
          <cell r="I1050">
            <v>45500</v>
          </cell>
          <cell r="J1050">
            <v>48000</v>
          </cell>
          <cell r="K1050" t="str">
            <v>-</v>
          </cell>
          <cell r="L1050">
            <v>47100</v>
          </cell>
          <cell r="M1050">
            <v>48700</v>
          </cell>
          <cell r="N1050">
            <v>45600</v>
          </cell>
          <cell r="O1050">
            <v>44200</v>
          </cell>
          <cell r="P1050">
            <v>42200</v>
          </cell>
          <cell r="Q1050">
            <v>42700</v>
          </cell>
          <cell r="R1050">
            <v>43000</v>
          </cell>
          <cell r="S1050">
            <v>45000</v>
          </cell>
          <cell r="T1050">
            <v>45700</v>
          </cell>
          <cell r="U1050">
            <v>47800</v>
          </cell>
          <cell r="V1050">
            <v>47700</v>
          </cell>
          <cell r="W1050">
            <v>50700</v>
          </cell>
        </row>
        <row r="1051">
          <cell r="A1051">
            <v>45317</v>
          </cell>
          <cell r="B1051" t="str">
            <v>H</v>
          </cell>
          <cell r="C1051" t="str">
            <v>H</v>
          </cell>
          <cell r="D1051" t="str">
            <v>H</v>
          </cell>
          <cell r="E1051" t="str">
            <v>H</v>
          </cell>
          <cell r="F1051" t="str">
            <v>H</v>
          </cell>
          <cell r="G1051" t="str">
            <v>H</v>
          </cell>
          <cell r="H1051" t="str">
            <v>H</v>
          </cell>
          <cell r="I1051" t="str">
            <v>H</v>
          </cell>
          <cell r="J1051" t="str">
            <v>H</v>
          </cell>
          <cell r="K1051" t="str">
            <v>H</v>
          </cell>
          <cell r="L1051" t="str">
            <v>H</v>
          </cell>
          <cell r="M1051" t="str">
            <v>H</v>
          </cell>
          <cell r="N1051" t="str">
            <v>H</v>
          </cell>
          <cell r="O1051" t="str">
            <v>H</v>
          </cell>
          <cell r="P1051" t="str">
            <v>H</v>
          </cell>
          <cell r="Q1051" t="str">
            <v>H</v>
          </cell>
          <cell r="R1051" t="str">
            <v>H</v>
          </cell>
          <cell r="S1051" t="str">
            <v>H</v>
          </cell>
          <cell r="T1051" t="str">
            <v>H</v>
          </cell>
          <cell r="U1051" t="str">
            <v>H</v>
          </cell>
          <cell r="V1051" t="str">
            <v>H</v>
          </cell>
          <cell r="W1051" t="str">
            <v>H</v>
          </cell>
        </row>
        <row r="1052">
          <cell r="A1052">
            <v>45318</v>
          </cell>
          <cell r="B1052">
            <v>47400</v>
          </cell>
          <cell r="C1052">
            <v>47500</v>
          </cell>
          <cell r="D1052">
            <v>46800</v>
          </cell>
          <cell r="E1052">
            <v>43000</v>
          </cell>
          <cell r="F1052">
            <v>47800</v>
          </cell>
          <cell r="G1052" t="str">
            <v>-</v>
          </cell>
          <cell r="H1052">
            <v>44500</v>
          </cell>
          <cell r="I1052">
            <v>45800</v>
          </cell>
          <cell r="J1052">
            <v>48000</v>
          </cell>
          <cell r="K1052" t="str">
            <v>-</v>
          </cell>
          <cell r="L1052">
            <v>47300</v>
          </cell>
          <cell r="M1052">
            <v>48700</v>
          </cell>
          <cell r="N1052">
            <v>45800</v>
          </cell>
          <cell r="O1052">
            <v>44200</v>
          </cell>
          <cell r="P1052">
            <v>42500</v>
          </cell>
          <cell r="Q1052">
            <v>42900</v>
          </cell>
          <cell r="R1052">
            <v>43000</v>
          </cell>
          <cell r="S1052">
            <v>45200</v>
          </cell>
          <cell r="T1052">
            <v>45900</v>
          </cell>
          <cell r="U1052">
            <v>47800</v>
          </cell>
          <cell r="V1052">
            <v>47700</v>
          </cell>
          <cell r="W1052">
            <v>50700</v>
          </cell>
        </row>
        <row r="1053">
          <cell r="A1053">
            <v>45319</v>
          </cell>
          <cell r="B1053" t="str">
            <v>H</v>
          </cell>
          <cell r="C1053" t="str">
            <v>H</v>
          </cell>
          <cell r="D1053" t="str">
            <v>H</v>
          </cell>
          <cell r="E1053" t="str">
            <v>H</v>
          </cell>
          <cell r="F1053" t="str">
            <v>H</v>
          </cell>
          <cell r="G1053" t="str">
            <v>H</v>
          </cell>
          <cell r="H1053" t="str">
            <v>H</v>
          </cell>
          <cell r="I1053" t="str">
            <v>H</v>
          </cell>
          <cell r="J1053" t="str">
            <v>H</v>
          </cell>
          <cell r="K1053" t="str">
            <v>H</v>
          </cell>
          <cell r="L1053" t="str">
            <v>H</v>
          </cell>
          <cell r="M1053" t="str">
            <v>H</v>
          </cell>
          <cell r="N1053" t="str">
            <v>H</v>
          </cell>
          <cell r="O1053" t="str">
            <v>H</v>
          </cell>
          <cell r="P1053" t="str">
            <v>H</v>
          </cell>
          <cell r="Q1053" t="str">
            <v>H</v>
          </cell>
          <cell r="R1053" t="str">
            <v>H</v>
          </cell>
          <cell r="S1053" t="str">
            <v>H</v>
          </cell>
          <cell r="T1053" t="str">
            <v>H</v>
          </cell>
          <cell r="U1053" t="str">
            <v>H</v>
          </cell>
          <cell r="V1053" t="str">
            <v>H</v>
          </cell>
          <cell r="W1053" t="str">
            <v>H</v>
          </cell>
        </row>
        <row r="1054">
          <cell r="A1054">
            <v>45320</v>
          </cell>
          <cell r="B1054">
            <v>47400</v>
          </cell>
          <cell r="C1054">
            <v>47500</v>
          </cell>
          <cell r="D1054">
            <v>46800</v>
          </cell>
          <cell r="E1054">
            <v>42900</v>
          </cell>
          <cell r="F1054">
            <v>47700</v>
          </cell>
          <cell r="G1054" t="str">
            <v>-</v>
          </cell>
          <cell r="H1054">
            <v>45000</v>
          </cell>
          <cell r="I1054">
            <v>45600</v>
          </cell>
          <cell r="J1054">
            <v>48200</v>
          </cell>
          <cell r="K1054" t="str">
            <v>-</v>
          </cell>
          <cell r="L1054">
            <v>47300</v>
          </cell>
          <cell r="M1054">
            <v>48700</v>
          </cell>
          <cell r="N1054">
            <v>45800</v>
          </cell>
          <cell r="O1054">
            <v>44050</v>
          </cell>
          <cell r="P1054">
            <v>42300</v>
          </cell>
          <cell r="Q1054">
            <v>42800</v>
          </cell>
          <cell r="R1054">
            <v>43000</v>
          </cell>
          <cell r="S1054">
            <v>45100</v>
          </cell>
          <cell r="T1054">
            <v>45900</v>
          </cell>
          <cell r="U1054">
            <v>47800</v>
          </cell>
          <cell r="V1054">
            <v>47600</v>
          </cell>
          <cell r="W1054">
            <v>50200</v>
          </cell>
        </row>
        <row r="1055">
          <cell r="A1055">
            <v>45321</v>
          </cell>
          <cell r="B1055">
            <v>47600</v>
          </cell>
          <cell r="C1055">
            <v>47500</v>
          </cell>
          <cell r="D1055">
            <v>46700</v>
          </cell>
          <cell r="E1055">
            <v>43100</v>
          </cell>
          <cell r="F1055">
            <v>47700</v>
          </cell>
          <cell r="G1055" t="str">
            <v>-</v>
          </cell>
          <cell r="H1055">
            <v>45000</v>
          </cell>
          <cell r="I1055">
            <v>45800</v>
          </cell>
          <cell r="J1055">
            <v>48200</v>
          </cell>
          <cell r="K1055" t="str">
            <v>-</v>
          </cell>
          <cell r="L1055">
            <v>47400</v>
          </cell>
          <cell r="M1055">
            <v>48700</v>
          </cell>
          <cell r="N1055">
            <v>46000</v>
          </cell>
          <cell r="O1055">
            <v>44100</v>
          </cell>
          <cell r="P1055">
            <v>42500</v>
          </cell>
          <cell r="Q1055">
            <v>43000</v>
          </cell>
          <cell r="R1055">
            <v>43000</v>
          </cell>
          <cell r="S1055">
            <v>45300</v>
          </cell>
          <cell r="T1055">
            <v>46000</v>
          </cell>
          <cell r="U1055">
            <v>47800</v>
          </cell>
          <cell r="V1055">
            <v>47600</v>
          </cell>
          <cell r="W1055">
            <v>50200</v>
          </cell>
        </row>
        <row r="1056">
          <cell r="A1056">
            <v>45322</v>
          </cell>
          <cell r="B1056">
            <v>47600</v>
          </cell>
          <cell r="C1056">
            <v>47500</v>
          </cell>
          <cell r="D1056">
            <v>46800</v>
          </cell>
          <cell r="E1056">
            <v>43000</v>
          </cell>
          <cell r="F1056">
            <v>48000</v>
          </cell>
          <cell r="G1056" t="str">
            <v>-</v>
          </cell>
          <cell r="H1056">
            <v>45000</v>
          </cell>
          <cell r="I1056">
            <v>45800</v>
          </cell>
          <cell r="J1056">
            <v>48200</v>
          </cell>
          <cell r="K1056" t="str">
            <v>-</v>
          </cell>
          <cell r="L1056">
            <v>47400</v>
          </cell>
          <cell r="M1056">
            <v>48300</v>
          </cell>
          <cell r="N1056">
            <v>45800</v>
          </cell>
          <cell r="O1056">
            <v>44100</v>
          </cell>
          <cell r="P1056">
            <v>42300</v>
          </cell>
          <cell r="Q1056">
            <v>43000</v>
          </cell>
          <cell r="R1056">
            <v>43000</v>
          </cell>
          <cell r="S1056">
            <v>45200</v>
          </cell>
          <cell r="T1056">
            <v>46000</v>
          </cell>
          <cell r="U1056">
            <v>47800</v>
          </cell>
          <cell r="V1056">
            <v>47600</v>
          </cell>
          <cell r="W1056">
            <v>50200</v>
          </cell>
        </row>
        <row r="1057">
          <cell r="A1057">
            <v>45323</v>
          </cell>
          <cell r="B1057">
            <v>47600</v>
          </cell>
          <cell r="C1057">
            <v>47500</v>
          </cell>
          <cell r="D1057">
            <v>46700</v>
          </cell>
          <cell r="E1057">
            <v>42900</v>
          </cell>
          <cell r="F1057">
            <v>48000</v>
          </cell>
          <cell r="G1057" t="str">
            <v>-</v>
          </cell>
          <cell r="H1057">
            <v>45250</v>
          </cell>
          <cell r="I1057">
            <v>45600</v>
          </cell>
          <cell r="J1057">
            <v>48200</v>
          </cell>
          <cell r="K1057" t="str">
            <v>-</v>
          </cell>
          <cell r="L1057">
            <v>47200</v>
          </cell>
          <cell r="M1057">
            <v>48000</v>
          </cell>
          <cell r="N1057">
            <v>45800</v>
          </cell>
          <cell r="O1057">
            <v>44100</v>
          </cell>
          <cell r="P1057">
            <v>42200</v>
          </cell>
          <cell r="Q1057">
            <v>42800</v>
          </cell>
          <cell r="R1057">
            <v>43000</v>
          </cell>
          <cell r="S1057">
            <v>45100</v>
          </cell>
          <cell r="T1057">
            <v>46000</v>
          </cell>
          <cell r="U1057">
            <v>47800</v>
          </cell>
          <cell r="V1057">
            <v>47600</v>
          </cell>
          <cell r="W1057">
            <v>50200</v>
          </cell>
        </row>
        <row r="1058">
          <cell r="A1058">
            <v>45324</v>
          </cell>
          <cell r="B1058">
            <v>47400</v>
          </cell>
          <cell r="C1058">
            <v>47500</v>
          </cell>
          <cell r="D1058">
            <v>46700</v>
          </cell>
          <cell r="E1058">
            <v>42800</v>
          </cell>
          <cell r="F1058">
            <v>48000</v>
          </cell>
          <cell r="G1058" t="str">
            <v>-</v>
          </cell>
          <cell r="H1058">
            <v>45250</v>
          </cell>
          <cell r="I1058">
            <v>45400</v>
          </cell>
          <cell r="J1058">
            <v>48000</v>
          </cell>
          <cell r="K1058" t="str">
            <v>-</v>
          </cell>
          <cell r="L1058">
            <v>47100</v>
          </cell>
          <cell r="M1058">
            <v>48000</v>
          </cell>
          <cell r="N1058">
            <v>45600</v>
          </cell>
          <cell r="O1058">
            <v>44100</v>
          </cell>
          <cell r="P1058">
            <v>42000</v>
          </cell>
          <cell r="Q1058">
            <v>42700</v>
          </cell>
          <cell r="R1058">
            <v>42800</v>
          </cell>
          <cell r="S1058">
            <v>45000</v>
          </cell>
          <cell r="T1058">
            <v>45800</v>
          </cell>
          <cell r="U1058">
            <v>47800</v>
          </cell>
          <cell r="V1058">
            <v>47600</v>
          </cell>
          <cell r="W1058">
            <v>50200</v>
          </cell>
        </row>
        <row r="1059">
          <cell r="A1059">
            <v>45325</v>
          </cell>
          <cell r="B1059">
            <v>47400</v>
          </cell>
          <cell r="C1059">
            <v>47500</v>
          </cell>
          <cell r="D1059">
            <v>46900</v>
          </cell>
          <cell r="E1059">
            <v>42900</v>
          </cell>
          <cell r="F1059">
            <v>48000</v>
          </cell>
          <cell r="G1059" t="str">
            <v>-</v>
          </cell>
          <cell r="H1059">
            <v>44500</v>
          </cell>
          <cell r="I1059">
            <v>45700</v>
          </cell>
          <cell r="J1059">
            <v>48000</v>
          </cell>
          <cell r="K1059" t="str">
            <v>-</v>
          </cell>
          <cell r="L1059">
            <v>47100</v>
          </cell>
          <cell r="M1059">
            <v>48000</v>
          </cell>
          <cell r="N1059">
            <v>45600</v>
          </cell>
          <cell r="O1059">
            <v>44100</v>
          </cell>
          <cell r="P1059">
            <v>42100</v>
          </cell>
          <cell r="Q1059">
            <v>42700</v>
          </cell>
          <cell r="R1059">
            <v>42800</v>
          </cell>
          <cell r="S1059">
            <v>45100</v>
          </cell>
          <cell r="T1059">
            <v>45800</v>
          </cell>
          <cell r="U1059">
            <v>47800</v>
          </cell>
          <cell r="V1059">
            <v>47600</v>
          </cell>
          <cell r="W1059">
            <v>50200</v>
          </cell>
        </row>
        <row r="1060">
          <cell r="A1060">
            <v>45326</v>
          </cell>
          <cell r="B1060" t="str">
            <v>H</v>
          </cell>
          <cell r="C1060" t="str">
            <v>H</v>
          </cell>
          <cell r="D1060" t="str">
            <v>H</v>
          </cell>
          <cell r="E1060" t="str">
            <v>H</v>
          </cell>
          <cell r="F1060" t="str">
            <v>H</v>
          </cell>
          <cell r="G1060" t="str">
            <v>H</v>
          </cell>
          <cell r="H1060" t="str">
            <v>H</v>
          </cell>
          <cell r="I1060" t="str">
            <v>H</v>
          </cell>
          <cell r="J1060" t="str">
            <v>H</v>
          </cell>
          <cell r="K1060" t="str">
            <v>H</v>
          </cell>
          <cell r="L1060" t="str">
            <v>H</v>
          </cell>
          <cell r="M1060" t="str">
            <v>H</v>
          </cell>
          <cell r="N1060" t="str">
            <v>H</v>
          </cell>
          <cell r="O1060" t="str">
            <v>H</v>
          </cell>
          <cell r="P1060" t="str">
            <v>H</v>
          </cell>
          <cell r="Q1060" t="str">
            <v>H</v>
          </cell>
          <cell r="R1060" t="str">
            <v>H</v>
          </cell>
          <cell r="S1060" t="str">
            <v>H</v>
          </cell>
          <cell r="T1060" t="str">
            <v>H</v>
          </cell>
          <cell r="U1060" t="str">
            <v>H</v>
          </cell>
          <cell r="V1060" t="str">
            <v>H</v>
          </cell>
          <cell r="W1060" t="str">
            <v>H</v>
          </cell>
        </row>
        <row r="1061">
          <cell r="A1061">
            <v>45327</v>
          </cell>
          <cell r="B1061">
            <v>47200</v>
          </cell>
          <cell r="C1061">
            <v>47500</v>
          </cell>
          <cell r="D1061">
            <v>46700</v>
          </cell>
          <cell r="E1061">
            <v>42700</v>
          </cell>
          <cell r="F1061">
            <v>47900</v>
          </cell>
          <cell r="G1061" t="str">
            <v>-</v>
          </cell>
          <cell r="H1061">
            <v>44500</v>
          </cell>
          <cell r="I1061">
            <v>45500</v>
          </cell>
          <cell r="J1061">
            <v>48000</v>
          </cell>
          <cell r="K1061" t="str">
            <v>-</v>
          </cell>
          <cell r="L1061">
            <v>47100</v>
          </cell>
          <cell r="M1061">
            <v>48000</v>
          </cell>
          <cell r="N1061">
            <v>45400</v>
          </cell>
          <cell r="O1061">
            <v>44000</v>
          </cell>
          <cell r="P1061">
            <v>42100</v>
          </cell>
          <cell r="Q1061">
            <v>42700</v>
          </cell>
          <cell r="R1061">
            <v>42800</v>
          </cell>
          <cell r="S1061">
            <v>44900</v>
          </cell>
          <cell r="T1061">
            <v>45800</v>
          </cell>
          <cell r="U1061">
            <v>47800</v>
          </cell>
          <cell r="V1061">
            <v>47600</v>
          </cell>
          <cell r="W1061">
            <v>50200</v>
          </cell>
        </row>
        <row r="1062">
          <cell r="A1062">
            <v>45328</v>
          </cell>
          <cell r="B1062">
            <v>47200</v>
          </cell>
          <cell r="C1062">
            <v>47300</v>
          </cell>
          <cell r="D1062">
            <v>46400</v>
          </cell>
          <cell r="E1062">
            <v>42500</v>
          </cell>
          <cell r="F1062">
            <v>47900</v>
          </cell>
          <cell r="G1062" t="str">
            <v>-</v>
          </cell>
          <cell r="H1062">
            <v>44500</v>
          </cell>
          <cell r="I1062">
            <v>45400</v>
          </cell>
          <cell r="J1062">
            <v>48000</v>
          </cell>
          <cell r="K1062" t="str">
            <v>-</v>
          </cell>
          <cell r="L1062">
            <v>46800</v>
          </cell>
          <cell r="M1062">
            <v>48000</v>
          </cell>
          <cell r="N1062">
            <v>45300</v>
          </cell>
          <cell r="O1062">
            <v>44000</v>
          </cell>
          <cell r="P1062">
            <v>42000</v>
          </cell>
          <cell r="Q1062">
            <v>42600</v>
          </cell>
          <cell r="R1062">
            <v>42800</v>
          </cell>
          <cell r="S1062">
            <v>44600</v>
          </cell>
          <cell r="T1062">
            <v>45500</v>
          </cell>
          <cell r="U1062">
            <v>47800</v>
          </cell>
          <cell r="V1062">
            <v>47500</v>
          </cell>
          <cell r="W1062">
            <v>50200</v>
          </cell>
        </row>
        <row r="1063">
          <cell r="A1063">
            <v>45329</v>
          </cell>
          <cell r="B1063">
            <v>47200</v>
          </cell>
          <cell r="C1063">
            <v>47300</v>
          </cell>
          <cell r="D1063">
            <v>46500</v>
          </cell>
          <cell r="E1063">
            <v>42600</v>
          </cell>
          <cell r="F1063">
            <v>47800</v>
          </cell>
          <cell r="G1063" t="str">
            <v>-</v>
          </cell>
          <cell r="H1063">
            <v>44500</v>
          </cell>
          <cell r="I1063">
            <v>45400</v>
          </cell>
          <cell r="J1063">
            <v>48000</v>
          </cell>
          <cell r="K1063" t="str">
            <v>-</v>
          </cell>
          <cell r="L1063">
            <v>46700</v>
          </cell>
          <cell r="M1063">
            <v>48000</v>
          </cell>
          <cell r="N1063">
            <v>45300</v>
          </cell>
          <cell r="O1063">
            <v>43800</v>
          </cell>
          <cell r="P1063">
            <v>42000</v>
          </cell>
          <cell r="Q1063">
            <v>42600</v>
          </cell>
          <cell r="R1063">
            <v>42500</v>
          </cell>
          <cell r="S1063">
            <v>44700</v>
          </cell>
          <cell r="T1063">
            <v>45500</v>
          </cell>
          <cell r="U1063">
            <v>47800</v>
          </cell>
          <cell r="V1063">
            <v>47500</v>
          </cell>
          <cell r="W1063">
            <v>50200</v>
          </cell>
        </row>
        <row r="1064">
          <cell r="A1064">
            <v>45330</v>
          </cell>
          <cell r="B1064">
            <v>47200</v>
          </cell>
          <cell r="C1064">
            <v>47300</v>
          </cell>
          <cell r="D1064">
            <v>46500</v>
          </cell>
          <cell r="E1064">
            <v>42800</v>
          </cell>
          <cell r="F1064">
            <v>47800</v>
          </cell>
          <cell r="G1064" t="str">
            <v>-</v>
          </cell>
          <cell r="H1064">
            <v>44500</v>
          </cell>
          <cell r="I1064">
            <v>45500</v>
          </cell>
          <cell r="J1064">
            <v>48300</v>
          </cell>
          <cell r="K1064" t="str">
            <v>-</v>
          </cell>
          <cell r="L1064">
            <v>46800</v>
          </cell>
          <cell r="M1064">
            <v>48100</v>
          </cell>
          <cell r="N1064">
            <v>45400</v>
          </cell>
          <cell r="O1064">
            <v>44000</v>
          </cell>
          <cell r="P1064">
            <v>42300</v>
          </cell>
          <cell r="Q1064">
            <v>42700</v>
          </cell>
          <cell r="R1064">
            <v>42500</v>
          </cell>
          <cell r="S1064">
            <v>44900</v>
          </cell>
          <cell r="T1064">
            <v>45600</v>
          </cell>
          <cell r="U1064">
            <v>47800</v>
          </cell>
          <cell r="V1064">
            <v>47400</v>
          </cell>
          <cell r="W1064">
            <v>50200</v>
          </cell>
        </row>
        <row r="1065">
          <cell r="A1065">
            <v>45331</v>
          </cell>
          <cell r="B1065">
            <v>47200</v>
          </cell>
          <cell r="C1065">
            <v>47300</v>
          </cell>
          <cell r="D1065">
            <v>46500</v>
          </cell>
          <cell r="E1065">
            <v>42800</v>
          </cell>
          <cell r="F1065">
            <v>47800</v>
          </cell>
          <cell r="G1065" t="str">
            <v>-</v>
          </cell>
          <cell r="H1065">
            <v>44500</v>
          </cell>
          <cell r="I1065">
            <v>45500</v>
          </cell>
          <cell r="J1065">
            <v>48300</v>
          </cell>
          <cell r="K1065" t="str">
            <v>-</v>
          </cell>
          <cell r="L1065">
            <v>46800</v>
          </cell>
          <cell r="M1065">
            <v>48100</v>
          </cell>
          <cell r="N1065">
            <v>45300</v>
          </cell>
          <cell r="O1065">
            <v>44000</v>
          </cell>
          <cell r="P1065">
            <v>42300</v>
          </cell>
          <cell r="Q1065">
            <v>42700</v>
          </cell>
          <cell r="R1065">
            <v>42700</v>
          </cell>
          <cell r="S1065">
            <v>44900</v>
          </cell>
          <cell r="T1065">
            <v>45600</v>
          </cell>
          <cell r="U1065">
            <v>47800</v>
          </cell>
          <cell r="V1065">
            <v>47400</v>
          </cell>
          <cell r="W1065">
            <v>50200</v>
          </cell>
        </row>
        <row r="1066">
          <cell r="A1066">
            <v>45332</v>
          </cell>
          <cell r="B1066">
            <v>47300</v>
          </cell>
          <cell r="C1066">
            <v>47300</v>
          </cell>
          <cell r="D1066">
            <v>46300</v>
          </cell>
          <cell r="E1066">
            <v>42600</v>
          </cell>
          <cell r="F1066">
            <v>47800</v>
          </cell>
          <cell r="G1066" t="str">
            <v>-</v>
          </cell>
          <cell r="H1066">
            <v>44500</v>
          </cell>
          <cell r="I1066">
            <v>45400</v>
          </cell>
          <cell r="J1066">
            <v>48300</v>
          </cell>
          <cell r="K1066" t="str">
            <v>-</v>
          </cell>
          <cell r="L1066">
            <v>46700</v>
          </cell>
          <cell r="M1066">
            <v>48100</v>
          </cell>
          <cell r="N1066">
            <v>45300</v>
          </cell>
          <cell r="O1066">
            <v>44000</v>
          </cell>
          <cell r="P1066">
            <v>42200</v>
          </cell>
          <cell r="Q1066">
            <v>42500</v>
          </cell>
          <cell r="R1066">
            <v>42700</v>
          </cell>
          <cell r="S1066">
            <v>44700</v>
          </cell>
          <cell r="T1066">
            <v>45600</v>
          </cell>
          <cell r="U1066">
            <v>47800</v>
          </cell>
          <cell r="V1066">
            <v>47400</v>
          </cell>
          <cell r="W1066">
            <v>50200</v>
          </cell>
        </row>
        <row r="1067">
          <cell r="A1067">
            <v>45333</v>
          </cell>
          <cell r="B1067" t="str">
            <v>H</v>
          </cell>
          <cell r="C1067" t="str">
            <v>H</v>
          </cell>
          <cell r="D1067" t="str">
            <v>H</v>
          </cell>
          <cell r="E1067" t="str">
            <v>H</v>
          </cell>
          <cell r="F1067" t="str">
            <v>H</v>
          </cell>
          <cell r="G1067" t="str">
            <v>H</v>
          </cell>
          <cell r="H1067" t="str">
            <v>H</v>
          </cell>
          <cell r="I1067" t="str">
            <v>H</v>
          </cell>
          <cell r="J1067" t="str">
            <v>H</v>
          </cell>
          <cell r="K1067" t="str">
            <v>H</v>
          </cell>
          <cell r="L1067" t="str">
            <v>H</v>
          </cell>
          <cell r="M1067" t="str">
            <v>H</v>
          </cell>
          <cell r="N1067" t="str">
            <v>H</v>
          </cell>
          <cell r="O1067" t="str">
            <v>H</v>
          </cell>
          <cell r="P1067" t="str">
            <v>H</v>
          </cell>
          <cell r="Q1067" t="str">
            <v>H</v>
          </cell>
          <cell r="R1067" t="str">
            <v>H</v>
          </cell>
          <cell r="S1067" t="str">
            <v>H</v>
          </cell>
          <cell r="T1067" t="str">
            <v>H</v>
          </cell>
          <cell r="U1067" t="str">
            <v>H</v>
          </cell>
          <cell r="V1067" t="str">
            <v>H</v>
          </cell>
          <cell r="W1067" t="str">
            <v>H</v>
          </cell>
        </row>
        <row r="1068">
          <cell r="A1068">
            <v>45334</v>
          </cell>
          <cell r="B1068">
            <v>47300</v>
          </cell>
          <cell r="C1068">
            <v>47300</v>
          </cell>
          <cell r="D1068">
            <v>46100</v>
          </cell>
          <cell r="E1068">
            <v>42500</v>
          </cell>
          <cell r="F1068">
            <v>47700</v>
          </cell>
          <cell r="G1068" t="str">
            <v>-</v>
          </cell>
          <cell r="H1068">
            <v>44500</v>
          </cell>
          <cell r="I1068">
            <v>45400</v>
          </cell>
          <cell r="J1068">
            <v>48200</v>
          </cell>
          <cell r="K1068" t="str">
            <v>-</v>
          </cell>
          <cell r="L1068">
            <v>46500</v>
          </cell>
          <cell r="M1068">
            <v>48100</v>
          </cell>
          <cell r="N1068">
            <v>45000</v>
          </cell>
          <cell r="O1068">
            <v>43800</v>
          </cell>
          <cell r="P1068">
            <v>42000</v>
          </cell>
          <cell r="Q1068">
            <v>42500</v>
          </cell>
          <cell r="R1068">
            <v>42500</v>
          </cell>
          <cell r="S1068">
            <v>44600</v>
          </cell>
          <cell r="T1068">
            <v>45500</v>
          </cell>
          <cell r="U1068">
            <v>46800</v>
          </cell>
          <cell r="V1068">
            <v>47400</v>
          </cell>
          <cell r="W1068">
            <v>50200</v>
          </cell>
        </row>
        <row r="1069">
          <cell r="A1069">
            <v>45335</v>
          </cell>
          <cell r="B1069">
            <v>47300</v>
          </cell>
          <cell r="C1069">
            <v>47300</v>
          </cell>
          <cell r="D1069" t="str">
            <v>-</v>
          </cell>
          <cell r="E1069">
            <v>42300</v>
          </cell>
          <cell r="F1069">
            <v>47600</v>
          </cell>
          <cell r="G1069" t="str">
            <v>-</v>
          </cell>
          <cell r="H1069">
            <v>44400</v>
          </cell>
          <cell r="I1069">
            <v>45000</v>
          </cell>
          <cell r="J1069">
            <v>48000</v>
          </cell>
          <cell r="K1069" t="str">
            <v>-</v>
          </cell>
          <cell r="L1069">
            <v>46300</v>
          </cell>
          <cell r="M1069">
            <v>48000</v>
          </cell>
          <cell r="N1069">
            <v>44700</v>
          </cell>
          <cell r="O1069">
            <v>43800</v>
          </cell>
          <cell r="P1069">
            <v>41800</v>
          </cell>
          <cell r="Q1069">
            <v>42100</v>
          </cell>
          <cell r="R1069">
            <v>42500</v>
          </cell>
          <cell r="S1069">
            <v>44400</v>
          </cell>
          <cell r="T1069">
            <v>45500</v>
          </cell>
          <cell r="U1069">
            <v>46800</v>
          </cell>
          <cell r="V1069">
            <v>47200</v>
          </cell>
          <cell r="W1069">
            <v>50200</v>
          </cell>
        </row>
        <row r="1070">
          <cell r="A1070">
            <v>45336</v>
          </cell>
          <cell r="B1070">
            <v>47300</v>
          </cell>
          <cell r="C1070">
            <v>47300</v>
          </cell>
          <cell r="D1070">
            <v>46000</v>
          </cell>
          <cell r="E1070">
            <v>42400</v>
          </cell>
          <cell r="F1070">
            <v>47400</v>
          </cell>
          <cell r="G1070" t="str">
            <v>-</v>
          </cell>
          <cell r="H1070">
            <v>44300</v>
          </cell>
          <cell r="I1070">
            <v>45400</v>
          </cell>
          <cell r="J1070">
            <v>48200</v>
          </cell>
          <cell r="K1070" t="str">
            <v>-</v>
          </cell>
          <cell r="L1070">
            <v>46500</v>
          </cell>
          <cell r="M1070">
            <v>48100</v>
          </cell>
          <cell r="N1070">
            <v>44900</v>
          </cell>
          <cell r="O1070">
            <v>43700</v>
          </cell>
          <cell r="P1070">
            <v>41800</v>
          </cell>
          <cell r="Q1070">
            <v>42100</v>
          </cell>
          <cell r="R1070">
            <v>42500</v>
          </cell>
          <cell r="S1070">
            <v>44500</v>
          </cell>
          <cell r="T1070">
            <v>45500</v>
          </cell>
          <cell r="U1070">
            <v>46800</v>
          </cell>
          <cell r="V1070">
            <v>47200</v>
          </cell>
          <cell r="W1070">
            <v>50200</v>
          </cell>
        </row>
        <row r="1071">
          <cell r="A1071">
            <v>45337</v>
          </cell>
          <cell r="B1071">
            <v>47500</v>
          </cell>
          <cell r="C1071">
            <v>47300</v>
          </cell>
          <cell r="D1071">
            <v>46100</v>
          </cell>
          <cell r="E1071">
            <v>42800</v>
          </cell>
          <cell r="F1071">
            <v>47700</v>
          </cell>
          <cell r="G1071" t="str">
            <v>-</v>
          </cell>
          <cell r="H1071">
            <v>44300</v>
          </cell>
          <cell r="I1071">
            <v>45400</v>
          </cell>
          <cell r="J1071">
            <v>48200</v>
          </cell>
          <cell r="K1071" t="str">
            <v>-</v>
          </cell>
          <cell r="L1071">
            <v>46700</v>
          </cell>
          <cell r="M1071">
            <v>48100</v>
          </cell>
          <cell r="N1071">
            <v>45000</v>
          </cell>
          <cell r="O1071">
            <v>43700</v>
          </cell>
          <cell r="P1071">
            <v>42200</v>
          </cell>
          <cell r="Q1071">
            <v>42400</v>
          </cell>
          <cell r="R1071">
            <v>42500</v>
          </cell>
          <cell r="S1071">
            <v>44900</v>
          </cell>
          <cell r="T1071">
            <v>45700</v>
          </cell>
          <cell r="U1071">
            <v>46800</v>
          </cell>
          <cell r="V1071">
            <v>47200</v>
          </cell>
          <cell r="W1071">
            <v>50200</v>
          </cell>
        </row>
        <row r="1072">
          <cell r="A1072">
            <v>45338</v>
          </cell>
          <cell r="B1072">
            <v>47500</v>
          </cell>
          <cell r="C1072">
            <v>47300</v>
          </cell>
          <cell r="D1072">
            <v>46000</v>
          </cell>
          <cell r="E1072">
            <v>42500</v>
          </cell>
          <cell r="F1072">
            <v>47700</v>
          </cell>
          <cell r="G1072" t="str">
            <v>-</v>
          </cell>
          <cell r="H1072">
            <v>44300</v>
          </cell>
          <cell r="I1072">
            <v>45200</v>
          </cell>
          <cell r="J1072">
            <v>48200</v>
          </cell>
          <cell r="K1072" t="str">
            <v>-</v>
          </cell>
          <cell r="L1072">
            <v>46700</v>
          </cell>
          <cell r="M1072">
            <v>48100</v>
          </cell>
          <cell r="N1072">
            <v>44900</v>
          </cell>
          <cell r="O1072">
            <v>43400</v>
          </cell>
          <cell r="P1072">
            <v>42000</v>
          </cell>
          <cell r="Q1072">
            <v>42400</v>
          </cell>
          <cell r="R1072">
            <v>42500</v>
          </cell>
          <cell r="S1072">
            <v>44600</v>
          </cell>
          <cell r="T1072">
            <v>45700</v>
          </cell>
          <cell r="U1072">
            <v>46800</v>
          </cell>
          <cell r="V1072">
            <v>47000</v>
          </cell>
          <cell r="W1072">
            <v>50200</v>
          </cell>
        </row>
        <row r="1073">
          <cell r="A1073">
            <v>45339</v>
          </cell>
          <cell r="B1073">
            <v>47700</v>
          </cell>
          <cell r="C1073">
            <v>47300</v>
          </cell>
          <cell r="D1073">
            <v>46200</v>
          </cell>
          <cell r="E1073">
            <v>42800</v>
          </cell>
          <cell r="F1073">
            <v>47700</v>
          </cell>
          <cell r="G1073" t="str">
            <v>-</v>
          </cell>
          <cell r="H1073">
            <v>44500</v>
          </cell>
          <cell r="I1073">
            <v>45300</v>
          </cell>
          <cell r="J1073">
            <v>48300</v>
          </cell>
          <cell r="K1073" t="str">
            <v>-</v>
          </cell>
          <cell r="L1073">
            <v>46900</v>
          </cell>
          <cell r="M1073">
            <v>48100</v>
          </cell>
          <cell r="N1073">
            <v>45100</v>
          </cell>
          <cell r="O1073">
            <v>43400</v>
          </cell>
          <cell r="P1073">
            <v>42200</v>
          </cell>
          <cell r="Q1073">
            <v>42700</v>
          </cell>
          <cell r="R1073">
            <v>42800</v>
          </cell>
          <cell r="S1073">
            <v>44900</v>
          </cell>
          <cell r="T1073">
            <v>46000</v>
          </cell>
          <cell r="U1073">
            <v>46800</v>
          </cell>
          <cell r="V1073">
            <v>47000</v>
          </cell>
          <cell r="W1073">
            <v>50200</v>
          </cell>
        </row>
        <row r="1074">
          <cell r="A1074">
            <v>45340</v>
          </cell>
          <cell r="B1074" t="str">
            <v>H</v>
          </cell>
          <cell r="C1074" t="str">
            <v>H</v>
          </cell>
          <cell r="D1074" t="str">
            <v>H</v>
          </cell>
          <cell r="E1074" t="str">
            <v>H</v>
          </cell>
          <cell r="F1074" t="str">
            <v>H</v>
          </cell>
          <cell r="G1074" t="str">
            <v>H</v>
          </cell>
          <cell r="H1074" t="str">
            <v>H</v>
          </cell>
          <cell r="I1074" t="str">
            <v>H</v>
          </cell>
          <cell r="J1074" t="str">
            <v>H</v>
          </cell>
          <cell r="K1074" t="str">
            <v>H</v>
          </cell>
          <cell r="L1074" t="str">
            <v>H</v>
          </cell>
          <cell r="M1074" t="str">
            <v>H</v>
          </cell>
          <cell r="N1074" t="str">
            <v>H</v>
          </cell>
          <cell r="O1074" t="str">
            <v>H</v>
          </cell>
          <cell r="P1074" t="str">
            <v>H</v>
          </cell>
          <cell r="Q1074" t="str">
            <v>H</v>
          </cell>
          <cell r="R1074" t="str">
            <v>H</v>
          </cell>
          <cell r="S1074" t="str">
            <v>H</v>
          </cell>
          <cell r="T1074" t="str">
            <v>H</v>
          </cell>
          <cell r="U1074" t="str">
            <v>H</v>
          </cell>
          <cell r="V1074" t="str">
            <v>H</v>
          </cell>
          <cell r="W1074" t="str">
            <v>H</v>
          </cell>
        </row>
        <row r="1075">
          <cell r="A1075">
            <v>45341</v>
          </cell>
          <cell r="B1075">
            <v>47700</v>
          </cell>
          <cell r="C1075">
            <v>47300</v>
          </cell>
          <cell r="D1075">
            <v>46000</v>
          </cell>
          <cell r="E1075">
            <v>42800</v>
          </cell>
          <cell r="F1075">
            <v>48000</v>
          </cell>
          <cell r="G1075" t="str">
            <v>-</v>
          </cell>
          <cell r="H1075">
            <v>44500</v>
          </cell>
          <cell r="I1075">
            <v>45300</v>
          </cell>
          <cell r="J1075">
            <v>48300</v>
          </cell>
          <cell r="K1075" t="str">
            <v>-</v>
          </cell>
          <cell r="L1075">
            <v>47000</v>
          </cell>
          <cell r="M1075">
            <v>48200</v>
          </cell>
          <cell r="N1075">
            <v>45100</v>
          </cell>
          <cell r="O1075">
            <v>43400</v>
          </cell>
          <cell r="P1075">
            <v>42200</v>
          </cell>
          <cell r="Q1075">
            <v>42800</v>
          </cell>
          <cell r="R1075">
            <v>42700</v>
          </cell>
          <cell r="S1075">
            <v>44800</v>
          </cell>
          <cell r="T1075">
            <v>46000</v>
          </cell>
          <cell r="U1075">
            <v>46800</v>
          </cell>
          <cell r="V1075">
            <v>47000</v>
          </cell>
          <cell r="W1075">
            <v>49600</v>
          </cell>
        </row>
        <row r="1076">
          <cell r="A1076">
            <v>45342</v>
          </cell>
          <cell r="B1076">
            <v>47900</v>
          </cell>
          <cell r="C1076">
            <v>47200</v>
          </cell>
          <cell r="D1076">
            <v>46300</v>
          </cell>
          <cell r="E1076">
            <v>43100</v>
          </cell>
          <cell r="F1076">
            <v>48000</v>
          </cell>
          <cell r="G1076" t="str">
            <v>-</v>
          </cell>
          <cell r="H1076">
            <v>45000</v>
          </cell>
          <cell r="I1076">
            <v>45500</v>
          </cell>
          <cell r="J1076">
            <v>48300</v>
          </cell>
          <cell r="K1076" t="str">
            <v>-</v>
          </cell>
          <cell r="L1076">
            <v>47300</v>
          </cell>
          <cell r="M1076">
            <v>48200</v>
          </cell>
          <cell r="N1076">
            <v>45500</v>
          </cell>
          <cell r="O1076">
            <v>43700</v>
          </cell>
          <cell r="P1076">
            <v>42500</v>
          </cell>
          <cell r="Q1076">
            <v>43000</v>
          </cell>
          <cell r="R1076">
            <v>43000</v>
          </cell>
          <cell r="S1076">
            <v>45100</v>
          </cell>
          <cell r="T1076">
            <v>46200</v>
          </cell>
          <cell r="U1076">
            <v>46800</v>
          </cell>
          <cell r="V1076">
            <v>47000</v>
          </cell>
          <cell r="W1076">
            <v>49600</v>
          </cell>
        </row>
        <row r="1077">
          <cell r="A1077">
            <v>45343</v>
          </cell>
          <cell r="B1077">
            <v>47900</v>
          </cell>
          <cell r="C1077">
            <v>47200</v>
          </cell>
          <cell r="D1077">
            <v>46100</v>
          </cell>
          <cell r="E1077">
            <v>42900</v>
          </cell>
          <cell r="F1077">
            <v>48300</v>
          </cell>
          <cell r="G1077" t="str">
            <v>-</v>
          </cell>
          <cell r="H1077">
            <v>45000</v>
          </cell>
          <cell r="I1077">
            <v>45300</v>
          </cell>
          <cell r="J1077">
            <v>48300</v>
          </cell>
          <cell r="K1077" t="str">
            <v>-</v>
          </cell>
          <cell r="L1077">
            <v>47300</v>
          </cell>
          <cell r="M1077">
            <v>48200</v>
          </cell>
          <cell r="N1077">
            <v>45200</v>
          </cell>
          <cell r="O1077">
            <v>43600</v>
          </cell>
          <cell r="P1077">
            <v>42300</v>
          </cell>
          <cell r="Q1077">
            <v>42800</v>
          </cell>
          <cell r="R1077">
            <v>42800</v>
          </cell>
          <cell r="S1077">
            <v>45000</v>
          </cell>
          <cell r="T1077">
            <v>46200</v>
          </cell>
          <cell r="U1077">
            <v>46800</v>
          </cell>
          <cell r="V1077">
            <v>47000</v>
          </cell>
          <cell r="W1077">
            <v>49600</v>
          </cell>
        </row>
        <row r="1078">
          <cell r="A1078">
            <v>45344</v>
          </cell>
          <cell r="B1078">
            <v>48000</v>
          </cell>
          <cell r="C1078">
            <v>47200</v>
          </cell>
          <cell r="D1078">
            <v>46100</v>
          </cell>
          <cell r="E1078">
            <v>42800</v>
          </cell>
          <cell r="F1078">
            <v>48300</v>
          </cell>
          <cell r="G1078" t="str">
            <v>-</v>
          </cell>
          <cell r="H1078">
            <v>45000</v>
          </cell>
          <cell r="I1078">
            <v>45200</v>
          </cell>
          <cell r="J1078">
            <v>48300</v>
          </cell>
          <cell r="K1078" t="str">
            <v>-</v>
          </cell>
          <cell r="L1078">
            <v>47300</v>
          </cell>
          <cell r="M1078">
            <v>48400</v>
          </cell>
          <cell r="N1078">
            <v>45000</v>
          </cell>
          <cell r="O1078">
            <v>43600</v>
          </cell>
          <cell r="P1078">
            <v>42200</v>
          </cell>
          <cell r="Q1078">
            <v>42700</v>
          </cell>
          <cell r="R1078">
            <v>42800</v>
          </cell>
          <cell r="S1078">
            <v>44900</v>
          </cell>
          <cell r="T1078">
            <v>46200</v>
          </cell>
          <cell r="U1078">
            <v>46800</v>
          </cell>
          <cell r="V1078">
            <v>47300</v>
          </cell>
          <cell r="W1078">
            <v>49300</v>
          </cell>
        </row>
        <row r="1079">
          <cell r="A1079">
            <v>45345</v>
          </cell>
          <cell r="B1079">
            <v>48300</v>
          </cell>
          <cell r="C1079">
            <v>47500</v>
          </cell>
          <cell r="D1079">
            <v>46200</v>
          </cell>
          <cell r="E1079">
            <v>43100</v>
          </cell>
          <cell r="F1079">
            <v>48300</v>
          </cell>
          <cell r="G1079" t="str">
            <v>-</v>
          </cell>
          <cell r="H1079">
            <v>45000</v>
          </cell>
          <cell r="I1079">
            <v>45400</v>
          </cell>
          <cell r="J1079">
            <v>48700</v>
          </cell>
          <cell r="K1079" t="str">
            <v>-</v>
          </cell>
          <cell r="L1079">
            <v>47600</v>
          </cell>
          <cell r="M1079">
            <v>48700</v>
          </cell>
          <cell r="N1079">
            <v>45200</v>
          </cell>
          <cell r="O1079">
            <v>43700</v>
          </cell>
          <cell r="P1079">
            <v>42500</v>
          </cell>
          <cell r="Q1079">
            <v>43100</v>
          </cell>
          <cell r="R1079">
            <v>43000</v>
          </cell>
          <cell r="S1079">
            <v>45200</v>
          </cell>
          <cell r="T1079">
            <v>46200</v>
          </cell>
          <cell r="U1079">
            <v>46800</v>
          </cell>
          <cell r="V1079">
            <v>47900</v>
          </cell>
          <cell r="W1079">
            <v>49600</v>
          </cell>
        </row>
        <row r="1080">
          <cell r="A1080">
            <v>45346</v>
          </cell>
          <cell r="B1080">
            <v>48300</v>
          </cell>
          <cell r="C1080">
            <v>47500</v>
          </cell>
          <cell r="D1080">
            <v>46100</v>
          </cell>
          <cell r="E1080">
            <v>42900</v>
          </cell>
          <cell r="F1080">
            <v>48300</v>
          </cell>
          <cell r="G1080" t="str">
            <v>-</v>
          </cell>
          <cell r="H1080">
            <v>45500</v>
          </cell>
          <cell r="I1080">
            <v>45200</v>
          </cell>
          <cell r="J1080">
            <v>48800</v>
          </cell>
          <cell r="K1080" t="str">
            <v>-</v>
          </cell>
          <cell r="L1080">
            <v>47500</v>
          </cell>
          <cell r="M1080">
            <v>48700</v>
          </cell>
          <cell r="N1080">
            <v>45200</v>
          </cell>
          <cell r="O1080">
            <v>43700</v>
          </cell>
          <cell r="P1080">
            <v>42400</v>
          </cell>
          <cell r="Q1080">
            <v>42900</v>
          </cell>
          <cell r="R1080">
            <v>43000</v>
          </cell>
          <cell r="S1080">
            <v>45000</v>
          </cell>
          <cell r="T1080">
            <v>46000</v>
          </cell>
          <cell r="U1080">
            <v>46800</v>
          </cell>
          <cell r="V1080">
            <v>47900</v>
          </cell>
          <cell r="W1080">
            <v>49600</v>
          </cell>
        </row>
        <row r="1081">
          <cell r="A1081">
            <v>45347</v>
          </cell>
          <cell r="B1081" t="str">
            <v>H</v>
          </cell>
          <cell r="C1081" t="str">
            <v>H</v>
          </cell>
          <cell r="D1081" t="str">
            <v>H</v>
          </cell>
          <cell r="E1081" t="str">
            <v>H</v>
          </cell>
          <cell r="F1081" t="str">
            <v>H</v>
          </cell>
          <cell r="G1081" t="str">
            <v>H</v>
          </cell>
          <cell r="H1081" t="str">
            <v>H</v>
          </cell>
          <cell r="I1081" t="str">
            <v>H</v>
          </cell>
          <cell r="J1081" t="str">
            <v>H</v>
          </cell>
          <cell r="K1081" t="str">
            <v>H</v>
          </cell>
          <cell r="L1081" t="str">
            <v>H</v>
          </cell>
          <cell r="M1081" t="str">
            <v>H</v>
          </cell>
          <cell r="N1081" t="str">
            <v>H</v>
          </cell>
          <cell r="O1081" t="str">
            <v>H</v>
          </cell>
          <cell r="P1081" t="str">
            <v>H</v>
          </cell>
          <cell r="Q1081" t="str">
            <v>H</v>
          </cell>
          <cell r="R1081" t="str">
            <v>H</v>
          </cell>
          <cell r="S1081" t="str">
            <v>H</v>
          </cell>
          <cell r="T1081" t="str">
            <v>H</v>
          </cell>
          <cell r="U1081" t="str">
            <v>H</v>
          </cell>
          <cell r="V1081" t="str">
            <v>H</v>
          </cell>
          <cell r="W1081" t="str">
            <v>H</v>
          </cell>
        </row>
        <row r="1082">
          <cell r="A1082">
            <v>45348</v>
          </cell>
          <cell r="B1082">
            <v>48300</v>
          </cell>
          <cell r="C1082">
            <v>47500</v>
          </cell>
          <cell r="D1082">
            <v>46100</v>
          </cell>
          <cell r="E1082">
            <v>42900</v>
          </cell>
          <cell r="F1082">
            <v>48500</v>
          </cell>
          <cell r="G1082" t="str">
            <v>-</v>
          </cell>
          <cell r="H1082">
            <v>45500</v>
          </cell>
          <cell r="I1082">
            <v>45300</v>
          </cell>
          <cell r="J1082">
            <v>49000</v>
          </cell>
          <cell r="K1082" t="str">
            <v>-</v>
          </cell>
          <cell r="L1082">
            <v>47700</v>
          </cell>
          <cell r="M1082">
            <v>48700</v>
          </cell>
          <cell r="N1082">
            <v>45100</v>
          </cell>
          <cell r="O1082">
            <v>43700</v>
          </cell>
          <cell r="P1082">
            <v>42500</v>
          </cell>
          <cell r="Q1082">
            <v>42900</v>
          </cell>
          <cell r="R1082">
            <v>43000</v>
          </cell>
          <cell r="S1082">
            <v>45000</v>
          </cell>
          <cell r="T1082">
            <v>46000</v>
          </cell>
          <cell r="U1082">
            <v>46800</v>
          </cell>
          <cell r="V1082">
            <v>48000</v>
          </cell>
          <cell r="W1082">
            <v>49800</v>
          </cell>
        </row>
        <row r="1083">
          <cell r="A1083">
            <v>45349</v>
          </cell>
          <cell r="B1083">
            <v>48300</v>
          </cell>
          <cell r="C1083">
            <v>47500</v>
          </cell>
          <cell r="D1083">
            <v>46000</v>
          </cell>
          <cell r="E1083">
            <v>42700</v>
          </cell>
          <cell r="F1083">
            <v>48600</v>
          </cell>
          <cell r="G1083" t="str">
            <v>-</v>
          </cell>
          <cell r="H1083">
            <v>45250</v>
          </cell>
          <cell r="I1083">
            <v>45200</v>
          </cell>
          <cell r="J1083">
            <v>49000</v>
          </cell>
          <cell r="K1083" t="str">
            <v>-</v>
          </cell>
          <cell r="L1083">
            <v>47500</v>
          </cell>
          <cell r="M1083">
            <v>48700</v>
          </cell>
          <cell r="N1083">
            <v>45000</v>
          </cell>
          <cell r="O1083">
            <v>43700</v>
          </cell>
          <cell r="P1083">
            <v>42300</v>
          </cell>
          <cell r="Q1083">
            <v>42800</v>
          </cell>
          <cell r="R1083">
            <v>43000</v>
          </cell>
          <cell r="S1083">
            <v>44800</v>
          </cell>
          <cell r="T1083">
            <v>46000</v>
          </cell>
          <cell r="U1083">
            <v>46800</v>
          </cell>
          <cell r="V1083">
            <v>48000</v>
          </cell>
          <cell r="W1083">
            <v>49800</v>
          </cell>
        </row>
        <row r="1084">
          <cell r="A1084">
            <v>45350</v>
          </cell>
          <cell r="B1084">
            <v>48300</v>
          </cell>
          <cell r="C1084">
            <v>47500</v>
          </cell>
          <cell r="D1084">
            <v>46000</v>
          </cell>
          <cell r="E1084">
            <v>42800</v>
          </cell>
          <cell r="F1084">
            <v>48600</v>
          </cell>
          <cell r="G1084" t="str">
            <v>-</v>
          </cell>
          <cell r="H1084">
            <v>45000</v>
          </cell>
          <cell r="I1084">
            <v>45100</v>
          </cell>
          <cell r="J1084">
            <v>49000</v>
          </cell>
          <cell r="K1084" t="str">
            <v>-</v>
          </cell>
          <cell r="L1084">
            <v>47500</v>
          </cell>
          <cell r="M1084">
            <v>48700</v>
          </cell>
          <cell r="N1084">
            <v>45000</v>
          </cell>
          <cell r="O1084">
            <v>43600</v>
          </cell>
          <cell r="P1084">
            <v>42200</v>
          </cell>
          <cell r="Q1084">
            <v>43000</v>
          </cell>
          <cell r="R1084">
            <v>42800</v>
          </cell>
          <cell r="S1084">
            <v>44900</v>
          </cell>
          <cell r="T1084">
            <v>46000</v>
          </cell>
          <cell r="U1084">
            <v>46800</v>
          </cell>
          <cell r="V1084">
            <v>48000</v>
          </cell>
          <cell r="W1084">
            <v>49800</v>
          </cell>
        </row>
        <row r="1085">
          <cell r="A1085">
            <v>45351</v>
          </cell>
          <cell r="B1085">
            <v>48300</v>
          </cell>
          <cell r="C1085">
            <v>47500</v>
          </cell>
          <cell r="D1085">
            <v>46100</v>
          </cell>
          <cell r="E1085">
            <v>43100</v>
          </cell>
          <cell r="F1085">
            <v>48700</v>
          </cell>
          <cell r="G1085" t="str">
            <v>-</v>
          </cell>
          <cell r="H1085">
            <v>45250</v>
          </cell>
          <cell r="I1085">
            <v>45300</v>
          </cell>
          <cell r="J1085">
            <v>49200</v>
          </cell>
          <cell r="K1085" t="str">
            <v>-</v>
          </cell>
          <cell r="L1085">
            <v>47800</v>
          </cell>
          <cell r="M1085">
            <v>48700</v>
          </cell>
          <cell r="N1085">
            <v>45500</v>
          </cell>
          <cell r="O1085">
            <v>43700</v>
          </cell>
          <cell r="P1085">
            <v>42500</v>
          </cell>
          <cell r="Q1085">
            <v>43300</v>
          </cell>
          <cell r="R1085">
            <v>43000</v>
          </cell>
          <cell r="S1085">
            <v>45200</v>
          </cell>
          <cell r="T1085">
            <v>46200</v>
          </cell>
          <cell r="U1085">
            <v>46800</v>
          </cell>
          <cell r="V1085">
            <v>48000</v>
          </cell>
          <cell r="W1085">
            <v>49800</v>
          </cell>
        </row>
        <row r="1086">
          <cell r="A1086">
            <v>45352</v>
          </cell>
          <cell r="B1086">
            <v>48300</v>
          </cell>
          <cell r="C1086">
            <v>47500</v>
          </cell>
          <cell r="D1086">
            <v>46100</v>
          </cell>
          <cell r="E1086">
            <v>42900</v>
          </cell>
          <cell r="F1086">
            <v>48700</v>
          </cell>
          <cell r="G1086" t="str">
            <v>-</v>
          </cell>
          <cell r="H1086">
            <v>45500</v>
          </cell>
          <cell r="I1086">
            <v>45300</v>
          </cell>
          <cell r="J1086">
            <v>49300</v>
          </cell>
          <cell r="K1086" t="str">
            <v>-</v>
          </cell>
          <cell r="L1086">
            <v>47700</v>
          </cell>
          <cell r="M1086">
            <v>48900</v>
          </cell>
          <cell r="N1086">
            <v>45200</v>
          </cell>
          <cell r="O1086">
            <v>43700</v>
          </cell>
          <cell r="P1086">
            <v>42500</v>
          </cell>
          <cell r="Q1086">
            <v>43300</v>
          </cell>
          <cell r="R1086">
            <v>43000</v>
          </cell>
          <cell r="S1086">
            <v>45000</v>
          </cell>
          <cell r="T1086">
            <v>46200</v>
          </cell>
          <cell r="U1086">
            <v>46800</v>
          </cell>
          <cell r="V1086">
            <v>48000</v>
          </cell>
          <cell r="W1086">
            <v>49800</v>
          </cell>
        </row>
        <row r="1087">
          <cell r="A1087">
            <v>45353</v>
          </cell>
          <cell r="B1087">
            <v>48300</v>
          </cell>
          <cell r="C1087">
            <v>47500</v>
          </cell>
          <cell r="D1087">
            <v>46000</v>
          </cell>
          <cell r="E1087">
            <v>42800</v>
          </cell>
          <cell r="F1087">
            <v>48700</v>
          </cell>
          <cell r="G1087" t="str">
            <v>-</v>
          </cell>
          <cell r="H1087">
            <v>45500</v>
          </cell>
          <cell r="I1087">
            <v>45200</v>
          </cell>
          <cell r="J1087">
            <v>49300</v>
          </cell>
          <cell r="K1087" t="str">
            <v>-</v>
          </cell>
          <cell r="L1087">
            <v>47600</v>
          </cell>
          <cell r="M1087">
            <v>48900</v>
          </cell>
          <cell r="N1087">
            <v>45000</v>
          </cell>
          <cell r="O1087">
            <v>43700</v>
          </cell>
          <cell r="P1087">
            <v>42300</v>
          </cell>
          <cell r="Q1087">
            <v>43100</v>
          </cell>
          <cell r="R1087">
            <v>43000</v>
          </cell>
          <cell r="S1087">
            <v>44900</v>
          </cell>
          <cell r="T1087">
            <v>46200</v>
          </cell>
          <cell r="U1087">
            <v>46800</v>
          </cell>
          <cell r="V1087">
            <v>48000</v>
          </cell>
          <cell r="W1087">
            <v>49800</v>
          </cell>
        </row>
        <row r="1088">
          <cell r="A1088">
            <v>45354</v>
          </cell>
          <cell r="B1088" t="str">
            <v>H</v>
          </cell>
          <cell r="C1088" t="str">
            <v>H</v>
          </cell>
          <cell r="D1088" t="str">
            <v>H</v>
          </cell>
          <cell r="E1088" t="str">
            <v>H</v>
          </cell>
          <cell r="F1088" t="str">
            <v>H</v>
          </cell>
          <cell r="G1088" t="str">
            <v>H</v>
          </cell>
          <cell r="H1088" t="str">
            <v>H</v>
          </cell>
          <cell r="I1088" t="str">
            <v>H</v>
          </cell>
          <cell r="J1088" t="str">
            <v>H</v>
          </cell>
          <cell r="K1088" t="str">
            <v>H</v>
          </cell>
          <cell r="L1088" t="str">
            <v>H</v>
          </cell>
          <cell r="M1088" t="str">
            <v>H</v>
          </cell>
          <cell r="N1088" t="str">
            <v>H</v>
          </cell>
          <cell r="O1088" t="str">
            <v>H</v>
          </cell>
          <cell r="P1088" t="str">
            <v>H</v>
          </cell>
          <cell r="Q1088" t="str">
            <v>H</v>
          </cell>
          <cell r="R1088" t="str">
            <v>H</v>
          </cell>
          <cell r="S1088" t="str">
            <v>H</v>
          </cell>
          <cell r="T1088" t="str">
            <v>H</v>
          </cell>
          <cell r="U1088" t="str">
            <v>H</v>
          </cell>
          <cell r="V1088" t="str">
            <v>H</v>
          </cell>
          <cell r="W1088" t="str">
            <v>H</v>
          </cell>
        </row>
        <row r="1089">
          <cell r="A1089">
            <v>45355</v>
          </cell>
          <cell r="B1089">
            <v>48300</v>
          </cell>
          <cell r="C1089">
            <v>47500</v>
          </cell>
          <cell r="D1089">
            <v>46000</v>
          </cell>
          <cell r="E1089">
            <v>42800</v>
          </cell>
          <cell r="F1089">
            <v>48700</v>
          </cell>
          <cell r="G1089" t="str">
            <v>-</v>
          </cell>
          <cell r="H1089">
            <v>45750</v>
          </cell>
          <cell r="I1089">
            <v>45200</v>
          </cell>
          <cell r="J1089">
            <v>49300</v>
          </cell>
          <cell r="K1089" t="str">
            <v>-</v>
          </cell>
          <cell r="L1089">
            <v>47500</v>
          </cell>
          <cell r="M1089">
            <v>48900</v>
          </cell>
          <cell r="N1089">
            <v>45000</v>
          </cell>
          <cell r="O1089">
            <v>43700</v>
          </cell>
          <cell r="P1089">
            <v>42800</v>
          </cell>
          <cell r="Q1089">
            <v>43600</v>
          </cell>
          <cell r="R1089">
            <v>43000</v>
          </cell>
          <cell r="S1089">
            <v>44900</v>
          </cell>
          <cell r="T1089">
            <v>46400</v>
          </cell>
          <cell r="U1089">
            <v>46800</v>
          </cell>
          <cell r="V1089">
            <v>48300</v>
          </cell>
          <cell r="W1089">
            <v>49800</v>
          </cell>
        </row>
        <row r="1090">
          <cell r="A1090">
            <v>45356</v>
          </cell>
          <cell r="B1090">
            <v>48600</v>
          </cell>
          <cell r="C1090">
            <v>47500</v>
          </cell>
          <cell r="D1090">
            <v>46200</v>
          </cell>
          <cell r="E1090">
            <v>43100</v>
          </cell>
          <cell r="F1090">
            <v>48900</v>
          </cell>
          <cell r="G1090" t="str">
            <v>-</v>
          </cell>
          <cell r="H1090">
            <v>46500</v>
          </cell>
          <cell r="I1090">
            <v>45500</v>
          </cell>
          <cell r="J1090">
            <v>49500</v>
          </cell>
          <cell r="K1090" t="str">
            <v>-</v>
          </cell>
          <cell r="L1090">
            <v>47600</v>
          </cell>
          <cell r="M1090">
            <v>49100</v>
          </cell>
          <cell r="N1090">
            <v>45200</v>
          </cell>
          <cell r="O1090">
            <v>44000</v>
          </cell>
          <cell r="P1090">
            <v>43300</v>
          </cell>
          <cell r="Q1090">
            <v>44000</v>
          </cell>
          <cell r="R1090">
            <v>43600</v>
          </cell>
          <cell r="S1090">
            <v>45000</v>
          </cell>
          <cell r="T1090">
            <v>46800</v>
          </cell>
          <cell r="U1090">
            <v>46800</v>
          </cell>
          <cell r="V1090">
            <v>48300</v>
          </cell>
          <cell r="W1090">
            <v>49800</v>
          </cell>
        </row>
        <row r="1091">
          <cell r="A1091">
            <v>45357</v>
          </cell>
          <cell r="B1091">
            <v>48600</v>
          </cell>
          <cell r="C1091">
            <v>47500</v>
          </cell>
          <cell r="D1091">
            <v>46000</v>
          </cell>
          <cell r="E1091">
            <v>43000</v>
          </cell>
          <cell r="F1091">
            <v>49200</v>
          </cell>
          <cell r="G1091" t="str">
            <v>-</v>
          </cell>
          <cell r="H1091">
            <v>46500</v>
          </cell>
          <cell r="I1091">
            <v>45300</v>
          </cell>
          <cell r="J1091">
            <v>49500</v>
          </cell>
          <cell r="K1091" t="str">
            <v>-</v>
          </cell>
          <cell r="L1091">
            <v>47500</v>
          </cell>
          <cell r="M1091">
            <v>49500</v>
          </cell>
          <cell r="N1091">
            <v>44900</v>
          </cell>
          <cell r="O1091">
            <v>44000</v>
          </cell>
          <cell r="P1091">
            <v>43100</v>
          </cell>
          <cell r="Q1091">
            <v>44000</v>
          </cell>
          <cell r="R1091">
            <v>43400</v>
          </cell>
          <cell r="S1091">
            <v>45100</v>
          </cell>
          <cell r="T1091">
            <v>46800</v>
          </cell>
          <cell r="U1091">
            <v>46800</v>
          </cell>
          <cell r="V1091">
            <v>48700</v>
          </cell>
          <cell r="W1091">
            <v>50200</v>
          </cell>
        </row>
        <row r="1092">
          <cell r="A1092">
            <v>45358</v>
          </cell>
          <cell r="B1092">
            <v>48600</v>
          </cell>
          <cell r="C1092">
            <v>47500</v>
          </cell>
          <cell r="D1092">
            <v>46000</v>
          </cell>
          <cell r="E1092">
            <v>43200</v>
          </cell>
          <cell r="F1092">
            <v>49200</v>
          </cell>
          <cell r="G1092" t="str">
            <v>-</v>
          </cell>
          <cell r="H1092">
            <v>46500</v>
          </cell>
          <cell r="I1092">
            <v>45500</v>
          </cell>
          <cell r="J1092">
            <v>49500</v>
          </cell>
          <cell r="K1092" t="str">
            <v>-</v>
          </cell>
          <cell r="L1092">
            <v>47500</v>
          </cell>
          <cell r="M1092">
            <v>49500</v>
          </cell>
          <cell r="N1092">
            <v>45000</v>
          </cell>
          <cell r="O1092">
            <v>44000</v>
          </cell>
          <cell r="P1092">
            <v>43300</v>
          </cell>
          <cell r="Q1092">
            <v>44000</v>
          </cell>
          <cell r="R1092">
            <v>43200</v>
          </cell>
          <cell r="S1092">
            <v>45300</v>
          </cell>
          <cell r="T1092">
            <v>46800</v>
          </cell>
          <cell r="U1092">
            <v>46800</v>
          </cell>
          <cell r="V1092">
            <v>48700</v>
          </cell>
          <cell r="W1092">
            <v>50200</v>
          </cell>
        </row>
        <row r="1093">
          <cell r="A1093">
            <v>45359</v>
          </cell>
          <cell r="B1093">
            <v>48400</v>
          </cell>
          <cell r="C1093">
            <v>47500</v>
          </cell>
          <cell r="D1093">
            <v>46000</v>
          </cell>
          <cell r="E1093">
            <v>43200</v>
          </cell>
          <cell r="F1093">
            <v>49200</v>
          </cell>
          <cell r="G1093" t="str">
            <v>-</v>
          </cell>
          <cell r="H1093">
            <v>46500</v>
          </cell>
          <cell r="I1093">
            <v>45600</v>
          </cell>
          <cell r="J1093">
            <v>49300</v>
          </cell>
          <cell r="K1093" t="str">
            <v>-</v>
          </cell>
          <cell r="L1093">
            <v>47500</v>
          </cell>
          <cell r="M1093">
            <v>49500</v>
          </cell>
          <cell r="N1093">
            <v>45000</v>
          </cell>
          <cell r="O1093">
            <v>44000</v>
          </cell>
          <cell r="P1093">
            <v>43300</v>
          </cell>
          <cell r="Q1093">
            <v>43900</v>
          </cell>
          <cell r="R1093">
            <v>43500</v>
          </cell>
          <cell r="S1093">
            <v>45300</v>
          </cell>
          <cell r="T1093">
            <v>46800</v>
          </cell>
          <cell r="U1093">
            <v>46800</v>
          </cell>
          <cell r="V1093">
            <v>48700</v>
          </cell>
          <cell r="W1093">
            <v>50200</v>
          </cell>
        </row>
        <row r="1094">
          <cell r="A1094">
            <v>45360</v>
          </cell>
          <cell r="B1094">
            <v>48400</v>
          </cell>
          <cell r="C1094">
            <v>47500</v>
          </cell>
          <cell r="D1094">
            <v>46200</v>
          </cell>
          <cell r="E1094">
            <v>43500</v>
          </cell>
          <cell r="F1094">
            <v>49200</v>
          </cell>
          <cell r="G1094" t="str">
            <v>-</v>
          </cell>
          <cell r="H1094">
            <v>46700</v>
          </cell>
          <cell r="I1094">
            <v>45600</v>
          </cell>
          <cell r="J1094">
            <v>49300</v>
          </cell>
          <cell r="K1094" t="str">
            <v>-</v>
          </cell>
          <cell r="L1094">
            <v>47700</v>
          </cell>
          <cell r="M1094">
            <v>49500</v>
          </cell>
          <cell r="N1094">
            <v>45200</v>
          </cell>
          <cell r="O1094">
            <v>44000</v>
          </cell>
          <cell r="P1094">
            <v>43300</v>
          </cell>
          <cell r="Q1094">
            <v>43900</v>
          </cell>
          <cell r="R1094">
            <v>43500</v>
          </cell>
          <cell r="S1094">
            <v>45600</v>
          </cell>
          <cell r="T1094">
            <v>46800</v>
          </cell>
          <cell r="U1094">
            <v>46800</v>
          </cell>
          <cell r="V1094">
            <v>48700</v>
          </cell>
          <cell r="W1094">
            <v>50200</v>
          </cell>
        </row>
        <row r="1095">
          <cell r="A1095">
            <v>45361</v>
          </cell>
          <cell r="B1095" t="str">
            <v>H</v>
          </cell>
          <cell r="C1095" t="str">
            <v>H</v>
          </cell>
          <cell r="D1095" t="str">
            <v>H</v>
          </cell>
          <cell r="E1095" t="str">
            <v>H</v>
          </cell>
          <cell r="F1095" t="str">
            <v>H</v>
          </cell>
          <cell r="G1095" t="str">
            <v>H</v>
          </cell>
          <cell r="H1095" t="str">
            <v>H</v>
          </cell>
          <cell r="I1095" t="str">
            <v>H</v>
          </cell>
          <cell r="J1095" t="str">
            <v>H</v>
          </cell>
          <cell r="K1095" t="str">
            <v>H</v>
          </cell>
          <cell r="L1095" t="str">
            <v>H</v>
          </cell>
          <cell r="M1095" t="str">
            <v>H</v>
          </cell>
          <cell r="N1095" t="str">
            <v>H</v>
          </cell>
          <cell r="O1095" t="str">
            <v>H</v>
          </cell>
          <cell r="P1095" t="str">
            <v>H</v>
          </cell>
          <cell r="Q1095" t="str">
            <v>H</v>
          </cell>
          <cell r="R1095" t="str">
            <v>H</v>
          </cell>
          <cell r="S1095" t="str">
            <v>H</v>
          </cell>
          <cell r="T1095" t="str">
            <v>H</v>
          </cell>
          <cell r="U1095" t="str">
            <v>H</v>
          </cell>
          <cell r="V1095" t="str">
            <v>H</v>
          </cell>
          <cell r="W1095" t="str">
            <v>H</v>
          </cell>
        </row>
        <row r="1096">
          <cell r="A1096">
            <v>45362</v>
          </cell>
          <cell r="B1096">
            <v>48300</v>
          </cell>
          <cell r="C1096">
            <v>47500</v>
          </cell>
          <cell r="D1096">
            <v>46200</v>
          </cell>
          <cell r="E1096">
            <v>43400</v>
          </cell>
          <cell r="F1096">
            <v>49200</v>
          </cell>
          <cell r="G1096" t="str">
            <v>-</v>
          </cell>
          <cell r="H1096">
            <v>46700</v>
          </cell>
          <cell r="I1096">
            <v>45600</v>
          </cell>
          <cell r="J1096">
            <v>49300</v>
          </cell>
          <cell r="K1096" t="str">
            <v>-</v>
          </cell>
          <cell r="L1096">
            <v>47600</v>
          </cell>
          <cell r="M1096">
            <v>49500</v>
          </cell>
          <cell r="N1096">
            <v>44800</v>
          </cell>
          <cell r="O1096">
            <v>44000</v>
          </cell>
          <cell r="P1096">
            <v>43100</v>
          </cell>
          <cell r="Q1096">
            <v>43800</v>
          </cell>
          <cell r="R1096">
            <v>43300</v>
          </cell>
          <cell r="S1096">
            <v>45500</v>
          </cell>
          <cell r="T1096">
            <v>46700</v>
          </cell>
          <cell r="U1096">
            <v>46800</v>
          </cell>
          <cell r="V1096">
            <v>48700</v>
          </cell>
          <cell r="W1096">
            <v>50200</v>
          </cell>
        </row>
        <row r="1097">
          <cell r="A1097">
            <v>45363</v>
          </cell>
          <cell r="B1097">
            <v>48100</v>
          </cell>
          <cell r="C1097">
            <v>47500</v>
          </cell>
          <cell r="D1097">
            <v>46000</v>
          </cell>
          <cell r="E1097">
            <v>43100</v>
          </cell>
          <cell r="F1097">
            <v>48800</v>
          </cell>
          <cell r="G1097" t="str">
            <v>-</v>
          </cell>
          <cell r="H1097">
            <v>46500</v>
          </cell>
          <cell r="I1097">
            <v>45400</v>
          </cell>
          <cell r="J1097">
            <v>49300</v>
          </cell>
          <cell r="K1097" t="str">
            <v>-</v>
          </cell>
          <cell r="L1097">
            <v>47500</v>
          </cell>
          <cell r="M1097">
            <v>49500</v>
          </cell>
          <cell r="N1097">
            <v>44600</v>
          </cell>
          <cell r="O1097">
            <v>44000</v>
          </cell>
          <cell r="P1097">
            <v>43000</v>
          </cell>
          <cell r="Q1097">
            <v>43500</v>
          </cell>
          <cell r="R1097">
            <v>43200</v>
          </cell>
          <cell r="S1097">
            <v>45200</v>
          </cell>
          <cell r="T1097">
            <v>46500</v>
          </cell>
          <cell r="U1097">
            <v>46800</v>
          </cell>
          <cell r="V1097">
            <v>48700</v>
          </cell>
          <cell r="W1097">
            <v>50200</v>
          </cell>
        </row>
        <row r="1098">
          <cell r="A1098">
            <v>45364</v>
          </cell>
          <cell r="B1098">
            <v>48100</v>
          </cell>
          <cell r="C1098">
            <v>47500</v>
          </cell>
          <cell r="D1098">
            <v>46000</v>
          </cell>
          <cell r="E1098">
            <v>43100</v>
          </cell>
          <cell r="F1098">
            <v>48800</v>
          </cell>
          <cell r="G1098" t="str">
            <v>-</v>
          </cell>
          <cell r="H1098">
            <v>46500</v>
          </cell>
          <cell r="I1098">
            <v>45300</v>
          </cell>
          <cell r="J1098">
            <v>49300</v>
          </cell>
          <cell r="K1098" t="str">
            <v>-</v>
          </cell>
          <cell r="L1098">
            <v>47500</v>
          </cell>
          <cell r="M1098">
            <v>49500</v>
          </cell>
          <cell r="N1098">
            <v>44700</v>
          </cell>
          <cell r="O1098">
            <v>44300</v>
          </cell>
          <cell r="P1098">
            <v>42600</v>
          </cell>
          <cell r="Q1098">
            <v>43500</v>
          </cell>
          <cell r="R1098">
            <v>43200</v>
          </cell>
          <cell r="S1098">
            <v>45200</v>
          </cell>
          <cell r="T1098">
            <v>46500</v>
          </cell>
          <cell r="U1098">
            <v>46800</v>
          </cell>
          <cell r="V1098">
            <v>48500</v>
          </cell>
          <cell r="W1098">
            <v>50200</v>
          </cell>
        </row>
        <row r="1099">
          <cell r="A1099">
            <v>45365</v>
          </cell>
          <cell r="B1099">
            <v>48000</v>
          </cell>
          <cell r="C1099">
            <v>47500</v>
          </cell>
          <cell r="D1099">
            <v>45700</v>
          </cell>
          <cell r="E1099">
            <v>42800</v>
          </cell>
          <cell r="F1099">
            <v>48800</v>
          </cell>
          <cell r="G1099" t="str">
            <v>-</v>
          </cell>
          <cell r="H1099">
            <v>46500</v>
          </cell>
          <cell r="I1099">
            <v>45300</v>
          </cell>
          <cell r="J1099">
            <v>49300</v>
          </cell>
          <cell r="K1099" t="str">
            <v>-</v>
          </cell>
          <cell r="L1099">
            <v>47300</v>
          </cell>
          <cell r="M1099">
            <v>49500</v>
          </cell>
          <cell r="N1099">
            <v>44400</v>
          </cell>
          <cell r="O1099">
            <v>44000</v>
          </cell>
          <cell r="P1099">
            <v>42500</v>
          </cell>
          <cell r="Q1099">
            <v>43200</v>
          </cell>
          <cell r="R1099">
            <v>43000</v>
          </cell>
          <cell r="S1099">
            <v>44900</v>
          </cell>
          <cell r="T1099">
            <v>46300</v>
          </cell>
          <cell r="U1099">
            <v>46800</v>
          </cell>
          <cell r="V1099">
            <v>48500</v>
          </cell>
          <cell r="W1099">
            <v>50200</v>
          </cell>
        </row>
        <row r="1100">
          <cell r="A1100">
            <v>45366</v>
          </cell>
          <cell r="B1100">
            <v>47900</v>
          </cell>
          <cell r="C1100">
            <v>47500</v>
          </cell>
          <cell r="D1100">
            <v>45500</v>
          </cell>
          <cell r="E1100">
            <v>42800</v>
          </cell>
          <cell r="F1100">
            <v>48700</v>
          </cell>
          <cell r="G1100" t="str">
            <v>-</v>
          </cell>
          <cell r="H1100">
            <v>46500</v>
          </cell>
          <cell r="I1100">
            <v>45200</v>
          </cell>
          <cell r="J1100">
            <v>49300</v>
          </cell>
          <cell r="K1100" t="str">
            <v>-</v>
          </cell>
          <cell r="L1100">
            <v>47000</v>
          </cell>
          <cell r="M1100">
            <v>49500</v>
          </cell>
          <cell r="N1100">
            <v>44200</v>
          </cell>
          <cell r="O1100">
            <v>43800</v>
          </cell>
          <cell r="P1100">
            <v>42200</v>
          </cell>
          <cell r="Q1100">
            <v>43000</v>
          </cell>
          <cell r="R1100">
            <v>42800</v>
          </cell>
          <cell r="S1100">
            <v>44900</v>
          </cell>
          <cell r="T1100">
            <v>46000</v>
          </cell>
          <cell r="U1100">
            <v>46800</v>
          </cell>
          <cell r="V1100">
            <v>48400</v>
          </cell>
          <cell r="W1100">
            <v>49900</v>
          </cell>
        </row>
        <row r="1101">
          <cell r="A1101">
            <v>45367</v>
          </cell>
          <cell r="B1101">
            <v>47600</v>
          </cell>
          <cell r="C1101">
            <v>47500</v>
          </cell>
          <cell r="D1101">
            <v>45700</v>
          </cell>
          <cell r="E1101">
            <v>42700</v>
          </cell>
          <cell r="F1101">
            <v>48700</v>
          </cell>
          <cell r="G1101" t="str">
            <v>-</v>
          </cell>
          <cell r="H1101">
            <v>46500</v>
          </cell>
          <cell r="I1101">
            <v>45200</v>
          </cell>
          <cell r="J1101">
            <v>49000</v>
          </cell>
          <cell r="K1101" t="str">
            <v>-</v>
          </cell>
          <cell r="L1101">
            <v>46900</v>
          </cell>
          <cell r="M1101">
            <v>49400</v>
          </cell>
          <cell r="N1101">
            <v>44300</v>
          </cell>
          <cell r="O1101">
            <v>43800</v>
          </cell>
          <cell r="P1101">
            <v>42200</v>
          </cell>
          <cell r="Q1101">
            <v>43000</v>
          </cell>
          <cell r="R1101">
            <v>42800</v>
          </cell>
          <cell r="S1101">
            <v>44800</v>
          </cell>
          <cell r="T1101">
            <v>46000</v>
          </cell>
          <cell r="U1101">
            <v>46800</v>
          </cell>
          <cell r="V1101">
            <v>48400</v>
          </cell>
          <cell r="W1101">
            <v>49900</v>
          </cell>
        </row>
        <row r="1102">
          <cell r="A1102">
            <v>45368</v>
          </cell>
          <cell r="B1102" t="str">
            <v>H</v>
          </cell>
          <cell r="C1102" t="str">
            <v>H</v>
          </cell>
          <cell r="D1102" t="str">
            <v>H</v>
          </cell>
          <cell r="E1102" t="str">
            <v>H</v>
          </cell>
          <cell r="F1102" t="str">
            <v>H</v>
          </cell>
          <cell r="G1102" t="str">
            <v>H</v>
          </cell>
          <cell r="H1102" t="str">
            <v>H</v>
          </cell>
          <cell r="I1102" t="str">
            <v>H</v>
          </cell>
          <cell r="J1102" t="str">
            <v>H</v>
          </cell>
          <cell r="K1102" t="str">
            <v>H</v>
          </cell>
          <cell r="L1102" t="str">
            <v>H</v>
          </cell>
          <cell r="M1102" t="str">
            <v>H</v>
          </cell>
          <cell r="N1102" t="str">
            <v>H</v>
          </cell>
          <cell r="O1102" t="str">
            <v>H</v>
          </cell>
          <cell r="P1102" t="str">
            <v>H</v>
          </cell>
          <cell r="Q1102" t="str">
            <v>H</v>
          </cell>
          <cell r="R1102" t="str">
            <v>H</v>
          </cell>
          <cell r="S1102" t="str">
            <v>H</v>
          </cell>
          <cell r="T1102" t="str">
            <v>H</v>
          </cell>
          <cell r="U1102" t="str">
            <v>H</v>
          </cell>
          <cell r="V1102" t="str">
            <v>H</v>
          </cell>
          <cell r="W1102" t="str">
            <v>H</v>
          </cell>
        </row>
        <row r="1103">
          <cell r="A1103">
            <v>45369</v>
          </cell>
          <cell r="B1103">
            <v>47400</v>
          </cell>
          <cell r="C1103">
            <v>47500</v>
          </cell>
          <cell r="D1103">
            <v>45500</v>
          </cell>
          <cell r="E1103">
            <v>42900</v>
          </cell>
          <cell r="F1103">
            <v>48500</v>
          </cell>
          <cell r="G1103" t="str">
            <v>-</v>
          </cell>
          <cell r="H1103">
            <v>46000</v>
          </cell>
          <cell r="I1103">
            <v>45200</v>
          </cell>
          <cell r="J1103">
            <v>49000</v>
          </cell>
          <cell r="K1103" t="str">
            <v>-</v>
          </cell>
          <cell r="L1103">
            <v>46600</v>
          </cell>
          <cell r="M1103">
            <v>49400</v>
          </cell>
          <cell r="N1103">
            <v>44000</v>
          </cell>
          <cell r="O1103">
            <v>43800</v>
          </cell>
          <cell r="P1103">
            <v>42200</v>
          </cell>
          <cell r="Q1103">
            <v>43000</v>
          </cell>
          <cell r="R1103">
            <v>42800</v>
          </cell>
          <cell r="S1103">
            <v>45000</v>
          </cell>
          <cell r="T1103">
            <v>46000</v>
          </cell>
          <cell r="U1103">
            <v>46800</v>
          </cell>
          <cell r="V1103">
            <v>48200</v>
          </cell>
          <cell r="W1103">
            <v>49900</v>
          </cell>
        </row>
        <row r="1104">
          <cell r="A1104">
            <v>45370</v>
          </cell>
          <cell r="B1104">
            <v>47300</v>
          </cell>
          <cell r="C1104">
            <v>47500</v>
          </cell>
          <cell r="D1104">
            <v>45500</v>
          </cell>
          <cell r="E1104">
            <v>43100</v>
          </cell>
          <cell r="F1104">
            <v>48500</v>
          </cell>
          <cell r="G1104" t="str">
            <v>-</v>
          </cell>
          <cell r="H1104">
            <v>45500</v>
          </cell>
          <cell r="I1104">
            <v>45000</v>
          </cell>
          <cell r="J1104">
            <v>48700</v>
          </cell>
          <cell r="K1104" t="str">
            <v>-</v>
          </cell>
          <cell r="L1104">
            <v>46600</v>
          </cell>
          <cell r="M1104">
            <v>49300</v>
          </cell>
          <cell r="N1104">
            <v>44000</v>
          </cell>
          <cell r="O1104">
            <v>43800</v>
          </cell>
          <cell r="P1104">
            <v>42200</v>
          </cell>
          <cell r="Q1104">
            <v>42900</v>
          </cell>
          <cell r="R1104">
            <v>42800</v>
          </cell>
          <cell r="S1104">
            <v>45200</v>
          </cell>
          <cell r="T1104">
            <v>46000</v>
          </cell>
          <cell r="U1104">
            <v>46800</v>
          </cell>
          <cell r="V1104">
            <v>48200</v>
          </cell>
          <cell r="W1104">
            <v>49900</v>
          </cell>
        </row>
        <row r="1105">
          <cell r="A1105">
            <v>45371</v>
          </cell>
          <cell r="B1105">
            <v>47300</v>
          </cell>
          <cell r="C1105">
            <v>47500</v>
          </cell>
          <cell r="D1105">
            <v>45600</v>
          </cell>
          <cell r="E1105">
            <v>43100</v>
          </cell>
          <cell r="F1105">
            <v>48500</v>
          </cell>
          <cell r="G1105" t="str">
            <v>-</v>
          </cell>
          <cell r="H1105">
            <v>45500</v>
          </cell>
          <cell r="I1105">
            <v>45200</v>
          </cell>
          <cell r="J1105">
            <v>48700</v>
          </cell>
          <cell r="K1105" t="str">
            <v>-</v>
          </cell>
          <cell r="L1105">
            <v>46700</v>
          </cell>
          <cell r="M1105">
            <v>49300</v>
          </cell>
          <cell r="N1105">
            <v>44400</v>
          </cell>
          <cell r="O1105">
            <v>43800</v>
          </cell>
          <cell r="P1105">
            <v>42300</v>
          </cell>
          <cell r="Q1105">
            <v>42700</v>
          </cell>
          <cell r="R1105">
            <v>42800</v>
          </cell>
          <cell r="S1105">
            <v>45200</v>
          </cell>
          <cell r="T1105">
            <v>45800</v>
          </cell>
          <cell r="U1105">
            <v>46800</v>
          </cell>
          <cell r="V1105">
            <v>48100</v>
          </cell>
          <cell r="W1105">
            <v>49900</v>
          </cell>
        </row>
        <row r="1106">
          <cell r="A1106">
            <v>45372</v>
          </cell>
          <cell r="B1106">
            <v>47100</v>
          </cell>
          <cell r="C1106">
            <v>47500</v>
          </cell>
          <cell r="D1106">
            <v>45800</v>
          </cell>
          <cell r="E1106">
            <v>43300</v>
          </cell>
          <cell r="F1106">
            <v>48500</v>
          </cell>
          <cell r="G1106" t="str">
            <v>-</v>
          </cell>
          <cell r="H1106">
            <v>45500</v>
          </cell>
          <cell r="I1106">
            <v>45300</v>
          </cell>
          <cell r="J1106">
            <v>48600</v>
          </cell>
          <cell r="K1106" t="str">
            <v>-</v>
          </cell>
          <cell r="L1106">
            <v>46900</v>
          </cell>
          <cell r="M1106">
            <v>49000</v>
          </cell>
          <cell r="N1106">
            <v>44700</v>
          </cell>
          <cell r="O1106">
            <v>44500</v>
          </cell>
          <cell r="P1106">
            <v>42500</v>
          </cell>
          <cell r="Q1106">
            <v>42700</v>
          </cell>
          <cell r="R1106">
            <v>43000</v>
          </cell>
          <cell r="S1106">
            <v>45300</v>
          </cell>
          <cell r="T1106">
            <v>45800</v>
          </cell>
          <cell r="U1106">
            <v>46800</v>
          </cell>
          <cell r="V1106">
            <v>47900</v>
          </cell>
          <cell r="W1106">
            <v>49900</v>
          </cell>
        </row>
        <row r="1107">
          <cell r="A1107">
            <v>45373</v>
          </cell>
          <cell r="B1107">
            <v>47100</v>
          </cell>
          <cell r="C1107">
            <v>47300</v>
          </cell>
          <cell r="D1107">
            <v>45800</v>
          </cell>
          <cell r="E1107">
            <v>43400</v>
          </cell>
          <cell r="F1107">
            <v>48700</v>
          </cell>
          <cell r="G1107" t="str">
            <v>-</v>
          </cell>
          <cell r="H1107">
            <v>45500</v>
          </cell>
          <cell r="I1107">
            <v>45300</v>
          </cell>
          <cell r="J1107">
            <v>48700</v>
          </cell>
          <cell r="K1107" t="str">
            <v>-</v>
          </cell>
          <cell r="L1107">
            <v>46800</v>
          </cell>
          <cell r="M1107">
            <v>49000</v>
          </cell>
          <cell r="N1107">
            <v>44600</v>
          </cell>
          <cell r="O1107">
            <v>44300</v>
          </cell>
          <cell r="P1107">
            <v>42300</v>
          </cell>
          <cell r="Q1107">
            <v>42700</v>
          </cell>
          <cell r="R1107">
            <v>43000</v>
          </cell>
          <cell r="S1107">
            <v>45500</v>
          </cell>
          <cell r="T1107">
            <v>45800</v>
          </cell>
          <cell r="U1107">
            <v>46800</v>
          </cell>
          <cell r="V1107">
            <v>47900</v>
          </cell>
          <cell r="W1107">
            <v>49700</v>
          </cell>
        </row>
        <row r="1108">
          <cell r="A1108">
            <v>45374</v>
          </cell>
          <cell r="B1108">
            <v>47100</v>
          </cell>
          <cell r="C1108">
            <v>47300</v>
          </cell>
          <cell r="D1108">
            <v>45900</v>
          </cell>
          <cell r="E1108">
            <v>43500</v>
          </cell>
          <cell r="F1108">
            <v>48700</v>
          </cell>
          <cell r="G1108" t="str">
            <v>-</v>
          </cell>
          <cell r="H1108">
            <v>45500</v>
          </cell>
          <cell r="I1108">
            <v>45500</v>
          </cell>
          <cell r="J1108">
            <v>48700</v>
          </cell>
          <cell r="K1108" t="str">
            <v>-</v>
          </cell>
          <cell r="L1108">
            <v>46900</v>
          </cell>
          <cell r="M1108">
            <v>49000</v>
          </cell>
          <cell r="N1108">
            <v>44600</v>
          </cell>
          <cell r="O1108">
            <v>44500</v>
          </cell>
          <cell r="P1108">
            <v>42500</v>
          </cell>
          <cell r="Q1108">
            <v>42900</v>
          </cell>
          <cell r="R1108">
            <v>43100</v>
          </cell>
          <cell r="S1108">
            <v>45600</v>
          </cell>
          <cell r="T1108">
            <v>46100</v>
          </cell>
          <cell r="U1108">
            <v>46800</v>
          </cell>
          <cell r="V1108">
            <v>47900</v>
          </cell>
          <cell r="W1108">
            <v>49700</v>
          </cell>
        </row>
        <row r="1109">
          <cell r="A1109">
            <v>45375</v>
          </cell>
          <cell r="B1109" t="str">
            <v>H</v>
          </cell>
          <cell r="C1109" t="str">
            <v>H</v>
          </cell>
          <cell r="D1109" t="str">
            <v>H</v>
          </cell>
          <cell r="E1109" t="str">
            <v>H</v>
          </cell>
          <cell r="F1109" t="str">
            <v>H</v>
          </cell>
          <cell r="G1109" t="str">
            <v>H</v>
          </cell>
          <cell r="H1109" t="str">
            <v>H</v>
          </cell>
          <cell r="I1109" t="str">
            <v>H</v>
          </cell>
          <cell r="J1109" t="str">
            <v>H</v>
          </cell>
          <cell r="K1109" t="str">
            <v>H</v>
          </cell>
          <cell r="L1109" t="str">
            <v>H</v>
          </cell>
          <cell r="M1109" t="str">
            <v>H</v>
          </cell>
          <cell r="N1109" t="str">
            <v>H</v>
          </cell>
          <cell r="O1109" t="str">
            <v>H</v>
          </cell>
          <cell r="P1109" t="str">
            <v>H</v>
          </cell>
          <cell r="Q1109" t="str">
            <v>H</v>
          </cell>
          <cell r="R1109" t="str">
            <v>H</v>
          </cell>
          <cell r="S1109" t="str">
            <v>H</v>
          </cell>
          <cell r="T1109" t="str">
            <v>H</v>
          </cell>
          <cell r="U1109" t="str">
            <v>H</v>
          </cell>
          <cell r="V1109" t="str">
            <v>H</v>
          </cell>
          <cell r="W1109" t="str">
            <v>H</v>
          </cell>
        </row>
        <row r="1110">
          <cell r="A1110">
            <v>45376</v>
          </cell>
          <cell r="B1110" t="str">
            <v>H</v>
          </cell>
          <cell r="C1110" t="str">
            <v>H</v>
          </cell>
          <cell r="D1110" t="str">
            <v>H</v>
          </cell>
          <cell r="E1110" t="str">
            <v>H</v>
          </cell>
          <cell r="F1110" t="str">
            <v>H</v>
          </cell>
          <cell r="G1110" t="str">
            <v>H</v>
          </cell>
          <cell r="H1110" t="str">
            <v>H</v>
          </cell>
          <cell r="I1110" t="str">
            <v>H</v>
          </cell>
          <cell r="J1110" t="str">
            <v>H</v>
          </cell>
          <cell r="K1110" t="str">
            <v>H</v>
          </cell>
          <cell r="L1110" t="str">
            <v>H</v>
          </cell>
          <cell r="M1110" t="str">
            <v>H</v>
          </cell>
          <cell r="N1110" t="str">
            <v>H</v>
          </cell>
          <cell r="O1110" t="str">
            <v>H</v>
          </cell>
          <cell r="P1110" t="str">
            <v>H</v>
          </cell>
          <cell r="Q1110" t="str">
            <v>H</v>
          </cell>
          <cell r="R1110" t="str">
            <v>H</v>
          </cell>
          <cell r="S1110" t="str">
            <v>H</v>
          </cell>
          <cell r="T1110" t="str">
            <v>H</v>
          </cell>
          <cell r="U1110" t="str">
            <v>H</v>
          </cell>
          <cell r="V1110" t="str">
            <v>H</v>
          </cell>
          <cell r="W1110" t="str">
            <v>H</v>
          </cell>
        </row>
        <row r="1111">
          <cell r="A1111">
            <v>45377</v>
          </cell>
          <cell r="B1111" t="str">
            <v>H</v>
          </cell>
          <cell r="C1111" t="str">
            <v>H</v>
          </cell>
          <cell r="D1111" t="str">
            <v>H</v>
          </cell>
          <cell r="E1111" t="str">
            <v>H</v>
          </cell>
          <cell r="F1111" t="str">
            <v>H</v>
          </cell>
          <cell r="G1111" t="str">
            <v>H</v>
          </cell>
          <cell r="H1111" t="str">
            <v>H</v>
          </cell>
          <cell r="I1111" t="str">
            <v>H</v>
          </cell>
          <cell r="J1111" t="str">
            <v>H</v>
          </cell>
          <cell r="K1111" t="str">
            <v>H</v>
          </cell>
          <cell r="L1111" t="str">
            <v>H</v>
          </cell>
          <cell r="M1111" t="str">
            <v>H</v>
          </cell>
          <cell r="N1111" t="str">
            <v>H</v>
          </cell>
          <cell r="O1111" t="str">
            <v>H</v>
          </cell>
          <cell r="P1111" t="str">
            <v>H</v>
          </cell>
          <cell r="Q1111" t="str">
            <v>H</v>
          </cell>
          <cell r="R1111" t="str">
            <v>H</v>
          </cell>
          <cell r="S1111" t="str">
            <v>H</v>
          </cell>
          <cell r="T1111" t="str">
            <v>H</v>
          </cell>
          <cell r="U1111" t="str">
            <v>H</v>
          </cell>
          <cell r="V1111" t="str">
            <v>H</v>
          </cell>
          <cell r="W1111" t="str">
            <v>H</v>
          </cell>
        </row>
        <row r="1112">
          <cell r="A1112">
            <v>45378</v>
          </cell>
          <cell r="B1112">
            <v>47100</v>
          </cell>
          <cell r="C1112">
            <v>47300</v>
          </cell>
          <cell r="D1112">
            <v>46100</v>
          </cell>
          <cell r="E1112">
            <v>43800</v>
          </cell>
          <cell r="F1112">
            <v>48700</v>
          </cell>
          <cell r="G1112" t="str">
            <v>-</v>
          </cell>
          <cell r="H1112">
            <v>46000</v>
          </cell>
          <cell r="I1112">
            <v>45800</v>
          </cell>
          <cell r="J1112">
            <v>48700</v>
          </cell>
          <cell r="K1112" t="str">
            <v>-</v>
          </cell>
          <cell r="L1112">
            <v>47100</v>
          </cell>
          <cell r="M1112">
            <v>49000</v>
          </cell>
          <cell r="N1112">
            <v>44900</v>
          </cell>
          <cell r="O1112">
            <v>44500</v>
          </cell>
          <cell r="P1112">
            <v>42800</v>
          </cell>
          <cell r="Q1112">
            <v>43300</v>
          </cell>
          <cell r="R1112">
            <v>43000</v>
          </cell>
          <cell r="S1112">
            <v>45800</v>
          </cell>
          <cell r="T1112">
            <v>46300</v>
          </cell>
          <cell r="U1112">
            <v>46800</v>
          </cell>
          <cell r="V1112">
            <v>47900</v>
          </cell>
          <cell r="W1112">
            <v>49700</v>
          </cell>
        </row>
        <row r="1113">
          <cell r="A1113">
            <v>45379</v>
          </cell>
          <cell r="B1113">
            <v>47300</v>
          </cell>
          <cell r="C1113">
            <v>47500</v>
          </cell>
          <cell r="D1113">
            <v>46300</v>
          </cell>
          <cell r="E1113">
            <v>44000</v>
          </cell>
          <cell r="F1113">
            <v>48900</v>
          </cell>
          <cell r="G1113" t="str">
            <v>-</v>
          </cell>
          <cell r="H1113">
            <v>46000</v>
          </cell>
          <cell r="I1113">
            <v>45900</v>
          </cell>
          <cell r="J1113">
            <v>48900</v>
          </cell>
          <cell r="K1113" t="str">
            <v>-</v>
          </cell>
          <cell r="L1113">
            <v>47400</v>
          </cell>
          <cell r="M1113">
            <v>49100</v>
          </cell>
          <cell r="N1113">
            <v>44800</v>
          </cell>
          <cell r="O1113">
            <v>45100</v>
          </cell>
          <cell r="P1113">
            <v>43000</v>
          </cell>
          <cell r="Q1113">
            <v>43500</v>
          </cell>
          <cell r="R1113">
            <v>43300</v>
          </cell>
          <cell r="S1113">
            <v>45900</v>
          </cell>
          <cell r="T1113">
            <v>46700</v>
          </cell>
          <cell r="U1113">
            <v>46800</v>
          </cell>
          <cell r="V1113">
            <v>48000</v>
          </cell>
          <cell r="W1113">
            <v>49700</v>
          </cell>
        </row>
        <row r="1114">
          <cell r="A1114">
            <v>45380</v>
          </cell>
          <cell r="B1114">
            <v>47300</v>
          </cell>
          <cell r="C1114">
            <v>47500</v>
          </cell>
          <cell r="D1114">
            <v>46200</v>
          </cell>
          <cell r="E1114">
            <v>43900</v>
          </cell>
          <cell r="F1114">
            <v>48900</v>
          </cell>
          <cell r="G1114" t="str">
            <v>-</v>
          </cell>
          <cell r="H1114">
            <v>46000</v>
          </cell>
          <cell r="I1114">
            <v>45900</v>
          </cell>
          <cell r="J1114">
            <v>48900</v>
          </cell>
          <cell r="K1114" t="str">
            <v>-</v>
          </cell>
          <cell r="L1114">
            <v>47400</v>
          </cell>
          <cell r="M1114">
            <v>49100</v>
          </cell>
          <cell r="N1114">
            <v>44900</v>
          </cell>
          <cell r="O1114">
            <v>45100</v>
          </cell>
          <cell r="P1114">
            <v>42800</v>
          </cell>
          <cell r="Q1114">
            <v>43400</v>
          </cell>
          <cell r="R1114">
            <v>43300</v>
          </cell>
          <cell r="S1114">
            <v>46000</v>
          </cell>
          <cell r="T1114">
            <v>46700</v>
          </cell>
          <cell r="U1114">
            <v>46800</v>
          </cell>
          <cell r="V1114">
            <v>48200</v>
          </cell>
          <cell r="W1114">
            <v>49900</v>
          </cell>
        </row>
        <row r="1115">
          <cell r="A1115">
            <v>45381</v>
          </cell>
          <cell r="B1115">
            <v>47300</v>
          </cell>
          <cell r="C1115">
            <v>47500</v>
          </cell>
          <cell r="D1115">
            <v>46300</v>
          </cell>
          <cell r="E1115">
            <v>44000</v>
          </cell>
          <cell r="F1115">
            <v>48900</v>
          </cell>
          <cell r="G1115" t="str">
            <v>-</v>
          </cell>
          <cell r="H1115">
            <v>46000</v>
          </cell>
          <cell r="I1115">
            <v>46000</v>
          </cell>
          <cell r="J1115">
            <v>48900</v>
          </cell>
          <cell r="K1115" t="str">
            <v>-</v>
          </cell>
          <cell r="L1115">
            <v>47400</v>
          </cell>
          <cell r="M1115">
            <v>49100</v>
          </cell>
          <cell r="N1115">
            <v>44900</v>
          </cell>
          <cell r="O1115">
            <v>45100</v>
          </cell>
          <cell r="P1115">
            <v>42900</v>
          </cell>
          <cell r="Q1115">
            <v>43400</v>
          </cell>
          <cell r="R1115">
            <v>43300</v>
          </cell>
          <cell r="S1115">
            <v>46100</v>
          </cell>
          <cell r="T1115">
            <v>46700</v>
          </cell>
          <cell r="U1115">
            <v>46800</v>
          </cell>
          <cell r="V1115">
            <v>48200</v>
          </cell>
          <cell r="W1115">
            <v>49900</v>
          </cell>
        </row>
        <row r="1116">
          <cell r="A1116">
            <v>45382</v>
          </cell>
          <cell r="B1116" t="str">
            <v>H</v>
          </cell>
          <cell r="C1116" t="str">
            <v>H</v>
          </cell>
          <cell r="D1116" t="str">
            <v>H</v>
          </cell>
          <cell r="E1116" t="str">
            <v>H</v>
          </cell>
          <cell r="F1116" t="str">
            <v>H</v>
          </cell>
          <cell r="G1116" t="str">
            <v>H</v>
          </cell>
          <cell r="H1116" t="str">
            <v>H</v>
          </cell>
          <cell r="I1116" t="str">
            <v>H</v>
          </cell>
          <cell r="J1116" t="str">
            <v>H</v>
          </cell>
          <cell r="K1116" t="str">
            <v>H</v>
          </cell>
          <cell r="L1116" t="str">
            <v>H</v>
          </cell>
          <cell r="M1116" t="str">
            <v>H</v>
          </cell>
          <cell r="N1116" t="str">
            <v>H</v>
          </cell>
          <cell r="O1116" t="str">
            <v>H</v>
          </cell>
          <cell r="P1116" t="str">
            <v>H</v>
          </cell>
          <cell r="Q1116" t="str">
            <v>H</v>
          </cell>
          <cell r="R1116" t="str">
            <v>H</v>
          </cell>
          <cell r="S1116" t="str">
            <v>H</v>
          </cell>
          <cell r="T1116" t="str">
            <v>H</v>
          </cell>
          <cell r="U1116" t="str">
            <v>H</v>
          </cell>
          <cell r="V1116" t="str">
            <v>H</v>
          </cell>
          <cell r="W1116" t="str">
            <v>H</v>
          </cell>
        </row>
        <row r="1117">
          <cell r="A1117">
            <v>45383</v>
          </cell>
          <cell r="B1117">
            <v>47700</v>
          </cell>
          <cell r="C1117">
            <v>47500</v>
          </cell>
          <cell r="D1117">
            <v>46800</v>
          </cell>
          <cell r="E1117">
            <v>44400</v>
          </cell>
          <cell r="F1117">
            <v>48900</v>
          </cell>
          <cell r="G1117" t="str">
            <v>-</v>
          </cell>
          <cell r="H1117">
            <v>46200</v>
          </cell>
          <cell r="I1117">
            <v>46500</v>
          </cell>
          <cell r="J1117">
            <v>49000</v>
          </cell>
          <cell r="K1117" t="str">
            <v>-</v>
          </cell>
          <cell r="L1117">
            <v>47600</v>
          </cell>
          <cell r="M1117">
            <v>49300</v>
          </cell>
          <cell r="N1117">
            <v>45400</v>
          </cell>
          <cell r="O1117">
            <v>45700</v>
          </cell>
          <cell r="P1117">
            <v>43000</v>
          </cell>
          <cell r="Q1117">
            <v>43600</v>
          </cell>
          <cell r="R1117">
            <v>43500</v>
          </cell>
          <cell r="S1117">
            <v>46500</v>
          </cell>
          <cell r="T1117">
            <v>46900</v>
          </cell>
          <cell r="U1117">
            <v>46800</v>
          </cell>
          <cell r="V1117">
            <v>48200</v>
          </cell>
          <cell r="W1117">
            <v>50600</v>
          </cell>
        </row>
        <row r="1118">
          <cell r="A1118">
            <v>45384</v>
          </cell>
          <cell r="B1118">
            <v>47800</v>
          </cell>
          <cell r="C1118">
            <v>48000</v>
          </cell>
          <cell r="D1118">
            <v>47500</v>
          </cell>
          <cell r="E1118">
            <v>45000</v>
          </cell>
          <cell r="F1118">
            <v>49500</v>
          </cell>
          <cell r="G1118" t="str">
            <v>-</v>
          </cell>
          <cell r="H1118">
            <v>46500</v>
          </cell>
          <cell r="I1118">
            <v>47000</v>
          </cell>
          <cell r="J1118">
            <v>49200</v>
          </cell>
          <cell r="K1118" t="str">
            <v>-</v>
          </cell>
          <cell r="L1118">
            <v>48400</v>
          </cell>
          <cell r="M1118">
            <v>49400</v>
          </cell>
          <cell r="N1118">
            <v>45900</v>
          </cell>
          <cell r="O1118">
            <v>45800</v>
          </cell>
          <cell r="P1118">
            <v>43800</v>
          </cell>
          <cell r="Q1118">
            <v>44200</v>
          </cell>
          <cell r="R1118">
            <v>44300</v>
          </cell>
          <cell r="S1118">
            <v>47100</v>
          </cell>
          <cell r="T1118">
            <v>47200</v>
          </cell>
          <cell r="U1118">
            <v>47800</v>
          </cell>
          <cell r="V1118">
            <v>48500</v>
          </cell>
          <cell r="W1118">
            <v>50600</v>
          </cell>
        </row>
        <row r="1119">
          <cell r="A1119">
            <v>45385</v>
          </cell>
          <cell r="B1119">
            <v>47800</v>
          </cell>
          <cell r="C1119">
            <v>48300</v>
          </cell>
          <cell r="D1119">
            <v>47800</v>
          </cell>
          <cell r="E1119">
            <v>45300</v>
          </cell>
          <cell r="F1119">
            <v>50700</v>
          </cell>
          <cell r="G1119" t="str">
            <v>-</v>
          </cell>
          <cell r="H1119">
            <v>47000</v>
          </cell>
          <cell r="I1119">
            <v>47500</v>
          </cell>
          <cell r="J1119">
            <v>49500</v>
          </cell>
          <cell r="K1119" t="str">
            <v>-</v>
          </cell>
          <cell r="L1119">
            <v>49000</v>
          </cell>
          <cell r="M1119">
            <v>49400</v>
          </cell>
          <cell r="N1119">
            <v>47000</v>
          </cell>
          <cell r="O1119">
            <v>46500</v>
          </cell>
          <cell r="P1119">
            <v>44600</v>
          </cell>
          <cell r="Q1119">
            <v>44900</v>
          </cell>
          <cell r="R1119">
            <v>44800</v>
          </cell>
          <cell r="S1119">
            <v>47500</v>
          </cell>
          <cell r="T1119">
            <v>47500</v>
          </cell>
          <cell r="U1119">
            <v>47800</v>
          </cell>
          <cell r="V1119">
            <v>48500</v>
          </cell>
          <cell r="W1119">
            <v>50600</v>
          </cell>
        </row>
        <row r="1120">
          <cell r="A1120">
            <v>45386</v>
          </cell>
          <cell r="B1120">
            <v>48000</v>
          </cell>
          <cell r="C1120">
            <v>48500</v>
          </cell>
          <cell r="D1120">
            <v>48300</v>
          </cell>
          <cell r="E1120">
            <v>46200</v>
          </cell>
          <cell r="F1120">
            <v>50700</v>
          </cell>
          <cell r="G1120" t="str">
            <v>-</v>
          </cell>
          <cell r="H1120">
            <v>47500</v>
          </cell>
          <cell r="I1120">
            <v>48200</v>
          </cell>
          <cell r="J1120">
            <v>50000</v>
          </cell>
          <cell r="K1120" t="str">
            <v>-</v>
          </cell>
          <cell r="L1120">
            <v>49600</v>
          </cell>
          <cell r="M1120">
            <v>49400</v>
          </cell>
          <cell r="N1120">
            <v>47500</v>
          </cell>
          <cell r="O1120">
            <v>47500</v>
          </cell>
          <cell r="P1120">
            <v>44900</v>
          </cell>
          <cell r="Q1120">
            <v>45200</v>
          </cell>
          <cell r="R1120">
            <v>45500</v>
          </cell>
          <cell r="S1120">
            <v>48300</v>
          </cell>
          <cell r="T1120">
            <v>47700</v>
          </cell>
          <cell r="U1120">
            <v>48300</v>
          </cell>
          <cell r="V1120">
            <v>49100</v>
          </cell>
          <cell r="W1120">
            <v>50700</v>
          </cell>
        </row>
        <row r="1121">
          <cell r="A1121">
            <v>45387</v>
          </cell>
          <cell r="B1121">
            <v>48700</v>
          </cell>
          <cell r="C1121">
            <v>48500</v>
          </cell>
          <cell r="D1121">
            <v>49500</v>
          </cell>
          <cell r="E1121">
            <v>47000</v>
          </cell>
          <cell r="F1121">
            <v>51800</v>
          </cell>
          <cell r="G1121" t="str">
            <v>-</v>
          </cell>
          <cell r="H1121">
            <v>48500</v>
          </cell>
          <cell r="I1121">
            <v>49300</v>
          </cell>
          <cell r="J1121">
            <v>50600</v>
          </cell>
          <cell r="K1121" t="str">
            <v>-</v>
          </cell>
          <cell r="L1121">
            <v>51000</v>
          </cell>
          <cell r="M1121">
            <v>50100</v>
          </cell>
          <cell r="N1121">
            <v>48200</v>
          </cell>
          <cell r="O1121">
            <v>49100</v>
          </cell>
          <cell r="P1121">
            <v>46800</v>
          </cell>
          <cell r="Q1121">
            <v>46800</v>
          </cell>
          <cell r="R1121">
            <v>47000</v>
          </cell>
          <cell r="S1121">
            <v>49100</v>
          </cell>
          <cell r="T1121">
            <v>49300</v>
          </cell>
          <cell r="U1121">
            <v>49800</v>
          </cell>
          <cell r="V1121">
            <v>50100</v>
          </cell>
          <cell r="W1121">
            <v>51800</v>
          </cell>
        </row>
        <row r="1122">
          <cell r="A1122">
            <v>45388</v>
          </cell>
          <cell r="B1122">
            <v>48700</v>
          </cell>
          <cell r="C1122">
            <v>48800</v>
          </cell>
          <cell r="D1122">
            <v>49700</v>
          </cell>
          <cell r="E1122">
            <v>46800</v>
          </cell>
          <cell r="F1122">
            <v>52100</v>
          </cell>
          <cell r="G1122" t="str">
            <v>-</v>
          </cell>
          <cell r="H1122">
            <v>48300</v>
          </cell>
          <cell r="I1122">
            <v>49200</v>
          </cell>
          <cell r="J1122">
            <v>50600</v>
          </cell>
          <cell r="K1122" t="str">
            <v>-</v>
          </cell>
          <cell r="L1122">
            <v>51000</v>
          </cell>
          <cell r="M1122">
            <v>50100</v>
          </cell>
          <cell r="N1122">
            <v>48800</v>
          </cell>
          <cell r="O1122">
            <v>48500</v>
          </cell>
          <cell r="P1122">
            <v>46500</v>
          </cell>
          <cell r="Q1122">
            <v>46600</v>
          </cell>
          <cell r="R1122">
            <v>47000</v>
          </cell>
          <cell r="S1122">
            <v>48900</v>
          </cell>
          <cell r="T1122">
            <v>49300</v>
          </cell>
          <cell r="U1122">
            <v>49800</v>
          </cell>
          <cell r="V1122">
            <v>50400</v>
          </cell>
          <cell r="W1122">
            <v>53000</v>
          </cell>
        </row>
        <row r="1123">
          <cell r="A1123">
            <v>45389</v>
          </cell>
          <cell r="B1123" t="str">
            <v>H</v>
          </cell>
          <cell r="C1123" t="str">
            <v>H</v>
          </cell>
          <cell r="D1123" t="str">
            <v>H</v>
          </cell>
          <cell r="E1123" t="str">
            <v>H</v>
          </cell>
          <cell r="F1123" t="str">
            <v>H</v>
          </cell>
          <cell r="G1123" t="str">
            <v>H</v>
          </cell>
          <cell r="H1123" t="str">
            <v>H</v>
          </cell>
          <cell r="I1123" t="str">
            <v>H</v>
          </cell>
          <cell r="J1123" t="str">
            <v>H</v>
          </cell>
          <cell r="K1123" t="str">
            <v>H</v>
          </cell>
          <cell r="L1123" t="str">
            <v>H</v>
          </cell>
          <cell r="M1123" t="str">
            <v>H</v>
          </cell>
          <cell r="N1123" t="str">
            <v>H</v>
          </cell>
          <cell r="O1123" t="str">
            <v>H</v>
          </cell>
          <cell r="P1123" t="str">
            <v>H</v>
          </cell>
          <cell r="Q1123" t="str">
            <v>H</v>
          </cell>
          <cell r="R1123" t="str">
            <v>H</v>
          </cell>
          <cell r="S1123" t="str">
            <v>H</v>
          </cell>
          <cell r="T1123" t="str">
            <v>H</v>
          </cell>
          <cell r="U1123" t="str">
            <v>H</v>
          </cell>
          <cell r="V1123" t="str">
            <v>H</v>
          </cell>
          <cell r="W1123" t="str">
            <v>H</v>
          </cell>
        </row>
        <row r="1124">
          <cell r="A1124">
            <v>45390</v>
          </cell>
          <cell r="B1124">
            <v>48300</v>
          </cell>
          <cell r="C1124">
            <v>48800</v>
          </cell>
          <cell r="D1124">
            <v>49700</v>
          </cell>
          <cell r="E1124">
            <v>47000</v>
          </cell>
          <cell r="F1124">
            <v>52100</v>
          </cell>
          <cell r="G1124" t="str">
            <v>-</v>
          </cell>
          <cell r="H1124">
            <v>48300</v>
          </cell>
          <cell r="I1124">
            <v>49000</v>
          </cell>
          <cell r="J1124">
            <v>50600</v>
          </cell>
          <cell r="K1124" t="str">
            <v>-</v>
          </cell>
          <cell r="L1124">
            <v>51000</v>
          </cell>
          <cell r="M1124">
            <v>49900</v>
          </cell>
          <cell r="N1124">
            <v>48900</v>
          </cell>
          <cell r="O1124">
            <v>48900</v>
          </cell>
          <cell r="P1124">
            <v>46300</v>
          </cell>
          <cell r="Q1124">
            <v>46300</v>
          </cell>
          <cell r="R1124">
            <v>46800</v>
          </cell>
          <cell r="S1124">
            <v>49100</v>
          </cell>
          <cell r="T1124">
            <v>49300</v>
          </cell>
          <cell r="U1124">
            <v>49300</v>
          </cell>
          <cell r="V1124">
            <v>50400</v>
          </cell>
          <cell r="W1124">
            <v>53300</v>
          </cell>
        </row>
        <row r="1125">
          <cell r="A1125">
            <v>45391</v>
          </cell>
          <cell r="B1125">
            <v>48300</v>
          </cell>
          <cell r="C1125">
            <v>48800</v>
          </cell>
          <cell r="D1125">
            <v>49300</v>
          </cell>
          <cell r="E1125">
            <v>46800</v>
          </cell>
          <cell r="F1125">
            <v>52100</v>
          </cell>
          <cell r="G1125" t="str">
            <v>-</v>
          </cell>
          <cell r="H1125">
            <v>48000</v>
          </cell>
          <cell r="I1125">
            <v>48700</v>
          </cell>
          <cell r="J1125">
            <v>50600</v>
          </cell>
          <cell r="K1125" t="str">
            <v>-</v>
          </cell>
          <cell r="L1125">
            <v>50700</v>
          </cell>
          <cell r="M1125">
            <v>49900</v>
          </cell>
          <cell r="N1125">
            <v>48500</v>
          </cell>
          <cell r="O1125">
            <v>48700</v>
          </cell>
          <cell r="P1125">
            <v>46000</v>
          </cell>
          <cell r="Q1125">
            <v>46000</v>
          </cell>
          <cell r="R1125">
            <v>46700</v>
          </cell>
          <cell r="S1125">
            <v>48900</v>
          </cell>
          <cell r="T1125">
            <v>49000</v>
          </cell>
          <cell r="U1125">
            <v>49300</v>
          </cell>
          <cell r="V1125">
            <v>50400</v>
          </cell>
          <cell r="W1125">
            <v>53300</v>
          </cell>
        </row>
        <row r="1126">
          <cell r="A1126">
            <v>45392</v>
          </cell>
          <cell r="B1126">
            <v>48300</v>
          </cell>
          <cell r="C1126">
            <v>48700</v>
          </cell>
          <cell r="D1126">
            <v>49100</v>
          </cell>
          <cell r="E1126">
            <v>46500</v>
          </cell>
          <cell r="F1126">
            <v>52000</v>
          </cell>
          <cell r="G1126" t="str">
            <v>-</v>
          </cell>
          <cell r="H1126">
            <v>48000</v>
          </cell>
          <cell r="I1126">
            <v>48500</v>
          </cell>
          <cell r="J1126">
            <v>50300</v>
          </cell>
          <cell r="K1126" t="str">
            <v>-</v>
          </cell>
          <cell r="L1126">
            <v>50300</v>
          </cell>
          <cell r="M1126">
            <v>49800</v>
          </cell>
          <cell r="N1126">
            <v>48000</v>
          </cell>
          <cell r="O1126">
            <v>48300</v>
          </cell>
          <cell r="P1126">
            <v>45500</v>
          </cell>
          <cell r="Q1126">
            <v>45700</v>
          </cell>
          <cell r="R1126">
            <v>46200</v>
          </cell>
          <cell r="S1126">
            <v>48600</v>
          </cell>
          <cell r="T1126">
            <v>48900</v>
          </cell>
          <cell r="U1126">
            <v>49300</v>
          </cell>
          <cell r="V1126">
            <v>50400</v>
          </cell>
          <cell r="W1126">
            <v>53300</v>
          </cell>
        </row>
        <row r="1127">
          <cell r="A1127">
            <v>45393</v>
          </cell>
          <cell r="B1127">
            <v>48300</v>
          </cell>
          <cell r="C1127">
            <v>48700</v>
          </cell>
          <cell r="D1127">
            <v>49200</v>
          </cell>
          <cell r="E1127">
            <v>46800</v>
          </cell>
          <cell r="F1127">
            <v>52000</v>
          </cell>
          <cell r="G1127" t="str">
            <v>-</v>
          </cell>
          <cell r="H1127">
            <v>48000</v>
          </cell>
          <cell r="I1127">
            <v>48400</v>
          </cell>
          <cell r="J1127">
            <v>50300</v>
          </cell>
          <cell r="K1127" t="str">
            <v>-</v>
          </cell>
          <cell r="L1127">
            <v>50300</v>
          </cell>
          <cell r="M1127">
            <v>49800</v>
          </cell>
          <cell r="N1127">
            <v>48100</v>
          </cell>
          <cell r="O1127">
            <v>48500</v>
          </cell>
          <cell r="P1127">
            <v>45500</v>
          </cell>
          <cell r="Q1127">
            <v>46000</v>
          </cell>
          <cell r="R1127">
            <v>46200</v>
          </cell>
          <cell r="S1127">
            <v>48900</v>
          </cell>
          <cell r="T1127">
            <v>48900</v>
          </cell>
          <cell r="U1127">
            <v>49300</v>
          </cell>
          <cell r="V1127">
            <v>50400</v>
          </cell>
          <cell r="W1127">
            <v>53300</v>
          </cell>
        </row>
        <row r="1128">
          <cell r="A1128">
            <v>45394</v>
          </cell>
          <cell r="B1128">
            <v>48100</v>
          </cell>
          <cell r="C1128">
            <v>48700</v>
          </cell>
          <cell r="D1128">
            <v>49000</v>
          </cell>
          <cell r="E1128">
            <v>46500</v>
          </cell>
          <cell r="F1128">
            <v>51600</v>
          </cell>
          <cell r="G1128" t="str">
            <v>-</v>
          </cell>
          <cell r="H1128">
            <v>47750</v>
          </cell>
          <cell r="I1128">
            <v>48300</v>
          </cell>
          <cell r="J1128">
            <v>50100</v>
          </cell>
          <cell r="K1128" t="str">
            <v>-</v>
          </cell>
          <cell r="L1128">
            <v>50100</v>
          </cell>
          <cell r="M1128">
            <v>49800</v>
          </cell>
          <cell r="N1128">
            <v>48200</v>
          </cell>
          <cell r="O1128">
            <v>48300</v>
          </cell>
          <cell r="P1128">
            <v>45400</v>
          </cell>
          <cell r="Q1128">
            <v>45900</v>
          </cell>
          <cell r="R1128">
            <v>46200</v>
          </cell>
          <cell r="S1128">
            <v>48600</v>
          </cell>
          <cell r="T1128">
            <v>48800</v>
          </cell>
          <cell r="U1128">
            <v>49300</v>
          </cell>
          <cell r="V1128">
            <v>50400</v>
          </cell>
          <cell r="W1128">
            <v>53300</v>
          </cell>
        </row>
        <row r="1129">
          <cell r="A1129">
            <v>45395</v>
          </cell>
          <cell r="B1129">
            <v>48100</v>
          </cell>
          <cell r="C1129">
            <v>48700</v>
          </cell>
          <cell r="D1129">
            <v>49100</v>
          </cell>
          <cell r="E1129">
            <v>47000</v>
          </cell>
          <cell r="F1129">
            <v>51100</v>
          </cell>
          <cell r="G1129" t="str">
            <v>-</v>
          </cell>
          <cell r="H1129">
            <v>48500</v>
          </cell>
          <cell r="I1129">
            <v>48500</v>
          </cell>
          <cell r="J1129">
            <v>50100</v>
          </cell>
          <cell r="K1129" t="str">
            <v>-</v>
          </cell>
          <cell r="L1129">
            <v>50300</v>
          </cell>
          <cell r="M1129">
            <v>49800</v>
          </cell>
          <cell r="N1129">
            <v>48300</v>
          </cell>
          <cell r="O1129">
            <v>48700</v>
          </cell>
          <cell r="P1129">
            <v>45500</v>
          </cell>
          <cell r="Q1129">
            <v>45900</v>
          </cell>
          <cell r="R1129">
            <v>46500</v>
          </cell>
          <cell r="S1129">
            <v>49100</v>
          </cell>
          <cell r="T1129">
            <v>48800</v>
          </cell>
          <cell r="U1129">
            <v>49300</v>
          </cell>
          <cell r="V1129">
            <v>50400</v>
          </cell>
          <cell r="W1129">
            <v>53300</v>
          </cell>
        </row>
        <row r="1130">
          <cell r="A1130">
            <v>45396</v>
          </cell>
          <cell r="B1130" t="str">
            <v>H</v>
          </cell>
          <cell r="C1130" t="str">
            <v>H</v>
          </cell>
          <cell r="D1130" t="str">
            <v>H</v>
          </cell>
          <cell r="E1130" t="str">
            <v>H</v>
          </cell>
          <cell r="F1130" t="str">
            <v>H</v>
          </cell>
          <cell r="G1130" t="str">
            <v>H</v>
          </cell>
          <cell r="H1130" t="str">
            <v>H</v>
          </cell>
          <cell r="I1130" t="str">
            <v>H</v>
          </cell>
          <cell r="J1130" t="str">
            <v>H</v>
          </cell>
          <cell r="K1130" t="str">
            <v>H</v>
          </cell>
          <cell r="L1130" t="str">
            <v>H</v>
          </cell>
          <cell r="M1130" t="str">
            <v>H</v>
          </cell>
          <cell r="N1130" t="str">
            <v>H</v>
          </cell>
          <cell r="O1130" t="str">
            <v>H</v>
          </cell>
          <cell r="P1130" t="str">
            <v>H</v>
          </cell>
          <cell r="Q1130" t="str">
            <v>H</v>
          </cell>
          <cell r="R1130" t="str">
            <v>H</v>
          </cell>
          <cell r="S1130" t="str">
            <v>H</v>
          </cell>
          <cell r="T1130" t="str">
            <v>H</v>
          </cell>
          <cell r="U1130" t="str">
            <v>H</v>
          </cell>
          <cell r="V1130" t="str">
            <v>H</v>
          </cell>
          <cell r="W1130" t="str">
            <v>H</v>
          </cell>
        </row>
        <row r="1131">
          <cell r="A1131">
            <v>45397</v>
          </cell>
          <cell r="B1131">
            <v>49500</v>
          </cell>
          <cell r="C1131">
            <v>50000</v>
          </cell>
          <cell r="D1131">
            <v>51300</v>
          </cell>
          <cell r="E1131">
            <v>48500</v>
          </cell>
          <cell r="F1131">
            <v>53700</v>
          </cell>
          <cell r="G1131" t="str">
            <v>-</v>
          </cell>
          <cell r="H1131">
            <v>49500</v>
          </cell>
          <cell r="I1131">
            <v>50300</v>
          </cell>
          <cell r="J1131">
            <v>52500</v>
          </cell>
          <cell r="K1131" t="str">
            <v>-</v>
          </cell>
          <cell r="L1131">
            <v>51700</v>
          </cell>
          <cell r="M1131">
            <v>50800</v>
          </cell>
          <cell r="N1131">
            <v>51000</v>
          </cell>
          <cell r="O1131">
            <v>50200</v>
          </cell>
          <cell r="P1131">
            <v>48000</v>
          </cell>
          <cell r="Q1131">
            <v>48200</v>
          </cell>
          <cell r="R1131">
            <v>48500</v>
          </cell>
          <cell r="S1131">
            <v>50300</v>
          </cell>
          <cell r="T1131">
            <v>51000</v>
          </cell>
          <cell r="U1131">
            <v>51800</v>
          </cell>
          <cell r="V1131">
            <v>52200</v>
          </cell>
          <cell r="W1131">
            <v>55200</v>
          </cell>
        </row>
        <row r="1132">
          <cell r="A1132">
            <v>45398</v>
          </cell>
          <cell r="B1132">
            <v>49500</v>
          </cell>
          <cell r="C1132">
            <v>50200</v>
          </cell>
          <cell r="D1132">
            <v>51300</v>
          </cell>
          <cell r="E1132">
            <v>48100</v>
          </cell>
          <cell r="F1132">
            <v>53300</v>
          </cell>
          <cell r="G1132" t="str">
            <v>-</v>
          </cell>
          <cell r="H1132">
            <v>49750</v>
          </cell>
          <cell r="I1132">
            <v>50300</v>
          </cell>
          <cell r="J1132">
            <v>52500</v>
          </cell>
          <cell r="K1132" t="str">
            <v>-</v>
          </cell>
          <cell r="L1132">
            <v>51700</v>
          </cell>
          <cell r="M1132">
            <v>51100</v>
          </cell>
          <cell r="N1132">
            <v>50600</v>
          </cell>
          <cell r="O1132">
            <v>49800</v>
          </cell>
          <cell r="P1132">
            <v>47400</v>
          </cell>
          <cell r="Q1132">
            <v>47700</v>
          </cell>
          <cell r="R1132">
            <v>47800</v>
          </cell>
          <cell r="S1132">
            <v>50200</v>
          </cell>
          <cell r="T1132">
            <v>51000</v>
          </cell>
          <cell r="U1132">
            <v>51800</v>
          </cell>
          <cell r="V1132">
            <v>52200</v>
          </cell>
          <cell r="W1132">
            <v>55200</v>
          </cell>
        </row>
        <row r="1133">
          <cell r="A1133">
            <v>45399</v>
          </cell>
          <cell r="B1133">
            <v>49900</v>
          </cell>
          <cell r="C1133">
            <v>50200</v>
          </cell>
          <cell r="D1133">
            <v>51600</v>
          </cell>
          <cell r="E1133">
            <v>48400</v>
          </cell>
          <cell r="F1133">
            <v>53300</v>
          </cell>
          <cell r="G1133" t="str">
            <v>-</v>
          </cell>
          <cell r="H1133">
            <v>49500</v>
          </cell>
          <cell r="I1133">
            <v>50400</v>
          </cell>
          <cell r="J1133">
            <v>52500</v>
          </cell>
          <cell r="K1133" t="str">
            <v>-</v>
          </cell>
          <cell r="L1133">
            <v>51800</v>
          </cell>
          <cell r="M1133">
            <v>51000</v>
          </cell>
          <cell r="N1133">
            <v>51000</v>
          </cell>
          <cell r="O1133">
            <v>50000</v>
          </cell>
          <cell r="P1133">
            <v>47300</v>
          </cell>
          <cell r="Q1133">
            <v>47700</v>
          </cell>
          <cell r="R1133">
            <v>47800</v>
          </cell>
          <cell r="S1133">
            <v>50500</v>
          </cell>
          <cell r="T1133">
            <v>51000</v>
          </cell>
          <cell r="U1133">
            <v>51800</v>
          </cell>
          <cell r="V1133">
            <v>52300</v>
          </cell>
          <cell r="W1133">
            <v>55500</v>
          </cell>
        </row>
        <row r="1134">
          <cell r="A1134">
            <v>45400</v>
          </cell>
          <cell r="B1134">
            <v>50200</v>
          </cell>
          <cell r="C1134">
            <v>50500</v>
          </cell>
          <cell r="D1134">
            <v>52000</v>
          </cell>
          <cell r="E1134">
            <v>48500</v>
          </cell>
          <cell r="F1134">
            <v>53200</v>
          </cell>
          <cell r="G1134" t="str">
            <v>-</v>
          </cell>
          <cell r="H1134">
            <v>49750</v>
          </cell>
          <cell r="I1134">
            <v>50600</v>
          </cell>
          <cell r="J1134">
            <v>52500</v>
          </cell>
          <cell r="K1134" t="str">
            <v>-</v>
          </cell>
          <cell r="L1134">
            <v>52000</v>
          </cell>
          <cell r="M1134">
            <v>51300</v>
          </cell>
          <cell r="N1134">
            <v>51600</v>
          </cell>
          <cell r="O1134">
            <v>50000</v>
          </cell>
          <cell r="P1134">
            <v>47500</v>
          </cell>
          <cell r="Q1134">
            <v>47700</v>
          </cell>
          <cell r="R1134">
            <v>48000</v>
          </cell>
          <cell r="S1134">
            <v>50600</v>
          </cell>
          <cell r="T1134">
            <v>51000</v>
          </cell>
          <cell r="U1134">
            <v>51800</v>
          </cell>
          <cell r="V1134">
            <v>52500</v>
          </cell>
          <cell r="W1134">
            <v>55500</v>
          </cell>
        </row>
        <row r="1135">
          <cell r="A1135">
            <v>45401</v>
          </cell>
          <cell r="B1135">
            <v>50200</v>
          </cell>
          <cell r="C1135" t="str">
            <v>-</v>
          </cell>
          <cell r="D1135">
            <v>52000</v>
          </cell>
          <cell r="E1135">
            <v>48300</v>
          </cell>
          <cell r="F1135">
            <v>53200</v>
          </cell>
          <cell r="G1135" t="str">
            <v>-</v>
          </cell>
          <cell r="H1135">
            <v>49500</v>
          </cell>
          <cell r="I1135">
            <v>50300</v>
          </cell>
          <cell r="J1135">
            <v>52300</v>
          </cell>
          <cell r="K1135" t="str">
            <v>-</v>
          </cell>
          <cell r="L1135">
            <v>51800</v>
          </cell>
          <cell r="M1135">
            <v>51300</v>
          </cell>
          <cell r="N1135">
            <v>51300</v>
          </cell>
          <cell r="O1135">
            <v>50000</v>
          </cell>
          <cell r="P1135">
            <v>47000</v>
          </cell>
          <cell r="Q1135">
            <v>47500</v>
          </cell>
          <cell r="R1135">
            <v>47500</v>
          </cell>
          <cell r="S1135">
            <v>50400</v>
          </cell>
          <cell r="T1135">
            <v>50800</v>
          </cell>
          <cell r="U1135">
            <v>51800</v>
          </cell>
          <cell r="V1135">
            <v>52500</v>
          </cell>
          <cell r="W1135">
            <v>55500</v>
          </cell>
        </row>
        <row r="1136">
          <cell r="A1136">
            <v>45402</v>
          </cell>
          <cell r="B1136">
            <v>50400</v>
          </cell>
          <cell r="C1136">
            <v>50500</v>
          </cell>
          <cell r="D1136">
            <v>52000</v>
          </cell>
          <cell r="E1136">
            <v>48200</v>
          </cell>
          <cell r="F1136">
            <v>53200</v>
          </cell>
          <cell r="G1136" t="str">
            <v>-</v>
          </cell>
          <cell r="H1136">
            <v>49500</v>
          </cell>
          <cell r="I1136">
            <v>50400</v>
          </cell>
          <cell r="J1136">
            <v>52300</v>
          </cell>
          <cell r="K1136" t="str">
            <v>-</v>
          </cell>
          <cell r="L1136">
            <v>52000</v>
          </cell>
          <cell r="M1136">
            <v>51300</v>
          </cell>
          <cell r="N1136">
            <v>51400</v>
          </cell>
          <cell r="O1136">
            <v>50000</v>
          </cell>
          <cell r="P1136">
            <v>47000</v>
          </cell>
          <cell r="Q1136">
            <v>47600</v>
          </cell>
          <cell r="R1136">
            <v>47800</v>
          </cell>
          <cell r="S1136">
            <v>50300</v>
          </cell>
          <cell r="T1136">
            <v>50800</v>
          </cell>
          <cell r="U1136">
            <v>51800</v>
          </cell>
          <cell r="V1136">
            <v>52700</v>
          </cell>
          <cell r="W1136">
            <v>55900</v>
          </cell>
        </row>
        <row r="1137">
          <cell r="A1137">
            <v>45403</v>
          </cell>
          <cell r="B1137" t="str">
            <v>H</v>
          </cell>
          <cell r="C1137" t="str">
            <v>H</v>
          </cell>
          <cell r="D1137" t="str">
            <v>H</v>
          </cell>
          <cell r="E1137" t="str">
            <v>H</v>
          </cell>
          <cell r="F1137" t="str">
            <v>H</v>
          </cell>
          <cell r="G1137" t="str">
            <v>H</v>
          </cell>
          <cell r="H1137" t="str">
            <v>H</v>
          </cell>
          <cell r="I1137" t="str">
            <v>H</v>
          </cell>
          <cell r="J1137" t="str">
            <v>H</v>
          </cell>
          <cell r="K1137" t="str">
            <v>H</v>
          </cell>
          <cell r="L1137" t="str">
            <v>H</v>
          </cell>
          <cell r="M1137" t="str">
            <v>H</v>
          </cell>
          <cell r="N1137" t="str">
            <v>H</v>
          </cell>
          <cell r="O1137" t="str">
            <v>H</v>
          </cell>
          <cell r="P1137" t="str">
            <v>H</v>
          </cell>
          <cell r="Q1137" t="str">
            <v>H</v>
          </cell>
          <cell r="R1137" t="str">
            <v>H</v>
          </cell>
          <cell r="S1137" t="str">
            <v>H</v>
          </cell>
          <cell r="T1137" t="str">
            <v>H</v>
          </cell>
          <cell r="U1137" t="str">
            <v>H</v>
          </cell>
          <cell r="V1137" t="str">
            <v>H</v>
          </cell>
          <cell r="W1137" t="str">
            <v>H</v>
          </cell>
        </row>
        <row r="1138">
          <cell r="A1138">
            <v>45404</v>
          </cell>
          <cell r="B1138">
            <v>49900</v>
          </cell>
          <cell r="C1138">
            <v>50500</v>
          </cell>
          <cell r="D1138">
            <v>51700</v>
          </cell>
          <cell r="E1138">
            <v>47700</v>
          </cell>
          <cell r="F1138">
            <v>52700</v>
          </cell>
          <cell r="G1138" t="str">
            <v>-</v>
          </cell>
          <cell r="H1138">
            <v>49500</v>
          </cell>
          <cell r="I1138">
            <v>50200</v>
          </cell>
          <cell r="J1138">
            <v>52000</v>
          </cell>
          <cell r="K1138" t="str">
            <v>-</v>
          </cell>
          <cell r="L1138">
            <v>51800</v>
          </cell>
          <cell r="M1138">
            <v>51300</v>
          </cell>
          <cell r="N1138">
            <v>50600</v>
          </cell>
          <cell r="O1138">
            <v>49800</v>
          </cell>
          <cell r="P1138">
            <v>46400</v>
          </cell>
          <cell r="Q1138">
            <v>47000</v>
          </cell>
          <cell r="R1138">
            <v>47500</v>
          </cell>
          <cell r="S1138">
            <v>49800</v>
          </cell>
          <cell r="T1138">
            <v>50500</v>
          </cell>
          <cell r="U1138">
            <v>51800</v>
          </cell>
          <cell r="V1138">
            <v>52700</v>
          </cell>
          <cell r="W1138">
            <v>55900</v>
          </cell>
        </row>
        <row r="1139">
          <cell r="A1139">
            <v>45405</v>
          </cell>
          <cell r="B1139">
            <v>49900</v>
          </cell>
          <cell r="C1139">
            <v>50500</v>
          </cell>
          <cell r="D1139">
            <v>51500</v>
          </cell>
          <cell r="E1139">
            <v>47400</v>
          </cell>
          <cell r="F1139">
            <v>52200</v>
          </cell>
          <cell r="G1139" t="str">
            <v>-</v>
          </cell>
          <cell r="H1139">
            <v>49000</v>
          </cell>
          <cell r="I1139">
            <v>49800</v>
          </cell>
          <cell r="J1139">
            <v>52000</v>
          </cell>
          <cell r="K1139" t="str">
            <v>-</v>
          </cell>
          <cell r="L1139">
            <v>51400</v>
          </cell>
          <cell r="M1139">
            <v>51300</v>
          </cell>
          <cell r="N1139">
            <v>50100</v>
          </cell>
          <cell r="O1139">
            <v>49600</v>
          </cell>
          <cell r="P1139">
            <v>46000</v>
          </cell>
          <cell r="Q1139">
            <v>46500</v>
          </cell>
          <cell r="R1139">
            <v>47300</v>
          </cell>
          <cell r="S1139">
            <v>49500</v>
          </cell>
          <cell r="T1139">
            <v>50500</v>
          </cell>
          <cell r="U1139">
            <v>51800</v>
          </cell>
          <cell r="V1139">
            <v>52700</v>
          </cell>
          <cell r="W1139">
            <v>55900</v>
          </cell>
        </row>
        <row r="1140">
          <cell r="A1140">
            <v>45406</v>
          </cell>
          <cell r="B1140">
            <v>49700</v>
          </cell>
          <cell r="C1140">
            <v>50500</v>
          </cell>
          <cell r="D1140">
            <v>51000</v>
          </cell>
          <cell r="E1140">
            <v>47200</v>
          </cell>
          <cell r="F1140">
            <v>51800</v>
          </cell>
          <cell r="G1140" t="str">
            <v>-</v>
          </cell>
          <cell r="H1140">
            <v>49000</v>
          </cell>
          <cell r="I1140">
            <v>49500</v>
          </cell>
          <cell r="J1140">
            <v>51700</v>
          </cell>
          <cell r="K1140" t="str">
            <v>-</v>
          </cell>
          <cell r="L1140">
            <v>51200</v>
          </cell>
          <cell r="M1140">
            <v>51300</v>
          </cell>
          <cell r="N1140">
            <v>49800</v>
          </cell>
          <cell r="O1140">
            <v>49400</v>
          </cell>
          <cell r="P1140">
            <v>45400</v>
          </cell>
          <cell r="Q1140">
            <v>46200</v>
          </cell>
          <cell r="R1140">
            <v>47000</v>
          </cell>
          <cell r="S1140">
            <v>49300</v>
          </cell>
          <cell r="T1140">
            <v>49800</v>
          </cell>
          <cell r="U1140">
            <v>51800</v>
          </cell>
          <cell r="V1140">
            <v>52700</v>
          </cell>
          <cell r="W1140">
            <v>55900</v>
          </cell>
        </row>
        <row r="1141">
          <cell r="A1141">
            <v>45407</v>
          </cell>
          <cell r="B1141">
            <v>49700</v>
          </cell>
          <cell r="C1141">
            <v>50500</v>
          </cell>
          <cell r="D1141">
            <v>50700</v>
          </cell>
          <cell r="E1141">
            <v>47200</v>
          </cell>
          <cell r="F1141">
            <v>51800</v>
          </cell>
          <cell r="G1141" t="str">
            <v>-</v>
          </cell>
          <cell r="H1141">
            <v>49000</v>
          </cell>
          <cell r="I1141">
            <v>49700</v>
          </cell>
          <cell r="J1141">
            <v>51500</v>
          </cell>
          <cell r="K1141" t="str">
            <v>-</v>
          </cell>
          <cell r="L1141">
            <v>51200</v>
          </cell>
          <cell r="M1141">
            <v>51300</v>
          </cell>
          <cell r="N1141">
            <v>49900</v>
          </cell>
          <cell r="O1141">
            <v>49400</v>
          </cell>
          <cell r="P1141">
            <v>45700</v>
          </cell>
          <cell r="Q1141">
            <v>46200</v>
          </cell>
          <cell r="R1141">
            <v>46800</v>
          </cell>
          <cell r="S1141">
            <v>49300</v>
          </cell>
          <cell r="T1141">
            <v>49800</v>
          </cell>
          <cell r="U1141">
            <v>51300</v>
          </cell>
          <cell r="V1141">
            <v>52700</v>
          </cell>
          <cell r="W1141">
            <v>55900</v>
          </cell>
        </row>
        <row r="1142">
          <cell r="A1142">
            <v>45408</v>
          </cell>
          <cell r="B1142">
            <v>49600</v>
          </cell>
          <cell r="C1142">
            <v>50500</v>
          </cell>
          <cell r="D1142">
            <v>50500</v>
          </cell>
          <cell r="E1142">
            <v>46800</v>
          </cell>
          <cell r="F1142">
            <v>51800</v>
          </cell>
          <cell r="G1142" t="str">
            <v>-</v>
          </cell>
          <cell r="H1142">
            <v>48750</v>
          </cell>
          <cell r="I1142">
            <v>49600</v>
          </cell>
          <cell r="J1142">
            <v>51500</v>
          </cell>
          <cell r="K1142" t="str">
            <v>-</v>
          </cell>
          <cell r="L1142">
            <v>51000</v>
          </cell>
          <cell r="M1142">
            <v>51300</v>
          </cell>
          <cell r="N1142">
            <v>49500</v>
          </cell>
          <cell r="O1142">
            <v>49000</v>
          </cell>
          <cell r="P1142">
            <v>45500</v>
          </cell>
          <cell r="Q1142">
            <v>46100</v>
          </cell>
          <cell r="R1142">
            <v>46700</v>
          </cell>
          <cell r="S1142">
            <v>48900</v>
          </cell>
          <cell r="T1142">
            <v>49500</v>
          </cell>
          <cell r="U1142">
            <v>51300</v>
          </cell>
          <cell r="V1142">
            <v>52700</v>
          </cell>
          <cell r="W1142">
            <v>55900</v>
          </cell>
        </row>
        <row r="1143">
          <cell r="A1143">
            <v>45409</v>
          </cell>
          <cell r="B1143">
            <v>49400</v>
          </cell>
          <cell r="C1143">
            <v>50500</v>
          </cell>
          <cell r="D1143">
            <v>50500</v>
          </cell>
          <cell r="E1143">
            <v>47000</v>
          </cell>
          <cell r="F1143">
            <v>51800</v>
          </cell>
          <cell r="G1143" t="str">
            <v>-</v>
          </cell>
          <cell r="H1143">
            <v>48500</v>
          </cell>
          <cell r="I1143">
            <v>49700</v>
          </cell>
          <cell r="J1143">
            <v>51500</v>
          </cell>
          <cell r="K1143" t="str">
            <v>-</v>
          </cell>
          <cell r="L1143">
            <v>51100</v>
          </cell>
          <cell r="M1143">
            <v>51300</v>
          </cell>
          <cell r="N1143">
            <v>49500</v>
          </cell>
          <cell r="O1143">
            <v>49200</v>
          </cell>
          <cell r="P1143">
            <v>45500</v>
          </cell>
          <cell r="Q1143">
            <v>46000</v>
          </cell>
          <cell r="R1143">
            <v>46300</v>
          </cell>
          <cell r="S1143">
            <v>49100</v>
          </cell>
          <cell r="T1143">
            <v>49300</v>
          </cell>
          <cell r="U1143">
            <v>51300</v>
          </cell>
          <cell r="V1143">
            <v>52700</v>
          </cell>
          <cell r="W1143">
            <v>55900</v>
          </cell>
        </row>
        <row r="1144">
          <cell r="A1144">
            <v>45410</v>
          </cell>
          <cell r="B1144" t="str">
            <v>H</v>
          </cell>
          <cell r="C1144" t="str">
            <v>H</v>
          </cell>
          <cell r="D1144" t="str">
            <v>H</v>
          </cell>
          <cell r="E1144" t="str">
            <v>H</v>
          </cell>
          <cell r="F1144" t="str">
            <v>H</v>
          </cell>
          <cell r="G1144" t="str">
            <v>H</v>
          </cell>
          <cell r="H1144" t="str">
            <v>H</v>
          </cell>
          <cell r="I1144" t="str">
            <v>H</v>
          </cell>
          <cell r="J1144" t="str">
            <v>H</v>
          </cell>
          <cell r="K1144" t="str">
            <v>H</v>
          </cell>
          <cell r="L1144" t="str">
            <v>H</v>
          </cell>
          <cell r="M1144" t="str">
            <v>H</v>
          </cell>
          <cell r="N1144" t="str">
            <v>H</v>
          </cell>
          <cell r="O1144" t="str">
            <v>H</v>
          </cell>
          <cell r="P1144" t="str">
            <v>H</v>
          </cell>
          <cell r="Q1144" t="str">
            <v>H</v>
          </cell>
          <cell r="R1144" t="str">
            <v>H</v>
          </cell>
          <cell r="S1144" t="str">
            <v>H</v>
          </cell>
          <cell r="T1144" t="str">
            <v>H</v>
          </cell>
          <cell r="U1144" t="str">
            <v>H</v>
          </cell>
          <cell r="V1144" t="str">
            <v>H</v>
          </cell>
          <cell r="W1144" t="str">
            <v>H</v>
          </cell>
        </row>
        <row r="1145">
          <cell r="A1145">
            <v>45411</v>
          </cell>
          <cell r="B1145">
            <v>49400</v>
          </cell>
          <cell r="C1145">
            <v>50800</v>
          </cell>
          <cell r="D1145">
            <v>50200</v>
          </cell>
          <cell r="E1145">
            <v>46800</v>
          </cell>
          <cell r="F1145">
            <v>51500</v>
          </cell>
          <cell r="G1145" t="str">
            <v>-</v>
          </cell>
          <cell r="H1145">
            <v>48500</v>
          </cell>
          <cell r="I1145">
            <v>49700</v>
          </cell>
          <cell r="J1145">
            <v>51300</v>
          </cell>
          <cell r="K1145" t="str">
            <v>-</v>
          </cell>
          <cell r="L1145">
            <v>50900</v>
          </cell>
          <cell r="M1145">
            <v>51300</v>
          </cell>
          <cell r="N1145">
            <v>49000</v>
          </cell>
          <cell r="O1145">
            <v>48800</v>
          </cell>
          <cell r="P1145">
            <v>45500</v>
          </cell>
          <cell r="Q1145">
            <v>46000</v>
          </cell>
          <cell r="R1145">
            <v>46200</v>
          </cell>
          <cell r="S1145">
            <v>48900</v>
          </cell>
          <cell r="T1145">
            <v>49200</v>
          </cell>
          <cell r="U1145">
            <v>51300</v>
          </cell>
          <cell r="V1145">
            <v>52700</v>
          </cell>
          <cell r="W1145">
            <v>55900</v>
          </cell>
        </row>
        <row r="1146">
          <cell r="A1146">
            <v>45412</v>
          </cell>
          <cell r="B1146">
            <v>49700</v>
          </cell>
          <cell r="C1146">
            <v>51000</v>
          </cell>
          <cell r="D1146">
            <v>50400</v>
          </cell>
          <cell r="E1146">
            <v>47200</v>
          </cell>
          <cell r="F1146">
            <v>51800</v>
          </cell>
          <cell r="G1146" t="str">
            <v>-</v>
          </cell>
          <cell r="H1146">
            <v>49000</v>
          </cell>
          <cell r="I1146">
            <v>50300</v>
          </cell>
          <cell r="J1146">
            <v>51800</v>
          </cell>
          <cell r="K1146" t="str">
            <v>-</v>
          </cell>
          <cell r="L1146">
            <v>51100</v>
          </cell>
          <cell r="M1146">
            <v>51500</v>
          </cell>
          <cell r="N1146">
            <v>49400</v>
          </cell>
          <cell r="O1146">
            <v>49200</v>
          </cell>
          <cell r="P1146">
            <v>46200</v>
          </cell>
          <cell r="Q1146">
            <v>46700</v>
          </cell>
          <cell r="R1146">
            <v>46800</v>
          </cell>
          <cell r="S1146">
            <v>49300</v>
          </cell>
          <cell r="T1146">
            <v>49700</v>
          </cell>
          <cell r="U1146">
            <v>51300</v>
          </cell>
          <cell r="V1146">
            <v>52700</v>
          </cell>
          <cell r="W1146">
            <v>55900</v>
          </cell>
        </row>
        <row r="1147">
          <cell r="A1147">
            <v>45413</v>
          </cell>
          <cell r="B1147">
            <v>50000</v>
          </cell>
          <cell r="C1147">
            <v>51000</v>
          </cell>
          <cell r="D1147">
            <v>51000</v>
          </cell>
          <cell r="E1147">
            <v>47900</v>
          </cell>
          <cell r="F1147">
            <v>52100</v>
          </cell>
          <cell r="G1147" t="str">
            <v>-</v>
          </cell>
          <cell r="H1147">
            <v>49500</v>
          </cell>
          <cell r="I1147">
            <v>50700</v>
          </cell>
          <cell r="J1147">
            <v>52000</v>
          </cell>
          <cell r="K1147" t="str">
            <v>-</v>
          </cell>
          <cell r="L1147">
            <v>51600</v>
          </cell>
          <cell r="M1147">
            <v>51500</v>
          </cell>
          <cell r="N1147">
            <v>50300</v>
          </cell>
          <cell r="O1147">
            <v>49600</v>
          </cell>
          <cell r="P1147">
            <v>47200</v>
          </cell>
          <cell r="Q1147">
            <v>47500</v>
          </cell>
          <cell r="R1147">
            <v>47800</v>
          </cell>
          <cell r="S1147">
            <v>50000</v>
          </cell>
          <cell r="T1147">
            <v>50300</v>
          </cell>
          <cell r="U1147">
            <v>52300</v>
          </cell>
          <cell r="V1147">
            <v>53000</v>
          </cell>
          <cell r="W1147">
            <v>55900</v>
          </cell>
        </row>
        <row r="1148">
          <cell r="A1148">
            <v>45414</v>
          </cell>
          <cell r="B1148">
            <v>50000</v>
          </cell>
          <cell r="C1148">
            <v>51500</v>
          </cell>
          <cell r="D1148">
            <v>51000</v>
          </cell>
          <cell r="E1148">
            <v>47800</v>
          </cell>
          <cell r="F1148">
            <v>52100</v>
          </cell>
          <cell r="G1148" t="str">
            <v>-</v>
          </cell>
          <cell r="H1148">
            <v>49750</v>
          </cell>
          <cell r="I1148">
            <v>51000</v>
          </cell>
          <cell r="J1148">
            <v>52000</v>
          </cell>
          <cell r="K1148" t="str">
            <v>-</v>
          </cell>
          <cell r="L1148">
            <v>51600</v>
          </cell>
          <cell r="M1148">
            <v>52100</v>
          </cell>
          <cell r="N1148">
            <v>50200</v>
          </cell>
          <cell r="O1148">
            <v>49600</v>
          </cell>
          <cell r="P1148">
            <v>46500</v>
          </cell>
          <cell r="Q1148">
            <v>47100</v>
          </cell>
          <cell r="R1148">
            <v>47500</v>
          </cell>
          <cell r="S1148">
            <v>49900</v>
          </cell>
          <cell r="T1148">
            <v>50300</v>
          </cell>
          <cell r="U1148">
            <v>52300</v>
          </cell>
          <cell r="V1148">
            <v>53000</v>
          </cell>
          <cell r="W1148">
            <v>56500</v>
          </cell>
        </row>
        <row r="1149">
          <cell r="A1149">
            <v>45415</v>
          </cell>
          <cell r="B1149">
            <v>50200</v>
          </cell>
          <cell r="C1149">
            <v>51800</v>
          </cell>
          <cell r="D1149">
            <v>51700</v>
          </cell>
          <cell r="E1149">
            <v>48400</v>
          </cell>
          <cell r="F1149">
            <v>52100</v>
          </cell>
          <cell r="G1149" t="str">
            <v>-</v>
          </cell>
          <cell r="H1149">
            <v>50500</v>
          </cell>
          <cell r="I1149">
            <v>51600</v>
          </cell>
          <cell r="J1149">
            <v>52400</v>
          </cell>
          <cell r="K1149" t="str">
            <v>-</v>
          </cell>
          <cell r="L1149">
            <v>52000</v>
          </cell>
          <cell r="M1149">
            <v>52100</v>
          </cell>
          <cell r="N1149">
            <v>51200</v>
          </cell>
          <cell r="O1149">
            <v>50000</v>
          </cell>
          <cell r="P1149">
            <v>47200</v>
          </cell>
          <cell r="Q1149">
            <v>47600</v>
          </cell>
          <cell r="R1149">
            <v>48000</v>
          </cell>
          <cell r="S1149">
            <v>50500</v>
          </cell>
          <cell r="T1149">
            <v>50500</v>
          </cell>
          <cell r="U1149">
            <v>52300</v>
          </cell>
          <cell r="V1149">
            <v>53000</v>
          </cell>
          <cell r="W1149">
            <v>56600</v>
          </cell>
        </row>
        <row r="1150">
          <cell r="A1150">
            <v>45416</v>
          </cell>
          <cell r="B1150">
            <v>50300</v>
          </cell>
          <cell r="C1150">
            <v>52000</v>
          </cell>
          <cell r="D1150">
            <v>51700</v>
          </cell>
          <cell r="E1150">
            <v>48200</v>
          </cell>
          <cell r="F1150">
            <v>52300</v>
          </cell>
          <cell r="G1150" t="str">
            <v>-</v>
          </cell>
          <cell r="H1150">
            <v>50000</v>
          </cell>
          <cell r="I1150">
            <v>51600</v>
          </cell>
          <cell r="J1150">
            <v>52400</v>
          </cell>
          <cell r="K1150" t="str">
            <v>-</v>
          </cell>
          <cell r="L1150">
            <v>52000</v>
          </cell>
          <cell r="M1150">
            <v>52100</v>
          </cell>
          <cell r="N1150">
            <v>50800</v>
          </cell>
          <cell r="O1150">
            <v>49800</v>
          </cell>
          <cell r="P1150">
            <v>46900</v>
          </cell>
          <cell r="Q1150">
            <v>47600</v>
          </cell>
          <cell r="R1150">
            <v>47800</v>
          </cell>
          <cell r="S1150">
            <v>50300</v>
          </cell>
          <cell r="T1150">
            <v>50700</v>
          </cell>
          <cell r="U1150">
            <v>52300</v>
          </cell>
          <cell r="V1150">
            <v>53000</v>
          </cell>
          <cell r="W1150">
            <v>56600</v>
          </cell>
        </row>
        <row r="1151">
          <cell r="A1151">
            <v>45417</v>
          </cell>
          <cell r="B1151" t="str">
            <v>H</v>
          </cell>
          <cell r="C1151" t="str">
            <v>H</v>
          </cell>
          <cell r="D1151" t="str">
            <v>H</v>
          </cell>
          <cell r="E1151" t="str">
            <v>H</v>
          </cell>
          <cell r="F1151" t="str">
            <v>H</v>
          </cell>
          <cell r="G1151" t="str">
            <v>H</v>
          </cell>
          <cell r="H1151" t="str">
            <v>H</v>
          </cell>
          <cell r="I1151" t="str">
            <v>H</v>
          </cell>
          <cell r="J1151" t="str">
            <v>H</v>
          </cell>
          <cell r="K1151" t="str">
            <v>H</v>
          </cell>
          <cell r="L1151" t="str">
            <v>H</v>
          </cell>
          <cell r="M1151" t="str">
            <v>H</v>
          </cell>
          <cell r="N1151" t="str">
            <v>H</v>
          </cell>
          <cell r="O1151" t="str">
            <v>H</v>
          </cell>
          <cell r="P1151" t="str">
            <v>H</v>
          </cell>
          <cell r="Q1151" t="str">
            <v>H</v>
          </cell>
          <cell r="R1151" t="str">
            <v>H</v>
          </cell>
          <cell r="S1151" t="str">
            <v>H</v>
          </cell>
          <cell r="T1151" t="str">
            <v>H</v>
          </cell>
          <cell r="U1151" t="str">
            <v>H</v>
          </cell>
          <cell r="V1151" t="str">
            <v>H</v>
          </cell>
          <cell r="W1151" t="str">
            <v>H</v>
          </cell>
        </row>
        <row r="1152">
          <cell r="A1152">
            <v>45418</v>
          </cell>
          <cell r="B1152">
            <v>51600</v>
          </cell>
          <cell r="C1152">
            <v>52300</v>
          </cell>
          <cell r="D1152">
            <v>52500</v>
          </cell>
          <cell r="E1152">
            <v>48800</v>
          </cell>
          <cell r="F1152">
            <v>53000</v>
          </cell>
          <cell r="G1152" t="str">
            <v>-</v>
          </cell>
          <cell r="H1152">
            <v>51000</v>
          </cell>
          <cell r="I1152">
            <v>52200</v>
          </cell>
          <cell r="J1152">
            <v>53500</v>
          </cell>
          <cell r="K1152" t="str">
            <v>-</v>
          </cell>
          <cell r="L1152">
            <v>52800</v>
          </cell>
          <cell r="M1152">
            <v>53300</v>
          </cell>
          <cell r="N1152">
            <v>51800</v>
          </cell>
          <cell r="O1152">
            <v>50800</v>
          </cell>
          <cell r="P1152">
            <v>48300</v>
          </cell>
          <cell r="Q1152">
            <v>48700</v>
          </cell>
          <cell r="R1152">
            <v>48700</v>
          </cell>
          <cell r="S1152">
            <v>50900</v>
          </cell>
          <cell r="T1152">
            <v>51800</v>
          </cell>
          <cell r="U1152">
            <v>53300</v>
          </cell>
          <cell r="V1152">
            <v>53700</v>
          </cell>
          <cell r="W1152">
            <v>56900</v>
          </cell>
        </row>
        <row r="1153">
          <cell r="A1153">
            <v>45419</v>
          </cell>
          <cell r="B1153">
            <v>51600</v>
          </cell>
          <cell r="C1153">
            <v>52800</v>
          </cell>
          <cell r="D1153">
            <v>52500</v>
          </cell>
          <cell r="E1153">
            <v>48600</v>
          </cell>
          <cell r="F1153">
            <v>53300</v>
          </cell>
          <cell r="G1153" t="str">
            <v>-</v>
          </cell>
          <cell r="H1153">
            <v>51000</v>
          </cell>
          <cell r="I1153">
            <v>52200</v>
          </cell>
          <cell r="J1153">
            <v>53500</v>
          </cell>
          <cell r="K1153" t="str">
            <v>-</v>
          </cell>
          <cell r="L1153">
            <v>52800</v>
          </cell>
          <cell r="M1153">
            <v>53300</v>
          </cell>
          <cell r="N1153">
            <v>51300</v>
          </cell>
          <cell r="O1153">
            <v>50600</v>
          </cell>
          <cell r="P1153">
            <v>48000</v>
          </cell>
          <cell r="Q1153">
            <v>48500</v>
          </cell>
          <cell r="R1153">
            <v>48700</v>
          </cell>
          <cell r="S1153">
            <v>50700</v>
          </cell>
          <cell r="T1153">
            <v>51800</v>
          </cell>
          <cell r="U1153">
            <v>53300</v>
          </cell>
          <cell r="V1153">
            <v>53700</v>
          </cell>
          <cell r="W1153">
            <v>56900</v>
          </cell>
        </row>
        <row r="1154">
          <cell r="A1154">
            <v>45420</v>
          </cell>
          <cell r="B1154">
            <v>51600</v>
          </cell>
          <cell r="C1154">
            <v>53000</v>
          </cell>
          <cell r="D1154">
            <v>52600</v>
          </cell>
          <cell r="E1154">
            <v>49000</v>
          </cell>
          <cell r="F1154">
            <v>53400</v>
          </cell>
          <cell r="G1154" t="str">
            <v>-</v>
          </cell>
          <cell r="H1154">
            <v>51000</v>
          </cell>
          <cell r="I1154">
            <v>52200</v>
          </cell>
          <cell r="J1154">
            <v>53500</v>
          </cell>
          <cell r="K1154" t="str">
            <v>-</v>
          </cell>
          <cell r="L1154">
            <v>53000</v>
          </cell>
          <cell r="M1154">
            <v>53400</v>
          </cell>
          <cell r="N1154">
            <v>51700</v>
          </cell>
          <cell r="O1154">
            <v>50600</v>
          </cell>
          <cell r="P1154">
            <v>48200</v>
          </cell>
          <cell r="Q1154">
            <v>48300</v>
          </cell>
          <cell r="R1154">
            <v>49000</v>
          </cell>
          <cell r="S1154">
            <v>51100</v>
          </cell>
          <cell r="T1154">
            <v>51800</v>
          </cell>
          <cell r="U1154">
            <v>53300</v>
          </cell>
          <cell r="V1154">
            <v>53700</v>
          </cell>
          <cell r="W1154">
            <v>56900</v>
          </cell>
        </row>
        <row r="1155">
          <cell r="A1155">
            <v>45421</v>
          </cell>
          <cell r="B1155">
            <v>51600</v>
          </cell>
          <cell r="C1155">
            <v>53200</v>
          </cell>
          <cell r="D1155">
            <v>52000</v>
          </cell>
          <cell r="E1155">
            <v>48600</v>
          </cell>
          <cell r="F1155">
            <v>53400</v>
          </cell>
          <cell r="G1155" t="str">
            <v>-</v>
          </cell>
          <cell r="H1155">
            <v>51000</v>
          </cell>
          <cell r="I1155">
            <v>51400</v>
          </cell>
          <cell r="J1155">
            <v>53500</v>
          </cell>
          <cell r="K1155" t="str">
            <v>-</v>
          </cell>
          <cell r="L1155">
            <v>52700</v>
          </cell>
          <cell r="M1155">
            <v>53400</v>
          </cell>
          <cell r="N1155">
            <v>50800</v>
          </cell>
          <cell r="O1155">
            <v>50200</v>
          </cell>
          <cell r="P1155">
            <v>47700</v>
          </cell>
          <cell r="Q1155">
            <v>48000</v>
          </cell>
          <cell r="R1155">
            <v>48500</v>
          </cell>
          <cell r="S1155">
            <v>50700</v>
          </cell>
          <cell r="T1155">
            <v>51500</v>
          </cell>
          <cell r="U1155">
            <v>53300</v>
          </cell>
          <cell r="V1155">
            <v>53700</v>
          </cell>
          <cell r="W1155">
            <v>56900</v>
          </cell>
        </row>
        <row r="1156">
          <cell r="A1156">
            <v>45422</v>
          </cell>
          <cell r="B1156">
            <v>51600</v>
          </cell>
          <cell r="C1156">
            <v>53200</v>
          </cell>
          <cell r="D1156">
            <v>51700</v>
          </cell>
          <cell r="E1156">
            <v>48200</v>
          </cell>
          <cell r="F1156">
            <v>53400</v>
          </cell>
          <cell r="G1156" t="str">
            <v>-</v>
          </cell>
          <cell r="H1156">
            <v>50500</v>
          </cell>
          <cell r="I1156">
            <v>51200</v>
          </cell>
          <cell r="J1156">
            <v>53100</v>
          </cell>
          <cell r="K1156" t="str">
            <v>-</v>
          </cell>
          <cell r="L1156">
            <v>52600</v>
          </cell>
          <cell r="M1156">
            <v>53300</v>
          </cell>
          <cell r="N1156">
            <v>50500</v>
          </cell>
          <cell r="O1156">
            <v>50200</v>
          </cell>
          <cell r="P1156">
            <v>47200</v>
          </cell>
          <cell r="Q1156">
            <v>47600</v>
          </cell>
          <cell r="R1156">
            <v>48300</v>
          </cell>
          <cell r="S1156">
            <v>50300</v>
          </cell>
          <cell r="T1156">
            <v>51300</v>
          </cell>
          <cell r="U1156" t="str">
            <v>-</v>
          </cell>
          <cell r="V1156">
            <v>53700</v>
          </cell>
          <cell r="W1156">
            <v>56900</v>
          </cell>
        </row>
        <row r="1157">
          <cell r="A1157">
            <v>45423</v>
          </cell>
          <cell r="B1157">
            <v>51200</v>
          </cell>
          <cell r="C1157">
            <v>53200</v>
          </cell>
          <cell r="D1157">
            <v>51100</v>
          </cell>
          <cell r="E1157">
            <v>48000</v>
          </cell>
          <cell r="F1157">
            <v>53200</v>
          </cell>
          <cell r="G1157" t="str">
            <v>-</v>
          </cell>
          <cell r="H1157">
            <v>50000</v>
          </cell>
          <cell r="I1157">
            <v>50200</v>
          </cell>
          <cell r="J1157">
            <v>52800</v>
          </cell>
          <cell r="K1157" t="str">
            <v>-</v>
          </cell>
          <cell r="L1157">
            <v>52100</v>
          </cell>
          <cell r="M1157">
            <v>53300</v>
          </cell>
          <cell r="N1157">
            <v>50200</v>
          </cell>
          <cell r="O1157">
            <v>49800</v>
          </cell>
          <cell r="P1157">
            <v>46800</v>
          </cell>
          <cell r="Q1157">
            <v>47200</v>
          </cell>
          <cell r="R1157">
            <v>47800</v>
          </cell>
          <cell r="S1157">
            <v>50100</v>
          </cell>
          <cell r="T1157">
            <v>51000</v>
          </cell>
          <cell r="U1157">
            <v>52300</v>
          </cell>
          <cell r="V1157">
            <v>53500</v>
          </cell>
          <cell r="W1157">
            <v>56600</v>
          </cell>
        </row>
        <row r="1158">
          <cell r="A1158">
            <v>45424</v>
          </cell>
          <cell r="B1158" t="str">
            <v>H</v>
          </cell>
          <cell r="C1158" t="str">
            <v>H</v>
          </cell>
          <cell r="D1158" t="str">
            <v>H</v>
          </cell>
          <cell r="E1158" t="str">
            <v>H</v>
          </cell>
          <cell r="F1158" t="str">
            <v>H</v>
          </cell>
          <cell r="G1158" t="str">
            <v>H</v>
          </cell>
          <cell r="H1158" t="str">
            <v>H</v>
          </cell>
          <cell r="I1158" t="str">
            <v>H</v>
          </cell>
          <cell r="J1158" t="str">
            <v>H</v>
          </cell>
          <cell r="K1158" t="str">
            <v>H</v>
          </cell>
          <cell r="L1158" t="str">
            <v>H</v>
          </cell>
          <cell r="M1158" t="str">
            <v>H</v>
          </cell>
          <cell r="N1158" t="str">
            <v>H</v>
          </cell>
          <cell r="O1158" t="str">
            <v>H</v>
          </cell>
          <cell r="P1158" t="str">
            <v>H</v>
          </cell>
          <cell r="Q1158" t="str">
            <v>H</v>
          </cell>
          <cell r="R1158" t="str">
            <v>H</v>
          </cell>
          <cell r="S1158" t="str">
            <v>H</v>
          </cell>
          <cell r="T1158" t="str">
            <v>H</v>
          </cell>
          <cell r="U1158" t="str">
            <v>H</v>
          </cell>
          <cell r="V1158" t="str">
            <v>H</v>
          </cell>
          <cell r="W1158" t="str">
            <v>H</v>
          </cell>
        </row>
        <row r="1159">
          <cell r="A1159">
            <v>45425</v>
          </cell>
          <cell r="B1159">
            <v>50800</v>
          </cell>
          <cell r="C1159">
            <v>53000</v>
          </cell>
          <cell r="D1159">
            <v>50900</v>
          </cell>
          <cell r="E1159">
            <v>47400</v>
          </cell>
          <cell r="F1159">
            <v>52800</v>
          </cell>
          <cell r="G1159" t="str">
            <v>-</v>
          </cell>
          <cell r="H1159">
            <v>50500</v>
          </cell>
          <cell r="I1159">
            <v>49700</v>
          </cell>
          <cell r="J1159">
            <v>52800</v>
          </cell>
          <cell r="K1159" t="str">
            <v>-</v>
          </cell>
          <cell r="L1159">
            <v>51500</v>
          </cell>
          <cell r="M1159">
            <v>53300</v>
          </cell>
          <cell r="N1159">
            <v>49700</v>
          </cell>
          <cell r="O1159">
            <v>49200</v>
          </cell>
          <cell r="P1159">
            <v>46500</v>
          </cell>
          <cell r="Q1159">
            <v>47000</v>
          </cell>
          <cell r="R1159">
            <v>47500</v>
          </cell>
          <cell r="S1159">
            <v>49500</v>
          </cell>
          <cell r="T1159">
            <v>50800</v>
          </cell>
          <cell r="U1159">
            <v>52300</v>
          </cell>
          <cell r="V1159">
            <v>53200</v>
          </cell>
          <cell r="W1159">
            <v>55700</v>
          </cell>
        </row>
        <row r="1160">
          <cell r="A1160">
            <v>45426</v>
          </cell>
          <cell r="B1160">
            <v>50600</v>
          </cell>
          <cell r="C1160">
            <v>53000</v>
          </cell>
          <cell r="D1160">
            <v>50600</v>
          </cell>
          <cell r="E1160">
            <v>47200</v>
          </cell>
          <cell r="F1160">
            <v>52700</v>
          </cell>
          <cell r="G1160" t="str">
            <v>-</v>
          </cell>
          <cell r="H1160">
            <v>50500</v>
          </cell>
          <cell r="I1160">
            <v>49700</v>
          </cell>
          <cell r="J1160">
            <v>52400</v>
          </cell>
          <cell r="K1160" t="str">
            <v>-</v>
          </cell>
          <cell r="L1160">
            <v>51300</v>
          </cell>
          <cell r="M1160">
            <v>53200</v>
          </cell>
          <cell r="N1160">
            <v>49400</v>
          </cell>
          <cell r="O1160">
            <v>49000</v>
          </cell>
          <cell r="P1160">
            <v>46700</v>
          </cell>
          <cell r="Q1160">
            <v>47200</v>
          </cell>
          <cell r="R1160">
            <v>47200</v>
          </cell>
          <cell r="S1160">
            <v>49300</v>
          </cell>
          <cell r="T1160">
            <v>50500</v>
          </cell>
          <cell r="U1160">
            <v>52300</v>
          </cell>
          <cell r="V1160">
            <v>52900</v>
          </cell>
          <cell r="W1160">
            <v>55700</v>
          </cell>
        </row>
        <row r="1161">
          <cell r="A1161">
            <v>45427</v>
          </cell>
          <cell r="B1161">
            <v>50800</v>
          </cell>
          <cell r="C1161">
            <v>52800</v>
          </cell>
          <cell r="D1161">
            <v>50600</v>
          </cell>
          <cell r="E1161">
            <v>47100</v>
          </cell>
          <cell r="F1161">
            <v>52500</v>
          </cell>
          <cell r="G1161" t="str">
            <v>-</v>
          </cell>
          <cell r="H1161">
            <v>50000</v>
          </cell>
          <cell r="I1161">
            <v>49700</v>
          </cell>
          <cell r="J1161">
            <v>52400</v>
          </cell>
          <cell r="K1161" t="str">
            <v>-</v>
          </cell>
          <cell r="L1161">
            <v>51200</v>
          </cell>
          <cell r="M1161">
            <v>53200</v>
          </cell>
          <cell r="N1161">
            <v>49600</v>
          </cell>
          <cell r="O1161">
            <v>49000</v>
          </cell>
          <cell r="P1161">
            <v>46700</v>
          </cell>
          <cell r="Q1161">
            <v>47200</v>
          </cell>
          <cell r="R1161">
            <v>47000</v>
          </cell>
          <cell r="S1161">
            <v>49200</v>
          </cell>
          <cell r="T1161">
            <v>50500</v>
          </cell>
          <cell r="U1161">
            <v>52300</v>
          </cell>
          <cell r="V1161">
            <v>52700</v>
          </cell>
          <cell r="W1161">
            <v>55500</v>
          </cell>
        </row>
        <row r="1162">
          <cell r="A1162">
            <v>45428</v>
          </cell>
          <cell r="B1162">
            <v>51000</v>
          </cell>
          <cell r="C1162">
            <v>52800</v>
          </cell>
          <cell r="D1162">
            <v>50900</v>
          </cell>
          <cell r="E1162">
            <v>47400</v>
          </cell>
          <cell r="F1162">
            <v>52500</v>
          </cell>
          <cell r="G1162" t="str">
            <v>-</v>
          </cell>
          <cell r="H1162">
            <v>50000</v>
          </cell>
          <cell r="I1162">
            <v>50100</v>
          </cell>
          <cell r="J1162">
            <v>52300</v>
          </cell>
          <cell r="K1162" t="str">
            <v>-</v>
          </cell>
          <cell r="L1162">
            <v>51500</v>
          </cell>
          <cell r="M1162">
            <v>53200</v>
          </cell>
          <cell r="N1162">
            <v>49900</v>
          </cell>
          <cell r="O1162">
            <v>49200</v>
          </cell>
          <cell r="P1162">
            <v>47000</v>
          </cell>
          <cell r="Q1162">
            <v>47500</v>
          </cell>
          <cell r="R1162">
            <v>47500</v>
          </cell>
          <cell r="S1162">
            <v>49500</v>
          </cell>
          <cell r="T1162">
            <v>50700</v>
          </cell>
          <cell r="U1162">
            <v>52300</v>
          </cell>
          <cell r="V1162">
            <v>52700</v>
          </cell>
          <cell r="W1162">
            <v>55500</v>
          </cell>
        </row>
        <row r="1163">
          <cell r="A1163">
            <v>45429</v>
          </cell>
          <cell r="B1163">
            <v>51200</v>
          </cell>
          <cell r="C1163">
            <v>52800</v>
          </cell>
          <cell r="D1163">
            <v>50900</v>
          </cell>
          <cell r="E1163">
            <v>47900</v>
          </cell>
          <cell r="F1163">
            <v>52700</v>
          </cell>
          <cell r="G1163" t="str">
            <v>-</v>
          </cell>
          <cell r="H1163">
            <v>50500</v>
          </cell>
          <cell r="I1163">
            <v>50300</v>
          </cell>
          <cell r="J1163">
            <v>52300</v>
          </cell>
          <cell r="K1163" t="str">
            <v>-</v>
          </cell>
          <cell r="L1163">
            <v>51700</v>
          </cell>
          <cell r="M1163">
            <v>53300</v>
          </cell>
          <cell r="N1163">
            <v>50200</v>
          </cell>
          <cell r="O1163">
            <v>49200</v>
          </cell>
          <cell r="P1163">
            <v>47200</v>
          </cell>
          <cell r="Q1163">
            <v>47800</v>
          </cell>
          <cell r="R1163">
            <v>47800</v>
          </cell>
          <cell r="S1163">
            <v>50000</v>
          </cell>
          <cell r="T1163">
            <v>51000</v>
          </cell>
          <cell r="U1163">
            <v>52300</v>
          </cell>
          <cell r="V1163">
            <v>52700</v>
          </cell>
          <cell r="W1163">
            <v>55500</v>
          </cell>
        </row>
        <row r="1164">
          <cell r="A1164">
            <v>45430</v>
          </cell>
          <cell r="B1164">
            <v>51200</v>
          </cell>
          <cell r="C1164">
            <v>52700</v>
          </cell>
          <cell r="D1164">
            <v>50700</v>
          </cell>
          <cell r="E1164">
            <v>47600</v>
          </cell>
          <cell r="F1164">
            <v>52700</v>
          </cell>
          <cell r="G1164" t="str">
            <v>-</v>
          </cell>
          <cell r="H1164">
            <v>50000</v>
          </cell>
          <cell r="I1164">
            <v>50000</v>
          </cell>
          <cell r="J1164">
            <v>52400</v>
          </cell>
          <cell r="K1164" t="str">
            <v>-</v>
          </cell>
          <cell r="L1164">
            <v>51700</v>
          </cell>
          <cell r="M1164">
            <v>53200</v>
          </cell>
          <cell r="N1164">
            <v>49900</v>
          </cell>
          <cell r="O1164">
            <v>49200</v>
          </cell>
          <cell r="P1164">
            <v>47000</v>
          </cell>
          <cell r="Q1164">
            <v>47800</v>
          </cell>
          <cell r="R1164">
            <v>47500</v>
          </cell>
          <cell r="S1164">
            <v>49700</v>
          </cell>
          <cell r="T1164">
            <v>51000</v>
          </cell>
          <cell r="U1164">
            <v>52300</v>
          </cell>
          <cell r="V1164">
            <v>52700</v>
          </cell>
          <cell r="W1164">
            <v>55500</v>
          </cell>
        </row>
        <row r="1165">
          <cell r="A1165">
            <v>45431</v>
          </cell>
          <cell r="B1165" t="str">
            <v>H</v>
          </cell>
          <cell r="C1165" t="str">
            <v>H</v>
          </cell>
          <cell r="D1165" t="str">
            <v>H</v>
          </cell>
          <cell r="E1165" t="str">
            <v>H</v>
          </cell>
          <cell r="F1165" t="str">
            <v>H</v>
          </cell>
          <cell r="G1165" t="str">
            <v>H</v>
          </cell>
          <cell r="H1165" t="str">
            <v>H</v>
          </cell>
          <cell r="I1165" t="str">
            <v>H</v>
          </cell>
          <cell r="J1165" t="str">
            <v>H</v>
          </cell>
          <cell r="K1165" t="str">
            <v>H</v>
          </cell>
          <cell r="L1165" t="str">
            <v>H</v>
          </cell>
          <cell r="M1165" t="str">
            <v>H</v>
          </cell>
          <cell r="N1165" t="str">
            <v>H</v>
          </cell>
          <cell r="O1165" t="str">
            <v>H</v>
          </cell>
          <cell r="P1165" t="str">
            <v>H</v>
          </cell>
          <cell r="Q1165" t="str">
            <v>H</v>
          </cell>
          <cell r="R1165" t="str">
            <v>H</v>
          </cell>
          <cell r="S1165" t="str">
            <v>H</v>
          </cell>
          <cell r="T1165" t="str">
            <v>H</v>
          </cell>
          <cell r="U1165" t="str">
            <v>H</v>
          </cell>
          <cell r="V1165" t="str">
            <v>H</v>
          </cell>
          <cell r="W1165" t="str">
            <v>H</v>
          </cell>
        </row>
        <row r="1166">
          <cell r="A1166">
            <v>45432</v>
          </cell>
          <cell r="B1166">
            <v>51000</v>
          </cell>
          <cell r="C1166">
            <v>52500</v>
          </cell>
          <cell r="D1166">
            <v>50700</v>
          </cell>
          <cell r="E1166">
            <v>47600</v>
          </cell>
          <cell r="F1166">
            <v>52700</v>
          </cell>
          <cell r="G1166" t="str">
            <v>-</v>
          </cell>
          <cell r="H1166">
            <v>50000</v>
          </cell>
          <cell r="I1166">
            <v>50000</v>
          </cell>
          <cell r="J1166">
            <v>52200</v>
          </cell>
          <cell r="K1166" t="str">
            <v>-</v>
          </cell>
          <cell r="L1166">
            <v>51700</v>
          </cell>
          <cell r="M1166">
            <v>53200</v>
          </cell>
          <cell r="N1166">
            <v>50000</v>
          </cell>
          <cell r="O1166">
            <v>49200</v>
          </cell>
          <cell r="P1166">
            <v>47000</v>
          </cell>
          <cell r="Q1166">
            <v>47800</v>
          </cell>
          <cell r="R1166">
            <v>47500</v>
          </cell>
          <cell r="S1166">
            <v>49700</v>
          </cell>
          <cell r="T1166">
            <v>51000</v>
          </cell>
          <cell r="U1166">
            <v>52300</v>
          </cell>
          <cell r="V1166">
            <v>52400</v>
          </cell>
          <cell r="W1166">
            <v>54700</v>
          </cell>
        </row>
        <row r="1167">
          <cell r="A1167">
            <v>45433</v>
          </cell>
          <cell r="B1167">
            <v>51000</v>
          </cell>
          <cell r="C1167">
            <v>52300</v>
          </cell>
          <cell r="D1167">
            <v>50700</v>
          </cell>
          <cell r="E1167">
            <v>47500</v>
          </cell>
          <cell r="F1167">
            <v>52200</v>
          </cell>
          <cell r="G1167" t="str">
            <v>-</v>
          </cell>
          <cell r="H1167">
            <v>50000</v>
          </cell>
          <cell r="I1167">
            <v>50200</v>
          </cell>
          <cell r="J1167">
            <v>52200</v>
          </cell>
          <cell r="K1167" t="str">
            <v>-</v>
          </cell>
          <cell r="L1167">
            <v>51700</v>
          </cell>
          <cell r="M1167">
            <v>53200</v>
          </cell>
          <cell r="N1167">
            <v>49700</v>
          </cell>
          <cell r="O1167">
            <v>49500</v>
          </cell>
          <cell r="P1167">
            <v>47200</v>
          </cell>
          <cell r="Q1167">
            <v>47700</v>
          </cell>
          <cell r="R1167">
            <v>47700</v>
          </cell>
          <cell r="S1167">
            <v>49600</v>
          </cell>
          <cell r="T1167">
            <v>50700</v>
          </cell>
          <cell r="U1167">
            <v>52300</v>
          </cell>
          <cell r="V1167">
            <v>52300</v>
          </cell>
          <cell r="W1167">
            <v>54600</v>
          </cell>
        </row>
        <row r="1168">
          <cell r="A1168">
            <v>45434</v>
          </cell>
          <cell r="B1168">
            <v>51000</v>
          </cell>
          <cell r="C1168">
            <v>52300</v>
          </cell>
          <cell r="D1168">
            <v>50800</v>
          </cell>
          <cell r="E1168">
            <v>47600</v>
          </cell>
          <cell r="F1168">
            <v>52200</v>
          </cell>
          <cell r="G1168" t="str">
            <v>-</v>
          </cell>
          <cell r="H1168">
            <v>50000</v>
          </cell>
          <cell r="I1168">
            <v>50300</v>
          </cell>
          <cell r="J1168">
            <v>52200</v>
          </cell>
          <cell r="K1168" t="str">
            <v>-</v>
          </cell>
          <cell r="L1168">
            <v>51900</v>
          </cell>
          <cell r="M1168">
            <v>53200</v>
          </cell>
          <cell r="N1168">
            <v>50000</v>
          </cell>
          <cell r="O1168">
            <v>49600</v>
          </cell>
          <cell r="P1168">
            <v>47400</v>
          </cell>
          <cell r="Q1168">
            <v>47900</v>
          </cell>
          <cell r="R1168">
            <v>47800</v>
          </cell>
          <cell r="S1168">
            <v>49700</v>
          </cell>
          <cell r="T1168">
            <v>51000</v>
          </cell>
          <cell r="U1168">
            <v>52300</v>
          </cell>
          <cell r="V1168">
            <v>52200</v>
          </cell>
          <cell r="W1168">
            <v>54600</v>
          </cell>
        </row>
        <row r="1169">
          <cell r="A1169">
            <v>45435</v>
          </cell>
          <cell r="B1169">
            <v>51000</v>
          </cell>
          <cell r="C1169">
            <v>52200</v>
          </cell>
          <cell r="D1169">
            <v>50700</v>
          </cell>
          <cell r="E1169">
            <v>47400</v>
          </cell>
          <cell r="F1169">
            <v>52000</v>
          </cell>
          <cell r="G1169" t="str">
            <v>-</v>
          </cell>
          <cell r="H1169">
            <v>49500</v>
          </cell>
          <cell r="I1169">
            <v>50000</v>
          </cell>
          <cell r="J1169">
            <v>52300</v>
          </cell>
          <cell r="K1169" t="str">
            <v>-</v>
          </cell>
          <cell r="L1169">
            <v>51700</v>
          </cell>
          <cell r="M1169">
            <v>53100</v>
          </cell>
          <cell r="N1169">
            <v>49700</v>
          </cell>
          <cell r="O1169">
            <v>49400</v>
          </cell>
          <cell r="P1169">
            <v>47400</v>
          </cell>
          <cell r="Q1169">
            <v>47900</v>
          </cell>
          <cell r="R1169">
            <v>47700</v>
          </cell>
          <cell r="S1169">
            <v>49500</v>
          </cell>
          <cell r="T1169">
            <v>51000</v>
          </cell>
          <cell r="U1169">
            <v>52300</v>
          </cell>
          <cell r="V1169">
            <v>52100</v>
          </cell>
          <cell r="W1169">
            <v>54500</v>
          </cell>
        </row>
        <row r="1170">
          <cell r="A1170">
            <v>45436</v>
          </cell>
          <cell r="B1170">
            <v>50800</v>
          </cell>
          <cell r="C1170">
            <v>52000</v>
          </cell>
          <cell r="D1170">
            <v>50700</v>
          </cell>
          <cell r="E1170">
            <v>47400</v>
          </cell>
          <cell r="F1170">
            <v>52000</v>
          </cell>
          <cell r="G1170" t="str">
            <v>-</v>
          </cell>
          <cell r="H1170">
            <v>49500</v>
          </cell>
          <cell r="I1170">
            <v>50000</v>
          </cell>
          <cell r="J1170">
            <v>52300</v>
          </cell>
          <cell r="K1170" t="str">
            <v>-</v>
          </cell>
          <cell r="L1170">
            <v>51700</v>
          </cell>
          <cell r="M1170">
            <v>53100</v>
          </cell>
          <cell r="N1170">
            <v>49800</v>
          </cell>
          <cell r="O1170">
            <v>49600</v>
          </cell>
          <cell r="P1170">
            <v>47400</v>
          </cell>
          <cell r="Q1170">
            <v>47900</v>
          </cell>
          <cell r="R1170">
            <v>47700</v>
          </cell>
          <cell r="S1170">
            <v>49500</v>
          </cell>
          <cell r="T1170">
            <v>51000</v>
          </cell>
          <cell r="U1170">
            <v>52300</v>
          </cell>
          <cell r="V1170">
            <v>52000</v>
          </cell>
          <cell r="W1170">
            <v>54500</v>
          </cell>
        </row>
        <row r="1171">
          <cell r="A1171">
            <v>45437</v>
          </cell>
          <cell r="B1171">
            <v>50600</v>
          </cell>
          <cell r="C1171">
            <v>52000</v>
          </cell>
          <cell r="D1171">
            <v>50500</v>
          </cell>
          <cell r="E1171">
            <v>47200</v>
          </cell>
          <cell r="F1171">
            <v>51500</v>
          </cell>
          <cell r="G1171" t="str">
            <v>-</v>
          </cell>
          <cell r="H1171">
            <v>49500</v>
          </cell>
          <cell r="I1171">
            <v>49800</v>
          </cell>
          <cell r="J1171">
            <v>52100</v>
          </cell>
          <cell r="K1171" t="str">
            <v>-</v>
          </cell>
          <cell r="L1171">
            <v>51500</v>
          </cell>
          <cell r="M1171">
            <v>52800</v>
          </cell>
          <cell r="N1171">
            <v>49400</v>
          </cell>
          <cell r="O1171">
            <v>49200</v>
          </cell>
          <cell r="P1171">
            <v>47000</v>
          </cell>
          <cell r="Q1171">
            <v>47600</v>
          </cell>
          <cell r="R1171">
            <v>47500</v>
          </cell>
          <cell r="S1171">
            <v>49300</v>
          </cell>
          <cell r="T1171">
            <v>50600</v>
          </cell>
          <cell r="U1171">
            <v>52300</v>
          </cell>
          <cell r="V1171">
            <v>52000</v>
          </cell>
          <cell r="W1171">
            <v>54500</v>
          </cell>
        </row>
        <row r="1172">
          <cell r="A1172">
            <v>45438</v>
          </cell>
          <cell r="B1172" t="str">
            <v>H</v>
          </cell>
          <cell r="C1172" t="str">
            <v>H</v>
          </cell>
          <cell r="D1172" t="str">
            <v>H</v>
          </cell>
          <cell r="E1172" t="str">
            <v>H</v>
          </cell>
          <cell r="F1172" t="str">
            <v>H</v>
          </cell>
          <cell r="G1172" t="str">
            <v>H</v>
          </cell>
          <cell r="H1172" t="str">
            <v>H</v>
          </cell>
          <cell r="I1172" t="str">
            <v>H</v>
          </cell>
          <cell r="J1172" t="str">
            <v>H</v>
          </cell>
          <cell r="K1172" t="str">
            <v>H</v>
          </cell>
          <cell r="L1172" t="str">
            <v>H</v>
          </cell>
          <cell r="M1172" t="str">
            <v>H</v>
          </cell>
          <cell r="N1172" t="str">
            <v>H</v>
          </cell>
          <cell r="O1172" t="str">
            <v>H</v>
          </cell>
          <cell r="P1172" t="str">
            <v>H</v>
          </cell>
          <cell r="Q1172" t="str">
            <v>H</v>
          </cell>
          <cell r="R1172" t="str">
            <v>H</v>
          </cell>
          <cell r="S1172" t="str">
            <v>H</v>
          </cell>
          <cell r="T1172" t="str">
            <v>H</v>
          </cell>
          <cell r="U1172" t="str">
            <v>H</v>
          </cell>
          <cell r="V1172" t="str">
            <v>H</v>
          </cell>
          <cell r="W1172" t="str">
            <v>H</v>
          </cell>
        </row>
        <row r="1173">
          <cell r="A1173">
            <v>45439</v>
          </cell>
          <cell r="B1173">
            <v>50400</v>
          </cell>
          <cell r="C1173">
            <v>51800</v>
          </cell>
          <cell r="D1173">
            <v>50400</v>
          </cell>
          <cell r="E1173">
            <v>47200</v>
          </cell>
          <cell r="F1173">
            <v>51300</v>
          </cell>
          <cell r="G1173" t="str">
            <v>-</v>
          </cell>
          <cell r="H1173">
            <v>49500</v>
          </cell>
          <cell r="I1173">
            <v>49600</v>
          </cell>
          <cell r="J1173">
            <v>51800</v>
          </cell>
          <cell r="K1173" t="str">
            <v>-</v>
          </cell>
          <cell r="L1173">
            <v>51300</v>
          </cell>
          <cell r="M1173">
            <v>52700</v>
          </cell>
          <cell r="N1173">
            <v>49400</v>
          </cell>
          <cell r="O1173">
            <v>49000</v>
          </cell>
          <cell r="P1173">
            <v>47100</v>
          </cell>
          <cell r="Q1173">
            <v>47600</v>
          </cell>
          <cell r="R1173">
            <v>47500</v>
          </cell>
          <cell r="S1173">
            <v>49300</v>
          </cell>
          <cell r="T1173">
            <v>50600</v>
          </cell>
          <cell r="U1173">
            <v>52300</v>
          </cell>
          <cell r="V1173">
            <v>51600</v>
          </cell>
          <cell r="W1173">
            <v>54000</v>
          </cell>
        </row>
        <row r="1174">
          <cell r="A1174">
            <v>45440</v>
          </cell>
          <cell r="B1174">
            <v>50300</v>
          </cell>
          <cell r="C1174">
            <v>51500</v>
          </cell>
          <cell r="D1174">
            <v>50400</v>
          </cell>
          <cell r="E1174">
            <v>46900</v>
          </cell>
          <cell r="F1174">
            <v>51100</v>
          </cell>
          <cell r="G1174" t="str">
            <v>-</v>
          </cell>
          <cell r="H1174">
            <v>49000</v>
          </cell>
          <cell r="I1174">
            <v>49500</v>
          </cell>
          <cell r="J1174">
            <v>51400</v>
          </cell>
          <cell r="K1174" t="str">
            <v>-</v>
          </cell>
          <cell r="L1174">
            <v>51300</v>
          </cell>
          <cell r="M1174">
            <v>52700</v>
          </cell>
          <cell r="N1174">
            <v>49200</v>
          </cell>
          <cell r="O1174">
            <v>48700</v>
          </cell>
          <cell r="P1174">
            <v>47200</v>
          </cell>
          <cell r="Q1174">
            <v>47600</v>
          </cell>
          <cell r="R1174">
            <v>46800</v>
          </cell>
          <cell r="S1174">
            <v>49000</v>
          </cell>
          <cell r="T1174">
            <v>50400</v>
          </cell>
          <cell r="U1174">
            <v>52300</v>
          </cell>
          <cell r="V1174">
            <v>51500</v>
          </cell>
          <cell r="W1174">
            <v>53700</v>
          </cell>
        </row>
        <row r="1175">
          <cell r="A1175">
            <v>45441</v>
          </cell>
          <cell r="B1175">
            <v>50500</v>
          </cell>
          <cell r="C1175">
            <v>51200</v>
          </cell>
          <cell r="D1175">
            <v>50500</v>
          </cell>
          <cell r="E1175">
            <v>46900</v>
          </cell>
          <cell r="F1175">
            <v>51100</v>
          </cell>
          <cell r="G1175" t="str">
            <v>-</v>
          </cell>
          <cell r="H1175">
            <v>49000</v>
          </cell>
          <cell r="I1175">
            <v>49800</v>
          </cell>
          <cell r="J1175">
            <v>51400</v>
          </cell>
          <cell r="K1175" t="str">
            <v>-</v>
          </cell>
          <cell r="L1175">
            <v>51500</v>
          </cell>
          <cell r="M1175">
            <v>52500</v>
          </cell>
          <cell r="N1175">
            <v>49800</v>
          </cell>
          <cell r="O1175">
            <v>49150</v>
          </cell>
          <cell r="P1175">
            <v>47500</v>
          </cell>
          <cell r="Q1175">
            <v>47900</v>
          </cell>
          <cell r="R1175">
            <v>47500</v>
          </cell>
          <cell r="S1175">
            <v>49000</v>
          </cell>
          <cell r="T1175">
            <v>50600</v>
          </cell>
          <cell r="U1175">
            <v>52300</v>
          </cell>
          <cell r="V1175">
            <v>51500</v>
          </cell>
          <cell r="W1175">
            <v>53700</v>
          </cell>
        </row>
        <row r="1176">
          <cell r="A1176">
            <v>45442</v>
          </cell>
          <cell r="B1176">
            <v>50500</v>
          </cell>
          <cell r="C1176">
            <v>51000</v>
          </cell>
          <cell r="D1176">
            <v>50700</v>
          </cell>
          <cell r="E1176">
            <v>47300</v>
          </cell>
          <cell r="F1176">
            <v>51300</v>
          </cell>
          <cell r="G1176" t="str">
            <v>-</v>
          </cell>
          <cell r="H1176">
            <v>49000</v>
          </cell>
          <cell r="I1176">
            <v>50200</v>
          </cell>
          <cell r="J1176">
            <v>51800</v>
          </cell>
          <cell r="K1176" t="str">
            <v>-</v>
          </cell>
          <cell r="L1176">
            <v>51600</v>
          </cell>
          <cell r="M1176">
            <v>52600</v>
          </cell>
          <cell r="N1176">
            <v>49800</v>
          </cell>
          <cell r="O1176">
            <v>49200</v>
          </cell>
          <cell r="P1176">
            <v>47400</v>
          </cell>
          <cell r="Q1176">
            <v>48000</v>
          </cell>
          <cell r="R1176">
            <v>47500</v>
          </cell>
          <cell r="S1176">
            <v>49400</v>
          </cell>
          <cell r="T1176">
            <v>50600</v>
          </cell>
          <cell r="U1176">
            <v>52300</v>
          </cell>
          <cell r="V1176">
            <v>51500</v>
          </cell>
          <cell r="W1176">
            <v>53700</v>
          </cell>
        </row>
        <row r="1177">
          <cell r="A1177">
            <v>45443</v>
          </cell>
          <cell r="B1177">
            <v>50700</v>
          </cell>
          <cell r="C1177">
            <v>51000</v>
          </cell>
          <cell r="D1177">
            <v>50800</v>
          </cell>
          <cell r="E1177">
            <v>47500</v>
          </cell>
          <cell r="F1177">
            <v>51200</v>
          </cell>
          <cell r="G1177" t="str">
            <v>-</v>
          </cell>
          <cell r="H1177">
            <v>49500</v>
          </cell>
          <cell r="I1177">
            <v>50400</v>
          </cell>
          <cell r="J1177">
            <v>52000</v>
          </cell>
          <cell r="K1177" t="str">
            <v>-</v>
          </cell>
          <cell r="L1177">
            <v>51900</v>
          </cell>
          <cell r="M1177">
            <v>52600</v>
          </cell>
          <cell r="N1177">
            <v>50200</v>
          </cell>
          <cell r="O1177">
            <v>49500</v>
          </cell>
          <cell r="P1177">
            <v>48000</v>
          </cell>
          <cell r="Q1177">
            <v>48100</v>
          </cell>
          <cell r="R1177">
            <v>47800</v>
          </cell>
          <cell r="S1177">
            <v>49600</v>
          </cell>
          <cell r="T1177">
            <v>51000</v>
          </cell>
          <cell r="U1177">
            <v>52300</v>
          </cell>
          <cell r="V1177">
            <v>51400</v>
          </cell>
          <cell r="W1177">
            <v>53700</v>
          </cell>
        </row>
        <row r="1178">
          <cell r="A1178">
            <v>45444</v>
          </cell>
          <cell r="B1178">
            <v>50700</v>
          </cell>
          <cell r="C1178">
            <v>51000</v>
          </cell>
          <cell r="D1178">
            <v>50900</v>
          </cell>
          <cell r="E1178">
            <v>47500</v>
          </cell>
          <cell r="F1178">
            <v>51100</v>
          </cell>
          <cell r="G1178" t="str">
            <v>-</v>
          </cell>
          <cell r="H1178">
            <v>49500</v>
          </cell>
          <cell r="I1178">
            <v>50400</v>
          </cell>
          <cell r="J1178">
            <v>52000</v>
          </cell>
          <cell r="K1178" t="str">
            <v>-</v>
          </cell>
          <cell r="L1178" t="str">
            <v>-</v>
          </cell>
          <cell r="M1178">
            <v>52400</v>
          </cell>
          <cell r="N1178">
            <v>49800</v>
          </cell>
          <cell r="O1178">
            <v>49400</v>
          </cell>
          <cell r="P1178">
            <v>47900</v>
          </cell>
          <cell r="Q1178">
            <v>48100</v>
          </cell>
          <cell r="R1178">
            <v>47800</v>
          </cell>
          <cell r="S1178">
            <v>49600</v>
          </cell>
          <cell r="T1178">
            <v>51000</v>
          </cell>
          <cell r="U1178">
            <v>52300</v>
          </cell>
          <cell r="V1178">
            <v>51100</v>
          </cell>
          <cell r="W1178">
            <v>53500</v>
          </cell>
        </row>
        <row r="1179">
          <cell r="A1179">
            <v>45445</v>
          </cell>
          <cell r="B1179" t="str">
            <v>H</v>
          </cell>
          <cell r="C1179" t="str">
            <v>H</v>
          </cell>
          <cell r="D1179" t="str">
            <v>H</v>
          </cell>
          <cell r="E1179" t="str">
            <v>H</v>
          </cell>
          <cell r="F1179" t="str">
            <v>H</v>
          </cell>
          <cell r="G1179" t="str">
            <v>H</v>
          </cell>
          <cell r="H1179" t="str">
            <v>H</v>
          </cell>
          <cell r="I1179" t="str">
            <v>H</v>
          </cell>
          <cell r="J1179" t="str">
            <v>H</v>
          </cell>
          <cell r="K1179" t="str">
            <v>H</v>
          </cell>
          <cell r="L1179" t="str">
            <v>H</v>
          </cell>
          <cell r="M1179" t="str">
            <v>H</v>
          </cell>
          <cell r="N1179" t="str">
            <v>H</v>
          </cell>
          <cell r="O1179" t="str">
            <v>H</v>
          </cell>
          <cell r="P1179" t="str">
            <v>H</v>
          </cell>
          <cell r="Q1179" t="str">
            <v>H</v>
          </cell>
          <cell r="R1179" t="str">
            <v>H</v>
          </cell>
          <cell r="S1179" t="str">
            <v>H</v>
          </cell>
          <cell r="T1179" t="str">
            <v>H</v>
          </cell>
          <cell r="U1179" t="str">
            <v>H</v>
          </cell>
          <cell r="V1179" t="str">
            <v>H</v>
          </cell>
          <cell r="W1179" t="str">
            <v>H</v>
          </cell>
        </row>
        <row r="1180">
          <cell r="A1180">
            <v>45446</v>
          </cell>
          <cell r="B1180">
            <v>51500</v>
          </cell>
          <cell r="C1180">
            <v>51800</v>
          </cell>
          <cell r="D1180">
            <v>51700</v>
          </cell>
          <cell r="E1180">
            <v>48200</v>
          </cell>
          <cell r="F1180">
            <v>52200</v>
          </cell>
          <cell r="G1180" t="str">
            <v>-</v>
          </cell>
          <cell r="H1180">
            <v>50500</v>
          </cell>
          <cell r="I1180">
            <v>51300</v>
          </cell>
          <cell r="J1180">
            <v>53400</v>
          </cell>
          <cell r="K1180" t="str">
            <v>-</v>
          </cell>
          <cell r="L1180">
            <v>52400</v>
          </cell>
          <cell r="M1180">
            <v>52700</v>
          </cell>
          <cell r="N1180">
            <v>51200</v>
          </cell>
          <cell r="O1180">
            <v>50000</v>
          </cell>
          <cell r="P1180">
            <v>48700</v>
          </cell>
          <cell r="Q1180">
            <v>49100</v>
          </cell>
          <cell r="R1180">
            <v>49000</v>
          </cell>
          <cell r="S1180">
            <v>50300</v>
          </cell>
          <cell r="T1180">
            <v>52000</v>
          </cell>
          <cell r="U1180">
            <v>53300</v>
          </cell>
          <cell r="V1180">
            <v>52000</v>
          </cell>
          <cell r="W1180">
            <v>54600</v>
          </cell>
        </row>
        <row r="1181">
          <cell r="A1181">
            <v>45447</v>
          </cell>
          <cell r="B1181">
            <v>51500</v>
          </cell>
          <cell r="C1181">
            <v>51500</v>
          </cell>
          <cell r="D1181">
            <v>51700</v>
          </cell>
          <cell r="E1181">
            <v>47800</v>
          </cell>
          <cell r="F1181">
            <v>51900</v>
          </cell>
          <cell r="G1181" t="str">
            <v>-</v>
          </cell>
          <cell r="H1181">
            <v>50000</v>
          </cell>
          <cell r="I1181">
            <v>51000</v>
          </cell>
          <cell r="J1181">
            <v>53400</v>
          </cell>
          <cell r="K1181" t="str">
            <v>-</v>
          </cell>
          <cell r="L1181">
            <v>52400</v>
          </cell>
          <cell r="M1181">
            <v>52300</v>
          </cell>
          <cell r="N1181">
            <v>50900</v>
          </cell>
          <cell r="O1181">
            <v>49800</v>
          </cell>
          <cell r="P1181">
            <v>48200</v>
          </cell>
          <cell r="Q1181">
            <v>48900</v>
          </cell>
          <cell r="R1181">
            <v>48600</v>
          </cell>
          <cell r="S1181">
            <v>49900</v>
          </cell>
          <cell r="T1181">
            <v>52000</v>
          </cell>
          <cell r="U1181">
            <v>53300</v>
          </cell>
          <cell r="V1181">
            <v>52000</v>
          </cell>
          <cell r="W1181">
            <v>54700</v>
          </cell>
        </row>
        <row r="1182">
          <cell r="A1182">
            <v>45448</v>
          </cell>
          <cell r="B1182">
            <v>51300</v>
          </cell>
          <cell r="C1182">
            <v>51500</v>
          </cell>
          <cell r="D1182">
            <v>51400</v>
          </cell>
          <cell r="E1182">
            <v>47200</v>
          </cell>
          <cell r="F1182">
            <v>51900</v>
          </cell>
          <cell r="G1182" t="str">
            <v>-</v>
          </cell>
          <cell r="H1182">
            <v>49500</v>
          </cell>
          <cell r="I1182">
            <v>50800</v>
          </cell>
          <cell r="J1182">
            <v>52600</v>
          </cell>
          <cell r="K1182" t="str">
            <v>-</v>
          </cell>
          <cell r="L1182">
            <v>52200</v>
          </cell>
          <cell r="M1182">
            <v>51900</v>
          </cell>
          <cell r="N1182">
            <v>50200</v>
          </cell>
          <cell r="O1182">
            <v>49500</v>
          </cell>
          <cell r="P1182">
            <v>47800</v>
          </cell>
          <cell r="Q1182">
            <v>48400</v>
          </cell>
          <cell r="R1182">
            <v>48300</v>
          </cell>
          <cell r="S1182">
            <v>49300</v>
          </cell>
          <cell r="T1182">
            <v>51700</v>
          </cell>
          <cell r="U1182">
            <v>53300</v>
          </cell>
          <cell r="V1182">
            <v>52000</v>
          </cell>
          <cell r="W1182">
            <v>54500</v>
          </cell>
        </row>
        <row r="1183">
          <cell r="A1183">
            <v>45449</v>
          </cell>
          <cell r="B1183">
            <v>51200</v>
          </cell>
          <cell r="C1183">
            <v>51700</v>
          </cell>
          <cell r="D1183">
            <v>51200</v>
          </cell>
          <cell r="E1183">
            <v>46900</v>
          </cell>
          <cell r="F1183">
            <v>52000</v>
          </cell>
          <cell r="G1183" t="str">
            <v>-</v>
          </cell>
          <cell r="H1183">
            <v>49500</v>
          </cell>
          <cell r="I1183">
            <v>50400</v>
          </cell>
          <cell r="J1183">
            <v>52600</v>
          </cell>
          <cell r="K1183" t="str">
            <v>-</v>
          </cell>
          <cell r="L1183">
            <v>52000</v>
          </cell>
          <cell r="M1183">
            <v>51900</v>
          </cell>
          <cell r="N1183">
            <v>50200</v>
          </cell>
          <cell r="O1183">
            <v>49000</v>
          </cell>
          <cell r="P1183">
            <v>47500</v>
          </cell>
          <cell r="Q1183">
            <v>48100</v>
          </cell>
          <cell r="R1183">
            <v>47800</v>
          </cell>
          <cell r="S1183">
            <v>49100</v>
          </cell>
          <cell r="T1183">
            <v>51500</v>
          </cell>
          <cell r="U1183">
            <v>52800</v>
          </cell>
          <cell r="V1183">
            <v>51900</v>
          </cell>
          <cell r="W1183">
            <v>54400</v>
          </cell>
        </row>
        <row r="1184">
          <cell r="A1184">
            <v>45450</v>
          </cell>
          <cell r="B1184">
            <v>51300</v>
          </cell>
          <cell r="C1184">
            <v>51000</v>
          </cell>
          <cell r="D1184">
            <v>51000</v>
          </cell>
          <cell r="E1184">
            <v>46700</v>
          </cell>
          <cell r="F1184">
            <v>51800</v>
          </cell>
          <cell r="G1184" t="str">
            <v>-</v>
          </cell>
          <cell r="H1184">
            <v>49000</v>
          </cell>
          <cell r="I1184">
            <v>50000</v>
          </cell>
          <cell r="J1184">
            <v>52200</v>
          </cell>
          <cell r="K1184" t="str">
            <v>-</v>
          </cell>
          <cell r="L1184">
            <v>51800</v>
          </cell>
          <cell r="M1184">
            <v>51700</v>
          </cell>
          <cell r="N1184">
            <v>49800</v>
          </cell>
          <cell r="O1184">
            <v>48500</v>
          </cell>
          <cell r="P1184">
            <v>47000</v>
          </cell>
          <cell r="Q1184">
            <v>47800</v>
          </cell>
          <cell r="R1184">
            <v>47300</v>
          </cell>
          <cell r="S1184">
            <v>48800</v>
          </cell>
          <cell r="T1184">
            <v>51000</v>
          </cell>
          <cell r="U1184">
            <v>52300</v>
          </cell>
          <cell r="V1184">
            <v>51700</v>
          </cell>
          <cell r="W1184">
            <v>54400</v>
          </cell>
        </row>
        <row r="1185">
          <cell r="A1185">
            <v>45451</v>
          </cell>
          <cell r="B1185">
            <v>51300</v>
          </cell>
          <cell r="C1185">
            <v>51000</v>
          </cell>
          <cell r="D1185">
            <v>51000</v>
          </cell>
          <cell r="E1185">
            <v>47000</v>
          </cell>
          <cell r="F1185">
            <v>51800</v>
          </cell>
          <cell r="G1185" t="str">
            <v>-</v>
          </cell>
          <cell r="H1185">
            <v>49000</v>
          </cell>
          <cell r="I1185">
            <v>50100</v>
          </cell>
          <cell r="J1185">
            <v>52200</v>
          </cell>
          <cell r="K1185" t="str">
            <v>-</v>
          </cell>
          <cell r="L1185">
            <v>51900</v>
          </cell>
          <cell r="M1185">
            <v>51700</v>
          </cell>
          <cell r="N1185">
            <v>50000</v>
          </cell>
          <cell r="O1185">
            <v>48700</v>
          </cell>
          <cell r="P1185">
            <v>47300</v>
          </cell>
          <cell r="Q1185">
            <v>48000</v>
          </cell>
          <cell r="R1185">
            <v>47500</v>
          </cell>
          <cell r="S1185">
            <v>49000</v>
          </cell>
          <cell r="T1185">
            <v>51000</v>
          </cell>
          <cell r="U1185">
            <v>52300</v>
          </cell>
          <cell r="V1185">
            <v>51700</v>
          </cell>
          <cell r="W1185">
            <v>54400</v>
          </cell>
        </row>
        <row r="1186">
          <cell r="A1186">
            <v>45452</v>
          </cell>
          <cell r="B1186" t="str">
            <v>H</v>
          </cell>
          <cell r="C1186" t="str">
            <v>H</v>
          </cell>
          <cell r="D1186" t="str">
            <v>H</v>
          </cell>
          <cell r="E1186" t="str">
            <v>H</v>
          </cell>
          <cell r="F1186" t="str">
            <v>H</v>
          </cell>
          <cell r="G1186" t="str">
            <v>H</v>
          </cell>
          <cell r="H1186" t="str">
            <v>H</v>
          </cell>
          <cell r="I1186" t="str">
            <v>H</v>
          </cell>
          <cell r="J1186" t="str">
            <v>H</v>
          </cell>
          <cell r="K1186" t="str">
            <v>H</v>
          </cell>
          <cell r="L1186" t="str">
            <v>H</v>
          </cell>
          <cell r="M1186" t="str">
            <v>H</v>
          </cell>
          <cell r="N1186" t="str">
            <v>H</v>
          </cell>
          <cell r="O1186" t="str">
            <v>H</v>
          </cell>
          <cell r="P1186" t="str">
            <v>H</v>
          </cell>
          <cell r="Q1186" t="str">
            <v>H</v>
          </cell>
          <cell r="R1186" t="str">
            <v>H</v>
          </cell>
          <cell r="S1186" t="str">
            <v>H</v>
          </cell>
          <cell r="T1186" t="str">
            <v>H</v>
          </cell>
          <cell r="U1186" t="str">
            <v>H</v>
          </cell>
          <cell r="V1186" t="str">
            <v>H</v>
          </cell>
          <cell r="W1186" t="str">
            <v>H</v>
          </cell>
        </row>
        <row r="1187">
          <cell r="A1187">
            <v>45453</v>
          </cell>
          <cell r="B1187">
            <v>51000</v>
          </cell>
          <cell r="C1187">
            <v>51000</v>
          </cell>
          <cell r="D1187">
            <v>50700</v>
          </cell>
          <cell r="E1187">
            <v>46900</v>
          </cell>
          <cell r="F1187">
            <v>51800</v>
          </cell>
          <cell r="G1187" t="str">
            <v>-</v>
          </cell>
          <cell r="H1187">
            <v>49000</v>
          </cell>
          <cell r="I1187">
            <v>49800</v>
          </cell>
          <cell r="J1187">
            <v>52200</v>
          </cell>
          <cell r="K1187" t="str">
            <v>-</v>
          </cell>
          <cell r="L1187">
            <v>51700</v>
          </cell>
          <cell r="M1187">
            <v>51700</v>
          </cell>
          <cell r="N1187">
            <v>49600</v>
          </cell>
          <cell r="O1187">
            <v>48700</v>
          </cell>
          <cell r="P1187">
            <v>47000</v>
          </cell>
          <cell r="Q1187">
            <v>48000</v>
          </cell>
          <cell r="R1187">
            <v>47300</v>
          </cell>
          <cell r="S1187">
            <v>49000</v>
          </cell>
          <cell r="T1187">
            <v>51000</v>
          </cell>
          <cell r="U1187">
            <v>52300</v>
          </cell>
          <cell r="V1187">
            <v>51100</v>
          </cell>
          <cell r="W1187">
            <v>54300</v>
          </cell>
        </row>
        <row r="1188">
          <cell r="A1188">
            <v>45454</v>
          </cell>
          <cell r="B1188">
            <v>50700</v>
          </cell>
          <cell r="C1188">
            <v>50500</v>
          </cell>
          <cell r="D1188">
            <v>50500</v>
          </cell>
          <cell r="E1188">
            <v>46500</v>
          </cell>
          <cell r="F1188">
            <v>51300</v>
          </cell>
          <cell r="G1188" t="str">
            <v>-</v>
          </cell>
          <cell r="H1188">
            <v>48500</v>
          </cell>
          <cell r="I1188">
            <v>49600</v>
          </cell>
          <cell r="J1188">
            <v>51600</v>
          </cell>
          <cell r="K1188" t="str">
            <v>-</v>
          </cell>
          <cell r="L1188">
            <v>51600</v>
          </cell>
          <cell r="M1188">
            <v>51300</v>
          </cell>
          <cell r="N1188">
            <v>49400</v>
          </cell>
          <cell r="O1188">
            <v>48300</v>
          </cell>
          <cell r="P1188">
            <v>46800</v>
          </cell>
          <cell r="Q1188">
            <v>47400</v>
          </cell>
          <cell r="R1188">
            <v>47000</v>
          </cell>
          <cell r="S1188">
            <v>48600</v>
          </cell>
          <cell r="T1188">
            <v>50500</v>
          </cell>
          <cell r="U1188">
            <v>51800</v>
          </cell>
          <cell r="V1188">
            <v>50900</v>
          </cell>
          <cell r="W1188">
            <v>54100</v>
          </cell>
        </row>
        <row r="1189">
          <cell r="A1189">
            <v>45455</v>
          </cell>
          <cell r="B1189">
            <v>50400</v>
          </cell>
          <cell r="C1189">
            <v>50500</v>
          </cell>
          <cell r="D1189">
            <v>50300</v>
          </cell>
          <cell r="E1189">
            <v>46200</v>
          </cell>
          <cell r="F1189">
            <v>51200</v>
          </cell>
          <cell r="G1189" t="str">
            <v>-</v>
          </cell>
          <cell r="H1189">
            <v>48300</v>
          </cell>
          <cell r="I1189">
            <v>49400</v>
          </cell>
          <cell r="J1189">
            <v>51300</v>
          </cell>
          <cell r="K1189" t="str">
            <v>-</v>
          </cell>
          <cell r="L1189">
            <v>51500</v>
          </cell>
          <cell r="M1189">
            <v>51300</v>
          </cell>
          <cell r="N1189">
            <v>49200</v>
          </cell>
          <cell r="O1189">
            <v>48300</v>
          </cell>
          <cell r="P1189">
            <v>46700</v>
          </cell>
          <cell r="Q1189">
            <v>47300</v>
          </cell>
          <cell r="R1189">
            <v>47000</v>
          </cell>
          <cell r="S1189">
            <v>48300</v>
          </cell>
          <cell r="T1189">
            <v>50500</v>
          </cell>
          <cell r="U1189">
            <v>51800</v>
          </cell>
          <cell r="V1189">
            <v>50700</v>
          </cell>
          <cell r="W1189">
            <v>54000</v>
          </cell>
        </row>
        <row r="1190">
          <cell r="A1190">
            <v>45456</v>
          </cell>
          <cell r="B1190">
            <v>50400</v>
          </cell>
          <cell r="C1190">
            <v>50500</v>
          </cell>
          <cell r="D1190">
            <v>50100</v>
          </cell>
          <cell r="E1190">
            <v>45900</v>
          </cell>
          <cell r="F1190">
            <v>51000</v>
          </cell>
          <cell r="G1190" t="str">
            <v>-</v>
          </cell>
          <cell r="H1190">
            <v>48000</v>
          </cell>
          <cell r="I1190">
            <v>49200</v>
          </cell>
          <cell r="J1190">
            <v>51300</v>
          </cell>
          <cell r="K1190" t="str">
            <v>-</v>
          </cell>
          <cell r="L1190">
            <v>51200</v>
          </cell>
          <cell r="M1190">
            <v>51200</v>
          </cell>
          <cell r="N1190">
            <v>49000</v>
          </cell>
          <cell r="O1190">
            <v>48000</v>
          </cell>
          <cell r="P1190">
            <v>46500</v>
          </cell>
          <cell r="Q1190">
            <v>47300</v>
          </cell>
          <cell r="R1190">
            <v>46800</v>
          </cell>
          <cell r="S1190">
            <v>48000</v>
          </cell>
          <cell r="T1190">
            <v>50500</v>
          </cell>
          <cell r="U1190">
            <v>51800</v>
          </cell>
          <cell r="V1190">
            <v>50700</v>
          </cell>
          <cell r="W1190">
            <v>54000</v>
          </cell>
        </row>
        <row r="1191">
          <cell r="A1191">
            <v>45457</v>
          </cell>
          <cell r="B1191">
            <v>50100</v>
          </cell>
          <cell r="C1191">
            <v>50000</v>
          </cell>
          <cell r="D1191">
            <v>50100</v>
          </cell>
          <cell r="E1191">
            <v>45800</v>
          </cell>
          <cell r="F1191">
            <v>50300</v>
          </cell>
          <cell r="G1191" t="str">
            <v>-</v>
          </cell>
          <cell r="H1191">
            <v>47500</v>
          </cell>
          <cell r="I1191">
            <v>49000</v>
          </cell>
          <cell r="J1191">
            <v>51000</v>
          </cell>
          <cell r="K1191" t="str">
            <v>-</v>
          </cell>
          <cell r="L1191">
            <v>51100</v>
          </cell>
          <cell r="M1191">
            <v>50700</v>
          </cell>
          <cell r="N1191">
            <v>49000</v>
          </cell>
          <cell r="O1191">
            <v>47900</v>
          </cell>
          <cell r="P1191">
            <v>46200</v>
          </cell>
          <cell r="Q1191">
            <v>47000</v>
          </cell>
          <cell r="R1191">
            <v>46500</v>
          </cell>
          <cell r="S1191">
            <v>47900</v>
          </cell>
          <cell r="T1191">
            <v>50000</v>
          </cell>
          <cell r="U1191">
            <v>51800</v>
          </cell>
          <cell r="V1191">
            <v>50600</v>
          </cell>
          <cell r="W1191">
            <v>54000</v>
          </cell>
        </row>
        <row r="1192">
          <cell r="A1192">
            <v>45458</v>
          </cell>
          <cell r="B1192">
            <v>49800</v>
          </cell>
          <cell r="C1192">
            <v>50000</v>
          </cell>
          <cell r="D1192">
            <v>49900</v>
          </cell>
          <cell r="E1192">
            <v>45500</v>
          </cell>
          <cell r="F1192">
            <v>50300</v>
          </cell>
          <cell r="G1192" t="str">
            <v>-</v>
          </cell>
          <cell r="H1192">
            <v>47500</v>
          </cell>
          <cell r="I1192">
            <v>48600</v>
          </cell>
          <cell r="J1192">
            <v>51000</v>
          </cell>
          <cell r="K1192" t="str">
            <v>-</v>
          </cell>
          <cell r="L1192">
            <v>50700</v>
          </cell>
          <cell r="M1192">
            <v>50500</v>
          </cell>
          <cell r="N1192">
            <v>48800</v>
          </cell>
          <cell r="O1192">
            <v>47800</v>
          </cell>
          <cell r="P1192">
            <v>46000</v>
          </cell>
          <cell r="Q1192">
            <v>46800</v>
          </cell>
          <cell r="R1192">
            <v>46300</v>
          </cell>
          <cell r="S1192">
            <v>47600</v>
          </cell>
          <cell r="T1192">
            <v>50000</v>
          </cell>
          <cell r="U1192">
            <v>51800</v>
          </cell>
          <cell r="V1192">
            <v>50600</v>
          </cell>
          <cell r="W1192">
            <v>54000</v>
          </cell>
        </row>
        <row r="1193">
          <cell r="A1193">
            <v>45459</v>
          </cell>
          <cell r="B1193" t="str">
            <v>H</v>
          </cell>
          <cell r="C1193" t="str">
            <v>H</v>
          </cell>
          <cell r="D1193" t="str">
            <v>H</v>
          </cell>
          <cell r="E1193" t="str">
            <v>H</v>
          </cell>
          <cell r="F1193" t="str">
            <v>H</v>
          </cell>
          <cell r="G1193" t="str">
            <v>H</v>
          </cell>
          <cell r="H1193" t="str">
            <v>H</v>
          </cell>
          <cell r="I1193" t="str">
            <v>H</v>
          </cell>
          <cell r="J1193" t="str">
            <v>H</v>
          </cell>
          <cell r="K1193" t="str">
            <v>H</v>
          </cell>
          <cell r="L1193" t="str">
            <v>H</v>
          </cell>
          <cell r="M1193" t="str">
            <v>H</v>
          </cell>
          <cell r="N1193" t="str">
            <v>H</v>
          </cell>
          <cell r="O1193" t="str">
            <v>H</v>
          </cell>
          <cell r="P1193" t="str">
            <v>H</v>
          </cell>
          <cell r="Q1193" t="str">
            <v>H</v>
          </cell>
          <cell r="R1193" t="str">
            <v>H</v>
          </cell>
          <cell r="S1193" t="str">
            <v>H</v>
          </cell>
          <cell r="T1193" t="str">
            <v>H</v>
          </cell>
          <cell r="U1193" t="str">
            <v>H</v>
          </cell>
          <cell r="V1193" t="str">
            <v>H</v>
          </cell>
          <cell r="W1193" t="str">
            <v>H</v>
          </cell>
        </row>
        <row r="1194">
          <cell r="A1194">
            <v>45460</v>
          </cell>
          <cell r="B1194">
            <v>49600</v>
          </cell>
          <cell r="C1194">
            <v>49800</v>
          </cell>
          <cell r="D1194">
            <v>49600</v>
          </cell>
          <cell r="E1194">
            <v>45500</v>
          </cell>
          <cell r="F1194">
            <v>50200</v>
          </cell>
          <cell r="G1194" t="str">
            <v>-</v>
          </cell>
          <cell r="H1194">
            <v>47500</v>
          </cell>
          <cell r="I1194">
            <v>48500</v>
          </cell>
          <cell r="J1194">
            <v>50500</v>
          </cell>
          <cell r="K1194" t="str">
            <v>-</v>
          </cell>
          <cell r="L1194">
            <v>50600</v>
          </cell>
          <cell r="M1194">
            <v>50200</v>
          </cell>
          <cell r="N1194">
            <v>48600</v>
          </cell>
          <cell r="O1194">
            <v>47500</v>
          </cell>
          <cell r="P1194">
            <v>45700</v>
          </cell>
          <cell r="Q1194">
            <v>46300</v>
          </cell>
          <cell r="R1194">
            <v>46000</v>
          </cell>
          <cell r="S1194">
            <v>47600</v>
          </cell>
          <cell r="T1194">
            <v>49500</v>
          </cell>
          <cell r="U1194">
            <v>51800</v>
          </cell>
          <cell r="V1194">
            <v>50300</v>
          </cell>
          <cell r="W1194">
            <v>53000</v>
          </cell>
        </row>
        <row r="1195">
          <cell r="A1195">
            <v>45461</v>
          </cell>
          <cell r="B1195">
            <v>49500</v>
          </cell>
          <cell r="C1195">
            <v>49500</v>
          </cell>
          <cell r="D1195">
            <v>49600</v>
          </cell>
          <cell r="E1195">
            <v>45100</v>
          </cell>
          <cell r="F1195">
            <v>49600</v>
          </cell>
          <cell r="G1195" t="str">
            <v>-</v>
          </cell>
          <cell r="H1195">
            <v>47000</v>
          </cell>
          <cell r="I1195">
            <v>48400</v>
          </cell>
          <cell r="J1195">
            <v>49800</v>
          </cell>
          <cell r="K1195" t="str">
            <v>-</v>
          </cell>
          <cell r="L1195">
            <v>50500</v>
          </cell>
          <cell r="M1195">
            <v>50200</v>
          </cell>
          <cell r="N1195">
            <v>48300</v>
          </cell>
          <cell r="O1195">
            <v>47400</v>
          </cell>
          <cell r="P1195">
            <v>45300</v>
          </cell>
          <cell r="Q1195">
            <v>46000</v>
          </cell>
          <cell r="R1195">
            <v>45500</v>
          </cell>
          <cell r="S1195">
            <v>47200</v>
          </cell>
          <cell r="T1195">
            <v>49300</v>
          </cell>
          <cell r="U1195">
            <v>51300</v>
          </cell>
          <cell r="V1195">
            <v>50300</v>
          </cell>
          <cell r="W1195">
            <v>53000</v>
          </cell>
        </row>
        <row r="1196">
          <cell r="A1196">
            <v>45462</v>
          </cell>
          <cell r="B1196">
            <v>49300</v>
          </cell>
          <cell r="C1196">
            <v>49500</v>
          </cell>
          <cell r="D1196">
            <v>49200</v>
          </cell>
          <cell r="E1196">
            <v>44800</v>
          </cell>
          <cell r="F1196">
            <v>49200</v>
          </cell>
          <cell r="G1196" t="str">
            <v>-</v>
          </cell>
          <cell r="H1196">
            <v>47000</v>
          </cell>
          <cell r="I1196">
            <v>47800</v>
          </cell>
          <cell r="J1196">
            <v>49500</v>
          </cell>
          <cell r="K1196" t="str">
            <v>-</v>
          </cell>
          <cell r="L1196">
            <v>50000</v>
          </cell>
          <cell r="M1196">
            <v>49900</v>
          </cell>
          <cell r="N1196">
            <v>48300</v>
          </cell>
          <cell r="O1196">
            <v>47000</v>
          </cell>
          <cell r="P1196">
            <v>45000</v>
          </cell>
          <cell r="Q1196">
            <v>45600</v>
          </cell>
          <cell r="R1196">
            <v>45000</v>
          </cell>
          <cell r="S1196">
            <v>46900</v>
          </cell>
          <cell r="T1196">
            <v>49000</v>
          </cell>
          <cell r="U1196">
            <v>50300</v>
          </cell>
          <cell r="V1196">
            <v>49500</v>
          </cell>
          <cell r="W1196">
            <v>52800</v>
          </cell>
        </row>
        <row r="1197">
          <cell r="A1197">
            <v>45463</v>
          </cell>
          <cell r="B1197">
            <v>49000</v>
          </cell>
          <cell r="C1197">
            <v>49300</v>
          </cell>
          <cell r="D1197">
            <v>48800</v>
          </cell>
          <cell r="E1197">
            <v>44500</v>
          </cell>
          <cell r="F1197">
            <v>49200</v>
          </cell>
          <cell r="G1197" t="str">
            <v>-</v>
          </cell>
          <cell r="H1197">
            <v>46500</v>
          </cell>
          <cell r="I1197">
            <v>47000</v>
          </cell>
          <cell r="J1197">
            <v>49500</v>
          </cell>
          <cell r="K1197" t="str">
            <v>-</v>
          </cell>
          <cell r="L1197">
            <v>49600</v>
          </cell>
          <cell r="M1197">
            <v>49400</v>
          </cell>
          <cell r="N1197">
            <v>47900</v>
          </cell>
          <cell r="O1197">
            <v>46600</v>
          </cell>
          <cell r="P1197">
            <v>44500</v>
          </cell>
          <cell r="Q1197">
            <v>45300</v>
          </cell>
          <cell r="R1197">
            <v>44800</v>
          </cell>
          <cell r="S1197">
            <v>46600</v>
          </cell>
          <cell r="T1197">
            <v>48800</v>
          </cell>
          <cell r="U1197">
            <v>50300</v>
          </cell>
          <cell r="V1197">
            <v>49500</v>
          </cell>
          <cell r="W1197">
            <v>52700</v>
          </cell>
        </row>
        <row r="1198">
          <cell r="A1198">
            <v>45464</v>
          </cell>
          <cell r="B1198">
            <v>49000</v>
          </cell>
          <cell r="C1198">
            <v>49300</v>
          </cell>
          <cell r="D1198">
            <v>48800</v>
          </cell>
          <cell r="E1198">
            <v>44300</v>
          </cell>
          <cell r="F1198">
            <v>48800</v>
          </cell>
          <cell r="G1198" t="str">
            <v>-</v>
          </cell>
          <cell r="H1198">
            <v>46000</v>
          </cell>
          <cell r="I1198">
            <v>47000</v>
          </cell>
          <cell r="J1198">
            <v>49000</v>
          </cell>
          <cell r="K1198" t="str">
            <v>-</v>
          </cell>
          <cell r="L1198">
            <v>49500</v>
          </cell>
          <cell r="M1198">
            <v>49100</v>
          </cell>
          <cell r="N1198">
            <v>48000</v>
          </cell>
          <cell r="O1198">
            <v>46500</v>
          </cell>
          <cell r="P1198">
            <v>44800</v>
          </cell>
          <cell r="Q1198">
            <v>45100</v>
          </cell>
          <cell r="R1198">
            <v>44800</v>
          </cell>
          <cell r="S1198">
            <v>46400</v>
          </cell>
          <cell r="T1198">
            <v>48500</v>
          </cell>
          <cell r="U1198">
            <v>50300</v>
          </cell>
          <cell r="V1198">
            <v>49500</v>
          </cell>
          <cell r="W1198">
            <v>52200</v>
          </cell>
        </row>
        <row r="1199">
          <cell r="A1199">
            <v>45465</v>
          </cell>
          <cell r="B1199">
            <v>48700</v>
          </cell>
          <cell r="C1199">
            <v>49000</v>
          </cell>
          <cell r="D1199">
            <v>48600</v>
          </cell>
          <cell r="E1199">
            <v>44200</v>
          </cell>
          <cell r="F1199">
            <v>48800</v>
          </cell>
          <cell r="G1199" t="str">
            <v>-</v>
          </cell>
          <cell r="H1199">
            <v>46000</v>
          </cell>
          <cell r="I1199">
            <v>47000</v>
          </cell>
          <cell r="J1199">
            <v>49000</v>
          </cell>
          <cell r="K1199" t="str">
            <v>-</v>
          </cell>
          <cell r="L1199">
            <v>49300</v>
          </cell>
          <cell r="M1199">
            <v>49100</v>
          </cell>
          <cell r="N1199">
            <v>47800</v>
          </cell>
          <cell r="O1199">
            <v>46200</v>
          </cell>
          <cell r="P1199">
            <v>44000</v>
          </cell>
          <cell r="Q1199">
            <v>44800</v>
          </cell>
          <cell r="R1199">
            <v>44300</v>
          </cell>
          <cell r="S1199">
            <v>46300</v>
          </cell>
          <cell r="T1199">
            <v>48300</v>
          </cell>
          <cell r="U1199">
            <v>49300</v>
          </cell>
          <cell r="V1199">
            <v>49300</v>
          </cell>
          <cell r="W1199">
            <v>52000</v>
          </cell>
        </row>
        <row r="1200">
          <cell r="A1200">
            <v>45466</v>
          </cell>
          <cell r="B1200" t="str">
            <v>H</v>
          </cell>
          <cell r="C1200" t="str">
            <v>H</v>
          </cell>
          <cell r="D1200" t="str">
            <v>H</v>
          </cell>
          <cell r="E1200" t="str">
            <v>H</v>
          </cell>
          <cell r="F1200" t="str">
            <v>H</v>
          </cell>
          <cell r="G1200" t="str">
            <v>H</v>
          </cell>
          <cell r="H1200" t="str">
            <v>H</v>
          </cell>
          <cell r="I1200" t="str">
            <v>H</v>
          </cell>
          <cell r="J1200" t="str">
            <v>H</v>
          </cell>
          <cell r="K1200" t="str">
            <v>H</v>
          </cell>
          <cell r="L1200" t="str">
            <v>H</v>
          </cell>
          <cell r="M1200" t="str">
            <v>H</v>
          </cell>
          <cell r="N1200" t="str">
            <v>H</v>
          </cell>
          <cell r="O1200" t="str">
            <v>H</v>
          </cell>
          <cell r="P1200" t="str">
            <v>H</v>
          </cell>
          <cell r="Q1200" t="str">
            <v>H</v>
          </cell>
          <cell r="R1200" t="str">
            <v>H</v>
          </cell>
          <cell r="S1200" t="str">
            <v>H</v>
          </cell>
          <cell r="T1200" t="str">
            <v>H</v>
          </cell>
          <cell r="U1200" t="str">
            <v>H</v>
          </cell>
          <cell r="V1200" t="str">
            <v>H</v>
          </cell>
          <cell r="W1200" t="str">
            <v>H</v>
          </cell>
        </row>
        <row r="1201">
          <cell r="A1201">
            <v>45467</v>
          </cell>
          <cell r="B1201">
            <v>48300</v>
          </cell>
          <cell r="C1201">
            <v>49000</v>
          </cell>
          <cell r="D1201">
            <v>48000</v>
          </cell>
          <cell r="E1201">
            <v>43800</v>
          </cell>
          <cell r="F1201">
            <v>48300</v>
          </cell>
          <cell r="G1201" t="str">
            <v>-</v>
          </cell>
          <cell r="H1201">
            <v>45500</v>
          </cell>
          <cell r="I1201">
            <v>46400</v>
          </cell>
          <cell r="J1201">
            <v>48500</v>
          </cell>
          <cell r="K1201" t="str">
            <v>-</v>
          </cell>
          <cell r="L1201">
            <v>49000</v>
          </cell>
          <cell r="M1201">
            <v>49000</v>
          </cell>
          <cell r="N1201">
            <v>47200</v>
          </cell>
          <cell r="O1201">
            <v>46000</v>
          </cell>
          <cell r="P1201">
            <v>43800</v>
          </cell>
          <cell r="Q1201">
            <v>44300</v>
          </cell>
          <cell r="R1201">
            <v>44300</v>
          </cell>
          <cell r="S1201">
            <v>45900</v>
          </cell>
          <cell r="T1201">
            <v>47800</v>
          </cell>
          <cell r="U1201">
            <v>49300</v>
          </cell>
          <cell r="V1201">
            <v>48500</v>
          </cell>
          <cell r="W1201">
            <v>51600</v>
          </cell>
        </row>
        <row r="1202">
          <cell r="A1202">
            <v>45468</v>
          </cell>
          <cell r="B1202">
            <v>48000</v>
          </cell>
          <cell r="C1202">
            <v>48800</v>
          </cell>
          <cell r="D1202">
            <v>47600</v>
          </cell>
          <cell r="E1202">
            <v>42800</v>
          </cell>
          <cell r="F1202">
            <v>48000</v>
          </cell>
          <cell r="G1202" t="str">
            <v>-</v>
          </cell>
          <cell r="H1202">
            <v>45500</v>
          </cell>
          <cell r="I1202">
            <v>45900</v>
          </cell>
          <cell r="J1202">
            <v>48000</v>
          </cell>
          <cell r="K1202" t="str">
            <v>-</v>
          </cell>
          <cell r="L1202">
            <v>48400</v>
          </cell>
          <cell r="M1202">
            <v>48900</v>
          </cell>
          <cell r="N1202">
            <v>46600</v>
          </cell>
          <cell r="O1202">
            <v>45200</v>
          </cell>
          <cell r="P1202">
            <v>43000</v>
          </cell>
          <cell r="Q1202">
            <v>43500</v>
          </cell>
          <cell r="R1202">
            <v>43800</v>
          </cell>
          <cell r="S1202">
            <v>44900</v>
          </cell>
          <cell r="T1202">
            <v>47500</v>
          </cell>
          <cell r="U1202">
            <v>48800</v>
          </cell>
          <cell r="V1202">
            <v>48500</v>
          </cell>
          <cell r="W1202">
            <v>51300</v>
          </cell>
        </row>
        <row r="1203">
          <cell r="A1203">
            <v>45469</v>
          </cell>
          <cell r="B1203">
            <v>47700</v>
          </cell>
          <cell r="C1203">
            <v>48700</v>
          </cell>
          <cell r="D1203">
            <v>47200</v>
          </cell>
          <cell r="E1203">
            <v>42700</v>
          </cell>
          <cell r="F1203">
            <v>48000</v>
          </cell>
          <cell r="G1203" t="str">
            <v>-</v>
          </cell>
          <cell r="H1203">
            <v>44500</v>
          </cell>
          <cell r="I1203">
            <v>45600</v>
          </cell>
          <cell r="J1203">
            <v>48000</v>
          </cell>
          <cell r="K1203" t="str">
            <v>-</v>
          </cell>
          <cell r="L1203">
            <v>48000</v>
          </cell>
          <cell r="M1203">
            <v>48900</v>
          </cell>
          <cell r="N1203">
            <v>46200</v>
          </cell>
          <cell r="O1203">
            <v>44900</v>
          </cell>
          <cell r="P1203">
            <v>42700</v>
          </cell>
          <cell r="Q1203">
            <v>43300</v>
          </cell>
          <cell r="R1203">
            <v>43000</v>
          </cell>
          <cell r="S1203">
            <v>44800</v>
          </cell>
          <cell r="T1203">
            <v>46500</v>
          </cell>
          <cell r="U1203">
            <v>47800</v>
          </cell>
          <cell r="V1203">
            <v>48300</v>
          </cell>
          <cell r="W1203">
            <v>51300</v>
          </cell>
        </row>
        <row r="1204">
          <cell r="A1204">
            <v>45470</v>
          </cell>
          <cell r="B1204">
            <v>47900</v>
          </cell>
          <cell r="C1204">
            <v>49000</v>
          </cell>
          <cell r="D1204">
            <v>47400</v>
          </cell>
          <cell r="E1204">
            <v>43200</v>
          </cell>
          <cell r="F1204">
            <v>48000</v>
          </cell>
          <cell r="G1204" t="str">
            <v>-</v>
          </cell>
          <cell r="H1204">
            <v>45500</v>
          </cell>
          <cell r="I1204">
            <v>46000</v>
          </cell>
          <cell r="J1204">
            <v>48000</v>
          </cell>
          <cell r="K1204" t="str">
            <v>-</v>
          </cell>
          <cell r="L1204">
            <v>48200</v>
          </cell>
          <cell r="M1204">
            <v>48900</v>
          </cell>
          <cell r="N1204">
            <v>46600</v>
          </cell>
          <cell r="O1204">
            <v>45200</v>
          </cell>
          <cell r="P1204">
            <v>43500</v>
          </cell>
          <cell r="Q1204">
            <v>43600</v>
          </cell>
          <cell r="R1204">
            <v>43500</v>
          </cell>
          <cell r="S1204">
            <v>45300</v>
          </cell>
          <cell r="T1204">
            <v>47000</v>
          </cell>
          <cell r="U1204">
            <v>47800</v>
          </cell>
          <cell r="V1204">
            <v>48200</v>
          </cell>
          <cell r="W1204">
            <v>51300</v>
          </cell>
        </row>
        <row r="1205">
          <cell r="A1205">
            <v>45471</v>
          </cell>
          <cell r="B1205">
            <v>48300</v>
          </cell>
          <cell r="C1205">
            <v>49200</v>
          </cell>
          <cell r="D1205">
            <v>47800</v>
          </cell>
          <cell r="E1205">
            <v>43500</v>
          </cell>
          <cell r="F1205">
            <v>48000</v>
          </cell>
          <cell r="G1205" t="str">
            <v>-</v>
          </cell>
          <cell r="H1205">
            <v>45500</v>
          </cell>
          <cell r="I1205">
            <v>46600</v>
          </cell>
          <cell r="J1205">
            <v>48000</v>
          </cell>
          <cell r="K1205" t="str">
            <v>-</v>
          </cell>
          <cell r="L1205">
            <v>48600</v>
          </cell>
          <cell r="M1205">
            <v>48900</v>
          </cell>
          <cell r="N1205">
            <v>47000</v>
          </cell>
          <cell r="O1205">
            <v>45500</v>
          </cell>
          <cell r="P1205">
            <v>43800</v>
          </cell>
          <cell r="Q1205">
            <v>44000</v>
          </cell>
          <cell r="R1205">
            <v>43800</v>
          </cell>
          <cell r="S1205">
            <v>45500</v>
          </cell>
          <cell r="T1205">
            <v>47000</v>
          </cell>
          <cell r="U1205">
            <v>48300</v>
          </cell>
          <cell r="V1205">
            <v>48200</v>
          </cell>
          <cell r="W1205">
            <v>51300</v>
          </cell>
        </row>
        <row r="1206">
          <cell r="A1206">
            <v>45472</v>
          </cell>
          <cell r="B1206">
            <v>48500</v>
          </cell>
          <cell r="C1206">
            <v>49200</v>
          </cell>
          <cell r="D1206">
            <v>48200</v>
          </cell>
          <cell r="E1206">
            <v>44000</v>
          </cell>
          <cell r="F1206">
            <v>48100</v>
          </cell>
          <cell r="G1206" t="str">
            <v>-</v>
          </cell>
          <cell r="H1206">
            <v>45500</v>
          </cell>
          <cell r="I1206">
            <v>47000</v>
          </cell>
          <cell r="J1206">
            <v>48300</v>
          </cell>
          <cell r="K1206" t="str">
            <v>-</v>
          </cell>
          <cell r="L1206">
            <v>49200</v>
          </cell>
          <cell r="M1206">
            <v>49000</v>
          </cell>
          <cell r="N1206">
            <v>47400</v>
          </cell>
          <cell r="O1206">
            <v>46000</v>
          </cell>
          <cell r="P1206">
            <v>44000</v>
          </cell>
          <cell r="Q1206">
            <v>44200</v>
          </cell>
          <cell r="R1206">
            <v>44000</v>
          </cell>
          <cell r="S1206">
            <v>46100</v>
          </cell>
          <cell r="T1206">
            <v>47200</v>
          </cell>
          <cell r="U1206">
            <v>49000</v>
          </cell>
          <cell r="V1206">
            <v>48500</v>
          </cell>
          <cell r="W1206">
            <v>51300</v>
          </cell>
        </row>
        <row r="1207">
          <cell r="A1207">
            <v>45473</v>
          </cell>
          <cell r="B1207" t="str">
            <v>H</v>
          </cell>
          <cell r="C1207" t="str">
            <v>H</v>
          </cell>
          <cell r="D1207" t="str">
            <v>H</v>
          </cell>
          <cell r="E1207" t="str">
            <v>H</v>
          </cell>
          <cell r="F1207" t="str">
            <v>H</v>
          </cell>
          <cell r="G1207" t="str">
            <v>H</v>
          </cell>
          <cell r="H1207" t="str">
            <v>H</v>
          </cell>
          <cell r="I1207" t="str">
            <v>H</v>
          </cell>
          <cell r="J1207" t="str">
            <v>H</v>
          </cell>
          <cell r="K1207" t="str">
            <v>H</v>
          </cell>
          <cell r="L1207" t="str">
            <v>H</v>
          </cell>
          <cell r="M1207" t="str">
            <v>H</v>
          </cell>
          <cell r="N1207" t="str">
            <v>H</v>
          </cell>
          <cell r="O1207" t="str">
            <v>H</v>
          </cell>
          <cell r="P1207" t="str">
            <v>H</v>
          </cell>
          <cell r="Q1207" t="str">
            <v>H</v>
          </cell>
          <cell r="R1207" t="str">
            <v>H</v>
          </cell>
          <cell r="S1207" t="str">
            <v>H</v>
          </cell>
          <cell r="T1207" t="str">
            <v>H</v>
          </cell>
          <cell r="U1207" t="str">
            <v>H</v>
          </cell>
          <cell r="V1207" t="str">
            <v>H</v>
          </cell>
          <cell r="W1207" t="str">
            <v>H</v>
          </cell>
        </row>
        <row r="1208">
          <cell r="A1208">
            <v>45474</v>
          </cell>
          <cell r="B1208">
            <v>48200</v>
          </cell>
          <cell r="C1208">
            <v>49000</v>
          </cell>
          <cell r="D1208">
            <v>47800</v>
          </cell>
          <cell r="E1208">
            <v>43500</v>
          </cell>
          <cell r="F1208">
            <v>48100</v>
          </cell>
          <cell r="G1208" t="str">
            <v>-</v>
          </cell>
          <cell r="H1208">
            <v>45000</v>
          </cell>
          <cell r="I1208">
            <v>46500</v>
          </cell>
          <cell r="J1208">
            <v>48100</v>
          </cell>
          <cell r="K1208" t="str">
            <v>-</v>
          </cell>
          <cell r="L1208">
            <v>48900</v>
          </cell>
          <cell r="M1208">
            <v>48600</v>
          </cell>
          <cell r="N1208">
            <v>46800</v>
          </cell>
          <cell r="O1208">
            <v>45400</v>
          </cell>
          <cell r="P1208">
            <v>43700</v>
          </cell>
          <cell r="Q1208">
            <v>43800</v>
          </cell>
          <cell r="R1208">
            <v>43800</v>
          </cell>
          <cell r="S1208">
            <v>45600</v>
          </cell>
          <cell r="T1208">
            <v>47200</v>
          </cell>
          <cell r="U1208">
            <v>49000</v>
          </cell>
          <cell r="V1208">
            <v>48500</v>
          </cell>
          <cell r="W1208">
            <v>51300</v>
          </cell>
        </row>
        <row r="1209">
          <cell r="A1209">
            <v>45475</v>
          </cell>
          <cell r="B1209">
            <v>48000</v>
          </cell>
          <cell r="C1209">
            <v>49000</v>
          </cell>
          <cell r="D1209">
            <v>48000</v>
          </cell>
          <cell r="E1209">
            <v>43600</v>
          </cell>
          <cell r="F1209">
            <v>48100</v>
          </cell>
          <cell r="G1209" t="str">
            <v>-</v>
          </cell>
          <cell r="H1209">
            <v>45000</v>
          </cell>
          <cell r="I1209">
            <v>47100</v>
          </cell>
          <cell r="J1209">
            <v>48100</v>
          </cell>
          <cell r="K1209" t="str">
            <v>-</v>
          </cell>
          <cell r="L1209">
            <v>49200</v>
          </cell>
          <cell r="M1209">
            <v>48600</v>
          </cell>
          <cell r="N1209">
            <v>47300</v>
          </cell>
          <cell r="O1209">
            <v>45700</v>
          </cell>
          <cell r="P1209">
            <v>43800</v>
          </cell>
          <cell r="Q1209">
            <v>43800</v>
          </cell>
          <cell r="R1209">
            <v>44000</v>
          </cell>
          <cell r="S1209">
            <v>45700</v>
          </cell>
          <cell r="T1209">
            <v>47500</v>
          </cell>
          <cell r="U1209">
            <v>49000</v>
          </cell>
          <cell r="V1209">
            <v>48500</v>
          </cell>
          <cell r="W1209">
            <v>51300</v>
          </cell>
        </row>
        <row r="1210">
          <cell r="A1210">
            <v>45476</v>
          </cell>
          <cell r="B1210">
            <v>47800</v>
          </cell>
          <cell r="C1210">
            <v>48800</v>
          </cell>
          <cell r="D1210">
            <v>48000</v>
          </cell>
          <cell r="E1210">
            <v>43400</v>
          </cell>
          <cell r="F1210">
            <v>48100</v>
          </cell>
          <cell r="G1210" t="str">
            <v>-</v>
          </cell>
          <cell r="H1210">
            <v>45500</v>
          </cell>
          <cell r="I1210">
            <v>46900</v>
          </cell>
          <cell r="J1210">
            <v>47600</v>
          </cell>
          <cell r="K1210" t="str">
            <v>-</v>
          </cell>
          <cell r="L1210">
            <v>49200</v>
          </cell>
          <cell r="M1210">
            <v>48600</v>
          </cell>
          <cell r="N1210">
            <v>47300</v>
          </cell>
          <cell r="O1210">
            <v>45700</v>
          </cell>
          <cell r="P1210">
            <v>43200</v>
          </cell>
          <cell r="Q1210">
            <v>43500</v>
          </cell>
          <cell r="R1210">
            <v>43700</v>
          </cell>
          <cell r="S1210">
            <v>45500</v>
          </cell>
          <cell r="T1210">
            <v>47300</v>
          </cell>
          <cell r="U1210">
            <v>49000</v>
          </cell>
          <cell r="V1210">
            <v>48300</v>
          </cell>
          <cell r="W1210">
            <v>51300</v>
          </cell>
        </row>
        <row r="1211">
          <cell r="A1211">
            <v>45477</v>
          </cell>
          <cell r="B1211">
            <v>47600</v>
          </cell>
          <cell r="C1211">
            <v>48500</v>
          </cell>
          <cell r="D1211">
            <v>47700</v>
          </cell>
          <cell r="E1211">
            <v>43100</v>
          </cell>
          <cell r="F1211">
            <v>47800</v>
          </cell>
          <cell r="G1211" t="str">
            <v>-</v>
          </cell>
          <cell r="H1211">
            <v>45500</v>
          </cell>
          <cell r="I1211">
            <v>46800</v>
          </cell>
          <cell r="J1211">
            <v>47300</v>
          </cell>
          <cell r="K1211" t="str">
            <v>-</v>
          </cell>
          <cell r="L1211">
            <v>49200</v>
          </cell>
          <cell r="M1211">
            <v>48500</v>
          </cell>
          <cell r="N1211">
            <v>47200</v>
          </cell>
          <cell r="O1211">
            <v>45400</v>
          </cell>
          <cell r="P1211">
            <v>43000</v>
          </cell>
          <cell r="Q1211">
            <v>43100</v>
          </cell>
          <cell r="R1211">
            <v>43500</v>
          </cell>
          <cell r="S1211">
            <v>45200</v>
          </cell>
          <cell r="T1211">
            <v>47000</v>
          </cell>
          <cell r="U1211">
            <v>48800</v>
          </cell>
          <cell r="V1211">
            <v>48200</v>
          </cell>
          <cell r="W1211">
            <v>51300</v>
          </cell>
        </row>
        <row r="1212">
          <cell r="A1212">
            <v>45478</v>
          </cell>
          <cell r="B1212">
            <v>47200</v>
          </cell>
          <cell r="C1212">
            <v>48500</v>
          </cell>
          <cell r="D1212">
            <v>47500</v>
          </cell>
          <cell r="E1212">
            <v>42700</v>
          </cell>
          <cell r="F1212">
            <v>47400</v>
          </cell>
          <cell r="G1212" t="str">
            <v>-</v>
          </cell>
          <cell r="H1212">
            <v>45000</v>
          </cell>
          <cell r="I1212">
            <v>46200</v>
          </cell>
          <cell r="J1212">
            <v>47000</v>
          </cell>
          <cell r="K1212" t="str">
            <v>-</v>
          </cell>
          <cell r="L1212">
            <v>49000</v>
          </cell>
          <cell r="M1212">
            <v>48100</v>
          </cell>
          <cell r="N1212">
            <v>46600</v>
          </cell>
          <cell r="O1212">
            <v>44900</v>
          </cell>
          <cell r="P1212">
            <v>42200</v>
          </cell>
          <cell r="Q1212">
            <v>42700</v>
          </cell>
          <cell r="R1212">
            <v>43000</v>
          </cell>
          <cell r="S1212">
            <v>44800</v>
          </cell>
          <cell r="T1212">
            <v>46400</v>
          </cell>
          <cell r="U1212">
            <v>48800</v>
          </cell>
          <cell r="V1212">
            <v>48000</v>
          </cell>
          <cell r="W1212">
            <v>51000</v>
          </cell>
        </row>
        <row r="1213">
          <cell r="A1213">
            <v>45479</v>
          </cell>
          <cell r="B1213">
            <v>47000</v>
          </cell>
          <cell r="C1213">
            <v>48500</v>
          </cell>
          <cell r="D1213">
            <v>47300</v>
          </cell>
          <cell r="E1213">
            <v>42600</v>
          </cell>
          <cell r="F1213">
            <v>47400</v>
          </cell>
          <cell r="G1213" t="str">
            <v>-</v>
          </cell>
          <cell r="H1213">
            <v>44500</v>
          </cell>
          <cell r="I1213">
            <v>45900</v>
          </cell>
          <cell r="J1213">
            <v>47000</v>
          </cell>
          <cell r="K1213" t="str">
            <v>-</v>
          </cell>
          <cell r="L1213">
            <v>48700</v>
          </cell>
          <cell r="M1213">
            <v>48100</v>
          </cell>
          <cell r="N1213">
            <v>46200</v>
          </cell>
          <cell r="O1213">
            <v>44900</v>
          </cell>
          <cell r="P1213">
            <v>42400</v>
          </cell>
          <cell r="Q1213">
            <v>42900</v>
          </cell>
          <cell r="R1213">
            <v>42700</v>
          </cell>
          <cell r="S1213">
            <v>44700</v>
          </cell>
          <cell r="T1213">
            <v>46400</v>
          </cell>
          <cell r="U1213">
            <v>48300</v>
          </cell>
          <cell r="V1213">
            <v>48000</v>
          </cell>
          <cell r="W1213">
            <v>51000</v>
          </cell>
        </row>
        <row r="1214">
          <cell r="A1214">
            <v>45480</v>
          </cell>
          <cell r="B1214" t="str">
            <v>H</v>
          </cell>
          <cell r="C1214" t="str">
            <v>H</v>
          </cell>
          <cell r="D1214" t="str">
            <v>H</v>
          </cell>
          <cell r="E1214" t="str">
            <v>H</v>
          </cell>
          <cell r="F1214" t="str">
            <v>H</v>
          </cell>
          <cell r="G1214" t="str">
            <v>H</v>
          </cell>
          <cell r="H1214" t="str">
            <v>H</v>
          </cell>
          <cell r="I1214" t="str">
            <v>H</v>
          </cell>
          <cell r="J1214" t="str">
            <v>H</v>
          </cell>
          <cell r="K1214" t="str">
            <v>H</v>
          </cell>
          <cell r="L1214" t="str">
            <v>H</v>
          </cell>
          <cell r="M1214" t="str">
            <v>H</v>
          </cell>
          <cell r="N1214" t="str">
            <v>H</v>
          </cell>
          <cell r="O1214" t="str">
            <v>H</v>
          </cell>
          <cell r="P1214" t="str">
            <v>H</v>
          </cell>
          <cell r="Q1214" t="str">
            <v>H</v>
          </cell>
          <cell r="R1214" t="str">
            <v>H</v>
          </cell>
          <cell r="S1214" t="str">
            <v>H</v>
          </cell>
          <cell r="T1214" t="str">
            <v>H</v>
          </cell>
          <cell r="U1214" t="str">
            <v>H</v>
          </cell>
          <cell r="V1214" t="str">
            <v>H</v>
          </cell>
          <cell r="W1214" t="str">
            <v>H</v>
          </cell>
        </row>
        <row r="1215">
          <cell r="A1215">
            <v>45481</v>
          </cell>
          <cell r="B1215">
            <v>46800</v>
          </cell>
          <cell r="C1215">
            <v>48300</v>
          </cell>
          <cell r="D1215">
            <v>46900</v>
          </cell>
          <cell r="E1215">
            <v>42100</v>
          </cell>
          <cell r="F1215">
            <v>47400</v>
          </cell>
          <cell r="G1215" t="str">
            <v>-</v>
          </cell>
          <cell r="H1215">
            <v>44500</v>
          </cell>
          <cell r="I1215">
            <v>45500</v>
          </cell>
          <cell r="J1215">
            <v>46500</v>
          </cell>
          <cell r="K1215" t="str">
            <v>-</v>
          </cell>
          <cell r="L1215">
            <v>48300</v>
          </cell>
          <cell r="M1215">
            <v>48000</v>
          </cell>
          <cell r="N1215">
            <v>45700</v>
          </cell>
          <cell r="O1215">
            <v>44500</v>
          </cell>
          <cell r="P1215">
            <v>42400</v>
          </cell>
          <cell r="Q1215">
            <v>42800</v>
          </cell>
          <cell r="R1215">
            <v>42500</v>
          </cell>
          <cell r="S1215">
            <v>44200</v>
          </cell>
          <cell r="T1215">
            <v>46300</v>
          </cell>
          <cell r="U1215">
            <v>48300</v>
          </cell>
          <cell r="V1215">
            <v>47700</v>
          </cell>
          <cell r="W1215">
            <v>51000</v>
          </cell>
        </row>
        <row r="1216">
          <cell r="A1216">
            <v>45482</v>
          </cell>
          <cell r="B1216">
            <v>46800</v>
          </cell>
          <cell r="C1216">
            <v>48000</v>
          </cell>
          <cell r="D1216">
            <v>46500</v>
          </cell>
          <cell r="E1216">
            <v>41500</v>
          </cell>
          <cell r="F1216">
            <v>47100</v>
          </cell>
          <cell r="G1216" t="str">
            <v>-</v>
          </cell>
          <cell r="H1216">
            <v>44500</v>
          </cell>
          <cell r="I1216">
            <v>45300</v>
          </cell>
          <cell r="J1216">
            <v>46500</v>
          </cell>
          <cell r="K1216" t="str">
            <v>-</v>
          </cell>
          <cell r="L1216">
            <v>48000</v>
          </cell>
          <cell r="M1216">
            <v>47600</v>
          </cell>
          <cell r="N1216">
            <v>45200</v>
          </cell>
          <cell r="O1216">
            <v>44000</v>
          </cell>
          <cell r="P1216">
            <v>42200</v>
          </cell>
          <cell r="Q1216">
            <v>42600</v>
          </cell>
          <cell r="R1216">
            <v>42000</v>
          </cell>
          <cell r="S1216">
            <v>43600</v>
          </cell>
          <cell r="T1216">
            <v>46300</v>
          </cell>
          <cell r="U1216">
            <v>48300</v>
          </cell>
          <cell r="V1216">
            <v>47700</v>
          </cell>
          <cell r="W1216">
            <v>51000</v>
          </cell>
        </row>
        <row r="1217">
          <cell r="A1217">
            <v>45483</v>
          </cell>
          <cell r="B1217">
            <v>46800</v>
          </cell>
          <cell r="C1217">
            <v>48000</v>
          </cell>
          <cell r="D1217">
            <v>46500</v>
          </cell>
          <cell r="E1217">
            <v>41700</v>
          </cell>
          <cell r="F1217">
            <v>47100</v>
          </cell>
          <cell r="G1217" t="str">
            <v>-</v>
          </cell>
          <cell r="H1217">
            <v>44800</v>
          </cell>
          <cell r="I1217">
            <v>45200</v>
          </cell>
          <cell r="J1217">
            <v>46500</v>
          </cell>
          <cell r="K1217" t="str">
            <v>-</v>
          </cell>
          <cell r="L1217">
            <v>48100</v>
          </cell>
          <cell r="M1217">
            <v>47200</v>
          </cell>
          <cell r="N1217">
            <v>45500</v>
          </cell>
          <cell r="O1217">
            <v>44000</v>
          </cell>
          <cell r="P1217">
            <v>42000</v>
          </cell>
          <cell r="Q1217">
            <v>42500</v>
          </cell>
          <cell r="R1217">
            <v>42400</v>
          </cell>
          <cell r="S1217">
            <v>43800</v>
          </cell>
          <cell r="T1217">
            <v>46200</v>
          </cell>
          <cell r="U1217">
            <v>48300</v>
          </cell>
          <cell r="V1217">
            <v>47400</v>
          </cell>
          <cell r="W1217">
            <v>50700</v>
          </cell>
        </row>
        <row r="1218">
          <cell r="A1218">
            <v>45484</v>
          </cell>
          <cell r="B1218">
            <v>46700</v>
          </cell>
          <cell r="C1218">
            <v>48000</v>
          </cell>
          <cell r="D1218">
            <v>46300</v>
          </cell>
          <cell r="E1218">
            <v>41500</v>
          </cell>
          <cell r="F1218">
            <v>47100</v>
          </cell>
          <cell r="G1218" t="str">
            <v>-</v>
          </cell>
          <cell r="H1218">
            <v>44500</v>
          </cell>
          <cell r="I1218">
            <v>45000</v>
          </cell>
          <cell r="J1218">
            <v>46500</v>
          </cell>
          <cell r="K1218" t="str">
            <v>-</v>
          </cell>
          <cell r="L1218">
            <v>47900</v>
          </cell>
          <cell r="M1218">
            <v>47000</v>
          </cell>
          <cell r="N1218">
            <v>45300</v>
          </cell>
          <cell r="O1218">
            <v>43400</v>
          </cell>
          <cell r="P1218">
            <v>41800</v>
          </cell>
          <cell r="Q1218">
            <v>42300</v>
          </cell>
          <cell r="R1218">
            <v>42000</v>
          </cell>
          <cell r="S1218">
            <v>43600</v>
          </cell>
          <cell r="T1218">
            <v>46000</v>
          </cell>
          <cell r="U1218">
            <v>48300</v>
          </cell>
          <cell r="V1218">
            <v>47400</v>
          </cell>
          <cell r="W1218">
            <v>50700</v>
          </cell>
        </row>
        <row r="1219">
          <cell r="A1219">
            <v>45485</v>
          </cell>
          <cell r="B1219">
            <v>47000</v>
          </cell>
          <cell r="C1219">
            <v>48000</v>
          </cell>
          <cell r="D1219">
            <v>46500</v>
          </cell>
          <cell r="E1219">
            <v>41900</v>
          </cell>
          <cell r="F1219">
            <v>47100</v>
          </cell>
          <cell r="G1219" t="str">
            <v>-</v>
          </cell>
          <cell r="H1219">
            <v>44800</v>
          </cell>
          <cell r="I1219">
            <v>45300</v>
          </cell>
          <cell r="J1219">
            <v>46500</v>
          </cell>
          <cell r="K1219" t="str">
            <v>-</v>
          </cell>
          <cell r="L1219">
            <v>48300</v>
          </cell>
          <cell r="M1219">
            <v>46800</v>
          </cell>
          <cell r="N1219">
            <v>45500</v>
          </cell>
          <cell r="O1219">
            <v>44000</v>
          </cell>
          <cell r="P1219">
            <v>42200</v>
          </cell>
          <cell r="Q1219">
            <v>42400</v>
          </cell>
          <cell r="R1219">
            <v>42200</v>
          </cell>
          <cell r="S1219">
            <v>45000</v>
          </cell>
          <cell r="T1219">
            <v>46000</v>
          </cell>
          <cell r="U1219">
            <v>48300</v>
          </cell>
          <cell r="V1219">
            <v>46900</v>
          </cell>
          <cell r="W1219">
            <v>50500</v>
          </cell>
        </row>
        <row r="1220">
          <cell r="A1220">
            <v>45486</v>
          </cell>
          <cell r="B1220">
            <v>47000</v>
          </cell>
          <cell r="C1220">
            <v>47800</v>
          </cell>
          <cell r="D1220">
            <v>46500</v>
          </cell>
          <cell r="E1220">
            <v>42000</v>
          </cell>
          <cell r="F1220">
            <v>47100</v>
          </cell>
          <cell r="G1220" t="str">
            <v>-</v>
          </cell>
          <cell r="H1220">
            <v>44500</v>
          </cell>
          <cell r="I1220">
            <v>45300</v>
          </cell>
          <cell r="J1220">
            <v>46300</v>
          </cell>
          <cell r="K1220" t="str">
            <v>-</v>
          </cell>
          <cell r="L1220">
            <v>48200</v>
          </cell>
          <cell r="M1220">
            <v>46800</v>
          </cell>
          <cell r="N1220">
            <v>45700</v>
          </cell>
          <cell r="O1220">
            <v>44000</v>
          </cell>
          <cell r="P1220">
            <v>41800</v>
          </cell>
          <cell r="Q1220">
            <v>42300</v>
          </cell>
          <cell r="R1220">
            <v>42000</v>
          </cell>
          <cell r="S1220">
            <v>44100</v>
          </cell>
          <cell r="T1220">
            <v>45800</v>
          </cell>
          <cell r="U1220">
            <v>48300</v>
          </cell>
          <cell r="V1220">
            <v>46900</v>
          </cell>
          <cell r="W1220">
            <v>50500</v>
          </cell>
        </row>
        <row r="1221">
          <cell r="A1221">
            <v>45487</v>
          </cell>
          <cell r="B1221" t="str">
            <v>H</v>
          </cell>
          <cell r="C1221" t="str">
            <v>H</v>
          </cell>
          <cell r="D1221" t="str">
            <v>H</v>
          </cell>
          <cell r="E1221" t="str">
            <v>H</v>
          </cell>
          <cell r="F1221" t="str">
            <v>H</v>
          </cell>
          <cell r="G1221" t="str">
            <v>H</v>
          </cell>
          <cell r="H1221" t="str">
            <v>H</v>
          </cell>
          <cell r="I1221" t="str">
            <v>H</v>
          </cell>
          <cell r="J1221" t="str">
            <v>H</v>
          </cell>
          <cell r="K1221" t="str">
            <v>H</v>
          </cell>
          <cell r="L1221" t="str">
            <v>H</v>
          </cell>
          <cell r="M1221" t="str">
            <v>H</v>
          </cell>
          <cell r="N1221" t="str">
            <v>H</v>
          </cell>
          <cell r="O1221" t="str">
            <v>H</v>
          </cell>
          <cell r="P1221" t="str">
            <v>H</v>
          </cell>
          <cell r="Q1221" t="str">
            <v>H</v>
          </cell>
          <cell r="R1221" t="str">
            <v>H</v>
          </cell>
          <cell r="S1221" t="str">
            <v>H</v>
          </cell>
          <cell r="T1221" t="str">
            <v>H</v>
          </cell>
          <cell r="U1221" t="str">
            <v>H</v>
          </cell>
          <cell r="V1221" t="str">
            <v>H</v>
          </cell>
          <cell r="W1221" t="str">
            <v>H</v>
          </cell>
        </row>
        <row r="1222">
          <cell r="A1222">
            <v>45488</v>
          </cell>
          <cell r="B1222">
            <v>47200</v>
          </cell>
          <cell r="C1222">
            <v>47800</v>
          </cell>
          <cell r="D1222">
            <v>47000</v>
          </cell>
          <cell r="E1222">
            <v>42500</v>
          </cell>
          <cell r="F1222">
            <v>47100</v>
          </cell>
          <cell r="G1222" t="str">
            <v>-</v>
          </cell>
          <cell r="H1222">
            <v>45000</v>
          </cell>
          <cell r="I1222">
            <v>46000</v>
          </cell>
          <cell r="J1222">
            <v>46900</v>
          </cell>
          <cell r="K1222" t="str">
            <v>-</v>
          </cell>
          <cell r="L1222">
            <v>48800</v>
          </cell>
          <cell r="M1222">
            <v>46900</v>
          </cell>
          <cell r="N1222">
            <v>46800</v>
          </cell>
          <cell r="O1222">
            <v>44500</v>
          </cell>
          <cell r="P1222">
            <v>42400</v>
          </cell>
          <cell r="Q1222">
            <v>42700</v>
          </cell>
          <cell r="R1222">
            <v>42700</v>
          </cell>
          <cell r="S1222">
            <v>44600</v>
          </cell>
          <cell r="T1222">
            <v>46000</v>
          </cell>
          <cell r="U1222">
            <v>48300</v>
          </cell>
          <cell r="V1222">
            <v>46900</v>
          </cell>
          <cell r="W1222">
            <v>50500</v>
          </cell>
        </row>
        <row r="1223">
          <cell r="A1223">
            <v>45489</v>
          </cell>
          <cell r="B1223">
            <v>47200</v>
          </cell>
          <cell r="C1223">
            <v>47800</v>
          </cell>
          <cell r="D1223">
            <v>47100</v>
          </cell>
          <cell r="E1223">
            <v>42200</v>
          </cell>
          <cell r="F1223">
            <v>47800</v>
          </cell>
          <cell r="G1223" t="str">
            <v>-</v>
          </cell>
          <cell r="H1223">
            <v>45000</v>
          </cell>
          <cell r="I1223">
            <v>45900</v>
          </cell>
          <cell r="J1223">
            <v>46900</v>
          </cell>
          <cell r="K1223" t="str">
            <v>-</v>
          </cell>
          <cell r="L1223">
            <v>48800</v>
          </cell>
          <cell r="M1223">
            <v>46800</v>
          </cell>
          <cell r="N1223">
            <v>46400</v>
          </cell>
          <cell r="O1223">
            <v>44300</v>
          </cell>
          <cell r="P1223">
            <v>42000</v>
          </cell>
          <cell r="Q1223">
            <v>42700</v>
          </cell>
          <cell r="R1223">
            <v>42500</v>
          </cell>
          <cell r="S1223">
            <v>44300</v>
          </cell>
          <cell r="T1223">
            <v>46000</v>
          </cell>
          <cell r="U1223">
            <v>48300</v>
          </cell>
          <cell r="V1223">
            <v>46900</v>
          </cell>
          <cell r="W1223">
            <v>50500</v>
          </cell>
        </row>
        <row r="1224">
          <cell r="A1224">
            <v>45490</v>
          </cell>
          <cell r="B1224">
            <v>47200</v>
          </cell>
          <cell r="C1224">
            <v>47800</v>
          </cell>
          <cell r="D1224">
            <v>47100</v>
          </cell>
          <cell r="E1224">
            <v>42200</v>
          </cell>
          <cell r="F1224">
            <v>47800</v>
          </cell>
          <cell r="G1224" t="str">
            <v>-</v>
          </cell>
          <cell r="H1224">
            <v>44500</v>
          </cell>
          <cell r="I1224">
            <v>45600</v>
          </cell>
          <cell r="J1224">
            <v>46900</v>
          </cell>
          <cell r="K1224" t="str">
            <v>-</v>
          </cell>
          <cell r="L1224">
            <v>48700</v>
          </cell>
          <cell r="M1224">
            <v>46800</v>
          </cell>
          <cell r="N1224">
            <v>46300</v>
          </cell>
          <cell r="O1224">
            <v>44300</v>
          </cell>
          <cell r="P1224">
            <v>42000</v>
          </cell>
          <cell r="Q1224">
            <v>42300</v>
          </cell>
          <cell r="R1224">
            <v>42000</v>
          </cell>
          <cell r="S1224">
            <v>44300</v>
          </cell>
          <cell r="T1224">
            <v>46000</v>
          </cell>
          <cell r="U1224">
            <v>48300</v>
          </cell>
          <cell r="V1224">
            <v>46900</v>
          </cell>
          <cell r="W1224">
            <v>50500</v>
          </cell>
        </row>
        <row r="1225">
          <cell r="A1225">
            <v>45491</v>
          </cell>
          <cell r="B1225">
            <v>47200</v>
          </cell>
          <cell r="C1225">
            <v>47500</v>
          </cell>
          <cell r="D1225">
            <v>46900</v>
          </cell>
          <cell r="E1225">
            <v>41700</v>
          </cell>
          <cell r="F1225">
            <v>47800</v>
          </cell>
          <cell r="G1225" t="str">
            <v>-</v>
          </cell>
          <cell r="H1225">
            <v>44500</v>
          </cell>
          <cell r="I1225">
            <v>45200</v>
          </cell>
          <cell r="J1225">
            <v>46500</v>
          </cell>
          <cell r="K1225" t="str">
            <v>-</v>
          </cell>
          <cell r="L1225">
            <v>48400</v>
          </cell>
          <cell r="M1225">
            <v>46500</v>
          </cell>
          <cell r="N1225">
            <v>46000</v>
          </cell>
          <cell r="O1225">
            <v>44000</v>
          </cell>
          <cell r="P1225">
            <v>41800</v>
          </cell>
          <cell r="Q1225">
            <v>42000</v>
          </cell>
          <cell r="R1225">
            <v>42000</v>
          </cell>
          <cell r="S1225">
            <v>43800</v>
          </cell>
          <cell r="T1225">
            <v>45500</v>
          </cell>
          <cell r="U1225">
            <v>48300</v>
          </cell>
          <cell r="V1225">
            <v>46900</v>
          </cell>
          <cell r="W1225">
            <v>50500</v>
          </cell>
        </row>
        <row r="1226">
          <cell r="A1226">
            <v>45492</v>
          </cell>
          <cell r="B1226">
            <v>46700</v>
          </cell>
          <cell r="C1226">
            <v>47500</v>
          </cell>
          <cell r="D1226">
            <v>46500</v>
          </cell>
          <cell r="E1226">
            <v>41500</v>
          </cell>
          <cell r="F1226">
            <v>47700</v>
          </cell>
          <cell r="G1226" t="str">
            <v>-</v>
          </cell>
          <cell r="H1226">
            <v>44500</v>
          </cell>
          <cell r="I1226">
            <v>44900</v>
          </cell>
          <cell r="J1226">
            <v>46200</v>
          </cell>
          <cell r="K1226" t="str">
            <v>-</v>
          </cell>
          <cell r="L1226">
            <v>48000</v>
          </cell>
          <cell r="M1226">
            <v>46500</v>
          </cell>
          <cell r="N1226">
            <v>45700</v>
          </cell>
          <cell r="O1226">
            <v>43400</v>
          </cell>
          <cell r="P1226">
            <v>41500</v>
          </cell>
          <cell r="Q1226">
            <v>41900</v>
          </cell>
          <cell r="R1226">
            <v>41500</v>
          </cell>
          <cell r="S1226">
            <v>43600</v>
          </cell>
          <cell r="T1226">
            <v>45000</v>
          </cell>
          <cell r="U1226">
            <v>47800</v>
          </cell>
          <cell r="V1226">
            <v>46900</v>
          </cell>
          <cell r="W1226">
            <v>50500</v>
          </cell>
        </row>
        <row r="1227">
          <cell r="A1227">
            <v>45493</v>
          </cell>
          <cell r="B1227">
            <v>46700</v>
          </cell>
          <cell r="C1227">
            <v>47500</v>
          </cell>
          <cell r="D1227">
            <v>46600</v>
          </cell>
          <cell r="E1227">
            <v>41800</v>
          </cell>
          <cell r="F1227">
            <v>47700</v>
          </cell>
          <cell r="G1227" t="str">
            <v>-</v>
          </cell>
          <cell r="H1227">
            <v>44000</v>
          </cell>
          <cell r="I1227">
            <v>45000</v>
          </cell>
          <cell r="J1227">
            <v>46200</v>
          </cell>
          <cell r="K1227" t="str">
            <v>-</v>
          </cell>
          <cell r="L1227">
            <v>48000</v>
          </cell>
          <cell r="M1227">
            <v>46500</v>
          </cell>
          <cell r="N1227">
            <v>45600</v>
          </cell>
          <cell r="O1227">
            <v>43400</v>
          </cell>
          <cell r="P1227">
            <v>41500</v>
          </cell>
          <cell r="Q1227">
            <v>41900</v>
          </cell>
          <cell r="R1227">
            <v>41500</v>
          </cell>
          <cell r="S1227">
            <v>43900</v>
          </cell>
          <cell r="T1227">
            <v>45000</v>
          </cell>
          <cell r="U1227">
            <v>47800</v>
          </cell>
          <cell r="V1227">
            <v>46900</v>
          </cell>
          <cell r="W1227">
            <v>50500</v>
          </cell>
        </row>
        <row r="1228">
          <cell r="A1228">
            <v>45494</v>
          </cell>
          <cell r="B1228" t="str">
            <v>H</v>
          </cell>
          <cell r="C1228" t="str">
            <v>H</v>
          </cell>
          <cell r="D1228" t="str">
            <v>H</v>
          </cell>
          <cell r="E1228" t="str">
            <v>H</v>
          </cell>
          <cell r="F1228" t="str">
            <v>H</v>
          </cell>
          <cell r="G1228" t="str">
            <v>H</v>
          </cell>
          <cell r="H1228" t="str">
            <v>H</v>
          </cell>
          <cell r="I1228" t="str">
            <v>H</v>
          </cell>
          <cell r="J1228" t="str">
            <v>H</v>
          </cell>
          <cell r="K1228" t="str">
            <v>H</v>
          </cell>
          <cell r="L1228" t="str">
            <v>H</v>
          </cell>
          <cell r="M1228" t="str">
            <v>H</v>
          </cell>
          <cell r="N1228" t="str">
            <v>H</v>
          </cell>
          <cell r="O1228" t="str">
            <v>H</v>
          </cell>
          <cell r="P1228" t="str">
            <v>H</v>
          </cell>
          <cell r="Q1228" t="str">
            <v>H</v>
          </cell>
          <cell r="R1228" t="str">
            <v>H</v>
          </cell>
          <cell r="S1228" t="str">
            <v>H</v>
          </cell>
          <cell r="T1228" t="str">
            <v>H</v>
          </cell>
          <cell r="U1228" t="str">
            <v>H</v>
          </cell>
          <cell r="V1228" t="str">
            <v>H</v>
          </cell>
          <cell r="W1228" t="str">
            <v>H</v>
          </cell>
        </row>
        <row r="1229">
          <cell r="A1229">
            <v>45495</v>
          </cell>
          <cell r="B1229">
            <v>46200</v>
          </cell>
          <cell r="C1229">
            <v>47500</v>
          </cell>
          <cell r="D1229">
            <v>46300</v>
          </cell>
          <cell r="E1229">
            <v>41500</v>
          </cell>
          <cell r="F1229">
            <v>47600</v>
          </cell>
          <cell r="G1229" t="str">
            <v>-</v>
          </cell>
          <cell r="H1229">
            <v>43500</v>
          </cell>
          <cell r="I1229">
            <v>44700</v>
          </cell>
          <cell r="J1229">
            <v>45900</v>
          </cell>
          <cell r="K1229" t="str">
            <v>-</v>
          </cell>
          <cell r="L1229">
            <v>47600</v>
          </cell>
          <cell r="M1229">
            <v>46000</v>
          </cell>
          <cell r="N1229">
            <v>45400</v>
          </cell>
          <cell r="O1229">
            <v>43400</v>
          </cell>
          <cell r="P1229">
            <v>41000</v>
          </cell>
          <cell r="Q1229">
            <v>41700</v>
          </cell>
          <cell r="R1229">
            <v>41500</v>
          </cell>
          <cell r="S1229">
            <v>43600</v>
          </cell>
          <cell r="T1229">
            <v>45000</v>
          </cell>
          <cell r="U1229">
            <v>47800</v>
          </cell>
          <cell r="V1229">
            <v>46900</v>
          </cell>
          <cell r="W1229">
            <v>50100</v>
          </cell>
        </row>
        <row r="1230">
          <cell r="A1230">
            <v>45496</v>
          </cell>
          <cell r="B1230">
            <v>46200</v>
          </cell>
          <cell r="C1230">
            <v>47500</v>
          </cell>
          <cell r="D1230">
            <v>46300</v>
          </cell>
          <cell r="E1230">
            <v>41500</v>
          </cell>
          <cell r="F1230">
            <v>47500</v>
          </cell>
          <cell r="G1230" t="str">
            <v>-</v>
          </cell>
          <cell r="H1230">
            <v>44000</v>
          </cell>
          <cell r="I1230">
            <v>44700</v>
          </cell>
          <cell r="J1230">
            <v>45800</v>
          </cell>
          <cell r="K1230" t="str">
            <v>-</v>
          </cell>
          <cell r="L1230">
            <v>47400</v>
          </cell>
          <cell r="M1230">
            <v>45800</v>
          </cell>
          <cell r="N1230" t="str">
            <v>-</v>
          </cell>
          <cell r="O1230">
            <v>43400</v>
          </cell>
          <cell r="P1230">
            <v>41400</v>
          </cell>
          <cell r="Q1230">
            <v>41800</v>
          </cell>
          <cell r="R1230">
            <v>41700</v>
          </cell>
          <cell r="S1230">
            <v>43600</v>
          </cell>
          <cell r="T1230">
            <v>45000</v>
          </cell>
          <cell r="U1230">
            <v>47800</v>
          </cell>
          <cell r="V1230">
            <v>46900</v>
          </cell>
          <cell r="W1230">
            <v>50100</v>
          </cell>
        </row>
        <row r="1231">
          <cell r="A1231">
            <v>45497</v>
          </cell>
          <cell r="B1231">
            <v>46200</v>
          </cell>
          <cell r="C1231">
            <v>47500</v>
          </cell>
          <cell r="D1231">
            <v>46200</v>
          </cell>
          <cell r="E1231">
            <v>41000</v>
          </cell>
          <cell r="F1231">
            <v>47400</v>
          </cell>
          <cell r="G1231" t="str">
            <v>-</v>
          </cell>
          <cell r="H1231">
            <v>43500</v>
          </cell>
          <cell r="I1231">
            <v>44500</v>
          </cell>
          <cell r="J1231">
            <v>45500</v>
          </cell>
          <cell r="K1231" t="str">
            <v>-</v>
          </cell>
          <cell r="L1231">
            <v>47200</v>
          </cell>
          <cell r="M1231">
            <v>45700</v>
          </cell>
          <cell r="N1231" t="str">
            <v>-</v>
          </cell>
          <cell r="O1231">
            <v>43400</v>
          </cell>
          <cell r="P1231">
            <v>41300</v>
          </cell>
          <cell r="Q1231">
            <v>41700</v>
          </cell>
          <cell r="R1231">
            <v>41300</v>
          </cell>
          <cell r="S1231">
            <v>43100</v>
          </cell>
          <cell r="T1231">
            <v>45000</v>
          </cell>
          <cell r="U1231">
            <v>47800</v>
          </cell>
          <cell r="V1231">
            <v>46900</v>
          </cell>
          <cell r="W1231">
            <v>50100</v>
          </cell>
        </row>
        <row r="1232">
          <cell r="A1232">
            <v>45498</v>
          </cell>
          <cell r="B1232">
            <v>46000</v>
          </cell>
          <cell r="C1232">
            <v>47500</v>
          </cell>
          <cell r="D1232">
            <v>46200</v>
          </cell>
          <cell r="E1232">
            <v>41300</v>
          </cell>
          <cell r="F1232">
            <v>47200</v>
          </cell>
          <cell r="G1232" t="str">
            <v>-</v>
          </cell>
          <cell r="H1232">
            <v>43000</v>
          </cell>
          <cell r="I1232">
            <v>44600</v>
          </cell>
          <cell r="J1232">
            <v>45500</v>
          </cell>
          <cell r="K1232" t="str">
            <v>-</v>
          </cell>
          <cell r="L1232">
            <v>47200</v>
          </cell>
          <cell r="M1232">
            <v>45400</v>
          </cell>
          <cell r="N1232" t="str">
            <v>-</v>
          </cell>
          <cell r="O1232">
            <v>43400</v>
          </cell>
          <cell r="P1232">
            <v>41500</v>
          </cell>
          <cell r="Q1232">
            <v>41600</v>
          </cell>
          <cell r="R1232">
            <v>41300</v>
          </cell>
          <cell r="S1232">
            <v>43600</v>
          </cell>
          <cell r="T1232">
            <v>44800</v>
          </cell>
          <cell r="U1232">
            <v>47800</v>
          </cell>
          <cell r="V1232">
            <v>46800</v>
          </cell>
          <cell r="W1232">
            <v>50100</v>
          </cell>
        </row>
        <row r="1233">
          <cell r="A1233">
            <v>45499</v>
          </cell>
          <cell r="B1233">
            <v>46000</v>
          </cell>
          <cell r="C1233">
            <v>47300</v>
          </cell>
          <cell r="D1233">
            <v>46100</v>
          </cell>
          <cell r="E1233">
            <v>41300</v>
          </cell>
          <cell r="F1233">
            <v>47000</v>
          </cell>
          <cell r="G1233" t="str">
            <v>-</v>
          </cell>
          <cell r="H1233">
            <v>43500</v>
          </cell>
          <cell r="I1233">
            <v>44700</v>
          </cell>
          <cell r="J1233">
            <v>44700</v>
          </cell>
          <cell r="K1233" t="str">
            <v>-</v>
          </cell>
          <cell r="L1233">
            <v>47200</v>
          </cell>
          <cell r="M1233">
            <v>44900</v>
          </cell>
          <cell r="N1233" t="str">
            <v>-</v>
          </cell>
          <cell r="O1233">
            <v>43200</v>
          </cell>
          <cell r="P1233">
            <v>41300</v>
          </cell>
          <cell r="Q1233">
            <v>41500</v>
          </cell>
          <cell r="R1233">
            <v>41300</v>
          </cell>
          <cell r="S1233">
            <v>43400</v>
          </cell>
          <cell r="T1233">
            <v>44500</v>
          </cell>
          <cell r="U1233">
            <v>47800</v>
          </cell>
          <cell r="V1233">
            <v>46300</v>
          </cell>
          <cell r="W1233">
            <v>49700</v>
          </cell>
        </row>
        <row r="1234">
          <cell r="A1234">
            <v>45500</v>
          </cell>
          <cell r="B1234">
            <v>46000</v>
          </cell>
          <cell r="C1234">
            <v>47500</v>
          </cell>
          <cell r="D1234">
            <v>46400</v>
          </cell>
          <cell r="E1234">
            <v>41700</v>
          </cell>
          <cell r="F1234">
            <v>46600</v>
          </cell>
          <cell r="G1234" t="str">
            <v>-</v>
          </cell>
          <cell r="H1234">
            <v>43500</v>
          </cell>
          <cell r="I1234">
            <v>45200</v>
          </cell>
          <cell r="J1234">
            <v>44800</v>
          </cell>
          <cell r="K1234" t="str">
            <v>-</v>
          </cell>
          <cell r="L1234">
            <v>47500</v>
          </cell>
          <cell r="M1234">
            <v>44700</v>
          </cell>
          <cell r="N1234" t="str">
            <v>-</v>
          </cell>
          <cell r="O1234">
            <v>43200</v>
          </cell>
          <cell r="P1234">
            <v>41400</v>
          </cell>
          <cell r="Q1234">
            <v>41500</v>
          </cell>
          <cell r="R1234">
            <v>41500</v>
          </cell>
          <cell r="S1234">
            <v>43800</v>
          </cell>
          <cell r="T1234">
            <v>44500</v>
          </cell>
          <cell r="U1234">
            <v>47800</v>
          </cell>
          <cell r="V1234">
            <v>46300</v>
          </cell>
          <cell r="W1234">
            <v>49700</v>
          </cell>
        </row>
        <row r="1235">
          <cell r="A1235">
            <v>45501</v>
          </cell>
          <cell r="B1235" t="str">
            <v>H</v>
          </cell>
          <cell r="C1235" t="str">
            <v>H</v>
          </cell>
          <cell r="D1235" t="str">
            <v>H</v>
          </cell>
          <cell r="E1235" t="str">
            <v>H</v>
          </cell>
          <cell r="F1235" t="str">
            <v>H</v>
          </cell>
          <cell r="G1235" t="str">
            <v>H</v>
          </cell>
          <cell r="H1235" t="str">
            <v>H</v>
          </cell>
          <cell r="I1235" t="str">
            <v>H</v>
          </cell>
          <cell r="J1235" t="str">
            <v>H</v>
          </cell>
          <cell r="K1235" t="str">
            <v>H</v>
          </cell>
          <cell r="L1235" t="str">
            <v>H</v>
          </cell>
          <cell r="M1235" t="str">
            <v>H</v>
          </cell>
          <cell r="N1235" t="str">
            <v>H</v>
          </cell>
          <cell r="O1235" t="str">
            <v>H</v>
          </cell>
          <cell r="P1235" t="str">
            <v>H</v>
          </cell>
          <cell r="Q1235" t="str">
            <v>H</v>
          </cell>
          <cell r="R1235" t="str">
            <v>H</v>
          </cell>
          <cell r="S1235" t="str">
            <v>H</v>
          </cell>
          <cell r="T1235" t="str">
            <v>H</v>
          </cell>
          <cell r="U1235" t="str">
            <v>H</v>
          </cell>
          <cell r="V1235" t="str">
            <v>H</v>
          </cell>
          <cell r="W1235" t="str">
            <v>H</v>
          </cell>
        </row>
        <row r="1236">
          <cell r="A1236">
            <v>45502</v>
          </cell>
          <cell r="B1236">
            <v>46200</v>
          </cell>
          <cell r="C1236">
            <v>47500</v>
          </cell>
          <cell r="D1236">
            <v>46700</v>
          </cell>
          <cell r="E1236">
            <v>42000</v>
          </cell>
          <cell r="F1236">
            <v>47000</v>
          </cell>
          <cell r="G1236" t="str">
            <v>-</v>
          </cell>
          <cell r="H1236">
            <v>43500</v>
          </cell>
          <cell r="I1236">
            <v>45400</v>
          </cell>
          <cell r="J1236">
            <v>44800</v>
          </cell>
          <cell r="K1236" t="str">
            <v>-</v>
          </cell>
          <cell r="L1236">
            <v>47600</v>
          </cell>
          <cell r="M1236">
            <v>44400</v>
          </cell>
          <cell r="N1236" t="str">
            <v>-</v>
          </cell>
          <cell r="O1236">
            <v>43600</v>
          </cell>
          <cell r="P1236">
            <v>41500</v>
          </cell>
          <cell r="Q1236">
            <v>41700</v>
          </cell>
          <cell r="R1236">
            <v>41500</v>
          </cell>
          <cell r="S1236">
            <v>44100</v>
          </cell>
          <cell r="T1236">
            <v>44500</v>
          </cell>
          <cell r="U1236">
            <v>47800</v>
          </cell>
          <cell r="V1236">
            <v>46100</v>
          </cell>
          <cell r="W1236">
            <v>49300</v>
          </cell>
        </row>
        <row r="1237">
          <cell r="A1237">
            <v>45503</v>
          </cell>
          <cell r="B1237">
            <v>46600</v>
          </cell>
          <cell r="C1237">
            <v>47500</v>
          </cell>
          <cell r="D1237">
            <v>47200</v>
          </cell>
          <cell r="E1237">
            <v>42600</v>
          </cell>
          <cell r="F1237">
            <v>47300</v>
          </cell>
          <cell r="G1237" t="str">
            <v>-</v>
          </cell>
          <cell r="H1237">
            <v>44500</v>
          </cell>
          <cell r="I1237">
            <v>46100</v>
          </cell>
          <cell r="J1237">
            <v>45700</v>
          </cell>
          <cell r="K1237" t="str">
            <v>-</v>
          </cell>
          <cell r="L1237">
            <v>48000</v>
          </cell>
          <cell r="M1237">
            <v>45200</v>
          </cell>
          <cell r="N1237" t="str">
            <v>-</v>
          </cell>
          <cell r="O1237">
            <v>44000</v>
          </cell>
          <cell r="P1237">
            <v>42000</v>
          </cell>
          <cell r="Q1237">
            <v>42400</v>
          </cell>
          <cell r="R1237">
            <v>42200</v>
          </cell>
          <cell r="S1237">
            <v>44700</v>
          </cell>
          <cell r="T1237">
            <v>45300</v>
          </cell>
          <cell r="U1237">
            <v>47800</v>
          </cell>
          <cell r="V1237">
            <v>47500</v>
          </cell>
          <cell r="W1237">
            <v>50600</v>
          </cell>
        </row>
        <row r="1238">
          <cell r="A1238">
            <v>45504</v>
          </cell>
          <cell r="B1238">
            <v>46800</v>
          </cell>
          <cell r="C1238">
            <v>47800</v>
          </cell>
          <cell r="D1238">
            <v>47200</v>
          </cell>
          <cell r="E1238">
            <v>42300</v>
          </cell>
          <cell r="F1238">
            <v>47600</v>
          </cell>
          <cell r="G1238" t="str">
            <v>-</v>
          </cell>
          <cell r="H1238">
            <v>44000</v>
          </cell>
          <cell r="I1238">
            <v>45700</v>
          </cell>
          <cell r="J1238">
            <v>46000</v>
          </cell>
          <cell r="K1238" t="str">
            <v>-</v>
          </cell>
          <cell r="L1238">
            <v>48200</v>
          </cell>
          <cell r="M1238">
            <v>45300</v>
          </cell>
          <cell r="N1238" t="str">
            <v>-</v>
          </cell>
          <cell r="O1238">
            <v>44000</v>
          </cell>
          <cell r="P1238">
            <v>41900</v>
          </cell>
          <cell r="Q1238">
            <v>42300</v>
          </cell>
          <cell r="R1238">
            <v>42200</v>
          </cell>
          <cell r="S1238">
            <v>44400</v>
          </cell>
          <cell r="T1238">
            <v>45300</v>
          </cell>
          <cell r="U1238">
            <v>47800</v>
          </cell>
          <cell r="V1238">
            <v>47500</v>
          </cell>
          <cell r="W1238">
            <v>50600</v>
          </cell>
        </row>
        <row r="1239">
          <cell r="A1239">
            <v>45505</v>
          </cell>
          <cell r="B1239">
            <v>46500</v>
          </cell>
          <cell r="C1239">
            <v>47500</v>
          </cell>
          <cell r="D1239">
            <v>47000</v>
          </cell>
          <cell r="E1239">
            <v>42300</v>
          </cell>
          <cell r="F1239">
            <v>47300</v>
          </cell>
          <cell r="G1239" t="str">
            <v>-</v>
          </cell>
          <cell r="H1239">
            <v>44000</v>
          </cell>
          <cell r="I1239">
            <v>45400</v>
          </cell>
          <cell r="J1239">
            <v>46000</v>
          </cell>
          <cell r="K1239" t="str">
            <v>-</v>
          </cell>
          <cell r="L1239">
            <v>48000</v>
          </cell>
          <cell r="M1239">
            <v>45200</v>
          </cell>
          <cell r="N1239" t="str">
            <v>-</v>
          </cell>
          <cell r="O1239">
            <v>44000</v>
          </cell>
          <cell r="P1239">
            <v>41900</v>
          </cell>
          <cell r="Q1239">
            <v>42200</v>
          </cell>
          <cell r="R1239">
            <v>42200</v>
          </cell>
          <cell r="S1239">
            <v>44400</v>
          </cell>
          <cell r="T1239">
            <v>45300</v>
          </cell>
          <cell r="U1239">
            <v>47800</v>
          </cell>
          <cell r="V1239">
            <v>47500</v>
          </cell>
          <cell r="W1239">
            <v>50600</v>
          </cell>
        </row>
        <row r="1240">
          <cell r="A1240">
            <v>45506</v>
          </cell>
          <cell r="B1240">
            <v>46200</v>
          </cell>
          <cell r="C1240">
            <v>47500</v>
          </cell>
          <cell r="D1240">
            <v>46800</v>
          </cell>
          <cell r="E1240">
            <v>41800</v>
          </cell>
          <cell r="F1240">
            <v>47300</v>
          </cell>
          <cell r="G1240" t="str">
            <v>-</v>
          </cell>
          <cell r="H1240">
            <v>43800</v>
          </cell>
          <cell r="I1240">
            <v>45100</v>
          </cell>
          <cell r="J1240">
            <v>45800</v>
          </cell>
          <cell r="K1240" t="str">
            <v>-</v>
          </cell>
          <cell r="L1240">
            <v>47800</v>
          </cell>
          <cell r="M1240">
            <v>44700</v>
          </cell>
          <cell r="N1240" t="str">
            <v>-</v>
          </cell>
          <cell r="O1240">
            <v>44000</v>
          </cell>
          <cell r="P1240">
            <v>41300</v>
          </cell>
          <cell r="Q1240">
            <v>41900</v>
          </cell>
          <cell r="R1240">
            <v>42200</v>
          </cell>
          <cell r="S1240">
            <v>43900</v>
          </cell>
          <cell r="T1240">
            <v>45300</v>
          </cell>
          <cell r="U1240">
            <v>47800</v>
          </cell>
          <cell r="V1240">
            <v>47500</v>
          </cell>
          <cell r="W1240">
            <v>50600</v>
          </cell>
        </row>
        <row r="1241">
          <cell r="A1241">
            <v>45507</v>
          </cell>
          <cell r="B1241">
            <v>46000</v>
          </cell>
          <cell r="C1241">
            <v>47500</v>
          </cell>
          <cell r="D1241">
            <v>46500</v>
          </cell>
          <cell r="E1241">
            <v>41600</v>
          </cell>
          <cell r="F1241">
            <v>47300</v>
          </cell>
          <cell r="G1241" t="str">
            <v>-</v>
          </cell>
          <cell r="H1241">
            <v>43500</v>
          </cell>
          <cell r="I1241">
            <v>44900</v>
          </cell>
          <cell r="J1241">
            <v>45500</v>
          </cell>
          <cell r="K1241" t="str">
            <v>-</v>
          </cell>
          <cell r="L1241">
            <v>47400</v>
          </cell>
          <cell r="M1241">
            <v>44300</v>
          </cell>
          <cell r="N1241" t="str">
            <v>-</v>
          </cell>
          <cell r="O1241">
            <v>44000</v>
          </cell>
          <cell r="P1241">
            <v>41200</v>
          </cell>
          <cell r="Q1241">
            <v>41700</v>
          </cell>
          <cell r="R1241">
            <v>42200</v>
          </cell>
          <cell r="S1241">
            <v>43700</v>
          </cell>
          <cell r="T1241">
            <v>45000</v>
          </cell>
          <cell r="U1241">
            <v>47800</v>
          </cell>
          <cell r="V1241">
            <v>47300</v>
          </cell>
          <cell r="W1241">
            <v>50500</v>
          </cell>
        </row>
        <row r="1242">
          <cell r="A1242">
            <v>45508</v>
          </cell>
          <cell r="B1242" t="str">
            <v>H</v>
          </cell>
          <cell r="C1242" t="str">
            <v>H</v>
          </cell>
          <cell r="D1242" t="str">
            <v>H</v>
          </cell>
          <cell r="E1242" t="str">
            <v>H</v>
          </cell>
          <cell r="F1242" t="str">
            <v>H</v>
          </cell>
          <cell r="G1242" t="str">
            <v>H</v>
          </cell>
          <cell r="H1242" t="str">
            <v>H</v>
          </cell>
          <cell r="I1242" t="str">
            <v>H</v>
          </cell>
          <cell r="J1242" t="str">
            <v>H</v>
          </cell>
          <cell r="K1242" t="str">
            <v>H</v>
          </cell>
          <cell r="L1242" t="str">
            <v>H</v>
          </cell>
          <cell r="M1242" t="str">
            <v>H</v>
          </cell>
          <cell r="N1242" t="str">
            <v>H</v>
          </cell>
          <cell r="O1242" t="str">
            <v>H</v>
          </cell>
          <cell r="P1242" t="str">
            <v>H</v>
          </cell>
          <cell r="Q1242" t="str">
            <v>H</v>
          </cell>
          <cell r="R1242" t="str">
            <v>H</v>
          </cell>
          <cell r="S1242" t="str">
            <v>H</v>
          </cell>
          <cell r="T1242" t="str">
            <v>H</v>
          </cell>
          <cell r="U1242" t="str">
            <v>H</v>
          </cell>
          <cell r="V1242" t="str">
            <v>H</v>
          </cell>
          <cell r="W1242" t="str">
            <v>H</v>
          </cell>
        </row>
        <row r="1243">
          <cell r="A1243">
            <v>45509</v>
          </cell>
          <cell r="B1243">
            <v>45800</v>
          </cell>
          <cell r="C1243">
            <v>47500</v>
          </cell>
          <cell r="D1243">
            <v>46500</v>
          </cell>
          <cell r="E1243">
            <v>41500</v>
          </cell>
          <cell r="F1243">
            <v>46600</v>
          </cell>
          <cell r="G1243" t="str">
            <v>-</v>
          </cell>
          <cell r="H1243">
            <v>43500</v>
          </cell>
          <cell r="I1243">
            <v>44800</v>
          </cell>
          <cell r="J1243">
            <v>44800</v>
          </cell>
          <cell r="K1243" t="str">
            <v>-</v>
          </cell>
          <cell r="L1243">
            <v>47300</v>
          </cell>
          <cell r="M1243">
            <v>44300</v>
          </cell>
          <cell r="N1243">
            <v>45700</v>
          </cell>
          <cell r="O1243">
            <v>43200</v>
          </cell>
          <cell r="P1243">
            <v>41200</v>
          </cell>
          <cell r="Q1243">
            <v>41700</v>
          </cell>
          <cell r="R1243">
            <v>41400</v>
          </cell>
          <cell r="S1243">
            <v>43600</v>
          </cell>
          <cell r="T1243">
            <v>45000</v>
          </cell>
          <cell r="U1243">
            <v>48300</v>
          </cell>
          <cell r="V1243">
            <v>47100</v>
          </cell>
          <cell r="W1243">
            <v>50500</v>
          </cell>
        </row>
        <row r="1244">
          <cell r="A1244">
            <v>45510</v>
          </cell>
          <cell r="B1244">
            <v>45600</v>
          </cell>
          <cell r="C1244">
            <v>47500</v>
          </cell>
          <cell r="D1244">
            <v>46200</v>
          </cell>
          <cell r="E1244">
            <v>41200</v>
          </cell>
          <cell r="F1244">
            <v>46200</v>
          </cell>
          <cell r="G1244" t="str">
            <v>-</v>
          </cell>
          <cell r="H1244">
            <v>43300</v>
          </cell>
          <cell r="I1244">
            <v>44500</v>
          </cell>
          <cell r="J1244">
            <v>44800</v>
          </cell>
          <cell r="K1244" t="str">
            <v>-</v>
          </cell>
          <cell r="L1244">
            <v>47000</v>
          </cell>
          <cell r="M1244">
            <v>44300</v>
          </cell>
          <cell r="N1244">
            <v>45400</v>
          </cell>
          <cell r="O1244">
            <v>42800</v>
          </cell>
          <cell r="P1244">
            <v>40800</v>
          </cell>
          <cell r="Q1244">
            <v>41300</v>
          </cell>
          <cell r="R1244">
            <v>41400</v>
          </cell>
          <cell r="S1244">
            <v>43300</v>
          </cell>
          <cell r="T1244">
            <v>44500</v>
          </cell>
          <cell r="U1244">
            <v>48300</v>
          </cell>
          <cell r="V1244">
            <v>46700</v>
          </cell>
          <cell r="W1244">
            <v>50300</v>
          </cell>
        </row>
        <row r="1245">
          <cell r="A1245">
            <v>45511</v>
          </cell>
          <cell r="B1245">
            <v>45600</v>
          </cell>
          <cell r="C1245">
            <v>47500</v>
          </cell>
          <cell r="D1245">
            <v>46000</v>
          </cell>
          <cell r="E1245">
            <v>41200</v>
          </cell>
          <cell r="F1245">
            <v>46200</v>
          </cell>
          <cell r="G1245" t="str">
            <v>-</v>
          </cell>
          <cell r="H1245">
            <v>43000</v>
          </cell>
          <cell r="I1245">
            <v>44500</v>
          </cell>
          <cell r="J1245">
            <v>44800</v>
          </cell>
          <cell r="K1245" t="str">
            <v>-</v>
          </cell>
          <cell r="L1245">
            <v>46800</v>
          </cell>
          <cell r="M1245">
            <v>44700</v>
          </cell>
          <cell r="N1245">
            <v>45300</v>
          </cell>
          <cell r="O1245">
            <v>42800</v>
          </cell>
          <cell r="P1245">
            <v>40800</v>
          </cell>
          <cell r="Q1245">
            <v>41300</v>
          </cell>
          <cell r="R1245">
            <v>41200</v>
          </cell>
          <cell r="S1245">
            <v>43300</v>
          </cell>
          <cell r="T1245">
            <v>44500</v>
          </cell>
          <cell r="U1245">
            <v>48300</v>
          </cell>
          <cell r="V1245">
            <v>46700</v>
          </cell>
          <cell r="W1245">
            <v>50300</v>
          </cell>
        </row>
        <row r="1246">
          <cell r="A1246">
            <v>45512</v>
          </cell>
          <cell r="B1246">
            <v>45600</v>
          </cell>
          <cell r="C1246">
            <v>47500</v>
          </cell>
          <cell r="D1246">
            <v>46000</v>
          </cell>
          <cell r="E1246">
            <v>41200</v>
          </cell>
          <cell r="F1246">
            <v>46200</v>
          </cell>
          <cell r="G1246" t="str">
            <v>-</v>
          </cell>
          <cell r="H1246">
            <v>43000</v>
          </cell>
          <cell r="I1246">
            <v>44500</v>
          </cell>
          <cell r="J1246">
            <v>44500</v>
          </cell>
          <cell r="K1246" t="str">
            <v>-</v>
          </cell>
          <cell r="L1246">
            <v>46900</v>
          </cell>
          <cell r="M1246">
            <v>44800</v>
          </cell>
          <cell r="N1246">
            <v>45200</v>
          </cell>
          <cell r="O1246">
            <v>42600</v>
          </cell>
          <cell r="P1246">
            <v>40800</v>
          </cell>
          <cell r="Q1246">
            <v>41300</v>
          </cell>
          <cell r="R1246">
            <v>40900</v>
          </cell>
          <cell r="S1246">
            <v>43300</v>
          </cell>
          <cell r="T1246">
            <v>44500</v>
          </cell>
          <cell r="U1246">
            <v>48200</v>
          </cell>
          <cell r="V1246">
            <v>46500</v>
          </cell>
          <cell r="W1246">
            <v>50300</v>
          </cell>
        </row>
        <row r="1247">
          <cell r="A1247">
            <v>45513</v>
          </cell>
          <cell r="B1247">
            <v>45600</v>
          </cell>
          <cell r="C1247">
            <v>47300</v>
          </cell>
          <cell r="D1247">
            <v>45600</v>
          </cell>
          <cell r="E1247">
            <v>41000</v>
          </cell>
          <cell r="F1247">
            <v>46200</v>
          </cell>
          <cell r="G1247" t="str">
            <v>-</v>
          </cell>
          <cell r="H1247">
            <v>42800</v>
          </cell>
          <cell r="I1247">
            <v>44200</v>
          </cell>
          <cell r="J1247">
            <v>44500</v>
          </cell>
          <cell r="K1247" t="str">
            <v>-</v>
          </cell>
          <cell r="L1247">
            <v>46500</v>
          </cell>
          <cell r="M1247">
            <v>45000</v>
          </cell>
          <cell r="N1247">
            <v>44800</v>
          </cell>
          <cell r="O1247">
            <v>42500</v>
          </cell>
          <cell r="P1247">
            <v>40500</v>
          </cell>
          <cell r="Q1247">
            <v>41100</v>
          </cell>
          <cell r="R1247">
            <v>40900</v>
          </cell>
          <cell r="S1247">
            <v>43100</v>
          </cell>
          <cell r="T1247">
            <v>44300</v>
          </cell>
          <cell r="U1247">
            <v>48300</v>
          </cell>
          <cell r="V1247">
            <v>46500</v>
          </cell>
          <cell r="W1247">
            <v>50300</v>
          </cell>
        </row>
        <row r="1248">
          <cell r="A1248">
            <v>45514</v>
          </cell>
          <cell r="B1248">
            <v>45600</v>
          </cell>
          <cell r="C1248">
            <v>47000</v>
          </cell>
          <cell r="D1248">
            <v>45500</v>
          </cell>
          <cell r="E1248">
            <v>40900</v>
          </cell>
          <cell r="F1248">
            <v>46100</v>
          </cell>
          <cell r="G1248" t="str">
            <v>-</v>
          </cell>
          <cell r="H1248">
            <v>43500</v>
          </cell>
          <cell r="I1248">
            <v>44100</v>
          </cell>
          <cell r="J1248">
            <v>44500</v>
          </cell>
          <cell r="K1248" t="str">
            <v>-</v>
          </cell>
          <cell r="L1248">
            <v>46300</v>
          </cell>
          <cell r="M1248">
            <v>45000</v>
          </cell>
          <cell r="N1248">
            <v>44600</v>
          </cell>
          <cell r="O1248">
            <v>42500</v>
          </cell>
          <cell r="P1248">
            <v>40500</v>
          </cell>
          <cell r="Q1248">
            <v>41100</v>
          </cell>
          <cell r="R1248">
            <v>40900</v>
          </cell>
          <cell r="S1248">
            <v>43000</v>
          </cell>
          <cell r="T1248">
            <v>44300</v>
          </cell>
          <cell r="U1248">
            <v>48300</v>
          </cell>
          <cell r="V1248">
            <v>46500</v>
          </cell>
          <cell r="W1248">
            <v>50300</v>
          </cell>
        </row>
        <row r="1249">
          <cell r="A1249">
            <v>45515</v>
          </cell>
          <cell r="B1249" t="str">
            <v>H</v>
          </cell>
          <cell r="C1249" t="str">
            <v>H</v>
          </cell>
          <cell r="D1249" t="str">
            <v>H</v>
          </cell>
          <cell r="E1249" t="str">
            <v>H</v>
          </cell>
          <cell r="F1249" t="str">
            <v>H</v>
          </cell>
          <cell r="G1249" t="str">
            <v>H</v>
          </cell>
          <cell r="H1249" t="str">
            <v>H</v>
          </cell>
          <cell r="I1249" t="str">
            <v>H</v>
          </cell>
          <cell r="J1249" t="str">
            <v>H</v>
          </cell>
          <cell r="K1249" t="str">
            <v>H</v>
          </cell>
          <cell r="L1249" t="str">
            <v>H</v>
          </cell>
          <cell r="M1249" t="str">
            <v>H</v>
          </cell>
          <cell r="N1249" t="str">
            <v>H</v>
          </cell>
          <cell r="O1249" t="str">
            <v>H</v>
          </cell>
          <cell r="P1249" t="str">
            <v>H</v>
          </cell>
          <cell r="Q1249" t="str">
            <v>H</v>
          </cell>
          <cell r="R1249" t="str">
            <v>H</v>
          </cell>
          <cell r="S1249" t="str">
            <v>H</v>
          </cell>
          <cell r="T1249" t="str">
            <v>H</v>
          </cell>
          <cell r="U1249" t="str">
            <v>H</v>
          </cell>
          <cell r="V1249" t="str">
            <v>H</v>
          </cell>
          <cell r="W1249" t="str">
            <v>H</v>
          </cell>
        </row>
        <row r="1250">
          <cell r="A1250">
            <v>45516</v>
          </cell>
          <cell r="B1250">
            <v>45600</v>
          </cell>
          <cell r="C1250">
            <v>47000</v>
          </cell>
          <cell r="D1250">
            <v>45500</v>
          </cell>
          <cell r="E1250">
            <v>41100</v>
          </cell>
          <cell r="F1250">
            <v>46500</v>
          </cell>
          <cell r="G1250" t="str">
            <v>-</v>
          </cell>
          <cell r="H1250">
            <v>43500</v>
          </cell>
          <cell r="I1250">
            <v>44200</v>
          </cell>
          <cell r="J1250">
            <v>44500</v>
          </cell>
          <cell r="K1250" t="str">
            <v>-</v>
          </cell>
          <cell r="L1250">
            <v>46300</v>
          </cell>
          <cell r="M1250">
            <v>45000</v>
          </cell>
          <cell r="N1250">
            <v>44600</v>
          </cell>
          <cell r="O1250">
            <v>42700</v>
          </cell>
          <cell r="P1250">
            <v>40500</v>
          </cell>
          <cell r="Q1250">
            <v>41200</v>
          </cell>
          <cell r="R1250">
            <v>41200</v>
          </cell>
          <cell r="S1250">
            <v>43100</v>
          </cell>
          <cell r="T1250">
            <v>44300</v>
          </cell>
          <cell r="U1250">
            <v>48600</v>
          </cell>
          <cell r="V1250">
            <v>46200</v>
          </cell>
          <cell r="W1250">
            <v>50000</v>
          </cell>
        </row>
        <row r="1251">
          <cell r="A1251">
            <v>45517</v>
          </cell>
          <cell r="B1251">
            <v>45600</v>
          </cell>
          <cell r="C1251">
            <v>47000</v>
          </cell>
          <cell r="D1251">
            <v>45700</v>
          </cell>
          <cell r="E1251">
            <v>41200</v>
          </cell>
          <cell r="F1251">
            <v>46500</v>
          </cell>
          <cell r="G1251" t="str">
            <v>-</v>
          </cell>
          <cell r="H1251">
            <v>43500</v>
          </cell>
          <cell r="I1251">
            <v>44300</v>
          </cell>
          <cell r="J1251">
            <v>44600</v>
          </cell>
          <cell r="K1251" t="str">
            <v>-</v>
          </cell>
          <cell r="L1251">
            <v>46600</v>
          </cell>
          <cell r="M1251">
            <v>45100</v>
          </cell>
          <cell r="N1251">
            <v>45000</v>
          </cell>
          <cell r="O1251">
            <v>42700</v>
          </cell>
          <cell r="P1251">
            <v>40600</v>
          </cell>
          <cell r="Q1251">
            <v>41100</v>
          </cell>
          <cell r="R1251">
            <v>41200</v>
          </cell>
          <cell r="S1251">
            <v>43100</v>
          </cell>
          <cell r="T1251">
            <v>44300</v>
          </cell>
          <cell r="U1251">
            <v>48600</v>
          </cell>
          <cell r="V1251">
            <v>46200</v>
          </cell>
          <cell r="W1251">
            <v>50000</v>
          </cell>
        </row>
        <row r="1252">
          <cell r="A1252">
            <v>45518</v>
          </cell>
          <cell r="B1252">
            <v>45400</v>
          </cell>
          <cell r="C1252">
            <v>47000</v>
          </cell>
          <cell r="D1252">
            <v>45600</v>
          </cell>
          <cell r="E1252">
            <v>41000</v>
          </cell>
          <cell r="F1252">
            <v>46400</v>
          </cell>
          <cell r="G1252" t="str">
            <v>-</v>
          </cell>
          <cell r="H1252">
            <v>43500</v>
          </cell>
          <cell r="I1252">
            <v>44200</v>
          </cell>
          <cell r="J1252">
            <v>44600</v>
          </cell>
          <cell r="K1252" t="str">
            <v>-</v>
          </cell>
          <cell r="L1252">
            <v>46600</v>
          </cell>
          <cell r="M1252">
            <v>45100</v>
          </cell>
          <cell r="N1252">
            <v>44700</v>
          </cell>
          <cell r="O1252">
            <v>42700</v>
          </cell>
          <cell r="P1252">
            <v>40600</v>
          </cell>
          <cell r="Q1252">
            <v>41200</v>
          </cell>
          <cell r="R1252">
            <v>41200</v>
          </cell>
          <cell r="S1252">
            <v>43100</v>
          </cell>
          <cell r="T1252">
            <v>44200</v>
          </cell>
          <cell r="U1252">
            <v>48600</v>
          </cell>
          <cell r="V1252">
            <v>46200</v>
          </cell>
          <cell r="W1252">
            <v>50000</v>
          </cell>
        </row>
        <row r="1253">
          <cell r="A1253">
            <v>45519</v>
          </cell>
          <cell r="B1253" t="str">
            <v>H</v>
          </cell>
          <cell r="C1253" t="str">
            <v>H</v>
          </cell>
          <cell r="D1253" t="str">
            <v>H</v>
          </cell>
          <cell r="E1253" t="str">
            <v>H</v>
          </cell>
          <cell r="F1253" t="str">
            <v>H</v>
          </cell>
          <cell r="G1253" t="str">
            <v>H</v>
          </cell>
          <cell r="H1253" t="str">
            <v>H</v>
          </cell>
          <cell r="I1253" t="str">
            <v>H</v>
          </cell>
          <cell r="J1253" t="str">
            <v>H</v>
          </cell>
          <cell r="K1253" t="str">
            <v>H</v>
          </cell>
          <cell r="L1253" t="str">
            <v>H</v>
          </cell>
          <cell r="M1253" t="str">
            <v>H</v>
          </cell>
          <cell r="N1253" t="str">
            <v>H</v>
          </cell>
          <cell r="O1253" t="str">
            <v>H</v>
          </cell>
          <cell r="P1253" t="str">
            <v>H</v>
          </cell>
          <cell r="Q1253" t="str">
            <v>H</v>
          </cell>
          <cell r="R1253" t="str">
            <v>H</v>
          </cell>
          <cell r="S1253" t="str">
            <v>H</v>
          </cell>
          <cell r="T1253" t="str">
            <v>H</v>
          </cell>
          <cell r="U1253" t="str">
            <v>H</v>
          </cell>
          <cell r="V1253" t="str">
            <v>H</v>
          </cell>
          <cell r="W1253" t="str">
            <v>H</v>
          </cell>
        </row>
        <row r="1254">
          <cell r="A1254">
            <v>45520</v>
          </cell>
          <cell r="B1254">
            <v>45200</v>
          </cell>
          <cell r="C1254">
            <v>47000</v>
          </cell>
          <cell r="D1254">
            <v>45500</v>
          </cell>
          <cell r="E1254">
            <v>40900</v>
          </cell>
          <cell r="F1254">
            <v>46400</v>
          </cell>
          <cell r="G1254" t="str">
            <v>-</v>
          </cell>
          <cell r="H1254">
            <v>43500</v>
          </cell>
          <cell r="I1254">
            <v>44000</v>
          </cell>
          <cell r="J1254">
            <v>44600</v>
          </cell>
          <cell r="K1254" t="str">
            <v>-</v>
          </cell>
          <cell r="L1254">
            <v>46500</v>
          </cell>
          <cell r="M1254">
            <v>45100</v>
          </cell>
          <cell r="N1254">
            <v>44300</v>
          </cell>
          <cell r="O1254">
            <v>42500</v>
          </cell>
          <cell r="P1254">
            <v>40400</v>
          </cell>
          <cell r="Q1254">
            <v>41200</v>
          </cell>
          <cell r="R1254">
            <v>41000</v>
          </cell>
          <cell r="S1254">
            <v>43000</v>
          </cell>
          <cell r="T1254">
            <v>44200</v>
          </cell>
          <cell r="U1254">
            <v>48500</v>
          </cell>
          <cell r="V1254">
            <v>46200</v>
          </cell>
          <cell r="W1254">
            <v>49800</v>
          </cell>
        </row>
        <row r="1255">
          <cell r="A1255">
            <v>45521</v>
          </cell>
          <cell r="B1255">
            <v>45300</v>
          </cell>
          <cell r="C1255">
            <v>47000</v>
          </cell>
          <cell r="D1255">
            <v>45700</v>
          </cell>
          <cell r="E1255">
            <v>41200</v>
          </cell>
          <cell r="F1255">
            <v>46400</v>
          </cell>
          <cell r="G1255" t="str">
            <v>-</v>
          </cell>
          <cell r="H1255">
            <v>43500</v>
          </cell>
          <cell r="I1255">
            <v>44200</v>
          </cell>
          <cell r="J1255">
            <v>44700</v>
          </cell>
          <cell r="K1255" t="str">
            <v>-</v>
          </cell>
          <cell r="L1255">
            <v>46700</v>
          </cell>
          <cell r="M1255">
            <v>45100</v>
          </cell>
          <cell r="N1255">
            <v>44600</v>
          </cell>
          <cell r="O1255">
            <v>42600</v>
          </cell>
          <cell r="P1255">
            <v>40800</v>
          </cell>
          <cell r="Q1255">
            <v>41300</v>
          </cell>
          <cell r="R1255">
            <v>41000</v>
          </cell>
          <cell r="S1255">
            <v>43300</v>
          </cell>
          <cell r="T1255">
            <v>44500</v>
          </cell>
          <cell r="U1255">
            <v>48500</v>
          </cell>
          <cell r="V1255">
            <v>46200</v>
          </cell>
          <cell r="W1255">
            <v>49800</v>
          </cell>
        </row>
        <row r="1256">
          <cell r="A1256">
            <v>45522</v>
          </cell>
          <cell r="B1256" t="str">
            <v>H</v>
          </cell>
          <cell r="C1256" t="str">
            <v>H</v>
          </cell>
          <cell r="D1256" t="str">
            <v>H</v>
          </cell>
          <cell r="E1256" t="str">
            <v>H</v>
          </cell>
          <cell r="F1256" t="str">
            <v>H</v>
          </cell>
          <cell r="G1256" t="str">
            <v>H</v>
          </cell>
          <cell r="H1256" t="str">
            <v>H</v>
          </cell>
          <cell r="I1256" t="str">
            <v>H</v>
          </cell>
          <cell r="J1256" t="str">
            <v>H</v>
          </cell>
          <cell r="K1256" t="str">
            <v>H</v>
          </cell>
          <cell r="L1256" t="str">
            <v>H</v>
          </cell>
          <cell r="M1256" t="str">
            <v>H</v>
          </cell>
          <cell r="N1256" t="str">
            <v>H</v>
          </cell>
          <cell r="O1256" t="str">
            <v>H</v>
          </cell>
          <cell r="P1256" t="str">
            <v>H</v>
          </cell>
          <cell r="Q1256" t="str">
            <v>H</v>
          </cell>
          <cell r="R1256" t="str">
            <v>H</v>
          </cell>
          <cell r="S1256" t="str">
            <v>H</v>
          </cell>
          <cell r="T1256" t="str">
            <v>H</v>
          </cell>
          <cell r="U1256" t="str">
            <v>H</v>
          </cell>
          <cell r="V1256" t="str">
            <v>H</v>
          </cell>
          <cell r="W1256" t="str">
            <v>H</v>
          </cell>
        </row>
        <row r="1257">
          <cell r="A1257">
            <v>45523</v>
          </cell>
          <cell r="B1257" t="str">
            <v>H</v>
          </cell>
          <cell r="C1257" t="str">
            <v>H</v>
          </cell>
          <cell r="D1257" t="str">
            <v>H</v>
          </cell>
          <cell r="E1257" t="str">
            <v>H</v>
          </cell>
          <cell r="F1257" t="str">
            <v>H</v>
          </cell>
          <cell r="G1257" t="str">
            <v>H</v>
          </cell>
          <cell r="H1257" t="str">
            <v>H</v>
          </cell>
          <cell r="I1257" t="str">
            <v>H</v>
          </cell>
          <cell r="J1257" t="str">
            <v>H</v>
          </cell>
          <cell r="K1257" t="str">
            <v>H</v>
          </cell>
          <cell r="L1257" t="str">
            <v>H</v>
          </cell>
          <cell r="M1257" t="str">
            <v>H</v>
          </cell>
          <cell r="N1257" t="str">
            <v>H</v>
          </cell>
          <cell r="O1257" t="str">
            <v>H</v>
          </cell>
          <cell r="P1257" t="str">
            <v>H</v>
          </cell>
          <cell r="Q1257" t="str">
            <v>H</v>
          </cell>
          <cell r="R1257" t="str">
            <v>H</v>
          </cell>
          <cell r="S1257" t="str">
            <v>H</v>
          </cell>
          <cell r="T1257" t="str">
            <v>H</v>
          </cell>
          <cell r="U1257" t="str">
            <v>H</v>
          </cell>
          <cell r="V1257" t="str">
            <v>H</v>
          </cell>
          <cell r="W1257" t="str">
            <v>H</v>
          </cell>
        </row>
        <row r="1258">
          <cell r="A1258">
            <v>45524</v>
          </cell>
          <cell r="B1258">
            <v>45500</v>
          </cell>
          <cell r="C1258">
            <v>47000</v>
          </cell>
          <cell r="D1258">
            <v>45800</v>
          </cell>
          <cell r="E1258">
            <v>41300</v>
          </cell>
          <cell r="F1258">
            <v>46400</v>
          </cell>
          <cell r="G1258" t="str">
            <v>-</v>
          </cell>
          <cell r="H1258">
            <v>43500</v>
          </cell>
          <cell r="I1258">
            <v>44200</v>
          </cell>
          <cell r="J1258">
            <v>45000</v>
          </cell>
          <cell r="K1258" t="str">
            <v>-</v>
          </cell>
          <cell r="L1258">
            <v>46800</v>
          </cell>
          <cell r="M1258">
            <v>45700</v>
          </cell>
          <cell r="N1258">
            <v>44600</v>
          </cell>
          <cell r="O1258">
            <v>42800</v>
          </cell>
          <cell r="P1258">
            <v>41500</v>
          </cell>
          <cell r="Q1258">
            <v>41700</v>
          </cell>
          <cell r="R1258">
            <v>41500</v>
          </cell>
          <cell r="S1258">
            <v>43400</v>
          </cell>
          <cell r="T1258">
            <v>44800</v>
          </cell>
          <cell r="U1258">
            <v>48600</v>
          </cell>
          <cell r="V1258">
            <v>46500</v>
          </cell>
          <cell r="W1258">
            <v>49800</v>
          </cell>
        </row>
        <row r="1259">
          <cell r="A1259">
            <v>45525</v>
          </cell>
          <cell r="B1259">
            <v>45300</v>
          </cell>
          <cell r="C1259">
            <v>46500</v>
          </cell>
          <cell r="D1259">
            <v>46000</v>
          </cell>
          <cell r="E1259">
            <v>41400</v>
          </cell>
          <cell r="F1259">
            <v>46700</v>
          </cell>
          <cell r="G1259" t="str">
            <v>-</v>
          </cell>
          <cell r="H1259">
            <v>43500</v>
          </cell>
          <cell r="I1259">
            <v>44200</v>
          </cell>
          <cell r="J1259">
            <v>45000</v>
          </cell>
          <cell r="K1259" t="str">
            <v>-</v>
          </cell>
          <cell r="L1259">
            <v>46900</v>
          </cell>
          <cell r="M1259">
            <v>45900</v>
          </cell>
          <cell r="N1259">
            <v>44800</v>
          </cell>
          <cell r="O1259">
            <v>42800</v>
          </cell>
          <cell r="P1259">
            <v>41700</v>
          </cell>
          <cell r="Q1259">
            <v>42000</v>
          </cell>
          <cell r="R1259">
            <v>41800</v>
          </cell>
          <cell r="S1259">
            <v>43500</v>
          </cell>
          <cell r="T1259">
            <v>44800</v>
          </cell>
          <cell r="U1259">
            <v>48600</v>
          </cell>
          <cell r="V1259">
            <v>46500</v>
          </cell>
          <cell r="W1259">
            <v>49800</v>
          </cell>
        </row>
        <row r="1260">
          <cell r="A1260">
            <v>45526</v>
          </cell>
          <cell r="B1260">
            <v>45300</v>
          </cell>
          <cell r="C1260">
            <v>46500</v>
          </cell>
          <cell r="D1260">
            <v>45800</v>
          </cell>
          <cell r="E1260">
            <v>41200</v>
          </cell>
          <cell r="F1260">
            <v>46700</v>
          </cell>
          <cell r="G1260" t="str">
            <v>-</v>
          </cell>
          <cell r="H1260">
            <v>43500</v>
          </cell>
          <cell r="I1260">
            <v>44200</v>
          </cell>
          <cell r="J1260">
            <v>45000</v>
          </cell>
          <cell r="K1260" t="str">
            <v>-</v>
          </cell>
          <cell r="L1260">
            <v>46900</v>
          </cell>
          <cell r="M1260">
            <v>45900</v>
          </cell>
          <cell r="N1260">
            <v>44600</v>
          </cell>
          <cell r="O1260">
            <v>42800</v>
          </cell>
          <cell r="P1260">
            <v>41600</v>
          </cell>
          <cell r="Q1260">
            <v>41800</v>
          </cell>
          <cell r="R1260">
            <v>41800</v>
          </cell>
          <cell r="S1260">
            <v>43300</v>
          </cell>
          <cell r="T1260">
            <v>44800</v>
          </cell>
          <cell r="U1260">
            <v>48600</v>
          </cell>
          <cell r="V1260">
            <v>46500</v>
          </cell>
          <cell r="W1260">
            <v>49800</v>
          </cell>
        </row>
        <row r="1261">
          <cell r="A1261">
            <v>45527</v>
          </cell>
          <cell r="B1261">
            <v>45000</v>
          </cell>
          <cell r="C1261">
            <v>46200</v>
          </cell>
          <cell r="D1261">
            <v>45500</v>
          </cell>
          <cell r="E1261">
            <v>40800</v>
          </cell>
          <cell r="F1261">
            <v>46700</v>
          </cell>
          <cell r="G1261" t="str">
            <v>-</v>
          </cell>
          <cell r="H1261">
            <v>43500</v>
          </cell>
          <cell r="I1261">
            <v>44000</v>
          </cell>
          <cell r="J1261">
            <v>45000</v>
          </cell>
          <cell r="K1261" t="str">
            <v>-</v>
          </cell>
          <cell r="L1261">
            <v>46600</v>
          </cell>
          <cell r="M1261">
            <v>45900</v>
          </cell>
          <cell r="N1261">
            <v>44400</v>
          </cell>
          <cell r="O1261">
            <v>42500</v>
          </cell>
          <cell r="P1261">
            <v>41400</v>
          </cell>
          <cell r="Q1261">
            <v>41600</v>
          </cell>
          <cell r="R1261">
            <v>41500</v>
          </cell>
          <cell r="S1261">
            <v>42900</v>
          </cell>
          <cell r="T1261">
            <v>44600</v>
          </cell>
          <cell r="U1261">
            <v>48500</v>
          </cell>
          <cell r="V1261">
            <v>46500</v>
          </cell>
          <cell r="W1261">
            <v>49800</v>
          </cell>
        </row>
        <row r="1262">
          <cell r="A1262">
            <v>45528</v>
          </cell>
          <cell r="B1262">
            <v>44900</v>
          </cell>
          <cell r="C1262">
            <v>46200</v>
          </cell>
          <cell r="D1262">
            <v>45200</v>
          </cell>
          <cell r="E1262">
            <v>40600</v>
          </cell>
          <cell r="F1262">
            <v>46400</v>
          </cell>
          <cell r="G1262" t="str">
            <v>-</v>
          </cell>
          <cell r="H1262">
            <v>43500</v>
          </cell>
          <cell r="I1262">
            <v>43900</v>
          </cell>
          <cell r="J1262">
            <v>44700</v>
          </cell>
          <cell r="K1262" t="str">
            <v>-</v>
          </cell>
          <cell r="L1262">
            <v>46400</v>
          </cell>
          <cell r="M1262">
            <v>45800</v>
          </cell>
          <cell r="N1262">
            <v>44100</v>
          </cell>
          <cell r="O1262">
            <v>42400</v>
          </cell>
          <cell r="P1262">
            <v>41000</v>
          </cell>
          <cell r="Q1262">
            <v>41400</v>
          </cell>
          <cell r="R1262">
            <v>41500</v>
          </cell>
          <cell r="S1262">
            <v>42700</v>
          </cell>
          <cell r="T1262">
            <v>44300</v>
          </cell>
          <cell r="U1262">
            <v>48500</v>
          </cell>
          <cell r="V1262">
            <v>46500</v>
          </cell>
          <cell r="W1262">
            <v>49800</v>
          </cell>
        </row>
        <row r="1263">
          <cell r="A1263">
            <v>45529</v>
          </cell>
          <cell r="B1263" t="str">
            <v>H</v>
          </cell>
          <cell r="C1263" t="str">
            <v>H</v>
          </cell>
          <cell r="D1263" t="str">
            <v>H</v>
          </cell>
          <cell r="E1263" t="str">
            <v>H</v>
          </cell>
          <cell r="F1263" t="str">
            <v>H</v>
          </cell>
          <cell r="G1263" t="str">
            <v>H</v>
          </cell>
          <cell r="H1263" t="str">
            <v>H</v>
          </cell>
          <cell r="I1263" t="str">
            <v>H</v>
          </cell>
          <cell r="J1263" t="str">
            <v>H</v>
          </cell>
          <cell r="K1263" t="str">
            <v>H</v>
          </cell>
          <cell r="L1263" t="str">
            <v>H</v>
          </cell>
          <cell r="M1263" t="str">
            <v>H</v>
          </cell>
          <cell r="N1263" t="str">
            <v>H</v>
          </cell>
          <cell r="O1263" t="str">
            <v>H</v>
          </cell>
          <cell r="P1263" t="str">
            <v>H</v>
          </cell>
          <cell r="Q1263" t="str">
            <v>H</v>
          </cell>
          <cell r="R1263" t="str">
            <v>H</v>
          </cell>
          <cell r="S1263" t="str">
            <v>H</v>
          </cell>
          <cell r="T1263" t="str">
            <v>H</v>
          </cell>
          <cell r="U1263" t="str">
            <v>H</v>
          </cell>
          <cell r="V1263" t="str">
            <v>H</v>
          </cell>
          <cell r="W1263" t="str">
            <v>H</v>
          </cell>
        </row>
        <row r="1264">
          <cell r="A1264">
            <v>45530</v>
          </cell>
          <cell r="B1264" t="str">
            <v>-</v>
          </cell>
          <cell r="C1264">
            <v>46200</v>
          </cell>
          <cell r="D1264">
            <v>45400</v>
          </cell>
          <cell r="E1264">
            <v>40900</v>
          </cell>
          <cell r="F1264">
            <v>46400</v>
          </cell>
          <cell r="G1264" t="str">
            <v>-</v>
          </cell>
          <cell r="H1264">
            <v>43500</v>
          </cell>
          <cell r="I1264">
            <v>44100</v>
          </cell>
          <cell r="J1264">
            <v>44700</v>
          </cell>
          <cell r="K1264" t="str">
            <v>-</v>
          </cell>
          <cell r="L1264">
            <v>46400</v>
          </cell>
          <cell r="M1264">
            <v>45800</v>
          </cell>
          <cell r="N1264">
            <v>44300</v>
          </cell>
          <cell r="O1264">
            <v>42400</v>
          </cell>
          <cell r="P1264">
            <v>41100</v>
          </cell>
          <cell r="Q1264">
            <v>41600</v>
          </cell>
          <cell r="R1264">
            <v>41500</v>
          </cell>
          <cell r="S1264">
            <v>43000</v>
          </cell>
          <cell r="T1264">
            <v>44300</v>
          </cell>
          <cell r="U1264">
            <v>48500</v>
          </cell>
          <cell r="V1264">
            <v>46500</v>
          </cell>
          <cell r="W1264">
            <v>49800</v>
          </cell>
        </row>
        <row r="1265">
          <cell r="A1265">
            <v>45531</v>
          </cell>
          <cell r="B1265">
            <v>44900</v>
          </cell>
          <cell r="C1265">
            <v>46200</v>
          </cell>
          <cell r="D1265">
            <v>45700</v>
          </cell>
          <cell r="E1265">
            <v>41100</v>
          </cell>
          <cell r="F1265">
            <v>46400</v>
          </cell>
          <cell r="G1265" t="str">
            <v>-</v>
          </cell>
          <cell r="H1265">
            <v>43500</v>
          </cell>
          <cell r="I1265">
            <v>44400</v>
          </cell>
          <cell r="J1265">
            <v>44600</v>
          </cell>
          <cell r="K1265" t="str">
            <v>-</v>
          </cell>
          <cell r="L1265">
            <v>46600</v>
          </cell>
          <cell r="M1265">
            <v>45800</v>
          </cell>
          <cell r="N1265">
            <v>44400</v>
          </cell>
          <cell r="O1265">
            <v>42600</v>
          </cell>
          <cell r="P1265">
            <v>41200</v>
          </cell>
          <cell r="Q1265">
            <v>41600</v>
          </cell>
          <cell r="R1265">
            <v>41600</v>
          </cell>
          <cell r="S1265">
            <v>43200</v>
          </cell>
          <cell r="T1265">
            <v>44800</v>
          </cell>
          <cell r="U1265">
            <v>48500</v>
          </cell>
          <cell r="V1265">
            <v>46200</v>
          </cell>
          <cell r="W1265">
            <v>49800</v>
          </cell>
        </row>
        <row r="1266">
          <cell r="A1266">
            <v>45532</v>
          </cell>
          <cell r="B1266">
            <v>44800</v>
          </cell>
          <cell r="C1266">
            <v>46200</v>
          </cell>
          <cell r="D1266">
            <v>45500</v>
          </cell>
          <cell r="E1266">
            <v>40800</v>
          </cell>
          <cell r="F1266">
            <v>46400</v>
          </cell>
          <cell r="G1266" t="str">
            <v>-</v>
          </cell>
          <cell r="H1266">
            <v>43500</v>
          </cell>
          <cell r="I1266">
            <v>44200</v>
          </cell>
          <cell r="J1266">
            <v>44600</v>
          </cell>
          <cell r="K1266" t="str">
            <v>-</v>
          </cell>
          <cell r="L1266">
            <v>46500</v>
          </cell>
          <cell r="M1266">
            <v>45800</v>
          </cell>
          <cell r="N1266">
            <v>44100</v>
          </cell>
          <cell r="O1266">
            <v>42600</v>
          </cell>
          <cell r="P1266">
            <v>41000</v>
          </cell>
          <cell r="Q1266">
            <v>41600</v>
          </cell>
          <cell r="R1266">
            <v>41350</v>
          </cell>
          <cell r="S1266">
            <v>42900</v>
          </cell>
          <cell r="T1266">
            <v>44800</v>
          </cell>
          <cell r="U1266">
            <v>48200</v>
          </cell>
          <cell r="V1266">
            <v>46200</v>
          </cell>
          <cell r="W1266">
            <v>49800</v>
          </cell>
        </row>
        <row r="1267">
          <cell r="A1267">
            <v>45533</v>
          </cell>
          <cell r="B1267">
            <v>44800</v>
          </cell>
          <cell r="C1267">
            <v>46200</v>
          </cell>
          <cell r="D1267">
            <v>45000</v>
          </cell>
          <cell r="E1267">
            <v>40800</v>
          </cell>
          <cell r="F1267">
            <v>46400</v>
          </cell>
          <cell r="G1267" t="str">
            <v>-</v>
          </cell>
          <cell r="H1267">
            <v>43500</v>
          </cell>
          <cell r="I1267">
            <v>44200</v>
          </cell>
          <cell r="J1267">
            <v>44600</v>
          </cell>
          <cell r="K1267" t="str">
            <v>-</v>
          </cell>
          <cell r="L1267">
            <v>46400</v>
          </cell>
          <cell r="M1267">
            <v>45800</v>
          </cell>
          <cell r="N1267">
            <v>44300</v>
          </cell>
          <cell r="O1267">
            <v>42400</v>
          </cell>
          <cell r="P1267">
            <v>41000</v>
          </cell>
          <cell r="Q1267">
            <v>41400</v>
          </cell>
          <cell r="R1267">
            <v>41100</v>
          </cell>
          <cell r="S1267">
            <v>42900</v>
          </cell>
          <cell r="T1267">
            <v>44800</v>
          </cell>
          <cell r="U1267">
            <v>48000</v>
          </cell>
          <cell r="V1267">
            <v>46200</v>
          </cell>
          <cell r="W1267">
            <v>49800</v>
          </cell>
        </row>
        <row r="1268">
          <cell r="A1268">
            <v>45534</v>
          </cell>
          <cell r="B1268">
            <v>44800</v>
          </cell>
          <cell r="C1268">
            <v>46200</v>
          </cell>
          <cell r="D1268">
            <v>45000</v>
          </cell>
          <cell r="E1268">
            <v>40900</v>
          </cell>
          <cell r="F1268">
            <v>46400</v>
          </cell>
          <cell r="G1268" t="str">
            <v>-</v>
          </cell>
          <cell r="H1268">
            <v>43500</v>
          </cell>
          <cell r="I1268">
            <v>44200</v>
          </cell>
          <cell r="J1268">
            <v>44600</v>
          </cell>
          <cell r="K1268" t="str">
            <v>-</v>
          </cell>
          <cell r="L1268">
            <v>46400</v>
          </cell>
          <cell r="M1268">
            <v>45800</v>
          </cell>
          <cell r="N1268">
            <v>44300</v>
          </cell>
          <cell r="O1268">
            <v>42400</v>
          </cell>
          <cell r="P1268">
            <v>41000</v>
          </cell>
          <cell r="Q1268">
            <v>41500</v>
          </cell>
          <cell r="R1268">
            <v>41200</v>
          </cell>
          <cell r="S1268">
            <v>43000</v>
          </cell>
          <cell r="T1268">
            <v>44800</v>
          </cell>
          <cell r="U1268">
            <v>47600</v>
          </cell>
          <cell r="V1268">
            <v>46200</v>
          </cell>
          <cell r="W1268">
            <v>49800</v>
          </cell>
        </row>
        <row r="1269">
          <cell r="A1269">
            <v>45535</v>
          </cell>
          <cell r="B1269">
            <v>44800</v>
          </cell>
          <cell r="C1269">
            <v>46200</v>
          </cell>
          <cell r="D1269">
            <v>44800</v>
          </cell>
          <cell r="E1269">
            <v>40800</v>
          </cell>
          <cell r="F1269">
            <v>46400</v>
          </cell>
          <cell r="G1269" t="str">
            <v>-</v>
          </cell>
          <cell r="H1269">
            <v>43500</v>
          </cell>
          <cell r="I1269">
            <v>43900</v>
          </cell>
          <cell r="J1269">
            <v>44600</v>
          </cell>
          <cell r="K1269" t="str">
            <v>-</v>
          </cell>
          <cell r="L1269">
            <v>46400</v>
          </cell>
          <cell r="M1269">
            <v>45800</v>
          </cell>
          <cell r="N1269">
            <v>44100</v>
          </cell>
          <cell r="O1269">
            <v>42400</v>
          </cell>
          <cell r="P1269">
            <v>40900</v>
          </cell>
          <cell r="Q1269">
            <v>41500</v>
          </cell>
          <cell r="R1269">
            <v>41100</v>
          </cell>
          <cell r="S1269">
            <v>42900</v>
          </cell>
          <cell r="T1269">
            <v>44800</v>
          </cell>
          <cell r="U1269">
            <v>47400</v>
          </cell>
          <cell r="V1269">
            <v>46200</v>
          </cell>
          <cell r="W1269">
            <v>49800</v>
          </cell>
        </row>
        <row r="1270">
          <cell r="A1270">
            <v>45536</v>
          </cell>
          <cell r="B1270" t="str">
            <v>H</v>
          </cell>
          <cell r="C1270" t="str">
            <v>H</v>
          </cell>
          <cell r="D1270" t="str">
            <v>H</v>
          </cell>
          <cell r="E1270" t="str">
            <v>H</v>
          </cell>
          <cell r="F1270" t="str">
            <v>H</v>
          </cell>
          <cell r="G1270" t="str">
            <v>H</v>
          </cell>
          <cell r="H1270" t="str">
            <v>H</v>
          </cell>
          <cell r="I1270" t="str">
            <v>H</v>
          </cell>
          <cell r="J1270" t="str">
            <v>H</v>
          </cell>
          <cell r="K1270" t="str">
            <v>H</v>
          </cell>
          <cell r="L1270" t="str">
            <v>H</v>
          </cell>
          <cell r="M1270" t="str">
            <v>H</v>
          </cell>
          <cell r="N1270" t="str">
            <v>H</v>
          </cell>
          <cell r="O1270" t="str">
            <v>H</v>
          </cell>
          <cell r="P1270" t="str">
            <v>H</v>
          </cell>
          <cell r="Q1270" t="str">
            <v>H</v>
          </cell>
          <cell r="R1270" t="str">
            <v>H</v>
          </cell>
          <cell r="S1270" t="str">
            <v>H</v>
          </cell>
          <cell r="T1270" t="str">
            <v>H</v>
          </cell>
          <cell r="U1270" t="str">
            <v>H</v>
          </cell>
          <cell r="V1270" t="str">
            <v>H</v>
          </cell>
          <cell r="W1270" t="str">
            <v>H</v>
          </cell>
        </row>
        <row r="1271">
          <cell r="A1271">
            <v>45537</v>
          </cell>
          <cell r="B1271">
            <v>44800</v>
          </cell>
          <cell r="C1271">
            <v>46200</v>
          </cell>
          <cell r="D1271">
            <v>44700</v>
          </cell>
          <cell r="E1271">
            <v>40600</v>
          </cell>
          <cell r="F1271">
            <v>46000</v>
          </cell>
          <cell r="G1271" t="str">
            <v>-</v>
          </cell>
          <cell r="H1271">
            <v>43500</v>
          </cell>
          <cell r="I1271">
            <v>43800</v>
          </cell>
          <cell r="J1271">
            <v>44600</v>
          </cell>
          <cell r="K1271" t="str">
            <v>-</v>
          </cell>
          <cell r="L1271">
            <v>46300</v>
          </cell>
          <cell r="M1271">
            <v>45700</v>
          </cell>
          <cell r="N1271">
            <v>43700</v>
          </cell>
          <cell r="O1271">
            <v>42300</v>
          </cell>
          <cell r="P1271">
            <v>40800</v>
          </cell>
          <cell r="Q1271">
            <v>41300</v>
          </cell>
          <cell r="R1271">
            <v>40900</v>
          </cell>
          <cell r="S1271">
            <v>42700</v>
          </cell>
          <cell r="T1271">
            <v>44800</v>
          </cell>
          <cell r="U1271">
            <v>47200</v>
          </cell>
          <cell r="V1271">
            <v>46200</v>
          </cell>
          <cell r="W1271">
            <v>49500</v>
          </cell>
        </row>
        <row r="1272">
          <cell r="A1272">
            <v>45538</v>
          </cell>
          <cell r="B1272">
            <v>44800</v>
          </cell>
          <cell r="C1272">
            <v>46200</v>
          </cell>
          <cell r="D1272">
            <v>44900</v>
          </cell>
          <cell r="E1272">
            <v>40600</v>
          </cell>
          <cell r="F1272">
            <v>46000</v>
          </cell>
          <cell r="G1272" t="str">
            <v>-</v>
          </cell>
          <cell r="H1272">
            <v>43500</v>
          </cell>
          <cell r="I1272">
            <v>43900</v>
          </cell>
          <cell r="J1272">
            <v>44300</v>
          </cell>
          <cell r="K1272" t="str">
            <v>-</v>
          </cell>
          <cell r="L1272">
            <v>46300</v>
          </cell>
          <cell r="M1272">
            <v>45700</v>
          </cell>
          <cell r="N1272">
            <v>43900</v>
          </cell>
          <cell r="O1272">
            <v>42300</v>
          </cell>
          <cell r="P1272">
            <v>40800</v>
          </cell>
          <cell r="Q1272">
            <v>41300</v>
          </cell>
          <cell r="R1272">
            <v>41000</v>
          </cell>
          <cell r="S1272">
            <v>42700</v>
          </cell>
          <cell r="T1272">
            <v>44600</v>
          </cell>
          <cell r="U1272">
            <v>47000</v>
          </cell>
          <cell r="V1272">
            <v>46200</v>
          </cell>
          <cell r="W1272">
            <v>49500</v>
          </cell>
        </row>
        <row r="1273">
          <cell r="A1273">
            <v>45539</v>
          </cell>
          <cell r="B1273">
            <v>44800</v>
          </cell>
          <cell r="C1273">
            <v>46000</v>
          </cell>
          <cell r="D1273">
            <v>44900</v>
          </cell>
          <cell r="E1273">
            <v>40300</v>
          </cell>
          <cell r="F1273">
            <v>46000</v>
          </cell>
          <cell r="G1273" t="str">
            <v>-</v>
          </cell>
          <cell r="H1273">
            <v>43500</v>
          </cell>
          <cell r="I1273">
            <v>43900</v>
          </cell>
          <cell r="J1273">
            <v>44400</v>
          </cell>
          <cell r="K1273" t="str">
            <v>-</v>
          </cell>
          <cell r="L1273">
            <v>46300</v>
          </cell>
          <cell r="M1273">
            <v>45700</v>
          </cell>
          <cell r="N1273">
            <v>43900</v>
          </cell>
          <cell r="O1273">
            <v>42300</v>
          </cell>
          <cell r="P1273">
            <v>41200</v>
          </cell>
          <cell r="Q1273">
            <v>41300</v>
          </cell>
          <cell r="R1273">
            <v>41000</v>
          </cell>
          <cell r="S1273">
            <v>42600</v>
          </cell>
          <cell r="T1273">
            <v>44500</v>
          </cell>
          <cell r="U1273">
            <v>47000</v>
          </cell>
          <cell r="V1273">
            <v>46200</v>
          </cell>
          <cell r="W1273">
            <v>49500</v>
          </cell>
        </row>
        <row r="1274">
          <cell r="A1274">
            <v>45540</v>
          </cell>
          <cell r="B1274">
            <v>44800</v>
          </cell>
          <cell r="C1274">
            <v>46000</v>
          </cell>
          <cell r="D1274">
            <v>45000</v>
          </cell>
          <cell r="E1274">
            <v>40400</v>
          </cell>
          <cell r="F1274">
            <v>46000</v>
          </cell>
          <cell r="G1274" t="str">
            <v>-</v>
          </cell>
          <cell r="H1274">
            <v>43500</v>
          </cell>
          <cell r="I1274">
            <v>44000</v>
          </cell>
          <cell r="J1274">
            <v>44800</v>
          </cell>
          <cell r="K1274" t="str">
            <v>-</v>
          </cell>
          <cell r="L1274">
            <v>46400</v>
          </cell>
          <cell r="M1274">
            <v>45700</v>
          </cell>
          <cell r="N1274">
            <v>44000</v>
          </cell>
          <cell r="O1274">
            <v>42500</v>
          </cell>
          <cell r="P1274">
            <v>41300</v>
          </cell>
          <cell r="Q1274">
            <v>41500</v>
          </cell>
          <cell r="R1274">
            <v>41200</v>
          </cell>
          <cell r="S1274">
            <v>42700</v>
          </cell>
          <cell r="T1274">
            <v>45000</v>
          </cell>
          <cell r="U1274">
            <v>47000</v>
          </cell>
          <cell r="V1274">
            <v>46200</v>
          </cell>
          <cell r="W1274">
            <v>49500</v>
          </cell>
        </row>
        <row r="1275">
          <cell r="A1275">
            <v>45541</v>
          </cell>
          <cell r="B1275">
            <v>44800</v>
          </cell>
          <cell r="C1275">
            <v>46000</v>
          </cell>
          <cell r="D1275">
            <v>44800</v>
          </cell>
          <cell r="E1275">
            <v>40300</v>
          </cell>
          <cell r="F1275">
            <v>46000</v>
          </cell>
          <cell r="G1275" t="str">
            <v>-</v>
          </cell>
          <cell r="H1275">
            <v>43500</v>
          </cell>
          <cell r="I1275">
            <v>44000</v>
          </cell>
          <cell r="J1275">
            <v>44700</v>
          </cell>
          <cell r="K1275" t="str">
            <v>-</v>
          </cell>
          <cell r="L1275">
            <v>46400</v>
          </cell>
          <cell r="M1275">
            <v>45700</v>
          </cell>
          <cell r="N1275">
            <v>43700</v>
          </cell>
          <cell r="O1275">
            <v>42500</v>
          </cell>
          <cell r="P1275">
            <v>41100</v>
          </cell>
          <cell r="Q1275">
            <v>41300</v>
          </cell>
          <cell r="R1275">
            <v>41100</v>
          </cell>
          <cell r="S1275">
            <v>42400</v>
          </cell>
          <cell r="T1275">
            <v>44800</v>
          </cell>
          <cell r="U1275">
            <v>47000</v>
          </cell>
          <cell r="V1275">
            <v>46200</v>
          </cell>
          <cell r="W1275">
            <v>49500</v>
          </cell>
        </row>
        <row r="1276">
          <cell r="A1276">
            <v>45542</v>
          </cell>
          <cell r="B1276">
            <v>44800</v>
          </cell>
          <cell r="C1276">
            <v>46000</v>
          </cell>
          <cell r="D1276">
            <v>44600</v>
          </cell>
          <cell r="E1276">
            <v>40300</v>
          </cell>
          <cell r="F1276">
            <v>46000</v>
          </cell>
          <cell r="G1276" t="str">
            <v>-</v>
          </cell>
          <cell r="H1276">
            <v>43500</v>
          </cell>
          <cell r="I1276">
            <v>44000</v>
          </cell>
          <cell r="J1276">
            <v>44700</v>
          </cell>
          <cell r="K1276" t="str">
            <v>-</v>
          </cell>
          <cell r="L1276">
            <v>46300</v>
          </cell>
          <cell r="M1276">
            <v>45700</v>
          </cell>
          <cell r="N1276">
            <v>43800</v>
          </cell>
          <cell r="O1276">
            <v>42500</v>
          </cell>
          <cell r="P1276">
            <v>41000</v>
          </cell>
          <cell r="Q1276">
            <v>41300</v>
          </cell>
          <cell r="R1276">
            <v>41000</v>
          </cell>
          <cell r="S1276">
            <v>42400</v>
          </cell>
          <cell r="T1276">
            <v>45000</v>
          </cell>
          <cell r="U1276">
            <v>47000</v>
          </cell>
          <cell r="V1276">
            <v>46200</v>
          </cell>
          <cell r="W1276">
            <v>49500</v>
          </cell>
        </row>
        <row r="1277">
          <cell r="A1277">
            <v>45543</v>
          </cell>
          <cell r="B1277" t="str">
            <v>H</v>
          </cell>
          <cell r="C1277" t="str">
            <v>H</v>
          </cell>
          <cell r="D1277" t="str">
            <v>H</v>
          </cell>
          <cell r="E1277" t="str">
            <v>H</v>
          </cell>
          <cell r="F1277" t="str">
            <v>H</v>
          </cell>
          <cell r="G1277" t="str">
            <v>H</v>
          </cell>
          <cell r="H1277" t="str">
            <v>H</v>
          </cell>
          <cell r="I1277" t="str">
            <v>H</v>
          </cell>
          <cell r="J1277" t="str">
            <v>H</v>
          </cell>
          <cell r="K1277" t="str">
            <v>H</v>
          </cell>
          <cell r="L1277" t="str">
            <v>H</v>
          </cell>
          <cell r="M1277" t="str">
            <v>H</v>
          </cell>
          <cell r="N1277" t="str">
            <v>H</v>
          </cell>
          <cell r="O1277" t="str">
            <v>H</v>
          </cell>
          <cell r="P1277" t="str">
            <v>H</v>
          </cell>
          <cell r="Q1277" t="str">
            <v>H</v>
          </cell>
          <cell r="R1277" t="str">
            <v>H</v>
          </cell>
          <cell r="S1277" t="str">
            <v>H</v>
          </cell>
          <cell r="T1277" t="str">
            <v>H</v>
          </cell>
          <cell r="U1277" t="str">
            <v>H</v>
          </cell>
          <cell r="V1277" t="str">
            <v>H</v>
          </cell>
          <cell r="W1277" t="str">
            <v>H</v>
          </cell>
        </row>
        <row r="1278">
          <cell r="A1278">
            <v>45544</v>
          </cell>
          <cell r="B1278">
            <v>44700</v>
          </cell>
          <cell r="C1278">
            <v>46000</v>
          </cell>
          <cell r="D1278">
            <v>44600</v>
          </cell>
          <cell r="E1278">
            <v>40300</v>
          </cell>
          <cell r="F1278">
            <v>46000</v>
          </cell>
          <cell r="G1278" t="str">
            <v>-</v>
          </cell>
          <cell r="H1278">
            <v>43500</v>
          </cell>
          <cell r="I1278">
            <v>43800</v>
          </cell>
          <cell r="J1278">
            <v>44700</v>
          </cell>
          <cell r="K1278" t="str">
            <v>-</v>
          </cell>
          <cell r="L1278">
            <v>46200</v>
          </cell>
          <cell r="M1278">
            <v>45700</v>
          </cell>
          <cell r="N1278">
            <v>43400</v>
          </cell>
          <cell r="O1278">
            <v>42300</v>
          </cell>
          <cell r="P1278">
            <v>40600</v>
          </cell>
          <cell r="Q1278">
            <v>41000</v>
          </cell>
          <cell r="R1278">
            <v>40800</v>
          </cell>
          <cell r="S1278">
            <v>42400</v>
          </cell>
          <cell r="T1278">
            <v>44500</v>
          </cell>
          <cell r="U1278">
            <v>46500</v>
          </cell>
          <cell r="V1278">
            <v>46200</v>
          </cell>
          <cell r="W1278">
            <v>49500</v>
          </cell>
        </row>
        <row r="1279">
          <cell r="A1279">
            <v>45545</v>
          </cell>
          <cell r="B1279">
            <v>44700</v>
          </cell>
          <cell r="C1279">
            <v>46000</v>
          </cell>
          <cell r="D1279">
            <v>44300</v>
          </cell>
          <cell r="E1279">
            <v>40200</v>
          </cell>
          <cell r="F1279">
            <v>46000</v>
          </cell>
          <cell r="G1279" t="str">
            <v>-</v>
          </cell>
          <cell r="H1279">
            <v>43500</v>
          </cell>
          <cell r="I1279">
            <v>43700</v>
          </cell>
          <cell r="J1279">
            <v>44700</v>
          </cell>
          <cell r="K1279" t="str">
            <v>-</v>
          </cell>
          <cell r="L1279">
            <v>46200</v>
          </cell>
          <cell r="M1279">
            <v>45700</v>
          </cell>
          <cell r="N1279">
            <v>43000</v>
          </cell>
          <cell r="O1279">
            <v>42300</v>
          </cell>
          <cell r="P1279">
            <v>40500</v>
          </cell>
          <cell r="Q1279">
            <v>41000</v>
          </cell>
          <cell r="R1279">
            <v>40800</v>
          </cell>
          <cell r="S1279">
            <v>42300</v>
          </cell>
          <cell r="T1279">
            <v>44500</v>
          </cell>
          <cell r="U1279">
            <v>46500</v>
          </cell>
          <cell r="V1279">
            <v>46200</v>
          </cell>
          <cell r="W1279">
            <v>49500</v>
          </cell>
        </row>
        <row r="1280">
          <cell r="A1280">
            <v>45546</v>
          </cell>
          <cell r="B1280">
            <v>44500</v>
          </cell>
          <cell r="C1280">
            <v>46000</v>
          </cell>
          <cell r="D1280">
            <v>44200</v>
          </cell>
          <cell r="E1280">
            <v>40100</v>
          </cell>
          <cell r="F1280">
            <v>46000</v>
          </cell>
          <cell r="G1280" t="str">
            <v>-</v>
          </cell>
          <cell r="H1280">
            <v>43000</v>
          </cell>
          <cell r="I1280">
            <v>43500</v>
          </cell>
          <cell r="J1280">
            <v>44700</v>
          </cell>
          <cell r="K1280" t="str">
            <v>-</v>
          </cell>
          <cell r="L1280">
            <v>46000</v>
          </cell>
          <cell r="M1280">
            <v>45700</v>
          </cell>
          <cell r="N1280">
            <v>43200</v>
          </cell>
          <cell r="O1280">
            <v>42300</v>
          </cell>
          <cell r="P1280">
            <v>40600</v>
          </cell>
          <cell r="Q1280">
            <v>40900</v>
          </cell>
          <cell r="R1280">
            <v>40600</v>
          </cell>
          <cell r="S1280">
            <v>42200</v>
          </cell>
          <cell r="T1280">
            <v>44300</v>
          </cell>
          <cell r="U1280">
            <v>46500</v>
          </cell>
          <cell r="V1280">
            <v>46200</v>
          </cell>
          <cell r="W1280">
            <v>49500</v>
          </cell>
        </row>
        <row r="1281">
          <cell r="A1281">
            <v>45547</v>
          </cell>
          <cell r="B1281">
            <v>44500</v>
          </cell>
          <cell r="C1281">
            <v>46000</v>
          </cell>
          <cell r="D1281">
            <v>43800</v>
          </cell>
          <cell r="E1281">
            <v>40100</v>
          </cell>
          <cell r="F1281">
            <v>46000</v>
          </cell>
          <cell r="G1281" t="str">
            <v>-</v>
          </cell>
          <cell r="H1281">
            <v>43000</v>
          </cell>
          <cell r="I1281">
            <v>43100</v>
          </cell>
          <cell r="J1281">
            <v>44400</v>
          </cell>
          <cell r="K1281" t="str">
            <v>-</v>
          </cell>
          <cell r="L1281">
            <v>45800</v>
          </cell>
          <cell r="M1281">
            <v>45600</v>
          </cell>
          <cell r="N1281">
            <v>42800</v>
          </cell>
          <cell r="O1281">
            <v>42300</v>
          </cell>
          <cell r="P1281">
            <v>40300</v>
          </cell>
          <cell r="Q1281">
            <v>40700</v>
          </cell>
          <cell r="R1281">
            <v>40500</v>
          </cell>
          <cell r="S1281">
            <v>42200</v>
          </cell>
          <cell r="T1281">
            <v>44100</v>
          </cell>
          <cell r="U1281">
            <v>46500</v>
          </cell>
          <cell r="V1281">
            <v>46000</v>
          </cell>
          <cell r="W1281">
            <v>49300</v>
          </cell>
        </row>
        <row r="1282">
          <cell r="A1282">
            <v>45548</v>
          </cell>
          <cell r="B1282">
            <v>44500</v>
          </cell>
          <cell r="C1282">
            <v>46000</v>
          </cell>
          <cell r="D1282">
            <v>43800</v>
          </cell>
          <cell r="E1282">
            <v>40200</v>
          </cell>
          <cell r="F1282">
            <v>46000</v>
          </cell>
          <cell r="G1282" t="str">
            <v>-</v>
          </cell>
          <cell r="H1282">
            <v>43000</v>
          </cell>
          <cell r="I1282">
            <v>43400</v>
          </cell>
          <cell r="J1282">
            <v>44600</v>
          </cell>
          <cell r="K1282" t="str">
            <v>-</v>
          </cell>
          <cell r="L1282">
            <v>46000</v>
          </cell>
          <cell r="M1282">
            <v>45600</v>
          </cell>
          <cell r="N1282">
            <v>42800</v>
          </cell>
          <cell r="O1282">
            <v>42300</v>
          </cell>
          <cell r="P1282">
            <v>40500</v>
          </cell>
          <cell r="Q1282">
            <v>40800</v>
          </cell>
          <cell r="R1282">
            <v>40800</v>
          </cell>
          <cell r="S1282">
            <v>42300</v>
          </cell>
          <cell r="T1282">
            <v>44000</v>
          </cell>
          <cell r="U1282">
            <v>46500</v>
          </cell>
          <cell r="V1282">
            <v>46000</v>
          </cell>
          <cell r="W1282">
            <v>49300</v>
          </cell>
        </row>
        <row r="1283">
          <cell r="A1283">
            <v>45549</v>
          </cell>
          <cell r="B1283">
            <v>44500</v>
          </cell>
          <cell r="C1283">
            <v>46000</v>
          </cell>
          <cell r="D1283">
            <v>43800</v>
          </cell>
          <cell r="E1283">
            <v>40000</v>
          </cell>
          <cell r="F1283">
            <v>45900</v>
          </cell>
          <cell r="G1283" t="str">
            <v>-</v>
          </cell>
          <cell r="H1283">
            <v>43000</v>
          </cell>
          <cell r="I1283">
            <v>43200</v>
          </cell>
          <cell r="J1283">
            <v>44600</v>
          </cell>
          <cell r="K1283" t="str">
            <v>-</v>
          </cell>
          <cell r="L1283">
            <v>45900</v>
          </cell>
          <cell r="M1283">
            <v>45600</v>
          </cell>
          <cell r="N1283">
            <v>42600</v>
          </cell>
          <cell r="O1283">
            <v>42300</v>
          </cell>
          <cell r="P1283">
            <v>40300</v>
          </cell>
          <cell r="Q1283">
            <v>40700</v>
          </cell>
          <cell r="R1283">
            <v>40500</v>
          </cell>
          <cell r="S1283">
            <v>42100</v>
          </cell>
          <cell r="T1283">
            <v>44000</v>
          </cell>
          <cell r="U1283">
            <v>46500</v>
          </cell>
          <cell r="V1283">
            <v>46000</v>
          </cell>
          <cell r="W1283">
            <v>49300</v>
          </cell>
        </row>
        <row r="1284">
          <cell r="A1284">
            <v>45550</v>
          </cell>
          <cell r="B1284" t="str">
            <v>H</v>
          </cell>
          <cell r="C1284" t="str">
            <v>H</v>
          </cell>
          <cell r="D1284" t="str">
            <v>H</v>
          </cell>
          <cell r="E1284" t="str">
            <v>H</v>
          </cell>
          <cell r="F1284" t="str">
            <v>H</v>
          </cell>
          <cell r="G1284" t="str">
            <v>H</v>
          </cell>
          <cell r="H1284" t="str">
            <v>H</v>
          </cell>
          <cell r="I1284" t="str">
            <v>H</v>
          </cell>
          <cell r="J1284" t="str">
            <v>H</v>
          </cell>
          <cell r="K1284" t="str">
            <v>H</v>
          </cell>
          <cell r="L1284" t="str">
            <v>H</v>
          </cell>
          <cell r="M1284" t="str">
            <v>H</v>
          </cell>
          <cell r="N1284" t="str">
            <v>H</v>
          </cell>
          <cell r="O1284" t="str">
            <v>H</v>
          </cell>
          <cell r="P1284" t="str">
            <v>H</v>
          </cell>
          <cell r="Q1284" t="str">
            <v>H</v>
          </cell>
          <cell r="R1284" t="str">
            <v>H</v>
          </cell>
          <cell r="S1284" t="str">
            <v>H</v>
          </cell>
          <cell r="T1284" t="str">
            <v>H</v>
          </cell>
          <cell r="U1284" t="str">
            <v>H</v>
          </cell>
          <cell r="V1284" t="str">
            <v>H</v>
          </cell>
          <cell r="W1284" t="str">
            <v>H</v>
          </cell>
        </row>
        <row r="1285">
          <cell r="A1285">
            <v>45551</v>
          </cell>
          <cell r="B1285">
            <v>44200</v>
          </cell>
          <cell r="C1285">
            <v>46000</v>
          </cell>
          <cell r="D1285">
            <v>43600</v>
          </cell>
          <cell r="E1285">
            <v>39800</v>
          </cell>
          <cell r="F1285">
            <v>45900</v>
          </cell>
          <cell r="G1285" t="str">
            <v>-</v>
          </cell>
          <cell r="H1285">
            <v>42500</v>
          </cell>
          <cell r="I1285">
            <v>42900</v>
          </cell>
          <cell r="J1285">
            <v>44600</v>
          </cell>
          <cell r="K1285" t="str">
            <v>-</v>
          </cell>
          <cell r="L1285">
            <v>45500</v>
          </cell>
          <cell r="M1285">
            <v>45300</v>
          </cell>
          <cell r="N1285">
            <v>42500</v>
          </cell>
          <cell r="O1285">
            <v>42300</v>
          </cell>
          <cell r="P1285">
            <v>40300</v>
          </cell>
          <cell r="Q1285">
            <v>40700</v>
          </cell>
          <cell r="R1285">
            <v>40500</v>
          </cell>
          <cell r="S1285">
            <v>41900</v>
          </cell>
          <cell r="T1285">
            <v>43800</v>
          </cell>
          <cell r="U1285">
            <v>46500</v>
          </cell>
          <cell r="V1285">
            <v>46000</v>
          </cell>
          <cell r="W1285">
            <v>49100</v>
          </cell>
        </row>
        <row r="1286">
          <cell r="A1286">
            <v>45552</v>
          </cell>
          <cell r="B1286">
            <v>44000</v>
          </cell>
          <cell r="C1286">
            <v>45800</v>
          </cell>
          <cell r="D1286">
            <v>43700</v>
          </cell>
          <cell r="E1286">
            <v>40100</v>
          </cell>
          <cell r="F1286">
            <v>45900</v>
          </cell>
          <cell r="G1286" t="str">
            <v>-</v>
          </cell>
          <cell r="H1286">
            <v>42500</v>
          </cell>
          <cell r="I1286">
            <v>43000</v>
          </cell>
          <cell r="J1286">
            <v>44600</v>
          </cell>
          <cell r="K1286" t="str">
            <v>-</v>
          </cell>
          <cell r="L1286">
            <v>45500</v>
          </cell>
          <cell r="M1286">
            <v>45100</v>
          </cell>
          <cell r="N1286">
            <v>42600</v>
          </cell>
          <cell r="O1286">
            <v>42300</v>
          </cell>
          <cell r="P1286">
            <v>40400</v>
          </cell>
          <cell r="Q1286">
            <v>40700</v>
          </cell>
          <cell r="R1286" t="str">
            <v>-</v>
          </cell>
          <cell r="S1286">
            <v>42200</v>
          </cell>
          <cell r="T1286">
            <v>44000</v>
          </cell>
          <cell r="U1286" t="str">
            <v>-</v>
          </cell>
          <cell r="V1286">
            <v>46000</v>
          </cell>
          <cell r="W1286">
            <v>49100</v>
          </cell>
        </row>
        <row r="1287">
          <cell r="A1287">
            <v>45553</v>
          </cell>
          <cell r="B1287">
            <v>44000</v>
          </cell>
          <cell r="C1287">
            <v>45800</v>
          </cell>
          <cell r="D1287">
            <v>43600</v>
          </cell>
          <cell r="E1287">
            <v>40100</v>
          </cell>
          <cell r="F1287">
            <v>45900</v>
          </cell>
          <cell r="G1287" t="str">
            <v>-</v>
          </cell>
          <cell r="H1287">
            <v>42500</v>
          </cell>
          <cell r="I1287">
            <v>43000</v>
          </cell>
          <cell r="J1287">
            <v>44800</v>
          </cell>
          <cell r="K1287" t="str">
            <v>-</v>
          </cell>
          <cell r="L1287">
            <v>45400</v>
          </cell>
          <cell r="M1287">
            <v>45100</v>
          </cell>
          <cell r="N1287">
            <v>42600</v>
          </cell>
          <cell r="O1287">
            <v>42300</v>
          </cell>
          <cell r="P1287">
            <v>40800</v>
          </cell>
          <cell r="Q1287">
            <v>41000</v>
          </cell>
          <cell r="R1287">
            <v>40500</v>
          </cell>
          <cell r="S1287">
            <v>42200</v>
          </cell>
          <cell r="T1287">
            <v>44000</v>
          </cell>
          <cell r="U1287">
            <v>46500</v>
          </cell>
          <cell r="V1287">
            <v>45900</v>
          </cell>
          <cell r="W1287">
            <v>49000</v>
          </cell>
        </row>
        <row r="1288">
          <cell r="A1288">
            <v>45554</v>
          </cell>
          <cell r="B1288">
            <v>44500</v>
          </cell>
          <cell r="C1288">
            <v>45800</v>
          </cell>
          <cell r="D1288">
            <v>44100</v>
          </cell>
          <cell r="E1288">
            <v>40500</v>
          </cell>
          <cell r="F1288">
            <v>46400</v>
          </cell>
          <cell r="G1288" t="str">
            <v>-</v>
          </cell>
          <cell r="H1288">
            <v>42500</v>
          </cell>
          <cell r="I1288">
            <v>43600</v>
          </cell>
          <cell r="J1288">
            <v>45200</v>
          </cell>
          <cell r="K1288" t="str">
            <v>-</v>
          </cell>
          <cell r="L1288">
            <v>45700</v>
          </cell>
          <cell r="M1288">
            <v>45200</v>
          </cell>
          <cell r="N1288">
            <v>43100</v>
          </cell>
          <cell r="O1288">
            <v>42600</v>
          </cell>
          <cell r="P1288">
            <v>41200</v>
          </cell>
          <cell r="Q1288">
            <v>41500</v>
          </cell>
          <cell r="R1288">
            <v>40800</v>
          </cell>
          <cell r="S1288">
            <v>42600</v>
          </cell>
          <cell r="T1288">
            <v>44500</v>
          </cell>
          <cell r="U1288">
            <v>46500</v>
          </cell>
          <cell r="V1288">
            <v>45900</v>
          </cell>
          <cell r="W1288">
            <v>49000</v>
          </cell>
        </row>
        <row r="1289">
          <cell r="A1289">
            <v>45555</v>
          </cell>
          <cell r="B1289">
            <v>44700</v>
          </cell>
          <cell r="C1289">
            <v>46000</v>
          </cell>
          <cell r="D1289">
            <v>44200</v>
          </cell>
          <cell r="E1289">
            <v>40600</v>
          </cell>
          <cell r="F1289">
            <v>46700</v>
          </cell>
          <cell r="G1289" t="str">
            <v>-</v>
          </cell>
          <cell r="H1289">
            <v>42500</v>
          </cell>
          <cell r="I1289">
            <v>43800</v>
          </cell>
          <cell r="J1289">
            <v>45500</v>
          </cell>
          <cell r="K1289" t="str">
            <v>-</v>
          </cell>
          <cell r="L1289">
            <v>45800</v>
          </cell>
          <cell r="M1289">
            <v>45200</v>
          </cell>
          <cell r="N1289">
            <v>43200</v>
          </cell>
          <cell r="O1289">
            <v>42500</v>
          </cell>
          <cell r="P1289">
            <v>41200</v>
          </cell>
          <cell r="Q1289">
            <v>41700</v>
          </cell>
          <cell r="R1289">
            <v>41000</v>
          </cell>
          <cell r="S1289">
            <v>42700</v>
          </cell>
          <cell r="T1289">
            <v>44500</v>
          </cell>
          <cell r="U1289">
            <v>46500</v>
          </cell>
          <cell r="V1289">
            <v>46000</v>
          </cell>
          <cell r="W1289">
            <v>49000</v>
          </cell>
        </row>
        <row r="1290">
          <cell r="A1290">
            <v>45556</v>
          </cell>
          <cell r="B1290">
            <v>45000</v>
          </cell>
          <cell r="C1290">
            <v>46000</v>
          </cell>
          <cell r="D1290">
            <v>44800</v>
          </cell>
          <cell r="E1290">
            <v>41000</v>
          </cell>
          <cell r="F1290">
            <v>47300</v>
          </cell>
          <cell r="G1290" t="str">
            <v>-</v>
          </cell>
          <cell r="H1290">
            <v>43700</v>
          </cell>
          <cell r="I1290">
            <v>44000</v>
          </cell>
          <cell r="J1290">
            <v>45700</v>
          </cell>
          <cell r="K1290" t="str">
            <v>-</v>
          </cell>
          <cell r="L1290">
            <v>46000</v>
          </cell>
          <cell r="M1290">
            <v>45200</v>
          </cell>
          <cell r="N1290">
            <v>43700</v>
          </cell>
          <cell r="O1290">
            <v>42500</v>
          </cell>
          <cell r="P1290">
            <v>41500</v>
          </cell>
          <cell r="Q1290">
            <v>42200</v>
          </cell>
          <cell r="R1290">
            <v>41100</v>
          </cell>
          <cell r="S1290">
            <v>43200</v>
          </cell>
          <cell r="T1290">
            <v>45200</v>
          </cell>
          <cell r="U1290">
            <v>46500</v>
          </cell>
          <cell r="V1290">
            <v>46200</v>
          </cell>
          <cell r="W1290">
            <v>49000</v>
          </cell>
        </row>
        <row r="1291">
          <cell r="A1291">
            <v>45557</v>
          </cell>
          <cell r="B1291" t="str">
            <v>H</v>
          </cell>
          <cell r="C1291" t="str">
            <v>H</v>
          </cell>
          <cell r="D1291" t="str">
            <v>H</v>
          </cell>
          <cell r="E1291" t="str">
            <v>H</v>
          </cell>
          <cell r="F1291" t="str">
            <v>H</v>
          </cell>
          <cell r="G1291" t="str">
            <v>H</v>
          </cell>
          <cell r="H1291" t="str">
            <v>H</v>
          </cell>
          <cell r="I1291" t="str">
            <v>H</v>
          </cell>
          <cell r="J1291" t="str">
            <v>H</v>
          </cell>
          <cell r="K1291" t="str">
            <v>H</v>
          </cell>
          <cell r="L1291" t="str">
            <v>H</v>
          </cell>
          <cell r="M1291" t="str">
            <v>H</v>
          </cell>
          <cell r="N1291" t="str">
            <v>H</v>
          </cell>
          <cell r="O1291" t="str">
            <v>H</v>
          </cell>
          <cell r="P1291" t="str">
            <v>H</v>
          </cell>
          <cell r="Q1291" t="str">
            <v>H</v>
          </cell>
          <cell r="R1291" t="str">
            <v>H</v>
          </cell>
          <cell r="S1291" t="str">
            <v>H</v>
          </cell>
          <cell r="T1291" t="str">
            <v>H</v>
          </cell>
          <cell r="U1291" t="str">
            <v>H</v>
          </cell>
          <cell r="V1291" t="str">
            <v>H</v>
          </cell>
          <cell r="W1291" t="str">
            <v>H</v>
          </cell>
        </row>
        <row r="1292">
          <cell r="A1292">
            <v>45558</v>
          </cell>
          <cell r="B1292">
            <v>45300</v>
          </cell>
          <cell r="C1292">
            <v>46200</v>
          </cell>
          <cell r="D1292">
            <v>45100</v>
          </cell>
          <cell r="E1292">
            <v>41500</v>
          </cell>
          <cell r="F1292">
            <v>47300</v>
          </cell>
          <cell r="G1292" t="str">
            <v>-</v>
          </cell>
          <cell r="H1292">
            <v>44300</v>
          </cell>
          <cell r="I1292">
            <v>44200</v>
          </cell>
          <cell r="J1292">
            <v>46400</v>
          </cell>
          <cell r="K1292" t="str">
            <v>-</v>
          </cell>
          <cell r="L1292">
            <v>46400</v>
          </cell>
          <cell r="M1292">
            <v>45700</v>
          </cell>
          <cell r="N1292">
            <v>43800</v>
          </cell>
          <cell r="O1292">
            <v>42900</v>
          </cell>
          <cell r="P1292">
            <v>42700</v>
          </cell>
          <cell r="Q1292">
            <v>42900</v>
          </cell>
          <cell r="R1292">
            <v>41700</v>
          </cell>
          <cell r="S1292">
            <v>43600</v>
          </cell>
          <cell r="T1292">
            <v>45500</v>
          </cell>
          <cell r="U1292">
            <v>47000</v>
          </cell>
          <cell r="V1292">
            <v>46400</v>
          </cell>
          <cell r="W1292">
            <v>49200</v>
          </cell>
        </row>
        <row r="1293">
          <cell r="A1293">
            <v>45559</v>
          </cell>
          <cell r="B1293">
            <v>46000</v>
          </cell>
          <cell r="C1293">
            <v>46500</v>
          </cell>
          <cell r="D1293">
            <v>45500</v>
          </cell>
          <cell r="E1293">
            <v>42000</v>
          </cell>
          <cell r="F1293">
            <v>47300</v>
          </cell>
          <cell r="G1293" t="str">
            <v>-</v>
          </cell>
          <cell r="H1293">
            <v>44800</v>
          </cell>
          <cell r="I1293">
            <v>44600</v>
          </cell>
          <cell r="J1293">
            <v>46600</v>
          </cell>
          <cell r="K1293" t="str">
            <v>-</v>
          </cell>
          <cell r="L1293">
            <v>46900</v>
          </cell>
          <cell r="M1293">
            <v>46000</v>
          </cell>
          <cell r="N1293">
            <v>44500</v>
          </cell>
          <cell r="O1293">
            <v>43400</v>
          </cell>
          <cell r="P1293">
            <v>43000</v>
          </cell>
          <cell r="Q1293">
            <v>43400</v>
          </cell>
          <cell r="R1293">
            <v>42800</v>
          </cell>
          <cell r="S1293">
            <v>44100</v>
          </cell>
          <cell r="T1293">
            <v>46300</v>
          </cell>
          <cell r="U1293">
            <v>47500</v>
          </cell>
          <cell r="V1293">
            <v>46800</v>
          </cell>
          <cell r="W1293">
            <v>49500</v>
          </cell>
        </row>
        <row r="1294">
          <cell r="A1294">
            <v>45560</v>
          </cell>
          <cell r="B1294">
            <v>46300</v>
          </cell>
          <cell r="C1294">
            <v>47000</v>
          </cell>
          <cell r="D1294">
            <v>46400</v>
          </cell>
          <cell r="E1294">
            <v>42500</v>
          </cell>
          <cell r="F1294">
            <v>47500</v>
          </cell>
          <cell r="G1294" t="str">
            <v>-</v>
          </cell>
          <cell r="H1294">
            <v>44800</v>
          </cell>
          <cell r="I1294">
            <v>45100</v>
          </cell>
          <cell r="J1294">
            <v>47200</v>
          </cell>
          <cell r="K1294" t="str">
            <v>-</v>
          </cell>
          <cell r="L1294">
            <v>47500</v>
          </cell>
          <cell r="M1294">
            <v>46200</v>
          </cell>
          <cell r="N1294">
            <v>45000</v>
          </cell>
          <cell r="O1294">
            <v>43600</v>
          </cell>
          <cell r="P1294">
            <v>43800</v>
          </cell>
          <cell r="Q1294">
            <v>44000</v>
          </cell>
          <cell r="R1294">
            <v>43000</v>
          </cell>
          <cell r="S1294">
            <v>44600</v>
          </cell>
          <cell r="T1294">
            <v>46800</v>
          </cell>
          <cell r="U1294">
            <v>47500</v>
          </cell>
          <cell r="V1294">
            <v>47500</v>
          </cell>
          <cell r="W1294">
            <v>50200</v>
          </cell>
        </row>
        <row r="1295">
          <cell r="A1295">
            <v>45561</v>
          </cell>
          <cell r="B1295">
            <v>46500</v>
          </cell>
          <cell r="C1295">
            <v>47000</v>
          </cell>
          <cell r="D1295">
            <v>47000</v>
          </cell>
          <cell r="E1295">
            <v>42800</v>
          </cell>
          <cell r="F1295">
            <v>47900</v>
          </cell>
          <cell r="G1295" t="str">
            <v>-</v>
          </cell>
          <cell r="H1295">
            <v>44800</v>
          </cell>
          <cell r="I1295">
            <v>45600</v>
          </cell>
          <cell r="J1295">
            <v>47200</v>
          </cell>
          <cell r="K1295" t="str">
            <v>-</v>
          </cell>
          <cell r="L1295">
            <v>48000</v>
          </cell>
          <cell r="M1295">
            <v>46400</v>
          </cell>
          <cell r="N1295">
            <v>45700</v>
          </cell>
          <cell r="O1295">
            <v>44500</v>
          </cell>
          <cell r="P1295">
            <v>44200</v>
          </cell>
          <cell r="Q1295">
            <v>44200</v>
          </cell>
          <cell r="R1295">
            <v>43300</v>
          </cell>
          <cell r="S1295">
            <v>44900</v>
          </cell>
          <cell r="T1295">
            <v>47300</v>
          </cell>
          <cell r="U1295">
            <v>47500</v>
          </cell>
          <cell r="V1295">
            <v>47500</v>
          </cell>
          <cell r="W1295">
            <v>50500</v>
          </cell>
        </row>
        <row r="1296">
          <cell r="A1296">
            <v>45562</v>
          </cell>
          <cell r="B1296">
            <v>46500</v>
          </cell>
          <cell r="C1296">
            <v>47000</v>
          </cell>
          <cell r="D1296">
            <v>46800</v>
          </cell>
          <cell r="E1296">
            <v>42500</v>
          </cell>
          <cell r="F1296">
            <v>48100</v>
          </cell>
          <cell r="G1296" t="str">
            <v>-</v>
          </cell>
          <cell r="H1296">
            <v>44800</v>
          </cell>
          <cell r="I1296">
            <v>45500</v>
          </cell>
          <cell r="J1296">
            <v>47200</v>
          </cell>
          <cell r="K1296" t="str">
            <v>-</v>
          </cell>
          <cell r="L1296">
            <v>48000</v>
          </cell>
          <cell r="M1296">
            <v>46400</v>
          </cell>
          <cell r="N1296">
            <v>45500</v>
          </cell>
          <cell r="O1296">
            <v>44500</v>
          </cell>
          <cell r="P1296">
            <v>43800</v>
          </cell>
          <cell r="Q1296">
            <v>44000</v>
          </cell>
          <cell r="R1296">
            <v>43200</v>
          </cell>
          <cell r="S1296">
            <v>44600</v>
          </cell>
          <cell r="T1296">
            <v>47300</v>
          </cell>
          <cell r="U1296">
            <v>47500</v>
          </cell>
          <cell r="V1296">
            <v>47500</v>
          </cell>
          <cell r="W1296">
            <v>50500</v>
          </cell>
        </row>
        <row r="1297">
          <cell r="A1297">
            <v>45563</v>
          </cell>
          <cell r="B1297">
            <v>46500</v>
          </cell>
          <cell r="C1297">
            <v>47300</v>
          </cell>
          <cell r="D1297">
            <v>47300</v>
          </cell>
          <cell r="E1297">
            <v>42800</v>
          </cell>
          <cell r="F1297">
            <v>48100</v>
          </cell>
          <cell r="G1297" t="str">
            <v>-</v>
          </cell>
          <cell r="H1297">
            <v>44800</v>
          </cell>
          <cell r="I1297">
            <v>45900</v>
          </cell>
          <cell r="J1297">
            <v>47300</v>
          </cell>
          <cell r="K1297" t="str">
            <v>-</v>
          </cell>
          <cell r="L1297">
            <v>48100</v>
          </cell>
          <cell r="M1297">
            <v>46400</v>
          </cell>
          <cell r="N1297">
            <v>45500</v>
          </cell>
          <cell r="O1297">
            <v>44600</v>
          </cell>
          <cell r="P1297">
            <v>44000</v>
          </cell>
          <cell r="Q1297">
            <v>44200</v>
          </cell>
          <cell r="R1297">
            <v>43300</v>
          </cell>
          <cell r="S1297">
            <v>44900</v>
          </cell>
          <cell r="T1297">
            <v>47500</v>
          </cell>
          <cell r="U1297">
            <v>47500</v>
          </cell>
          <cell r="V1297">
            <v>47700</v>
          </cell>
          <cell r="W1297">
            <v>50900</v>
          </cell>
        </row>
        <row r="1298">
          <cell r="A1298">
            <v>45564</v>
          </cell>
          <cell r="B1298" t="str">
            <v>H</v>
          </cell>
          <cell r="C1298" t="str">
            <v>H</v>
          </cell>
          <cell r="D1298" t="str">
            <v>H</v>
          </cell>
          <cell r="E1298" t="str">
            <v>H</v>
          </cell>
          <cell r="F1298" t="str">
            <v>H</v>
          </cell>
          <cell r="G1298" t="str">
            <v>H</v>
          </cell>
          <cell r="H1298" t="str">
            <v>H</v>
          </cell>
          <cell r="I1298" t="str">
            <v>H</v>
          </cell>
          <cell r="J1298" t="str">
            <v>H</v>
          </cell>
          <cell r="K1298" t="str">
            <v>H</v>
          </cell>
          <cell r="L1298" t="str">
            <v>H</v>
          </cell>
          <cell r="M1298" t="str">
            <v>H</v>
          </cell>
          <cell r="N1298" t="str">
            <v>H</v>
          </cell>
          <cell r="O1298" t="str">
            <v>H</v>
          </cell>
          <cell r="P1298" t="str">
            <v>H</v>
          </cell>
          <cell r="Q1298" t="str">
            <v>H</v>
          </cell>
          <cell r="R1298" t="str">
            <v>H</v>
          </cell>
          <cell r="S1298" t="str">
            <v>H</v>
          </cell>
          <cell r="T1298" t="str">
            <v>H</v>
          </cell>
          <cell r="U1298" t="str">
            <v>H</v>
          </cell>
          <cell r="V1298" t="str">
            <v>H</v>
          </cell>
          <cell r="W1298" t="str">
            <v>H</v>
          </cell>
        </row>
        <row r="1299">
          <cell r="A1299">
            <v>45565</v>
          </cell>
          <cell r="B1299">
            <v>47300</v>
          </cell>
          <cell r="C1299">
            <v>47500</v>
          </cell>
          <cell r="D1299">
            <v>47700</v>
          </cell>
          <cell r="E1299">
            <v>43500</v>
          </cell>
          <cell r="F1299">
            <v>48900</v>
          </cell>
          <cell r="G1299" t="str">
            <v>-</v>
          </cell>
          <cell r="H1299">
            <v>47000</v>
          </cell>
          <cell r="I1299">
            <v>46800</v>
          </cell>
          <cell r="J1299">
            <v>48200</v>
          </cell>
          <cell r="K1299" t="str">
            <v>-</v>
          </cell>
          <cell r="L1299">
            <v>48300</v>
          </cell>
          <cell r="M1299">
            <v>47100</v>
          </cell>
          <cell r="N1299">
            <v>46200</v>
          </cell>
          <cell r="O1299">
            <v>44800</v>
          </cell>
          <cell r="P1299">
            <v>45000</v>
          </cell>
          <cell r="Q1299">
            <v>45000</v>
          </cell>
          <cell r="R1299">
            <v>43500</v>
          </cell>
          <cell r="S1299">
            <v>45600</v>
          </cell>
          <cell r="T1299">
            <v>48000</v>
          </cell>
          <cell r="U1299">
            <v>47500</v>
          </cell>
          <cell r="V1299">
            <v>49400</v>
          </cell>
          <cell r="W1299">
            <v>52500</v>
          </cell>
        </row>
        <row r="1300">
          <cell r="A1300">
            <v>45566</v>
          </cell>
          <cell r="B1300">
            <v>47600</v>
          </cell>
          <cell r="C1300">
            <v>47800</v>
          </cell>
          <cell r="D1300">
            <v>47800</v>
          </cell>
          <cell r="E1300">
            <v>43800</v>
          </cell>
          <cell r="F1300">
            <v>49200</v>
          </cell>
          <cell r="G1300" t="str">
            <v>-</v>
          </cell>
          <cell r="H1300">
            <v>47000</v>
          </cell>
          <cell r="I1300">
            <v>47000</v>
          </cell>
          <cell r="J1300">
            <v>48800</v>
          </cell>
          <cell r="K1300" t="str">
            <v>-</v>
          </cell>
          <cell r="L1300">
            <v>48600</v>
          </cell>
          <cell r="M1300">
            <v>47600</v>
          </cell>
          <cell r="N1300">
            <v>47000</v>
          </cell>
          <cell r="O1300">
            <v>44800</v>
          </cell>
          <cell r="P1300">
            <v>45200</v>
          </cell>
          <cell r="Q1300">
            <v>45400</v>
          </cell>
          <cell r="R1300">
            <v>43800</v>
          </cell>
          <cell r="S1300">
            <v>45900</v>
          </cell>
          <cell r="T1300">
            <v>48600</v>
          </cell>
          <cell r="U1300">
            <v>47500</v>
          </cell>
          <cell r="V1300">
            <v>49400</v>
          </cell>
          <cell r="W1300">
            <v>52500</v>
          </cell>
        </row>
        <row r="1301">
          <cell r="A1301">
            <v>45567</v>
          </cell>
          <cell r="B1301" t="str">
            <v>H</v>
          </cell>
          <cell r="C1301" t="str">
            <v>H</v>
          </cell>
          <cell r="D1301" t="str">
            <v>H</v>
          </cell>
          <cell r="E1301" t="str">
            <v>H</v>
          </cell>
          <cell r="F1301" t="str">
            <v>H</v>
          </cell>
          <cell r="G1301" t="str">
            <v>H</v>
          </cell>
          <cell r="H1301" t="str">
            <v>H</v>
          </cell>
          <cell r="I1301" t="str">
            <v>H</v>
          </cell>
          <cell r="J1301" t="str">
            <v>H</v>
          </cell>
          <cell r="K1301" t="str">
            <v>H</v>
          </cell>
          <cell r="L1301" t="str">
            <v>H</v>
          </cell>
          <cell r="M1301" t="str">
            <v>H</v>
          </cell>
          <cell r="N1301" t="str">
            <v>H</v>
          </cell>
          <cell r="O1301" t="str">
            <v>H</v>
          </cell>
          <cell r="P1301" t="str">
            <v>H</v>
          </cell>
          <cell r="Q1301" t="str">
            <v>H</v>
          </cell>
          <cell r="R1301" t="str">
            <v>H</v>
          </cell>
          <cell r="S1301" t="str">
            <v>H</v>
          </cell>
          <cell r="T1301" t="str">
            <v>H</v>
          </cell>
          <cell r="U1301" t="str">
            <v>H</v>
          </cell>
          <cell r="V1301" t="str">
            <v>H</v>
          </cell>
          <cell r="W1301" t="str">
            <v>H</v>
          </cell>
        </row>
        <row r="1302">
          <cell r="A1302">
            <v>45568</v>
          </cell>
          <cell r="B1302">
            <v>47800</v>
          </cell>
          <cell r="C1302">
            <v>48200</v>
          </cell>
          <cell r="D1302">
            <v>48500</v>
          </cell>
          <cell r="E1302">
            <v>44000</v>
          </cell>
          <cell r="F1302">
            <v>49200</v>
          </cell>
          <cell r="G1302" t="str">
            <v>-</v>
          </cell>
          <cell r="H1302">
            <v>47000</v>
          </cell>
          <cell r="I1302">
            <v>47000</v>
          </cell>
          <cell r="J1302">
            <v>49100</v>
          </cell>
          <cell r="K1302" t="str">
            <v>-</v>
          </cell>
          <cell r="L1302">
            <v>48600</v>
          </cell>
          <cell r="M1302">
            <v>47800</v>
          </cell>
          <cell r="N1302">
            <v>47400</v>
          </cell>
          <cell r="O1302">
            <v>44900</v>
          </cell>
          <cell r="P1302">
            <v>45600</v>
          </cell>
          <cell r="Q1302">
            <v>45700</v>
          </cell>
          <cell r="R1302">
            <v>44500</v>
          </cell>
          <cell r="S1302">
            <v>46100</v>
          </cell>
          <cell r="T1302">
            <v>49000</v>
          </cell>
          <cell r="U1302">
            <v>47500</v>
          </cell>
          <cell r="V1302">
            <v>49400</v>
          </cell>
          <cell r="W1302">
            <v>52500</v>
          </cell>
        </row>
        <row r="1303">
          <cell r="A1303">
            <v>45569</v>
          </cell>
          <cell r="B1303">
            <v>48000</v>
          </cell>
          <cell r="C1303">
            <v>48200</v>
          </cell>
          <cell r="D1303">
            <v>48700</v>
          </cell>
          <cell r="E1303">
            <v>44500</v>
          </cell>
          <cell r="F1303">
            <v>49600</v>
          </cell>
          <cell r="G1303" t="str">
            <v>-</v>
          </cell>
          <cell r="H1303">
            <v>47000</v>
          </cell>
          <cell r="I1303">
            <v>47500</v>
          </cell>
          <cell r="J1303">
            <v>49600</v>
          </cell>
          <cell r="K1303" t="str">
            <v>-</v>
          </cell>
          <cell r="L1303">
            <v>49000</v>
          </cell>
          <cell r="M1303">
            <v>48600</v>
          </cell>
          <cell r="N1303">
            <v>48200</v>
          </cell>
          <cell r="O1303">
            <v>45000</v>
          </cell>
          <cell r="P1303">
            <v>45800</v>
          </cell>
          <cell r="Q1303">
            <v>46100</v>
          </cell>
          <cell r="R1303">
            <v>44800</v>
          </cell>
          <cell r="S1303">
            <v>46600</v>
          </cell>
          <cell r="T1303">
            <v>49300</v>
          </cell>
          <cell r="U1303">
            <v>47500</v>
          </cell>
          <cell r="V1303">
            <v>49800</v>
          </cell>
          <cell r="W1303">
            <v>53000</v>
          </cell>
        </row>
        <row r="1304">
          <cell r="A1304">
            <v>45570</v>
          </cell>
          <cell r="B1304">
            <v>48000</v>
          </cell>
          <cell r="C1304">
            <v>48200</v>
          </cell>
          <cell r="D1304">
            <v>48700</v>
          </cell>
          <cell r="E1304">
            <v>44800</v>
          </cell>
          <cell r="F1304">
            <v>49600</v>
          </cell>
          <cell r="G1304" t="str">
            <v>-</v>
          </cell>
          <cell r="H1304">
            <v>47000</v>
          </cell>
          <cell r="I1304">
            <v>47500</v>
          </cell>
          <cell r="J1304">
            <v>49600</v>
          </cell>
          <cell r="K1304" t="str">
            <v>-</v>
          </cell>
          <cell r="L1304">
            <v>49000</v>
          </cell>
          <cell r="M1304">
            <v>49000</v>
          </cell>
          <cell r="N1304">
            <v>47800</v>
          </cell>
          <cell r="O1304">
            <v>45200</v>
          </cell>
          <cell r="P1304">
            <v>45800</v>
          </cell>
          <cell r="Q1304">
            <v>45800</v>
          </cell>
          <cell r="R1304">
            <v>44900</v>
          </cell>
          <cell r="S1304">
            <v>46900</v>
          </cell>
          <cell r="T1304">
            <v>49100</v>
          </cell>
          <cell r="U1304">
            <v>47500</v>
          </cell>
          <cell r="V1304">
            <v>49800</v>
          </cell>
          <cell r="W1304">
            <v>53000</v>
          </cell>
        </row>
        <row r="1305">
          <cell r="A1305">
            <v>45571</v>
          </cell>
          <cell r="B1305" t="str">
            <v>H</v>
          </cell>
          <cell r="C1305" t="str">
            <v>H</v>
          </cell>
          <cell r="D1305" t="str">
            <v>H</v>
          </cell>
          <cell r="E1305" t="str">
            <v>H</v>
          </cell>
          <cell r="F1305" t="str">
            <v>H</v>
          </cell>
          <cell r="G1305" t="str">
            <v>H</v>
          </cell>
          <cell r="H1305" t="str">
            <v>H</v>
          </cell>
          <cell r="I1305" t="str">
            <v>H</v>
          </cell>
          <cell r="J1305" t="str">
            <v>H</v>
          </cell>
          <cell r="K1305" t="str">
            <v>H</v>
          </cell>
          <cell r="L1305" t="str">
            <v>H</v>
          </cell>
          <cell r="M1305" t="str">
            <v>H</v>
          </cell>
          <cell r="N1305" t="str">
            <v>H</v>
          </cell>
          <cell r="O1305" t="str">
            <v>H</v>
          </cell>
          <cell r="P1305" t="str">
            <v>H</v>
          </cell>
          <cell r="Q1305" t="str">
            <v>H</v>
          </cell>
          <cell r="R1305" t="str">
            <v>H</v>
          </cell>
          <cell r="S1305" t="str">
            <v>H</v>
          </cell>
          <cell r="T1305" t="str">
            <v>H</v>
          </cell>
          <cell r="U1305" t="str">
            <v>H</v>
          </cell>
          <cell r="V1305" t="str">
            <v>H</v>
          </cell>
          <cell r="W1305" t="str">
            <v>H</v>
          </cell>
        </row>
        <row r="1306">
          <cell r="A1306">
            <v>45572</v>
          </cell>
          <cell r="B1306">
            <v>48000</v>
          </cell>
          <cell r="C1306">
            <v>48500</v>
          </cell>
          <cell r="D1306">
            <v>48800</v>
          </cell>
          <cell r="E1306">
            <v>44700</v>
          </cell>
          <cell r="F1306">
            <v>49700</v>
          </cell>
          <cell r="G1306" t="str">
            <v>-</v>
          </cell>
          <cell r="H1306">
            <v>47000</v>
          </cell>
          <cell r="I1306">
            <v>47400</v>
          </cell>
          <cell r="J1306">
            <v>50000</v>
          </cell>
          <cell r="K1306" t="str">
            <v>-</v>
          </cell>
          <cell r="L1306">
            <v>48800</v>
          </cell>
          <cell r="M1306">
            <v>49700</v>
          </cell>
          <cell r="N1306">
            <v>47600</v>
          </cell>
          <cell r="O1306">
            <v>45600</v>
          </cell>
          <cell r="P1306">
            <v>45700</v>
          </cell>
          <cell r="Q1306">
            <v>46000</v>
          </cell>
          <cell r="R1306">
            <v>45000</v>
          </cell>
          <cell r="S1306">
            <v>46800</v>
          </cell>
          <cell r="T1306">
            <v>49100</v>
          </cell>
          <cell r="U1306">
            <v>47500</v>
          </cell>
          <cell r="V1306">
            <v>49800</v>
          </cell>
          <cell r="W1306">
            <v>53000</v>
          </cell>
        </row>
        <row r="1307">
          <cell r="A1307">
            <v>45573</v>
          </cell>
          <cell r="B1307">
            <v>48200</v>
          </cell>
          <cell r="C1307">
            <v>48500</v>
          </cell>
          <cell r="D1307">
            <v>49000</v>
          </cell>
          <cell r="E1307">
            <v>45000</v>
          </cell>
          <cell r="F1307">
            <v>49700</v>
          </cell>
          <cell r="G1307" t="str">
            <v>-</v>
          </cell>
          <cell r="H1307">
            <v>46800</v>
          </cell>
          <cell r="I1307">
            <v>47400</v>
          </cell>
          <cell r="J1307">
            <v>50000</v>
          </cell>
          <cell r="K1307" t="str">
            <v>-</v>
          </cell>
          <cell r="L1307">
            <v>48900</v>
          </cell>
          <cell r="M1307">
            <v>49700</v>
          </cell>
          <cell r="N1307">
            <v>48200</v>
          </cell>
          <cell r="O1307">
            <v>45600</v>
          </cell>
          <cell r="P1307">
            <v>45900</v>
          </cell>
          <cell r="Q1307">
            <v>46300</v>
          </cell>
          <cell r="R1307">
            <v>45500</v>
          </cell>
          <cell r="S1307">
            <v>47100</v>
          </cell>
          <cell r="T1307">
            <v>49300</v>
          </cell>
          <cell r="U1307">
            <v>47500</v>
          </cell>
          <cell r="V1307">
            <v>49800</v>
          </cell>
          <cell r="W1307">
            <v>53000</v>
          </cell>
        </row>
        <row r="1308">
          <cell r="A1308">
            <v>45574</v>
          </cell>
          <cell r="B1308">
            <v>48200</v>
          </cell>
          <cell r="C1308">
            <v>48500</v>
          </cell>
          <cell r="D1308">
            <v>48700</v>
          </cell>
          <cell r="E1308">
            <v>44700</v>
          </cell>
          <cell r="F1308">
            <v>49700</v>
          </cell>
          <cell r="G1308" t="str">
            <v>-</v>
          </cell>
          <cell r="H1308">
            <v>46800</v>
          </cell>
          <cell r="I1308">
            <v>47200</v>
          </cell>
          <cell r="J1308">
            <v>50000</v>
          </cell>
          <cell r="K1308" t="str">
            <v>-</v>
          </cell>
          <cell r="L1308">
            <v>48900</v>
          </cell>
          <cell r="M1308">
            <v>49600</v>
          </cell>
          <cell r="N1308">
            <v>47800</v>
          </cell>
          <cell r="O1308">
            <v>45600</v>
          </cell>
          <cell r="P1308">
            <v>45600</v>
          </cell>
          <cell r="Q1308">
            <v>45800</v>
          </cell>
          <cell r="R1308">
            <v>45500</v>
          </cell>
          <cell r="S1308">
            <v>46800</v>
          </cell>
          <cell r="T1308">
            <v>49100</v>
          </cell>
          <cell r="U1308">
            <v>47500</v>
          </cell>
          <cell r="V1308">
            <v>49800</v>
          </cell>
          <cell r="W1308">
            <v>53000</v>
          </cell>
        </row>
        <row r="1309">
          <cell r="A1309">
            <v>45575</v>
          </cell>
          <cell r="B1309">
            <v>47800</v>
          </cell>
          <cell r="C1309">
            <v>48500</v>
          </cell>
          <cell r="D1309">
            <v>48600</v>
          </cell>
          <cell r="E1309" t="str">
            <v>-</v>
          </cell>
          <cell r="F1309">
            <v>49400</v>
          </cell>
          <cell r="G1309" t="str">
            <v>-</v>
          </cell>
          <cell r="H1309">
            <v>46800</v>
          </cell>
          <cell r="I1309">
            <v>46900</v>
          </cell>
          <cell r="J1309">
            <v>49500</v>
          </cell>
          <cell r="K1309" t="str">
            <v>-</v>
          </cell>
          <cell r="L1309">
            <v>48800</v>
          </cell>
          <cell r="M1309">
            <v>48900</v>
          </cell>
          <cell r="N1309">
            <v>47600</v>
          </cell>
          <cell r="O1309">
            <v>45200</v>
          </cell>
          <cell r="P1309">
            <v>45100</v>
          </cell>
          <cell r="Q1309">
            <v>45300</v>
          </cell>
          <cell r="R1309">
            <v>45200</v>
          </cell>
          <cell r="S1309" t="str">
            <v>-</v>
          </cell>
          <cell r="T1309">
            <v>48700</v>
          </cell>
          <cell r="U1309">
            <v>47500</v>
          </cell>
          <cell r="V1309">
            <v>49800</v>
          </cell>
          <cell r="W1309">
            <v>53000</v>
          </cell>
        </row>
        <row r="1310">
          <cell r="A1310">
            <v>45576</v>
          </cell>
          <cell r="B1310">
            <v>47800</v>
          </cell>
          <cell r="C1310">
            <v>48300</v>
          </cell>
          <cell r="D1310">
            <v>48500</v>
          </cell>
          <cell r="E1310" t="str">
            <v>-</v>
          </cell>
          <cell r="F1310">
            <v>49400</v>
          </cell>
          <cell r="G1310" t="str">
            <v>-</v>
          </cell>
          <cell r="H1310">
            <v>46800</v>
          </cell>
          <cell r="I1310">
            <v>46800</v>
          </cell>
          <cell r="J1310">
            <v>49300</v>
          </cell>
          <cell r="K1310" t="str">
            <v>-</v>
          </cell>
          <cell r="L1310">
            <v>48700</v>
          </cell>
          <cell r="M1310">
            <v>48600</v>
          </cell>
          <cell r="N1310">
            <v>47300</v>
          </cell>
          <cell r="O1310">
            <v>45200</v>
          </cell>
          <cell r="P1310">
            <v>44300</v>
          </cell>
          <cell r="Q1310">
            <v>44500</v>
          </cell>
          <cell r="R1310">
            <v>45000</v>
          </cell>
          <cell r="S1310" t="str">
            <v>-</v>
          </cell>
          <cell r="T1310">
            <v>48200</v>
          </cell>
          <cell r="U1310">
            <v>48000</v>
          </cell>
          <cell r="V1310">
            <v>49800</v>
          </cell>
          <cell r="W1310">
            <v>53000</v>
          </cell>
        </row>
        <row r="1311">
          <cell r="A1311">
            <v>45577</v>
          </cell>
          <cell r="B1311" t="str">
            <v>H</v>
          </cell>
          <cell r="C1311" t="str">
            <v>H</v>
          </cell>
          <cell r="D1311" t="str">
            <v>H</v>
          </cell>
          <cell r="E1311" t="str">
            <v>H</v>
          </cell>
          <cell r="F1311" t="str">
            <v>H</v>
          </cell>
          <cell r="G1311" t="str">
            <v>H</v>
          </cell>
          <cell r="H1311" t="str">
            <v>H</v>
          </cell>
          <cell r="I1311" t="str">
            <v>H</v>
          </cell>
          <cell r="J1311" t="str">
            <v>H</v>
          </cell>
          <cell r="K1311" t="str">
            <v>H</v>
          </cell>
          <cell r="L1311" t="str">
            <v>H</v>
          </cell>
          <cell r="M1311" t="str">
            <v>H</v>
          </cell>
          <cell r="N1311" t="str">
            <v>H</v>
          </cell>
          <cell r="O1311" t="str">
            <v>H</v>
          </cell>
          <cell r="P1311" t="str">
            <v>H</v>
          </cell>
          <cell r="Q1311" t="str">
            <v>H</v>
          </cell>
          <cell r="R1311" t="str">
            <v>H</v>
          </cell>
          <cell r="S1311" t="str">
            <v>H</v>
          </cell>
          <cell r="T1311" t="str">
            <v>H</v>
          </cell>
          <cell r="U1311" t="str">
            <v>H</v>
          </cell>
          <cell r="V1311" t="str">
            <v>H</v>
          </cell>
          <cell r="W1311" t="str">
            <v>H</v>
          </cell>
        </row>
        <row r="1312">
          <cell r="A1312">
            <v>45578</v>
          </cell>
          <cell r="B1312" t="str">
            <v>H</v>
          </cell>
          <cell r="C1312" t="str">
            <v>H</v>
          </cell>
          <cell r="D1312" t="str">
            <v>H</v>
          </cell>
          <cell r="E1312" t="str">
            <v>H</v>
          </cell>
          <cell r="F1312" t="str">
            <v>H</v>
          </cell>
          <cell r="G1312" t="str">
            <v>H</v>
          </cell>
          <cell r="H1312" t="str">
            <v>H</v>
          </cell>
          <cell r="I1312" t="str">
            <v>H</v>
          </cell>
          <cell r="J1312" t="str">
            <v>H</v>
          </cell>
          <cell r="K1312" t="str">
            <v>H</v>
          </cell>
          <cell r="L1312" t="str">
            <v>H</v>
          </cell>
          <cell r="M1312" t="str">
            <v>H</v>
          </cell>
          <cell r="N1312" t="str">
            <v>H</v>
          </cell>
          <cell r="O1312" t="str">
            <v>H</v>
          </cell>
          <cell r="P1312" t="str">
            <v>H</v>
          </cell>
          <cell r="Q1312" t="str">
            <v>H</v>
          </cell>
          <cell r="R1312" t="str">
            <v>H</v>
          </cell>
          <cell r="S1312" t="str">
            <v>H</v>
          </cell>
          <cell r="T1312" t="str">
            <v>H</v>
          </cell>
          <cell r="U1312" t="str">
            <v>H</v>
          </cell>
          <cell r="V1312" t="str">
            <v>H</v>
          </cell>
          <cell r="W1312" t="str">
            <v>H</v>
          </cell>
        </row>
        <row r="1313">
          <cell r="A1313">
            <v>45579</v>
          </cell>
          <cell r="B1313">
            <v>47600</v>
          </cell>
          <cell r="C1313">
            <v>48300</v>
          </cell>
          <cell r="D1313">
            <v>49000</v>
          </cell>
          <cell r="E1313">
            <v>44800</v>
          </cell>
          <cell r="F1313">
            <v>49400</v>
          </cell>
          <cell r="G1313" t="str">
            <v>-</v>
          </cell>
          <cell r="H1313">
            <v>46500</v>
          </cell>
          <cell r="I1313">
            <v>47000</v>
          </cell>
          <cell r="J1313">
            <v>49300</v>
          </cell>
          <cell r="K1313" t="str">
            <v>-</v>
          </cell>
          <cell r="L1313">
            <v>49000</v>
          </cell>
          <cell r="M1313">
            <v>48800</v>
          </cell>
          <cell r="N1313">
            <v>47600</v>
          </cell>
          <cell r="O1313">
            <v>45200</v>
          </cell>
          <cell r="P1313">
            <v>44800</v>
          </cell>
          <cell r="Q1313">
            <v>44900</v>
          </cell>
          <cell r="R1313">
            <v>45000</v>
          </cell>
          <cell r="S1313">
            <v>46900</v>
          </cell>
          <cell r="T1313">
            <v>48200</v>
          </cell>
          <cell r="U1313">
            <v>48000</v>
          </cell>
          <cell r="V1313">
            <v>49800</v>
          </cell>
          <cell r="W1313">
            <v>53000</v>
          </cell>
        </row>
        <row r="1314">
          <cell r="A1314">
            <v>45580</v>
          </cell>
          <cell r="B1314">
            <v>47400</v>
          </cell>
          <cell r="C1314">
            <v>48000</v>
          </cell>
          <cell r="D1314">
            <v>49000</v>
          </cell>
          <cell r="E1314">
            <v>44500</v>
          </cell>
          <cell r="F1314">
            <v>49400</v>
          </cell>
          <cell r="G1314" t="str">
            <v>-</v>
          </cell>
          <cell r="H1314">
            <v>46500</v>
          </cell>
          <cell r="I1314">
            <v>47000</v>
          </cell>
          <cell r="J1314">
            <v>49300</v>
          </cell>
          <cell r="K1314" t="str">
            <v>-</v>
          </cell>
          <cell r="L1314">
            <v>49000</v>
          </cell>
          <cell r="M1314">
            <v>48800</v>
          </cell>
          <cell r="N1314">
            <v>47600</v>
          </cell>
          <cell r="O1314">
            <v>44600</v>
          </cell>
          <cell r="P1314">
            <v>44400</v>
          </cell>
          <cell r="Q1314">
            <v>44800</v>
          </cell>
          <cell r="R1314">
            <v>44800</v>
          </cell>
          <cell r="S1314">
            <v>46600</v>
          </cell>
          <cell r="T1314">
            <v>48200</v>
          </cell>
          <cell r="U1314">
            <v>49000</v>
          </cell>
          <cell r="V1314">
            <v>49800</v>
          </cell>
          <cell r="W1314">
            <v>53000</v>
          </cell>
        </row>
        <row r="1315">
          <cell r="A1315">
            <v>45581</v>
          </cell>
          <cell r="B1315">
            <v>47200</v>
          </cell>
          <cell r="C1315">
            <v>48000</v>
          </cell>
          <cell r="D1315">
            <v>48700</v>
          </cell>
          <cell r="E1315">
            <v>44900</v>
          </cell>
          <cell r="F1315">
            <v>49400</v>
          </cell>
          <cell r="G1315" t="str">
            <v>-</v>
          </cell>
          <cell r="H1315">
            <v>46500</v>
          </cell>
          <cell r="I1315">
            <v>46900</v>
          </cell>
          <cell r="J1315">
            <v>49300</v>
          </cell>
          <cell r="K1315" t="str">
            <v>-</v>
          </cell>
          <cell r="L1315">
            <v>49000</v>
          </cell>
          <cell r="M1315">
            <v>48800</v>
          </cell>
          <cell r="N1315">
            <v>47600</v>
          </cell>
          <cell r="O1315">
            <v>44500</v>
          </cell>
          <cell r="P1315">
            <v>44300</v>
          </cell>
          <cell r="Q1315">
            <v>44700</v>
          </cell>
          <cell r="R1315">
            <v>44600</v>
          </cell>
          <cell r="S1315">
            <v>47000</v>
          </cell>
          <cell r="T1315">
            <v>48000</v>
          </cell>
          <cell r="U1315">
            <v>49000</v>
          </cell>
          <cell r="V1315">
            <v>49600</v>
          </cell>
          <cell r="W1315">
            <v>53000</v>
          </cell>
        </row>
        <row r="1316">
          <cell r="A1316">
            <v>45582</v>
          </cell>
          <cell r="B1316">
            <v>47200</v>
          </cell>
          <cell r="C1316">
            <v>48000</v>
          </cell>
          <cell r="D1316">
            <v>48400</v>
          </cell>
          <cell r="E1316">
            <v>44500</v>
          </cell>
          <cell r="F1316">
            <v>49200</v>
          </cell>
          <cell r="G1316" t="str">
            <v>-</v>
          </cell>
          <cell r="H1316">
            <v>46300</v>
          </cell>
          <cell r="I1316">
            <v>46600</v>
          </cell>
          <cell r="J1316">
            <v>49300</v>
          </cell>
          <cell r="K1316" t="str">
            <v>-</v>
          </cell>
          <cell r="L1316">
            <v>48800</v>
          </cell>
          <cell r="M1316">
            <v>48500</v>
          </cell>
          <cell r="N1316">
            <v>47500</v>
          </cell>
          <cell r="O1316">
            <v>44500</v>
          </cell>
          <cell r="P1316">
            <v>44000</v>
          </cell>
          <cell r="Q1316">
            <v>44500</v>
          </cell>
          <cell r="R1316">
            <v>44600</v>
          </cell>
          <cell r="S1316">
            <v>46600</v>
          </cell>
          <cell r="T1316">
            <v>47800</v>
          </cell>
          <cell r="U1316">
            <v>49500</v>
          </cell>
          <cell r="V1316">
            <v>49600</v>
          </cell>
          <cell r="W1316">
            <v>53000</v>
          </cell>
        </row>
        <row r="1317">
          <cell r="A1317">
            <v>45583</v>
          </cell>
          <cell r="B1317">
            <v>47200</v>
          </cell>
          <cell r="C1317">
            <v>47800</v>
          </cell>
          <cell r="D1317">
            <v>48500</v>
          </cell>
          <cell r="E1317">
            <v>44500</v>
          </cell>
          <cell r="F1317">
            <v>48700</v>
          </cell>
          <cell r="G1317" t="str">
            <v>-</v>
          </cell>
          <cell r="H1317">
            <v>45800</v>
          </cell>
          <cell r="I1317">
            <v>46600</v>
          </cell>
          <cell r="J1317">
            <v>49000</v>
          </cell>
          <cell r="K1317" t="str">
            <v>-</v>
          </cell>
          <cell r="L1317">
            <v>48800</v>
          </cell>
          <cell r="M1317">
            <v>48000</v>
          </cell>
          <cell r="N1317">
            <v>47600</v>
          </cell>
          <cell r="O1317">
            <v>44500</v>
          </cell>
          <cell r="P1317">
            <v>43900</v>
          </cell>
          <cell r="Q1317">
            <v>44500</v>
          </cell>
          <cell r="R1317">
            <v>44600</v>
          </cell>
          <cell r="S1317">
            <v>46600</v>
          </cell>
          <cell r="T1317">
            <v>47800</v>
          </cell>
          <cell r="U1317">
            <v>49500</v>
          </cell>
          <cell r="V1317">
            <v>49500</v>
          </cell>
          <cell r="W1317">
            <v>52800</v>
          </cell>
        </row>
        <row r="1318">
          <cell r="A1318">
            <v>45584</v>
          </cell>
          <cell r="B1318">
            <v>47000</v>
          </cell>
          <cell r="C1318">
            <v>47800</v>
          </cell>
          <cell r="D1318">
            <v>48400</v>
          </cell>
          <cell r="E1318">
            <v>44200</v>
          </cell>
          <cell r="F1318">
            <v>48600</v>
          </cell>
          <cell r="G1318" t="str">
            <v>-</v>
          </cell>
          <cell r="H1318">
            <v>45500</v>
          </cell>
          <cell r="I1318">
            <v>46200</v>
          </cell>
          <cell r="J1318">
            <v>48900</v>
          </cell>
          <cell r="K1318" t="str">
            <v>-</v>
          </cell>
          <cell r="L1318">
            <v>48700</v>
          </cell>
          <cell r="M1318">
            <v>48200</v>
          </cell>
          <cell r="N1318">
            <v>47300</v>
          </cell>
          <cell r="O1318">
            <v>44300</v>
          </cell>
          <cell r="P1318">
            <v>43500</v>
          </cell>
          <cell r="Q1318">
            <v>44000</v>
          </cell>
          <cell r="R1318">
            <v>44500</v>
          </cell>
          <cell r="S1318">
            <v>46300</v>
          </cell>
          <cell r="T1318">
            <v>47500</v>
          </cell>
          <cell r="U1318">
            <v>49500</v>
          </cell>
          <cell r="V1318">
            <v>49300</v>
          </cell>
          <cell r="W1318">
            <v>52800</v>
          </cell>
        </row>
        <row r="1319">
          <cell r="A1319">
            <v>45585</v>
          </cell>
          <cell r="B1319" t="str">
            <v>H</v>
          </cell>
          <cell r="C1319" t="str">
            <v>H</v>
          </cell>
          <cell r="D1319" t="str">
            <v>H</v>
          </cell>
          <cell r="E1319" t="str">
            <v>H</v>
          </cell>
          <cell r="F1319" t="str">
            <v>H</v>
          </cell>
          <cell r="G1319" t="str">
            <v>H</v>
          </cell>
          <cell r="H1319" t="str">
            <v>H</v>
          </cell>
          <cell r="I1319" t="str">
            <v>H</v>
          </cell>
          <cell r="J1319" t="str">
            <v>H</v>
          </cell>
          <cell r="K1319" t="str">
            <v>H</v>
          </cell>
          <cell r="L1319" t="str">
            <v>H</v>
          </cell>
          <cell r="M1319" t="str">
            <v>H</v>
          </cell>
          <cell r="N1319" t="str">
            <v>H</v>
          </cell>
          <cell r="O1319" t="str">
            <v>H</v>
          </cell>
          <cell r="P1319" t="str">
            <v>H</v>
          </cell>
          <cell r="Q1319" t="str">
            <v>H</v>
          </cell>
          <cell r="R1319" t="str">
            <v>H</v>
          </cell>
          <cell r="S1319" t="str">
            <v>H</v>
          </cell>
          <cell r="T1319" t="str">
            <v>H</v>
          </cell>
          <cell r="U1319" t="str">
            <v>H</v>
          </cell>
          <cell r="V1319" t="str">
            <v>H</v>
          </cell>
          <cell r="W1319" t="str">
            <v>H</v>
          </cell>
        </row>
        <row r="1320">
          <cell r="A1320">
            <v>45586</v>
          </cell>
          <cell r="B1320">
            <v>46500</v>
          </cell>
          <cell r="C1320">
            <v>47500</v>
          </cell>
          <cell r="D1320">
            <v>47900</v>
          </cell>
          <cell r="E1320">
            <v>43900</v>
          </cell>
          <cell r="F1320">
            <v>48500</v>
          </cell>
          <cell r="G1320" t="str">
            <v>-</v>
          </cell>
          <cell r="H1320">
            <v>45500</v>
          </cell>
          <cell r="I1320">
            <v>45900</v>
          </cell>
          <cell r="J1320">
            <v>48500</v>
          </cell>
          <cell r="K1320" t="str">
            <v>-</v>
          </cell>
          <cell r="L1320">
            <v>48600</v>
          </cell>
          <cell r="M1320">
            <v>48500</v>
          </cell>
          <cell r="N1320">
            <v>46800</v>
          </cell>
          <cell r="O1320">
            <v>44000</v>
          </cell>
          <cell r="P1320">
            <v>43000</v>
          </cell>
          <cell r="Q1320">
            <v>43400</v>
          </cell>
          <cell r="R1320">
            <v>44200</v>
          </cell>
          <cell r="S1320">
            <v>46000</v>
          </cell>
          <cell r="T1320">
            <v>47300</v>
          </cell>
          <cell r="U1320">
            <v>49500</v>
          </cell>
          <cell r="V1320">
            <v>49000</v>
          </cell>
          <cell r="W1320">
            <v>52800</v>
          </cell>
        </row>
        <row r="1321">
          <cell r="A1321">
            <v>45587</v>
          </cell>
          <cell r="B1321">
            <v>46200</v>
          </cell>
          <cell r="C1321">
            <v>47200</v>
          </cell>
          <cell r="D1321">
            <v>47600</v>
          </cell>
          <cell r="E1321">
            <v>43100</v>
          </cell>
          <cell r="F1321">
            <v>48200</v>
          </cell>
          <cell r="G1321" t="str">
            <v>-</v>
          </cell>
          <cell r="H1321">
            <v>45000</v>
          </cell>
          <cell r="I1321">
            <v>45500</v>
          </cell>
          <cell r="J1321">
            <v>48100</v>
          </cell>
          <cell r="K1321" t="str">
            <v>-</v>
          </cell>
          <cell r="L1321">
            <v>48300</v>
          </cell>
          <cell r="M1321">
            <v>47800</v>
          </cell>
          <cell r="N1321">
            <v>46200</v>
          </cell>
          <cell r="O1321">
            <v>43700</v>
          </cell>
          <cell r="P1321">
            <v>42600</v>
          </cell>
          <cell r="Q1321">
            <v>42900</v>
          </cell>
          <cell r="R1321">
            <v>43900</v>
          </cell>
          <cell r="S1321">
            <v>45200</v>
          </cell>
          <cell r="T1321">
            <v>46800</v>
          </cell>
          <cell r="U1321">
            <v>49500</v>
          </cell>
          <cell r="V1321">
            <v>48800</v>
          </cell>
          <cell r="W1321">
            <v>52000</v>
          </cell>
        </row>
        <row r="1322">
          <cell r="A1322">
            <v>45588</v>
          </cell>
          <cell r="B1322">
            <v>46000</v>
          </cell>
          <cell r="C1322">
            <v>47000</v>
          </cell>
          <cell r="D1322">
            <v>47200</v>
          </cell>
          <cell r="E1322">
            <v>42800</v>
          </cell>
          <cell r="F1322">
            <v>47800</v>
          </cell>
          <cell r="G1322" t="str">
            <v>-</v>
          </cell>
          <cell r="H1322">
            <v>45000</v>
          </cell>
          <cell r="I1322">
            <v>45100</v>
          </cell>
          <cell r="J1322">
            <v>47600</v>
          </cell>
          <cell r="K1322" t="str">
            <v>-</v>
          </cell>
          <cell r="L1322">
            <v>47900</v>
          </cell>
          <cell r="M1322">
            <v>47500</v>
          </cell>
          <cell r="N1322">
            <v>45700</v>
          </cell>
          <cell r="O1322">
            <v>43400</v>
          </cell>
          <cell r="P1322">
            <v>42300</v>
          </cell>
          <cell r="Q1322">
            <v>42700</v>
          </cell>
          <cell r="R1322">
            <v>43500</v>
          </cell>
          <cell r="S1322">
            <v>44900</v>
          </cell>
          <cell r="T1322">
            <v>46500</v>
          </cell>
          <cell r="U1322">
            <v>49500</v>
          </cell>
          <cell r="V1322">
            <v>48800</v>
          </cell>
          <cell r="W1322">
            <v>51800</v>
          </cell>
        </row>
        <row r="1323">
          <cell r="A1323">
            <v>45589</v>
          </cell>
          <cell r="B1323">
            <v>45600</v>
          </cell>
          <cell r="C1323">
            <v>47000</v>
          </cell>
          <cell r="D1323">
            <v>46700</v>
          </cell>
          <cell r="E1323">
            <v>42700</v>
          </cell>
          <cell r="F1323">
            <v>47800</v>
          </cell>
          <cell r="G1323" t="str">
            <v>-</v>
          </cell>
          <cell r="H1323">
            <v>44800</v>
          </cell>
          <cell r="I1323">
            <v>44900</v>
          </cell>
          <cell r="J1323">
            <v>47500</v>
          </cell>
          <cell r="K1323" t="str">
            <v>-</v>
          </cell>
          <cell r="L1323">
            <v>47500</v>
          </cell>
          <cell r="M1323">
            <v>47500</v>
          </cell>
          <cell r="N1323">
            <v>45300</v>
          </cell>
          <cell r="O1323">
            <v>43400</v>
          </cell>
          <cell r="P1323">
            <v>42100</v>
          </cell>
          <cell r="Q1323">
            <v>42500</v>
          </cell>
          <cell r="R1323">
            <v>43000</v>
          </cell>
          <cell r="S1323">
            <v>44800</v>
          </cell>
          <cell r="T1323">
            <v>46300</v>
          </cell>
          <cell r="U1323">
            <v>49500</v>
          </cell>
          <cell r="V1323">
            <v>48500</v>
          </cell>
          <cell r="W1323">
            <v>51800</v>
          </cell>
        </row>
        <row r="1324">
          <cell r="A1324">
            <v>45590</v>
          </cell>
          <cell r="B1324">
            <v>45600</v>
          </cell>
          <cell r="C1324">
            <v>47000</v>
          </cell>
          <cell r="D1324">
            <v>46800</v>
          </cell>
          <cell r="E1324">
            <v>42800</v>
          </cell>
          <cell r="F1324">
            <v>47600</v>
          </cell>
          <cell r="G1324" t="str">
            <v>-</v>
          </cell>
          <cell r="H1324">
            <v>44500</v>
          </cell>
          <cell r="I1324">
            <v>45000</v>
          </cell>
          <cell r="J1324">
            <v>47300</v>
          </cell>
          <cell r="K1324" t="str">
            <v>-</v>
          </cell>
          <cell r="L1324">
            <v>47500</v>
          </cell>
          <cell r="M1324">
            <v>47200</v>
          </cell>
          <cell r="N1324">
            <v>45500</v>
          </cell>
          <cell r="O1324">
            <v>43400</v>
          </cell>
          <cell r="P1324">
            <v>42600</v>
          </cell>
          <cell r="Q1324">
            <v>43000</v>
          </cell>
          <cell r="R1324">
            <v>42800</v>
          </cell>
          <cell r="S1324">
            <v>44900</v>
          </cell>
          <cell r="T1324">
            <v>46600</v>
          </cell>
          <cell r="U1324">
            <v>49500</v>
          </cell>
          <cell r="V1324">
            <v>48200</v>
          </cell>
          <cell r="W1324">
            <v>51500</v>
          </cell>
        </row>
        <row r="1325">
          <cell r="A1325">
            <v>45591</v>
          </cell>
          <cell r="B1325">
            <v>45600</v>
          </cell>
          <cell r="C1325">
            <v>47000</v>
          </cell>
          <cell r="D1325">
            <v>46400</v>
          </cell>
          <cell r="E1325">
            <v>42600</v>
          </cell>
          <cell r="F1325">
            <v>47600</v>
          </cell>
          <cell r="G1325" t="str">
            <v>-</v>
          </cell>
          <cell r="H1325">
            <v>44500</v>
          </cell>
          <cell r="I1325">
            <v>44700</v>
          </cell>
          <cell r="J1325">
            <v>47300</v>
          </cell>
          <cell r="K1325" t="str">
            <v>-</v>
          </cell>
          <cell r="L1325">
            <v>47200</v>
          </cell>
          <cell r="M1325">
            <v>47200</v>
          </cell>
          <cell r="N1325">
            <v>45300</v>
          </cell>
          <cell r="O1325">
            <v>43200</v>
          </cell>
          <cell r="P1325">
            <v>42100</v>
          </cell>
          <cell r="Q1325">
            <v>42800</v>
          </cell>
          <cell r="R1325">
            <v>42700</v>
          </cell>
          <cell r="S1325">
            <v>44700</v>
          </cell>
          <cell r="T1325">
            <v>46500</v>
          </cell>
          <cell r="U1325">
            <v>49500</v>
          </cell>
          <cell r="V1325">
            <v>48200</v>
          </cell>
          <cell r="W1325">
            <v>51500</v>
          </cell>
        </row>
        <row r="1326">
          <cell r="A1326">
            <v>45592</v>
          </cell>
          <cell r="B1326" t="str">
            <v>H</v>
          </cell>
          <cell r="C1326" t="str">
            <v>H</v>
          </cell>
          <cell r="D1326" t="str">
            <v>H</v>
          </cell>
          <cell r="E1326" t="str">
            <v>H</v>
          </cell>
          <cell r="F1326" t="str">
            <v>H</v>
          </cell>
          <cell r="G1326" t="str">
            <v>H</v>
          </cell>
          <cell r="H1326" t="str">
            <v>H</v>
          </cell>
          <cell r="I1326" t="str">
            <v>H</v>
          </cell>
          <cell r="J1326" t="str">
            <v>H</v>
          </cell>
          <cell r="K1326" t="str">
            <v>H</v>
          </cell>
          <cell r="L1326" t="str">
            <v>H</v>
          </cell>
          <cell r="M1326" t="str">
            <v>H</v>
          </cell>
          <cell r="N1326" t="str">
            <v>H</v>
          </cell>
          <cell r="O1326" t="str">
            <v>H</v>
          </cell>
          <cell r="P1326" t="str">
            <v>H</v>
          </cell>
          <cell r="Q1326" t="str">
            <v>H</v>
          </cell>
          <cell r="R1326" t="str">
            <v>H</v>
          </cell>
          <cell r="S1326" t="str">
            <v>H</v>
          </cell>
          <cell r="T1326" t="str">
            <v>H</v>
          </cell>
          <cell r="U1326" t="str">
            <v>H</v>
          </cell>
          <cell r="V1326" t="str">
            <v>H</v>
          </cell>
          <cell r="W1326" t="str">
            <v>H</v>
          </cell>
        </row>
        <row r="1327">
          <cell r="A1327">
            <v>45593</v>
          </cell>
          <cell r="B1327">
            <v>45500</v>
          </cell>
          <cell r="C1327">
            <v>47000</v>
          </cell>
          <cell r="D1327">
            <v>46000</v>
          </cell>
          <cell r="E1327">
            <v>42200</v>
          </cell>
          <cell r="F1327">
            <v>47600</v>
          </cell>
          <cell r="G1327" t="str">
            <v>-</v>
          </cell>
          <cell r="H1327">
            <v>44500</v>
          </cell>
          <cell r="I1327">
            <v>44600</v>
          </cell>
          <cell r="J1327">
            <v>47300</v>
          </cell>
          <cell r="K1327" t="str">
            <v>-</v>
          </cell>
          <cell r="L1327">
            <v>46900</v>
          </cell>
          <cell r="M1327">
            <v>47200</v>
          </cell>
          <cell r="N1327">
            <v>45000</v>
          </cell>
          <cell r="O1327">
            <v>43000</v>
          </cell>
          <cell r="P1327">
            <v>42200</v>
          </cell>
          <cell r="Q1327">
            <v>42700</v>
          </cell>
          <cell r="R1327">
            <v>42500</v>
          </cell>
          <cell r="S1327">
            <v>44300</v>
          </cell>
          <cell r="T1327">
            <v>46500</v>
          </cell>
          <cell r="U1327">
            <v>49000</v>
          </cell>
          <cell r="V1327">
            <v>47800</v>
          </cell>
          <cell r="W1327">
            <v>50700</v>
          </cell>
        </row>
        <row r="1328">
          <cell r="A1328">
            <v>45594</v>
          </cell>
          <cell r="B1328">
            <v>45500</v>
          </cell>
          <cell r="C1328">
            <v>47000</v>
          </cell>
          <cell r="D1328">
            <v>46000</v>
          </cell>
          <cell r="E1328">
            <v>42000</v>
          </cell>
          <cell r="F1328">
            <v>47600</v>
          </cell>
          <cell r="G1328" t="str">
            <v>-</v>
          </cell>
          <cell r="H1328">
            <v>44500</v>
          </cell>
          <cell r="I1328">
            <v>44500</v>
          </cell>
          <cell r="J1328">
            <v>47300</v>
          </cell>
          <cell r="K1328" t="str">
            <v>-</v>
          </cell>
          <cell r="L1328">
            <v>46700</v>
          </cell>
          <cell r="M1328">
            <v>47300</v>
          </cell>
          <cell r="N1328">
            <v>44700</v>
          </cell>
          <cell r="O1328">
            <v>42900</v>
          </cell>
          <cell r="P1328">
            <v>41800</v>
          </cell>
          <cell r="Q1328">
            <v>42500</v>
          </cell>
          <cell r="R1328">
            <v>42400</v>
          </cell>
          <cell r="S1328">
            <v>44100</v>
          </cell>
          <cell r="T1328">
            <v>45500</v>
          </cell>
          <cell r="U1328">
            <v>48500</v>
          </cell>
          <cell r="V1328">
            <v>47800</v>
          </cell>
          <cell r="W1328">
            <v>50700</v>
          </cell>
        </row>
        <row r="1329">
          <cell r="A1329">
            <v>45595</v>
          </cell>
          <cell r="B1329">
            <v>45500</v>
          </cell>
          <cell r="C1329">
            <v>47000</v>
          </cell>
          <cell r="D1329">
            <v>45800</v>
          </cell>
          <cell r="E1329">
            <v>41800</v>
          </cell>
          <cell r="F1329">
            <v>47500</v>
          </cell>
          <cell r="G1329" t="str">
            <v>-</v>
          </cell>
          <cell r="H1329">
            <v>44500</v>
          </cell>
          <cell r="I1329">
            <v>44400</v>
          </cell>
          <cell r="J1329">
            <v>47200</v>
          </cell>
          <cell r="K1329" t="str">
            <v>-</v>
          </cell>
          <cell r="L1329">
            <v>46500</v>
          </cell>
          <cell r="M1329">
            <v>47300</v>
          </cell>
          <cell r="N1329">
            <v>44500</v>
          </cell>
          <cell r="O1329">
            <v>42900</v>
          </cell>
          <cell r="P1329">
            <v>41800</v>
          </cell>
          <cell r="Q1329">
            <v>42500</v>
          </cell>
          <cell r="R1329">
            <v>42200</v>
          </cell>
          <cell r="S1329">
            <v>44000</v>
          </cell>
          <cell r="T1329">
            <v>45500</v>
          </cell>
          <cell r="U1329">
            <v>48500</v>
          </cell>
          <cell r="V1329">
            <v>47800</v>
          </cell>
          <cell r="W1329">
            <v>50700</v>
          </cell>
        </row>
        <row r="1330">
          <cell r="A1330">
            <v>45596</v>
          </cell>
          <cell r="B1330" t="str">
            <v>H</v>
          </cell>
          <cell r="C1330" t="str">
            <v>H</v>
          </cell>
          <cell r="D1330" t="str">
            <v>H</v>
          </cell>
          <cell r="E1330" t="str">
            <v>H</v>
          </cell>
          <cell r="F1330" t="str">
            <v>H</v>
          </cell>
          <cell r="G1330" t="str">
            <v>H</v>
          </cell>
          <cell r="H1330" t="str">
            <v>H</v>
          </cell>
          <cell r="I1330" t="str">
            <v>H</v>
          </cell>
          <cell r="J1330" t="str">
            <v>H</v>
          </cell>
          <cell r="K1330" t="str">
            <v>H</v>
          </cell>
          <cell r="L1330" t="str">
            <v>H</v>
          </cell>
          <cell r="M1330" t="str">
            <v>H</v>
          </cell>
          <cell r="N1330" t="str">
            <v>H</v>
          </cell>
          <cell r="O1330" t="str">
            <v>H</v>
          </cell>
          <cell r="P1330" t="str">
            <v>H</v>
          </cell>
          <cell r="Q1330" t="str">
            <v>H</v>
          </cell>
          <cell r="R1330" t="str">
            <v>H</v>
          </cell>
          <cell r="S1330" t="str">
            <v>H</v>
          </cell>
          <cell r="T1330" t="str">
            <v>H</v>
          </cell>
          <cell r="U1330" t="str">
            <v>H</v>
          </cell>
          <cell r="V1330" t="str">
            <v>H</v>
          </cell>
          <cell r="W1330" t="str">
            <v>H</v>
          </cell>
        </row>
        <row r="1331">
          <cell r="A1331">
            <v>45597</v>
          </cell>
          <cell r="B1331" t="str">
            <v>H</v>
          </cell>
          <cell r="C1331" t="str">
            <v>H</v>
          </cell>
          <cell r="D1331" t="str">
            <v>H</v>
          </cell>
          <cell r="E1331" t="str">
            <v>H</v>
          </cell>
          <cell r="F1331" t="str">
            <v>H</v>
          </cell>
          <cell r="G1331" t="str">
            <v>H</v>
          </cell>
          <cell r="H1331" t="str">
            <v>H</v>
          </cell>
          <cell r="I1331" t="str">
            <v>H</v>
          </cell>
          <cell r="J1331" t="str">
            <v>H</v>
          </cell>
          <cell r="K1331" t="str">
            <v>H</v>
          </cell>
          <cell r="L1331" t="str">
            <v>H</v>
          </cell>
          <cell r="M1331" t="str">
            <v>H</v>
          </cell>
          <cell r="N1331" t="str">
            <v>H</v>
          </cell>
          <cell r="O1331" t="str">
            <v>H</v>
          </cell>
          <cell r="P1331" t="str">
            <v>H</v>
          </cell>
          <cell r="Q1331" t="str">
            <v>H</v>
          </cell>
          <cell r="R1331" t="str">
            <v>H</v>
          </cell>
          <cell r="S1331" t="str">
            <v>H</v>
          </cell>
          <cell r="T1331" t="str">
            <v>H</v>
          </cell>
          <cell r="U1331" t="str">
            <v>H</v>
          </cell>
          <cell r="V1331" t="str">
            <v>H</v>
          </cell>
          <cell r="W1331" t="str">
            <v>H</v>
          </cell>
        </row>
        <row r="1332">
          <cell r="A1332">
            <v>45598</v>
          </cell>
          <cell r="B1332" t="str">
            <v>-</v>
          </cell>
          <cell r="C1332">
            <v>47000</v>
          </cell>
          <cell r="D1332">
            <v>45700</v>
          </cell>
          <cell r="E1332" t="str">
            <v>-</v>
          </cell>
          <cell r="F1332">
            <v>47200</v>
          </cell>
          <cell r="G1332" t="str">
            <v>-</v>
          </cell>
          <cell r="H1332">
            <v>44500</v>
          </cell>
          <cell r="I1332" t="str">
            <v>-</v>
          </cell>
          <cell r="J1332">
            <v>47200</v>
          </cell>
          <cell r="K1332" t="str">
            <v>-</v>
          </cell>
          <cell r="L1332" t="str">
            <v>-</v>
          </cell>
          <cell r="M1332">
            <v>47300</v>
          </cell>
          <cell r="N1332">
            <v>44400</v>
          </cell>
          <cell r="O1332">
            <v>42900</v>
          </cell>
          <cell r="P1332">
            <v>41800</v>
          </cell>
          <cell r="Q1332" t="str">
            <v>-</v>
          </cell>
          <cell r="R1332">
            <v>42200</v>
          </cell>
          <cell r="S1332" t="str">
            <v>-</v>
          </cell>
          <cell r="T1332" t="str">
            <v>-</v>
          </cell>
          <cell r="U1332">
            <v>48500</v>
          </cell>
          <cell r="V1332">
            <v>47800</v>
          </cell>
          <cell r="W1332">
            <v>50700</v>
          </cell>
        </row>
        <row r="1333">
          <cell r="A1333">
            <v>45599</v>
          </cell>
          <cell r="B1333" t="str">
            <v>H</v>
          </cell>
          <cell r="C1333" t="str">
            <v>H</v>
          </cell>
          <cell r="D1333" t="str">
            <v>H</v>
          </cell>
          <cell r="E1333" t="str">
            <v>H</v>
          </cell>
          <cell r="F1333" t="str">
            <v>H</v>
          </cell>
          <cell r="G1333" t="str">
            <v>H</v>
          </cell>
          <cell r="H1333" t="str">
            <v>H</v>
          </cell>
          <cell r="I1333" t="str">
            <v>H</v>
          </cell>
          <cell r="J1333" t="str">
            <v>H</v>
          </cell>
          <cell r="K1333" t="str">
            <v>H</v>
          </cell>
          <cell r="L1333" t="str">
            <v>H</v>
          </cell>
          <cell r="M1333" t="str">
            <v>H</v>
          </cell>
          <cell r="N1333" t="str">
            <v>H</v>
          </cell>
          <cell r="O1333" t="str">
            <v>H</v>
          </cell>
          <cell r="P1333" t="str">
            <v>H</v>
          </cell>
          <cell r="Q1333" t="str">
            <v>H</v>
          </cell>
          <cell r="R1333" t="str">
            <v>H</v>
          </cell>
          <cell r="S1333" t="str">
            <v>H</v>
          </cell>
          <cell r="T1333" t="str">
            <v>H</v>
          </cell>
          <cell r="U1333" t="str">
            <v>H</v>
          </cell>
          <cell r="V1333" t="str">
            <v>H</v>
          </cell>
          <cell r="W1333" t="str">
            <v>H</v>
          </cell>
        </row>
        <row r="1334">
          <cell r="A1334">
            <v>45600</v>
          </cell>
          <cell r="B1334">
            <v>45500</v>
          </cell>
          <cell r="C1334">
            <v>47000</v>
          </cell>
          <cell r="D1334">
            <v>45500</v>
          </cell>
          <cell r="E1334">
            <v>41400</v>
          </cell>
          <cell r="F1334">
            <v>47200</v>
          </cell>
          <cell r="G1334" t="str">
            <v>-</v>
          </cell>
          <cell r="H1334">
            <v>44500</v>
          </cell>
          <cell r="I1334">
            <v>44300</v>
          </cell>
          <cell r="J1334">
            <v>46800</v>
          </cell>
          <cell r="K1334" t="str">
            <v>-</v>
          </cell>
          <cell r="L1334">
            <v>46300</v>
          </cell>
          <cell r="M1334">
            <v>47100</v>
          </cell>
          <cell r="N1334">
            <v>44400</v>
          </cell>
          <cell r="O1334">
            <v>42700</v>
          </cell>
          <cell r="P1334">
            <v>41500</v>
          </cell>
          <cell r="Q1334">
            <v>42300</v>
          </cell>
          <cell r="R1334">
            <v>41700</v>
          </cell>
          <cell r="S1334">
            <v>43500</v>
          </cell>
          <cell r="T1334">
            <v>45700</v>
          </cell>
          <cell r="U1334">
            <v>48500</v>
          </cell>
          <cell r="V1334">
            <v>47300</v>
          </cell>
          <cell r="W1334">
            <v>50700</v>
          </cell>
        </row>
        <row r="1335">
          <cell r="A1335">
            <v>45601</v>
          </cell>
          <cell r="B1335">
            <v>45500</v>
          </cell>
          <cell r="C1335">
            <v>47000</v>
          </cell>
          <cell r="D1335">
            <v>45700</v>
          </cell>
          <cell r="E1335">
            <v>42000</v>
          </cell>
          <cell r="F1335">
            <v>47200</v>
          </cell>
          <cell r="G1335" t="str">
            <v>-</v>
          </cell>
          <cell r="H1335">
            <v>44500</v>
          </cell>
          <cell r="I1335">
            <v>44300</v>
          </cell>
          <cell r="J1335">
            <v>46900</v>
          </cell>
          <cell r="K1335" t="str">
            <v>-</v>
          </cell>
          <cell r="L1335">
            <v>46300</v>
          </cell>
          <cell r="M1335">
            <v>47200</v>
          </cell>
          <cell r="N1335">
            <v>44800</v>
          </cell>
          <cell r="O1335">
            <v>42700</v>
          </cell>
          <cell r="P1335">
            <v>41900</v>
          </cell>
          <cell r="Q1335">
            <v>42600</v>
          </cell>
          <cell r="R1335">
            <v>41800</v>
          </cell>
          <cell r="S1335">
            <v>44100</v>
          </cell>
          <cell r="T1335">
            <v>46000</v>
          </cell>
          <cell r="U1335">
            <v>48500</v>
          </cell>
          <cell r="V1335">
            <v>47500</v>
          </cell>
          <cell r="W1335">
            <v>50900</v>
          </cell>
        </row>
        <row r="1336">
          <cell r="A1336">
            <v>45602</v>
          </cell>
          <cell r="B1336">
            <v>46000</v>
          </cell>
          <cell r="C1336">
            <v>47000</v>
          </cell>
          <cell r="D1336">
            <v>46000</v>
          </cell>
          <cell r="E1336">
            <v>42100</v>
          </cell>
          <cell r="F1336">
            <v>47400</v>
          </cell>
          <cell r="G1336" t="str">
            <v>-</v>
          </cell>
          <cell r="H1336">
            <v>45000</v>
          </cell>
          <cell r="I1336">
            <v>44600</v>
          </cell>
          <cell r="J1336">
            <v>47100</v>
          </cell>
          <cell r="K1336" t="str">
            <v>-</v>
          </cell>
          <cell r="L1336">
            <v>46600</v>
          </cell>
          <cell r="M1336">
            <v>47300</v>
          </cell>
          <cell r="N1336">
            <v>45300</v>
          </cell>
          <cell r="O1336">
            <v>42700</v>
          </cell>
          <cell r="P1336">
            <v>42500</v>
          </cell>
          <cell r="Q1336">
            <v>43100</v>
          </cell>
          <cell r="R1336">
            <v>41800</v>
          </cell>
          <cell r="S1336">
            <v>44200</v>
          </cell>
          <cell r="T1336">
            <v>46300</v>
          </cell>
          <cell r="U1336">
            <v>48500</v>
          </cell>
          <cell r="V1336">
            <v>47700</v>
          </cell>
          <cell r="W1336">
            <v>50900</v>
          </cell>
        </row>
        <row r="1337">
          <cell r="A1337">
            <v>45603</v>
          </cell>
          <cell r="B1337">
            <v>46200</v>
          </cell>
          <cell r="C1337">
            <v>47200</v>
          </cell>
          <cell r="D1337">
            <v>46200</v>
          </cell>
          <cell r="E1337">
            <v>42400</v>
          </cell>
          <cell r="F1337">
            <v>47400</v>
          </cell>
          <cell r="G1337" t="str">
            <v>-</v>
          </cell>
          <cell r="H1337">
            <v>45000</v>
          </cell>
          <cell r="I1337">
            <v>44800</v>
          </cell>
          <cell r="J1337">
            <v>47100</v>
          </cell>
          <cell r="K1337" t="str">
            <v>-</v>
          </cell>
          <cell r="L1337">
            <v>46900</v>
          </cell>
          <cell r="M1337">
            <v>47300</v>
          </cell>
          <cell r="N1337">
            <v>45500</v>
          </cell>
          <cell r="O1337" t="str">
            <v>-</v>
          </cell>
          <cell r="P1337">
            <v>42400</v>
          </cell>
          <cell r="Q1337">
            <v>43100</v>
          </cell>
          <cell r="R1337">
            <v>42300</v>
          </cell>
          <cell r="S1337">
            <v>44500</v>
          </cell>
          <cell r="T1337">
            <v>46300</v>
          </cell>
          <cell r="U1337">
            <v>48500</v>
          </cell>
          <cell r="V1337">
            <v>47700</v>
          </cell>
          <cell r="W1337">
            <v>50900</v>
          </cell>
        </row>
        <row r="1338">
          <cell r="A1338">
            <v>45604</v>
          </cell>
          <cell r="B1338">
            <v>46500</v>
          </cell>
          <cell r="C1338">
            <v>47500</v>
          </cell>
          <cell r="D1338">
            <v>46900</v>
          </cell>
          <cell r="E1338">
            <v>42800</v>
          </cell>
          <cell r="F1338">
            <v>48000</v>
          </cell>
          <cell r="G1338" t="str">
            <v>-</v>
          </cell>
          <cell r="H1338">
            <v>45500</v>
          </cell>
          <cell r="I1338">
            <v>45700</v>
          </cell>
          <cell r="J1338">
            <v>47700</v>
          </cell>
          <cell r="K1338" t="str">
            <v>-</v>
          </cell>
          <cell r="L1338">
            <v>47500</v>
          </cell>
          <cell r="M1338">
            <v>47600</v>
          </cell>
          <cell r="N1338">
            <v>45900</v>
          </cell>
          <cell r="O1338" t="str">
            <v>-</v>
          </cell>
          <cell r="P1338">
            <v>43000</v>
          </cell>
          <cell r="Q1338">
            <v>44000</v>
          </cell>
          <cell r="R1338">
            <v>42700</v>
          </cell>
          <cell r="S1338">
            <v>44900</v>
          </cell>
          <cell r="T1338">
            <v>47000</v>
          </cell>
          <cell r="U1338">
            <v>48500</v>
          </cell>
          <cell r="V1338">
            <v>48000</v>
          </cell>
          <cell r="W1338">
            <v>50900</v>
          </cell>
        </row>
        <row r="1339">
          <cell r="A1339">
            <v>45605</v>
          </cell>
          <cell r="B1339">
            <v>46500</v>
          </cell>
          <cell r="C1339">
            <v>47500</v>
          </cell>
          <cell r="D1339">
            <v>46900</v>
          </cell>
          <cell r="E1339">
            <v>43000</v>
          </cell>
          <cell r="F1339">
            <v>48000</v>
          </cell>
          <cell r="G1339" t="str">
            <v>-</v>
          </cell>
          <cell r="H1339">
            <v>45500</v>
          </cell>
          <cell r="I1339">
            <v>45500</v>
          </cell>
          <cell r="J1339">
            <v>47700</v>
          </cell>
          <cell r="K1339" t="str">
            <v>-</v>
          </cell>
          <cell r="L1339">
            <v>47500</v>
          </cell>
          <cell r="M1339">
            <v>48200</v>
          </cell>
          <cell r="N1339">
            <v>45800</v>
          </cell>
          <cell r="O1339">
            <v>43200</v>
          </cell>
          <cell r="P1339">
            <v>43000</v>
          </cell>
          <cell r="Q1339">
            <v>43800</v>
          </cell>
          <cell r="R1339">
            <v>42600</v>
          </cell>
          <cell r="S1339">
            <v>45100</v>
          </cell>
          <cell r="T1339">
            <v>47000</v>
          </cell>
          <cell r="U1339">
            <v>48500</v>
          </cell>
          <cell r="V1339">
            <v>48200</v>
          </cell>
          <cell r="W1339">
            <v>50900</v>
          </cell>
        </row>
        <row r="1340">
          <cell r="A1340">
            <v>45606</v>
          </cell>
          <cell r="B1340" t="str">
            <v>H</v>
          </cell>
          <cell r="C1340" t="str">
            <v>H</v>
          </cell>
          <cell r="D1340" t="str">
            <v>H</v>
          </cell>
          <cell r="E1340" t="str">
            <v>H</v>
          </cell>
          <cell r="F1340" t="str">
            <v>H</v>
          </cell>
          <cell r="G1340" t="str">
            <v>H</v>
          </cell>
          <cell r="H1340" t="str">
            <v>H</v>
          </cell>
          <cell r="I1340" t="str">
            <v>H</v>
          </cell>
          <cell r="J1340" t="str">
            <v>H</v>
          </cell>
          <cell r="K1340" t="str">
            <v>H</v>
          </cell>
          <cell r="L1340" t="str">
            <v>H</v>
          </cell>
          <cell r="M1340" t="str">
            <v>H</v>
          </cell>
          <cell r="N1340" t="str">
            <v>H</v>
          </cell>
          <cell r="O1340" t="str">
            <v>H</v>
          </cell>
          <cell r="P1340" t="str">
            <v>H</v>
          </cell>
          <cell r="Q1340" t="str">
            <v>H</v>
          </cell>
          <cell r="R1340" t="str">
            <v>H</v>
          </cell>
          <cell r="S1340" t="str">
            <v>H</v>
          </cell>
          <cell r="T1340" t="str">
            <v>H</v>
          </cell>
          <cell r="U1340" t="str">
            <v>H</v>
          </cell>
          <cell r="V1340" t="str">
            <v>H</v>
          </cell>
          <cell r="W1340" t="str">
            <v>H</v>
          </cell>
        </row>
        <row r="1341">
          <cell r="A1341">
            <v>45607</v>
          </cell>
          <cell r="B1341">
            <v>46700</v>
          </cell>
          <cell r="C1341">
            <v>47500</v>
          </cell>
          <cell r="D1341">
            <v>47400</v>
          </cell>
          <cell r="E1341">
            <v>43200</v>
          </cell>
          <cell r="F1341">
            <v>48000</v>
          </cell>
          <cell r="G1341" t="str">
            <v>-</v>
          </cell>
          <cell r="H1341">
            <v>45500</v>
          </cell>
          <cell r="I1341">
            <v>45600</v>
          </cell>
          <cell r="J1341">
            <v>47400</v>
          </cell>
          <cell r="K1341" t="str">
            <v>-</v>
          </cell>
          <cell r="L1341">
            <v>47600</v>
          </cell>
          <cell r="M1341">
            <v>48000</v>
          </cell>
          <cell r="N1341">
            <v>46000</v>
          </cell>
          <cell r="O1341">
            <v>42500</v>
          </cell>
          <cell r="P1341">
            <v>43000</v>
          </cell>
          <cell r="Q1341">
            <v>43800</v>
          </cell>
          <cell r="R1341">
            <v>43000</v>
          </cell>
          <cell r="S1341">
            <v>45300</v>
          </cell>
          <cell r="T1341">
            <v>47000</v>
          </cell>
          <cell r="U1341">
            <v>48500</v>
          </cell>
          <cell r="V1341">
            <v>48200</v>
          </cell>
          <cell r="W1341">
            <v>50900</v>
          </cell>
        </row>
        <row r="1342">
          <cell r="A1342">
            <v>45608</v>
          </cell>
          <cell r="B1342">
            <v>46500</v>
          </cell>
          <cell r="C1342">
            <v>47500</v>
          </cell>
          <cell r="D1342">
            <v>47200</v>
          </cell>
          <cell r="E1342">
            <v>43000</v>
          </cell>
          <cell r="F1342">
            <v>47900</v>
          </cell>
          <cell r="G1342" t="str">
            <v>-</v>
          </cell>
          <cell r="H1342">
            <v>45500</v>
          </cell>
          <cell r="I1342">
            <v>45600</v>
          </cell>
          <cell r="J1342">
            <v>47300</v>
          </cell>
          <cell r="K1342" t="str">
            <v>-</v>
          </cell>
          <cell r="L1342">
            <v>47600</v>
          </cell>
          <cell r="M1342">
            <v>48000</v>
          </cell>
          <cell r="N1342">
            <v>45900</v>
          </cell>
          <cell r="O1342">
            <v>42500</v>
          </cell>
          <cell r="P1342">
            <v>42800</v>
          </cell>
          <cell r="Q1342">
            <v>43600</v>
          </cell>
          <cell r="R1342">
            <v>43000</v>
          </cell>
          <cell r="S1342">
            <v>45300</v>
          </cell>
          <cell r="T1342">
            <v>47000</v>
          </cell>
          <cell r="U1342">
            <v>48500</v>
          </cell>
          <cell r="V1342">
            <v>48200</v>
          </cell>
          <cell r="W1342">
            <v>50900</v>
          </cell>
        </row>
        <row r="1343">
          <cell r="A1343">
            <v>45609</v>
          </cell>
          <cell r="B1343">
            <v>46500</v>
          </cell>
          <cell r="C1343">
            <v>47300</v>
          </cell>
          <cell r="D1343">
            <v>47000</v>
          </cell>
          <cell r="E1343">
            <v>42500</v>
          </cell>
          <cell r="F1343">
            <v>47900</v>
          </cell>
          <cell r="G1343" t="str">
            <v>-</v>
          </cell>
          <cell r="H1343">
            <v>45500</v>
          </cell>
          <cell r="I1343">
            <v>45300</v>
          </cell>
          <cell r="J1343">
            <v>47100</v>
          </cell>
          <cell r="K1343" t="str">
            <v>-</v>
          </cell>
          <cell r="L1343">
            <v>47500</v>
          </cell>
          <cell r="M1343">
            <v>47900</v>
          </cell>
          <cell r="N1343">
            <v>45400</v>
          </cell>
          <cell r="O1343">
            <v>42000</v>
          </cell>
          <cell r="P1343">
            <v>42300</v>
          </cell>
          <cell r="Q1343">
            <v>43300</v>
          </cell>
          <cell r="R1343">
            <v>42600</v>
          </cell>
          <cell r="S1343">
            <v>45100</v>
          </cell>
          <cell r="T1343">
            <v>46700</v>
          </cell>
          <cell r="U1343">
            <v>48500</v>
          </cell>
          <cell r="V1343">
            <v>48000</v>
          </cell>
          <cell r="W1343">
            <v>50900</v>
          </cell>
        </row>
        <row r="1344">
          <cell r="A1344">
            <v>45610</v>
          </cell>
          <cell r="B1344">
            <v>46300</v>
          </cell>
          <cell r="C1344">
            <v>47000</v>
          </cell>
          <cell r="D1344">
            <v>46700</v>
          </cell>
          <cell r="E1344">
            <v>42200</v>
          </cell>
          <cell r="F1344">
            <v>47700</v>
          </cell>
          <cell r="G1344" t="str">
            <v>-</v>
          </cell>
          <cell r="H1344">
            <v>45000</v>
          </cell>
          <cell r="I1344">
            <v>44900</v>
          </cell>
          <cell r="J1344">
            <v>46900</v>
          </cell>
          <cell r="K1344" t="str">
            <v>-</v>
          </cell>
          <cell r="L1344">
            <v>47200</v>
          </cell>
          <cell r="M1344">
            <v>47800</v>
          </cell>
          <cell r="N1344">
            <v>45200</v>
          </cell>
          <cell r="O1344">
            <v>41600</v>
          </cell>
          <cell r="P1344">
            <v>42000</v>
          </cell>
          <cell r="Q1344">
            <v>42800</v>
          </cell>
          <cell r="R1344">
            <v>42600</v>
          </cell>
          <cell r="S1344">
            <v>44800</v>
          </cell>
          <cell r="T1344">
            <v>46500</v>
          </cell>
          <cell r="U1344">
            <v>48500</v>
          </cell>
          <cell r="V1344">
            <v>47700</v>
          </cell>
          <cell r="W1344">
            <v>50900</v>
          </cell>
        </row>
        <row r="1345">
          <cell r="A1345">
            <v>45611</v>
          </cell>
          <cell r="B1345">
            <v>46000</v>
          </cell>
          <cell r="C1345">
            <v>47000</v>
          </cell>
          <cell r="D1345">
            <v>46300</v>
          </cell>
          <cell r="E1345">
            <v>41700</v>
          </cell>
          <cell r="F1345">
            <v>47700</v>
          </cell>
          <cell r="G1345" t="str">
            <v>-</v>
          </cell>
          <cell r="H1345" t="str">
            <v>-</v>
          </cell>
          <cell r="I1345">
            <v>44600</v>
          </cell>
          <cell r="J1345">
            <v>46800</v>
          </cell>
          <cell r="K1345" t="str">
            <v>-</v>
          </cell>
          <cell r="L1345">
            <v>47000</v>
          </cell>
          <cell r="M1345">
            <v>47800</v>
          </cell>
          <cell r="N1345">
            <v>44800</v>
          </cell>
          <cell r="O1345">
            <v>41600</v>
          </cell>
          <cell r="P1345">
            <v>41500</v>
          </cell>
          <cell r="Q1345">
            <v>42500</v>
          </cell>
          <cell r="R1345">
            <v>42200</v>
          </cell>
          <cell r="S1345">
            <v>44300</v>
          </cell>
          <cell r="T1345">
            <v>46200</v>
          </cell>
          <cell r="U1345">
            <v>48500</v>
          </cell>
          <cell r="V1345">
            <v>47700</v>
          </cell>
          <cell r="W1345">
            <v>50800</v>
          </cell>
        </row>
        <row r="1346">
          <cell r="A1346">
            <v>45612</v>
          </cell>
          <cell r="B1346">
            <v>46000</v>
          </cell>
          <cell r="C1346">
            <v>46500</v>
          </cell>
          <cell r="D1346">
            <v>46000</v>
          </cell>
          <cell r="E1346">
            <v>41500</v>
          </cell>
          <cell r="F1346">
            <v>47300</v>
          </cell>
          <cell r="G1346" t="str">
            <v>-</v>
          </cell>
          <cell r="H1346">
            <v>45000</v>
          </cell>
          <cell r="I1346">
            <v>44400</v>
          </cell>
          <cell r="J1346">
            <v>46500</v>
          </cell>
          <cell r="K1346" t="str">
            <v>-</v>
          </cell>
          <cell r="L1346">
            <v>46700</v>
          </cell>
          <cell r="M1346">
            <v>47500</v>
          </cell>
          <cell r="N1346">
            <v>44500</v>
          </cell>
          <cell r="O1346">
            <v>41600</v>
          </cell>
          <cell r="P1346">
            <v>41500</v>
          </cell>
          <cell r="Q1346">
            <v>42300</v>
          </cell>
          <cell r="R1346">
            <v>42200</v>
          </cell>
          <cell r="S1346">
            <v>43600</v>
          </cell>
          <cell r="T1346">
            <v>46000</v>
          </cell>
          <cell r="U1346">
            <v>48500</v>
          </cell>
          <cell r="V1346">
            <v>47500</v>
          </cell>
          <cell r="W1346">
            <v>50700</v>
          </cell>
        </row>
        <row r="1347">
          <cell r="A1347">
            <v>45613</v>
          </cell>
          <cell r="B1347" t="str">
            <v>H</v>
          </cell>
          <cell r="C1347" t="str">
            <v>H</v>
          </cell>
          <cell r="D1347" t="str">
            <v>H</v>
          </cell>
          <cell r="E1347" t="str">
            <v>H</v>
          </cell>
          <cell r="F1347" t="str">
            <v>H</v>
          </cell>
          <cell r="G1347" t="str">
            <v>H</v>
          </cell>
          <cell r="H1347" t="str">
            <v>H</v>
          </cell>
          <cell r="I1347" t="str">
            <v>H</v>
          </cell>
          <cell r="J1347" t="str">
            <v>H</v>
          </cell>
          <cell r="K1347" t="str">
            <v>H</v>
          </cell>
          <cell r="L1347" t="str">
            <v>H</v>
          </cell>
          <cell r="M1347" t="str">
            <v>H</v>
          </cell>
          <cell r="N1347" t="str">
            <v>H</v>
          </cell>
          <cell r="O1347" t="str">
            <v>H</v>
          </cell>
          <cell r="P1347" t="str">
            <v>H</v>
          </cell>
          <cell r="Q1347" t="str">
            <v>H</v>
          </cell>
          <cell r="R1347" t="str">
            <v>H</v>
          </cell>
          <cell r="S1347" t="str">
            <v>H</v>
          </cell>
          <cell r="T1347" t="str">
            <v>H</v>
          </cell>
          <cell r="U1347" t="str">
            <v>H</v>
          </cell>
          <cell r="V1347" t="str">
            <v>H</v>
          </cell>
          <cell r="W1347" t="str">
            <v>H</v>
          </cell>
        </row>
        <row r="1348">
          <cell r="A1348">
            <v>45614</v>
          </cell>
          <cell r="B1348">
            <v>45900</v>
          </cell>
          <cell r="C1348">
            <v>46500</v>
          </cell>
          <cell r="D1348">
            <v>45800</v>
          </cell>
          <cell r="E1348">
            <v>41300</v>
          </cell>
          <cell r="F1348">
            <v>47300</v>
          </cell>
          <cell r="G1348" t="str">
            <v>-</v>
          </cell>
          <cell r="H1348">
            <v>44500</v>
          </cell>
          <cell r="I1348">
            <v>44600</v>
          </cell>
          <cell r="J1348">
            <v>46100</v>
          </cell>
          <cell r="K1348" t="str">
            <v>-</v>
          </cell>
          <cell r="L1348">
            <v>46700</v>
          </cell>
          <cell r="M1348">
            <v>47500</v>
          </cell>
          <cell r="N1348">
            <v>44300</v>
          </cell>
          <cell r="O1348">
            <v>41200</v>
          </cell>
          <cell r="P1348">
            <v>41500</v>
          </cell>
          <cell r="Q1348">
            <v>42300</v>
          </cell>
          <cell r="R1348">
            <v>42000</v>
          </cell>
          <cell r="S1348">
            <v>43400</v>
          </cell>
          <cell r="T1348">
            <v>46000</v>
          </cell>
          <cell r="U1348">
            <v>48500</v>
          </cell>
          <cell r="V1348">
            <v>47200</v>
          </cell>
          <cell r="W1348">
            <v>50200</v>
          </cell>
        </row>
        <row r="1349">
          <cell r="A1349">
            <v>45615</v>
          </cell>
          <cell r="B1349">
            <v>45800</v>
          </cell>
          <cell r="C1349">
            <v>46500</v>
          </cell>
          <cell r="D1349">
            <v>45500</v>
          </cell>
          <cell r="E1349">
            <v>41100</v>
          </cell>
          <cell r="F1349">
            <v>47200</v>
          </cell>
          <cell r="G1349" t="str">
            <v>-</v>
          </cell>
          <cell r="H1349">
            <v>44500</v>
          </cell>
          <cell r="I1349">
            <v>44500</v>
          </cell>
          <cell r="J1349">
            <v>46100</v>
          </cell>
          <cell r="K1349" t="str">
            <v>-</v>
          </cell>
          <cell r="L1349">
            <v>46500</v>
          </cell>
          <cell r="M1349">
            <v>47500</v>
          </cell>
          <cell r="N1349">
            <v>44000</v>
          </cell>
          <cell r="O1349">
            <v>41000</v>
          </cell>
          <cell r="P1349">
            <v>41500</v>
          </cell>
          <cell r="Q1349">
            <v>42200</v>
          </cell>
          <cell r="R1349">
            <v>42000</v>
          </cell>
          <cell r="S1349">
            <v>43200</v>
          </cell>
          <cell r="T1349">
            <v>45800</v>
          </cell>
          <cell r="U1349">
            <v>48000</v>
          </cell>
          <cell r="V1349">
            <v>47200</v>
          </cell>
          <cell r="W1349">
            <v>50200</v>
          </cell>
        </row>
        <row r="1350">
          <cell r="A1350">
            <v>45616</v>
          </cell>
          <cell r="B1350">
            <v>45800</v>
          </cell>
          <cell r="C1350">
            <v>46300</v>
          </cell>
          <cell r="D1350">
            <v>45300</v>
          </cell>
          <cell r="E1350">
            <v>41100</v>
          </cell>
          <cell r="F1350">
            <v>47000</v>
          </cell>
          <cell r="G1350" t="str">
            <v>-</v>
          </cell>
          <cell r="H1350">
            <v>44500</v>
          </cell>
          <cell r="I1350">
            <v>44400</v>
          </cell>
          <cell r="J1350">
            <v>46100</v>
          </cell>
          <cell r="K1350" t="str">
            <v>-</v>
          </cell>
          <cell r="L1350">
            <v>46500</v>
          </cell>
          <cell r="M1350" t="str">
            <v>-</v>
          </cell>
          <cell r="N1350">
            <v>43900</v>
          </cell>
          <cell r="O1350">
            <v>41000</v>
          </cell>
          <cell r="P1350">
            <v>41500</v>
          </cell>
          <cell r="Q1350">
            <v>42200</v>
          </cell>
          <cell r="R1350">
            <v>42000</v>
          </cell>
          <cell r="S1350">
            <v>43600</v>
          </cell>
          <cell r="T1350">
            <v>45500</v>
          </cell>
          <cell r="U1350">
            <v>48000</v>
          </cell>
          <cell r="V1350">
            <v>47000</v>
          </cell>
          <cell r="W1350">
            <v>50200</v>
          </cell>
        </row>
        <row r="1351">
          <cell r="A1351">
            <v>45617</v>
          </cell>
          <cell r="B1351">
            <v>46000</v>
          </cell>
          <cell r="C1351">
            <v>46300</v>
          </cell>
          <cell r="D1351">
            <v>45400</v>
          </cell>
          <cell r="E1351">
            <v>41400</v>
          </cell>
          <cell r="F1351">
            <v>47100</v>
          </cell>
          <cell r="G1351" t="str">
            <v>-</v>
          </cell>
          <cell r="H1351">
            <v>44000</v>
          </cell>
          <cell r="I1351">
            <v>44700</v>
          </cell>
          <cell r="J1351">
            <v>47000</v>
          </cell>
          <cell r="K1351" t="str">
            <v>-</v>
          </cell>
          <cell r="L1351">
            <v>46700</v>
          </cell>
          <cell r="M1351">
            <v>47700</v>
          </cell>
          <cell r="N1351">
            <v>44100</v>
          </cell>
          <cell r="O1351">
            <v>40800</v>
          </cell>
          <cell r="P1351">
            <v>41700</v>
          </cell>
          <cell r="Q1351">
            <v>42500</v>
          </cell>
          <cell r="R1351">
            <v>41700</v>
          </cell>
          <cell r="S1351">
            <v>43500</v>
          </cell>
          <cell r="T1351">
            <v>45600</v>
          </cell>
          <cell r="U1351">
            <v>47500</v>
          </cell>
          <cell r="V1351">
            <v>46900</v>
          </cell>
          <cell r="W1351">
            <v>50200</v>
          </cell>
        </row>
        <row r="1352">
          <cell r="A1352">
            <v>45618</v>
          </cell>
          <cell r="B1352">
            <v>46000</v>
          </cell>
          <cell r="C1352">
            <v>46300</v>
          </cell>
          <cell r="D1352">
            <v>45500</v>
          </cell>
          <cell r="E1352">
            <v>41400</v>
          </cell>
          <cell r="F1352">
            <v>47400</v>
          </cell>
          <cell r="G1352" t="str">
            <v>-</v>
          </cell>
          <cell r="H1352">
            <v>44500</v>
          </cell>
          <cell r="I1352">
            <v>44700</v>
          </cell>
          <cell r="J1352">
            <v>47000</v>
          </cell>
          <cell r="K1352" t="str">
            <v>-</v>
          </cell>
          <cell r="L1352">
            <v>46700</v>
          </cell>
          <cell r="M1352">
            <v>47700</v>
          </cell>
          <cell r="N1352">
            <v>44400</v>
          </cell>
          <cell r="O1352">
            <v>41200</v>
          </cell>
          <cell r="P1352">
            <v>41800</v>
          </cell>
          <cell r="Q1352">
            <v>42500</v>
          </cell>
          <cell r="R1352">
            <v>42000</v>
          </cell>
          <cell r="S1352">
            <v>43500</v>
          </cell>
          <cell r="T1352">
            <v>45600</v>
          </cell>
          <cell r="U1352">
            <v>47000</v>
          </cell>
          <cell r="V1352">
            <v>46900</v>
          </cell>
          <cell r="W1352">
            <v>50200</v>
          </cell>
        </row>
        <row r="1353">
          <cell r="A1353">
            <v>45619</v>
          </cell>
          <cell r="B1353">
            <v>46000</v>
          </cell>
          <cell r="C1353">
            <v>46300</v>
          </cell>
          <cell r="D1353">
            <v>45500</v>
          </cell>
          <cell r="E1353">
            <v>41200</v>
          </cell>
          <cell r="F1353">
            <v>47400</v>
          </cell>
          <cell r="G1353" t="str">
            <v>-</v>
          </cell>
          <cell r="H1353">
            <v>44500</v>
          </cell>
          <cell r="I1353">
            <v>44700</v>
          </cell>
          <cell r="J1353">
            <v>47000</v>
          </cell>
          <cell r="K1353" t="str">
            <v>-</v>
          </cell>
          <cell r="L1353">
            <v>46600</v>
          </cell>
          <cell r="M1353">
            <v>47700</v>
          </cell>
          <cell r="N1353">
            <v>44000</v>
          </cell>
          <cell r="O1353">
            <v>41000</v>
          </cell>
          <cell r="P1353">
            <v>41800</v>
          </cell>
          <cell r="Q1353">
            <v>42400</v>
          </cell>
          <cell r="R1353">
            <v>41800</v>
          </cell>
          <cell r="S1353">
            <v>43300</v>
          </cell>
          <cell r="T1353">
            <v>45600</v>
          </cell>
          <cell r="U1353">
            <v>46500</v>
          </cell>
          <cell r="V1353">
            <v>47000</v>
          </cell>
          <cell r="W1353">
            <v>50200</v>
          </cell>
        </row>
        <row r="1354">
          <cell r="A1354">
            <v>45620</v>
          </cell>
          <cell r="B1354" t="str">
            <v>H</v>
          </cell>
          <cell r="C1354" t="str">
            <v>H</v>
          </cell>
          <cell r="D1354" t="str">
            <v>H</v>
          </cell>
          <cell r="E1354" t="str">
            <v>H</v>
          </cell>
          <cell r="F1354" t="str">
            <v>H</v>
          </cell>
          <cell r="G1354" t="str">
            <v>H</v>
          </cell>
          <cell r="H1354" t="str">
            <v>H</v>
          </cell>
          <cell r="I1354" t="str">
            <v>H</v>
          </cell>
          <cell r="J1354" t="str">
            <v>H</v>
          </cell>
          <cell r="K1354" t="str">
            <v>H</v>
          </cell>
          <cell r="L1354" t="str">
            <v>H</v>
          </cell>
          <cell r="M1354" t="str">
            <v>H</v>
          </cell>
          <cell r="N1354" t="str">
            <v>H</v>
          </cell>
          <cell r="O1354" t="str">
            <v>H</v>
          </cell>
          <cell r="P1354" t="str">
            <v>H</v>
          </cell>
          <cell r="Q1354" t="str">
            <v>H</v>
          </cell>
          <cell r="R1354" t="str">
            <v>H</v>
          </cell>
          <cell r="S1354" t="str">
            <v>H</v>
          </cell>
          <cell r="T1354" t="str">
            <v>H</v>
          </cell>
          <cell r="U1354" t="str">
            <v>H</v>
          </cell>
          <cell r="V1354" t="str">
            <v>H</v>
          </cell>
          <cell r="W1354" t="str">
            <v>H</v>
          </cell>
        </row>
        <row r="1355">
          <cell r="A1355">
            <v>45621</v>
          </cell>
          <cell r="B1355">
            <v>46000</v>
          </cell>
          <cell r="C1355">
            <v>46300</v>
          </cell>
          <cell r="D1355">
            <v>45000</v>
          </cell>
          <cell r="E1355">
            <v>41000</v>
          </cell>
          <cell r="F1355">
            <v>47400</v>
          </cell>
          <cell r="G1355" t="str">
            <v>-</v>
          </cell>
          <cell r="H1355">
            <v>44000</v>
          </cell>
          <cell r="I1355">
            <v>44000</v>
          </cell>
          <cell r="J1355">
            <v>47000</v>
          </cell>
          <cell r="K1355" t="str">
            <v>-</v>
          </cell>
          <cell r="L1355">
            <v>46500</v>
          </cell>
          <cell r="M1355">
            <v>47600</v>
          </cell>
          <cell r="N1355">
            <v>43500</v>
          </cell>
          <cell r="O1355">
            <v>40900</v>
          </cell>
          <cell r="P1355">
            <v>41500</v>
          </cell>
          <cell r="Q1355">
            <v>42200</v>
          </cell>
          <cell r="R1355">
            <v>41300</v>
          </cell>
          <cell r="S1355">
            <v>43100</v>
          </cell>
          <cell r="T1355">
            <v>45500</v>
          </cell>
          <cell r="U1355">
            <v>46500</v>
          </cell>
          <cell r="V1355">
            <v>47300</v>
          </cell>
          <cell r="W1355">
            <v>50200</v>
          </cell>
        </row>
        <row r="1356">
          <cell r="A1356">
            <v>45622</v>
          </cell>
          <cell r="B1356">
            <v>46000</v>
          </cell>
          <cell r="C1356">
            <v>46000</v>
          </cell>
          <cell r="D1356">
            <v>44800</v>
          </cell>
          <cell r="E1356">
            <v>41000</v>
          </cell>
          <cell r="F1356">
            <v>47300</v>
          </cell>
          <cell r="G1356" t="str">
            <v>-</v>
          </cell>
          <cell r="H1356">
            <v>44000</v>
          </cell>
          <cell r="I1356">
            <v>44200</v>
          </cell>
          <cell r="J1356">
            <v>46800</v>
          </cell>
          <cell r="K1356" t="str">
            <v>-</v>
          </cell>
          <cell r="L1356">
            <v>46400</v>
          </cell>
          <cell r="M1356">
            <v>47400</v>
          </cell>
          <cell r="N1356">
            <v>43200</v>
          </cell>
          <cell r="O1356">
            <v>40900</v>
          </cell>
          <cell r="P1356">
            <v>41300</v>
          </cell>
          <cell r="Q1356">
            <v>42000</v>
          </cell>
          <cell r="R1356">
            <v>41300</v>
          </cell>
          <cell r="S1356">
            <v>43100</v>
          </cell>
          <cell r="T1356">
            <v>45300</v>
          </cell>
          <cell r="U1356">
            <v>45500</v>
          </cell>
          <cell r="V1356">
            <v>47300</v>
          </cell>
          <cell r="W1356">
            <v>50200</v>
          </cell>
        </row>
        <row r="1357">
          <cell r="A1357">
            <v>45623</v>
          </cell>
          <cell r="B1357">
            <v>45800</v>
          </cell>
          <cell r="C1357">
            <v>46000</v>
          </cell>
          <cell r="D1357">
            <v>44800</v>
          </cell>
          <cell r="E1357">
            <v>40800</v>
          </cell>
          <cell r="F1357">
            <v>47300</v>
          </cell>
          <cell r="G1357" t="str">
            <v>-</v>
          </cell>
          <cell r="H1357">
            <v>44000</v>
          </cell>
          <cell r="I1357">
            <v>44000</v>
          </cell>
          <cell r="J1357">
            <v>46700</v>
          </cell>
          <cell r="K1357" t="str">
            <v>-</v>
          </cell>
          <cell r="L1357">
            <v>46200</v>
          </cell>
          <cell r="M1357">
            <v>47400</v>
          </cell>
          <cell r="N1357">
            <v>43300</v>
          </cell>
          <cell r="O1357">
            <v>40900</v>
          </cell>
          <cell r="P1357">
            <v>41000</v>
          </cell>
          <cell r="Q1357">
            <v>41700</v>
          </cell>
          <cell r="R1357">
            <v>41300</v>
          </cell>
          <cell r="S1357">
            <v>42900</v>
          </cell>
          <cell r="T1357">
            <v>45000</v>
          </cell>
          <cell r="U1357">
            <v>45500</v>
          </cell>
          <cell r="V1357">
            <v>47000</v>
          </cell>
          <cell r="W1357">
            <v>50200</v>
          </cell>
        </row>
        <row r="1358">
          <cell r="A1358">
            <v>45624</v>
          </cell>
          <cell r="B1358">
            <v>45800</v>
          </cell>
          <cell r="C1358">
            <v>46000</v>
          </cell>
          <cell r="D1358">
            <v>45000</v>
          </cell>
          <cell r="E1358">
            <v>40900</v>
          </cell>
          <cell r="F1358">
            <v>47000</v>
          </cell>
          <cell r="G1358" t="str">
            <v>-</v>
          </cell>
          <cell r="H1358">
            <v>44000</v>
          </cell>
          <cell r="I1358">
            <v>44000</v>
          </cell>
          <cell r="J1358">
            <v>46300</v>
          </cell>
          <cell r="K1358" t="str">
            <v>-</v>
          </cell>
          <cell r="L1358">
            <v>46300</v>
          </cell>
          <cell r="M1358">
            <v>46900</v>
          </cell>
          <cell r="N1358">
            <v>43600</v>
          </cell>
          <cell r="O1358">
            <v>41100</v>
          </cell>
          <cell r="P1358">
            <v>41200</v>
          </cell>
          <cell r="Q1358">
            <v>41800</v>
          </cell>
          <cell r="R1358">
            <v>41500</v>
          </cell>
          <cell r="S1358">
            <v>43000</v>
          </cell>
          <cell r="T1358">
            <v>45200</v>
          </cell>
          <cell r="U1358">
            <v>45500</v>
          </cell>
          <cell r="V1358">
            <v>47000</v>
          </cell>
          <cell r="W1358">
            <v>50200</v>
          </cell>
        </row>
        <row r="1359">
          <cell r="A1359">
            <v>45625</v>
          </cell>
          <cell r="B1359">
            <v>45500</v>
          </cell>
          <cell r="C1359">
            <v>46000</v>
          </cell>
          <cell r="D1359">
            <v>45000</v>
          </cell>
          <cell r="E1359">
            <v>40700</v>
          </cell>
          <cell r="F1359">
            <v>47000</v>
          </cell>
          <cell r="G1359" t="str">
            <v>-</v>
          </cell>
          <cell r="H1359">
            <v>44000</v>
          </cell>
          <cell r="I1359">
            <v>44000</v>
          </cell>
          <cell r="J1359">
            <v>46300</v>
          </cell>
          <cell r="K1359" t="str">
            <v>-</v>
          </cell>
          <cell r="L1359">
            <v>46300</v>
          </cell>
          <cell r="M1359">
            <v>46600</v>
          </cell>
          <cell r="N1359">
            <v>43400</v>
          </cell>
          <cell r="O1359">
            <v>41100</v>
          </cell>
          <cell r="P1359">
            <v>41000</v>
          </cell>
          <cell r="Q1359">
            <v>41800</v>
          </cell>
          <cell r="R1359">
            <v>41500</v>
          </cell>
          <cell r="S1359">
            <v>42800</v>
          </cell>
          <cell r="T1359">
            <v>45000</v>
          </cell>
          <cell r="U1359">
            <v>45500</v>
          </cell>
          <cell r="V1359">
            <v>46600</v>
          </cell>
          <cell r="W1359">
            <v>49900</v>
          </cell>
        </row>
        <row r="1360">
          <cell r="A1360">
            <v>45626</v>
          </cell>
          <cell r="B1360">
            <v>45500</v>
          </cell>
          <cell r="C1360">
            <v>46000</v>
          </cell>
          <cell r="D1360">
            <v>44800</v>
          </cell>
          <cell r="E1360">
            <v>40600</v>
          </cell>
          <cell r="F1360">
            <v>46900</v>
          </cell>
          <cell r="G1360" t="str">
            <v>-</v>
          </cell>
          <cell r="H1360">
            <v>44000</v>
          </cell>
          <cell r="I1360">
            <v>43800</v>
          </cell>
          <cell r="J1360">
            <v>45800</v>
          </cell>
          <cell r="K1360" t="str">
            <v>-</v>
          </cell>
          <cell r="L1360">
            <v>46100</v>
          </cell>
          <cell r="M1360">
            <v>46500</v>
          </cell>
          <cell r="N1360">
            <v>43200</v>
          </cell>
          <cell r="O1360">
            <v>41100</v>
          </cell>
          <cell r="P1360">
            <v>40800</v>
          </cell>
          <cell r="Q1360">
            <v>41600</v>
          </cell>
          <cell r="R1360">
            <v>41400</v>
          </cell>
          <cell r="S1360">
            <v>42700</v>
          </cell>
          <cell r="T1360">
            <v>44800</v>
          </cell>
          <cell r="U1360">
            <v>45500</v>
          </cell>
          <cell r="V1360">
            <v>46600</v>
          </cell>
          <cell r="W1360">
            <v>50200</v>
          </cell>
        </row>
        <row r="1361">
          <cell r="A1361">
            <v>45627</v>
          </cell>
          <cell r="B1361" t="str">
            <v>H</v>
          </cell>
          <cell r="C1361" t="str">
            <v>H</v>
          </cell>
          <cell r="D1361" t="str">
            <v>H</v>
          </cell>
          <cell r="E1361" t="str">
            <v>H</v>
          </cell>
          <cell r="F1361" t="str">
            <v>H</v>
          </cell>
          <cell r="G1361" t="str">
            <v>H</v>
          </cell>
          <cell r="H1361" t="str">
            <v>H</v>
          </cell>
          <cell r="I1361" t="str">
            <v>H</v>
          </cell>
          <cell r="J1361" t="str">
            <v>H</v>
          </cell>
          <cell r="K1361" t="str">
            <v>H</v>
          </cell>
          <cell r="L1361" t="str">
            <v>H</v>
          </cell>
          <cell r="M1361" t="str">
            <v>H</v>
          </cell>
          <cell r="N1361" t="str">
            <v>H</v>
          </cell>
          <cell r="O1361" t="str">
            <v>H</v>
          </cell>
          <cell r="P1361" t="str">
            <v>H</v>
          </cell>
          <cell r="Q1361" t="str">
            <v>H</v>
          </cell>
          <cell r="R1361" t="str">
            <v>H</v>
          </cell>
          <cell r="S1361" t="str">
            <v>H</v>
          </cell>
          <cell r="T1361" t="str">
            <v>H</v>
          </cell>
          <cell r="U1361" t="str">
            <v>H</v>
          </cell>
          <cell r="V1361" t="str">
            <v>H</v>
          </cell>
          <cell r="W1361" t="str">
            <v>H</v>
          </cell>
        </row>
        <row r="1362">
          <cell r="A1362">
            <v>45628</v>
          </cell>
          <cell r="B1362">
            <v>45400</v>
          </cell>
          <cell r="C1362">
            <v>46000</v>
          </cell>
          <cell r="D1362">
            <v>44400</v>
          </cell>
          <cell r="E1362">
            <v>40200</v>
          </cell>
          <cell r="F1362">
            <v>46400</v>
          </cell>
          <cell r="G1362" t="str">
            <v>-</v>
          </cell>
          <cell r="H1362">
            <v>43500</v>
          </cell>
          <cell r="I1362">
            <v>43400</v>
          </cell>
          <cell r="J1362">
            <v>46000</v>
          </cell>
          <cell r="K1362" t="str">
            <v>-</v>
          </cell>
          <cell r="L1362">
            <v>45800</v>
          </cell>
          <cell r="M1362">
            <v>46500</v>
          </cell>
          <cell r="N1362">
            <v>42800</v>
          </cell>
          <cell r="O1362">
            <v>40800</v>
          </cell>
          <cell r="P1362">
            <v>40800</v>
          </cell>
          <cell r="Q1362">
            <v>41400</v>
          </cell>
          <cell r="R1362">
            <v>41000</v>
          </cell>
          <cell r="S1362">
            <v>42300</v>
          </cell>
          <cell r="T1362">
            <v>44600</v>
          </cell>
          <cell r="U1362">
            <v>45000</v>
          </cell>
          <cell r="V1362">
            <v>46600</v>
          </cell>
          <cell r="W1362">
            <v>49600</v>
          </cell>
        </row>
        <row r="1363">
          <cell r="A1363">
            <v>45629</v>
          </cell>
          <cell r="B1363">
            <v>45700</v>
          </cell>
          <cell r="C1363">
            <v>46000</v>
          </cell>
          <cell r="D1363">
            <v>44600</v>
          </cell>
          <cell r="E1363">
            <v>40500</v>
          </cell>
          <cell r="F1363">
            <v>46500</v>
          </cell>
          <cell r="G1363" t="str">
            <v>-</v>
          </cell>
          <cell r="H1363">
            <v>43700</v>
          </cell>
          <cell r="I1363">
            <v>43800</v>
          </cell>
          <cell r="J1363">
            <v>46500</v>
          </cell>
          <cell r="K1363" t="str">
            <v>-</v>
          </cell>
          <cell r="L1363">
            <v>45800</v>
          </cell>
          <cell r="M1363">
            <v>46500</v>
          </cell>
          <cell r="N1363">
            <v>43400</v>
          </cell>
          <cell r="O1363">
            <v>40800</v>
          </cell>
          <cell r="P1363">
            <v>41200</v>
          </cell>
          <cell r="Q1363">
            <v>41600</v>
          </cell>
          <cell r="R1363">
            <v>41300</v>
          </cell>
          <cell r="S1363">
            <v>42600</v>
          </cell>
          <cell r="T1363">
            <v>44700</v>
          </cell>
          <cell r="U1363">
            <v>45000</v>
          </cell>
          <cell r="V1363">
            <v>46600</v>
          </cell>
          <cell r="W1363">
            <v>49600</v>
          </cell>
        </row>
        <row r="1364">
          <cell r="A1364">
            <v>45630</v>
          </cell>
          <cell r="B1364">
            <v>45800</v>
          </cell>
          <cell r="C1364">
            <v>46000</v>
          </cell>
          <cell r="D1364">
            <v>44600</v>
          </cell>
          <cell r="E1364">
            <v>41000</v>
          </cell>
          <cell r="F1364">
            <v>46600</v>
          </cell>
          <cell r="G1364" t="str">
            <v>-</v>
          </cell>
          <cell r="H1364">
            <v>43700</v>
          </cell>
          <cell r="I1364">
            <v>43800</v>
          </cell>
          <cell r="J1364">
            <v>46800</v>
          </cell>
          <cell r="K1364" t="str">
            <v>-</v>
          </cell>
          <cell r="L1364">
            <v>46100</v>
          </cell>
          <cell r="M1364">
            <v>46600</v>
          </cell>
          <cell r="N1364">
            <v>43700</v>
          </cell>
          <cell r="O1364">
            <v>40800</v>
          </cell>
          <cell r="P1364">
            <v>41500</v>
          </cell>
          <cell r="Q1364">
            <v>42000</v>
          </cell>
          <cell r="R1364">
            <v>42000</v>
          </cell>
          <cell r="S1364">
            <v>43100</v>
          </cell>
          <cell r="T1364">
            <v>44900</v>
          </cell>
          <cell r="U1364">
            <v>45000</v>
          </cell>
          <cell r="V1364">
            <v>46600</v>
          </cell>
          <cell r="W1364">
            <v>49600</v>
          </cell>
        </row>
        <row r="1365">
          <cell r="A1365">
            <v>45631</v>
          </cell>
          <cell r="B1365">
            <v>46400</v>
          </cell>
          <cell r="C1365">
            <v>46200</v>
          </cell>
          <cell r="D1365">
            <v>45700</v>
          </cell>
          <cell r="E1365">
            <v>41400</v>
          </cell>
          <cell r="F1365">
            <v>46700</v>
          </cell>
          <cell r="G1365" t="str">
            <v>-</v>
          </cell>
          <cell r="H1365">
            <v>44000</v>
          </cell>
          <cell r="I1365">
            <v>44200</v>
          </cell>
          <cell r="J1365">
            <v>47000</v>
          </cell>
          <cell r="K1365" t="str">
            <v>-</v>
          </cell>
          <cell r="L1365">
            <v>46500</v>
          </cell>
          <cell r="M1365">
            <v>46700</v>
          </cell>
          <cell r="N1365">
            <v>44400</v>
          </cell>
          <cell r="O1365">
            <v>41300</v>
          </cell>
          <cell r="P1365">
            <v>42200</v>
          </cell>
          <cell r="Q1365">
            <v>42600</v>
          </cell>
          <cell r="R1365">
            <v>42500</v>
          </cell>
          <cell r="S1365">
            <v>43500</v>
          </cell>
          <cell r="T1365">
            <v>45500</v>
          </cell>
          <cell r="U1365">
            <v>45500</v>
          </cell>
          <cell r="V1365">
            <v>46600</v>
          </cell>
          <cell r="W1365">
            <v>49600</v>
          </cell>
        </row>
        <row r="1366">
          <cell r="A1366">
            <v>45632</v>
          </cell>
          <cell r="B1366">
            <v>46500</v>
          </cell>
          <cell r="C1366">
            <v>46200</v>
          </cell>
          <cell r="D1366">
            <v>45700</v>
          </cell>
          <cell r="E1366">
            <v>41900</v>
          </cell>
          <cell r="F1366">
            <v>47100</v>
          </cell>
          <cell r="G1366" t="str">
            <v>-</v>
          </cell>
          <cell r="H1366">
            <v>44000</v>
          </cell>
          <cell r="I1366">
            <v>44600</v>
          </cell>
          <cell r="J1366">
            <v>47100</v>
          </cell>
          <cell r="K1366" t="str">
            <v>-</v>
          </cell>
          <cell r="L1366">
            <v>46700</v>
          </cell>
          <cell r="M1366">
            <v>46700</v>
          </cell>
          <cell r="N1366">
            <v>45000</v>
          </cell>
          <cell r="O1366">
            <v>40900</v>
          </cell>
          <cell r="P1366">
            <v>42000</v>
          </cell>
          <cell r="Q1366">
            <v>42500</v>
          </cell>
          <cell r="R1366">
            <v>42000</v>
          </cell>
          <cell r="S1366">
            <v>44000</v>
          </cell>
          <cell r="T1366">
            <v>45700</v>
          </cell>
          <cell r="U1366">
            <v>45500</v>
          </cell>
          <cell r="V1366">
            <v>46600</v>
          </cell>
          <cell r="W1366">
            <v>49600</v>
          </cell>
        </row>
        <row r="1367">
          <cell r="A1367">
            <v>45633</v>
          </cell>
          <cell r="B1367">
            <v>46700</v>
          </cell>
          <cell r="C1367">
            <v>46000</v>
          </cell>
          <cell r="D1367">
            <v>45500</v>
          </cell>
          <cell r="E1367">
            <v>41700</v>
          </cell>
          <cell r="F1367">
            <v>47100</v>
          </cell>
          <cell r="G1367" t="str">
            <v>-</v>
          </cell>
          <cell r="H1367">
            <v>44000</v>
          </cell>
          <cell r="I1367">
            <v>44200</v>
          </cell>
          <cell r="J1367">
            <v>47100</v>
          </cell>
          <cell r="K1367" t="str">
            <v>-</v>
          </cell>
          <cell r="L1367">
            <v>46700</v>
          </cell>
          <cell r="M1367">
            <v>46500</v>
          </cell>
          <cell r="N1367">
            <v>44600</v>
          </cell>
          <cell r="O1367">
            <v>40700</v>
          </cell>
          <cell r="P1367">
            <v>41800</v>
          </cell>
          <cell r="Q1367">
            <v>42200</v>
          </cell>
          <cell r="R1367">
            <v>41800</v>
          </cell>
          <cell r="S1367">
            <v>43800</v>
          </cell>
          <cell r="T1367">
            <v>45700</v>
          </cell>
          <cell r="U1367">
            <v>45500</v>
          </cell>
          <cell r="V1367">
            <v>46600</v>
          </cell>
          <cell r="W1367">
            <v>49600</v>
          </cell>
        </row>
        <row r="1368">
          <cell r="A1368">
            <v>45634</v>
          </cell>
          <cell r="B1368" t="str">
            <v>H</v>
          </cell>
          <cell r="C1368" t="str">
            <v>H</v>
          </cell>
          <cell r="D1368" t="str">
            <v>H</v>
          </cell>
          <cell r="E1368" t="str">
            <v>H</v>
          </cell>
          <cell r="F1368" t="str">
            <v>H</v>
          </cell>
          <cell r="G1368" t="str">
            <v>H</v>
          </cell>
          <cell r="H1368" t="str">
            <v>H</v>
          </cell>
          <cell r="I1368" t="str">
            <v>H</v>
          </cell>
          <cell r="J1368" t="str">
            <v>H</v>
          </cell>
          <cell r="K1368" t="str">
            <v>H</v>
          </cell>
          <cell r="L1368" t="str">
            <v>H</v>
          </cell>
          <cell r="M1368" t="str">
            <v>H</v>
          </cell>
          <cell r="N1368" t="str">
            <v>H</v>
          </cell>
          <cell r="O1368" t="str">
            <v>H</v>
          </cell>
          <cell r="P1368" t="str">
            <v>H</v>
          </cell>
          <cell r="Q1368" t="str">
            <v>H</v>
          </cell>
          <cell r="R1368" t="str">
            <v>H</v>
          </cell>
          <cell r="S1368" t="str">
            <v>H</v>
          </cell>
          <cell r="T1368" t="str">
            <v>H</v>
          </cell>
          <cell r="U1368" t="str">
            <v>H</v>
          </cell>
          <cell r="V1368" t="str">
            <v>H</v>
          </cell>
          <cell r="W1368" t="str">
            <v>H</v>
          </cell>
        </row>
        <row r="1369">
          <cell r="A1369">
            <v>45635</v>
          </cell>
          <cell r="B1369">
            <v>46500</v>
          </cell>
          <cell r="C1369">
            <v>46000</v>
          </cell>
          <cell r="D1369">
            <v>45600</v>
          </cell>
          <cell r="E1369">
            <v>41400</v>
          </cell>
          <cell r="F1369">
            <v>47100</v>
          </cell>
          <cell r="G1369" t="str">
            <v>-</v>
          </cell>
          <cell r="H1369">
            <v>44000</v>
          </cell>
          <cell r="I1369">
            <v>44400</v>
          </cell>
          <cell r="J1369">
            <v>46900</v>
          </cell>
          <cell r="K1369" t="str">
            <v>-</v>
          </cell>
          <cell r="L1369">
            <v>46500</v>
          </cell>
          <cell r="M1369">
            <v>46500</v>
          </cell>
          <cell r="N1369">
            <v>44500</v>
          </cell>
          <cell r="O1369">
            <v>40700</v>
          </cell>
          <cell r="P1369">
            <v>41500</v>
          </cell>
          <cell r="Q1369">
            <v>42000</v>
          </cell>
          <cell r="R1369">
            <v>41800</v>
          </cell>
          <cell r="S1369">
            <v>43500</v>
          </cell>
          <cell r="T1369">
            <v>45700</v>
          </cell>
          <cell r="U1369">
            <v>45500</v>
          </cell>
          <cell r="V1369">
            <v>46800</v>
          </cell>
          <cell r="W1369">
            <v>49600</v>
          </cell>
        </row>
        <row r="1370">
          <cell r="A1370">
            <v>45636</v>
          </cell>
          <cell r="B1370">
            <v>46500</v>
          </cell>
          <cell r="C1370">
            <v>46000</v>
          </cell>
          <cell r="D1370">
            <v>45300</v>
          </cell>
          <cell r="E1370">
            <v>41000</v>
          </cell>
          <cell r="F1370">
            <v>47000</v>
          </cell>
          <cell r="G1370" t="str">
            <v>-</v>
          </cell>
          <cell r="H1370">
            <v>44000</v>
          </cell>
          <cell r="I1370">
            <v>44200</v>
          </cell>
          <cell r="J1370">
            <v>46800</v>
          </cell>
          <cell r="K1370" t="str">
            <v>-</v>
          </cell>
          <cell r="L1370">
            <v>46400</v>
          </cell>
          <cell r="M1370">
            <v>46300</v>
          </cell>
          <cell r="N1370">
            <v>44100</v>
          </cell>
          <cell r="O1370">
            <v>40500</v>
          </cell>
          <cell r="P1370">
            <v>41100</v>
          </cell>
          <cell r="Q1370">
            <v>41600</v>
          </cell>
          <cell r="R1370">
            <v>41300</v>
          </cell>
          <cell r="S1370">
            <v>43100</v>
          </cell>
          <cell r="T1370">
            <v>45500</v>
          </cell>
          <cell r="U1370">
            <v>45500</v>
          </cell>
          <cell r="V1370">
            <v>46900</v>
          </cell>
          <cell r="W1370">
            <v>49600</v>
          </cell>
        </row>
        <row r="1371">
          <cell r="A1371">
            <v>45637</v>
          </cell>
          <cell r="B1371">
            <v>46500</v>
          </cell>
          <cell r="C1371">
            <v>46000</v>
          </cell>
          <cell r="D1371">
            <v>45000</v>
          </cell>
          <cell r="E1371">
            <v>40800</v>
          </cell>
          <cell r="F1371">
            <v>46800</v>
          </cell>
          <cell r="G1371" t="str">
            <v>-</v>
          </cell>
          <cell r="H1371">
            <v>43500</v>
          </cell>
          <cell r="I1371">
            <v>43800</v>
          </cell>
          <cell r="J1371">
            <v>46500</v>
          </cell>
          <cell r="K1371" t="str">
            <v>-</v>
          </cell>
          <cell r="L1371">
            <v>46200</v>
          </cell>
          <cell r="M1371">
            <v>46100</v>
          </cell>
          <cell r="N1371">
            <v>43600</v>
          </cell>
          <cell r="O1371">
            <v>40300</v>
          </cell>
          <cell r="P1371">
            <v>41000</v>
          </cell>
          <cell r="Q1371">
            <v>41400</v>
          </cell>
          <cell r="R1371">
            <v>41200</v>
          </cell>
          <cell r="S1371">
            <v>42900</v>
          </cell>
          <cell r="T1371">
            <v>45000</v>
          </cell>
          <cell r="U1371">
            <v>45500</v>
          </cell>
          <cell r="V1371">
            <v>46500</v>
          </cell>
          <cell r="W1371">
            <v>49400</v>
          </cell>
        </row>
        <row r="1372">
          <cell r="A1372">
            <v>45638</v>
          </cell>
          <cell r="B1372">
            <v>46500</v>
          </cell>
          <cell r="C1372">
            <v>45800</v>
          </cell>
          <cell r="D1372">
            <v>45200</v>
          </cell>
          <cell r="E1372">
            <v>41000</v>
          </cell>
          <cell r="F1372">
            <v>46800</v>
          </cell>
          <cell r="G1372" t="str">
            <v>-</v>
          </cell>
          <cell r="H1372">
            <v>43500</v>
          </cell>
          <cell r="I1372">
            <v>44200</v>
          </cell>
          <cell r="J1372">
            <v>46800</v>
          </cell>
          <cell r="K1372" t="str">
            <v>-</v>
          </cell>
          <cell r="L1372">
            <v>46300</v>
          </cell>
          <cell r="M1372">
            <v>46300</v>
          </cell>
          <cell r="N1372">
            <v>43800</v>
          </cell>
          <cell r="O1372">
            <v>40500</v>
          </cell>
          <cell r="P1372">
            <v>41100</v>
          </cell>
          <cell r="Q1372">
            <v>41600</v>
          </cell>
          <cell r="R1372">
            <v>41300</v>
          </cell>
          <cell r="S1372">
            <v>43100</v>
          </cell>
          <cell r="T1372">
            <v>45300</v>
          </cell>
          <cell r="U1372">
            <v>45500</v>
          </cell>
          <cell r="V1372">
            <v>46500</v>
          </cell>
          <cell r="W1372">
            <v>49400</v>
          </cell>
        </row>
        <row r="1373">
          <cell r="A1373">
            <v>45639</v>
          </cell>
          <cell r="B1373">
            <v>46500</v>
          </cell>
          <cell r="C1373">
            <v>45800</v>
          </cell>
          <cell r="D1373">
            <v>45000</v>
          </cell>
          <cell r="E1373">
            <v>41000</v>
          </cell>
          <cell r="F1373">
            <v>46800</v>
          </cell>
          <cell r="G1373" t="str">
            <v>-</v>
          </cell>
          <cell r="H1373">
            <v>43500</v>
          </cell>
          <cell r="I1373">
            <v>44000</v>
          </cell>
          <cell r="J1373">
            <v>46800</v>
          </cell>
          <cell r="K1373" t="str">
            <v>-</v>
          </cell>
          <cell r="L1373">
            <v>46300</v>
          </cell>
          <cell r="M1373">
            <v>46700</v>
          </cell>
          <cell r="N1373">
            <v>43700</v>
          </cell>
          <cell r="O1373">
            <v>40350</v>
          </cell>
          <cell r="P1373">
            <v>40900</v>
          </cell>
          <cell r="Q1373">
            <v>41600</v>
          </cell>
          <cell r="R1373">
            <v>41200</v>
          </cell>
          <cell r="S1373">
            <v>43100</v>
          </cell>
          <cell r="T1373">
            <v>45300</v>
          </cell>
          <cell r="U1373">
            <v>45500</v>
          </cell>
          <cell r="V1373">
            <v>46500</v>
          </cell>
          <cell r="W1373">
            <v>49400</v>
          </cell>
        </row>
        <row r="1374">
          <cell r="A1374">
            <v>45640</v>
          </cell>
          <cell r="B1374">
            <v>46500</v>
          </cell>
          <cell r="C1374">
            <v>45800</v>
          </cell>
          <cell r="D1374">
            <v>45200</v>
          </cell>
          <cell r="E1374">
            <v>41200</v>
          </cell>
          <cell r="F1374">
            <v>46600</v>
          </cell>
          <cell r="G1374" t="str">
            <v>-</v>
          </cell>
          <cell r="H1374">
            <v>43500</v>
          </cell>
          <cell r="I1374">
            <v>44200</v>
          </cell>
          <cell r="J1374">
            <v>47000</v>
          </cell>
          <cell r="K1374" t="str">
            <v>-</v>
          </cell>
          <cell r="L1374">
            <v>46500</v>
          </cell>
          <cell r="M1374">
            <v>46700</v>
          </cell>
          <cell r="N1374">
            <v>43800</v>
          </cell>
          <cell r="O1374">
            <v>40500</v>
          </cell>
          <cell r="P1374">
            <v>41200</v>
          </cell>
          <cell r="Q1374">
            <v>41600</v>
          </cell>
          <cell r="R1374">
            <v>41300</v>
          </cell>
          <cell r="S1374">
            <v>43300</v>
          </cell>
          <cell r="T1374">
            <v>45000</v>
          </cell>
          <cell r="U1374">
            <v>45500</v>
          </cell>
          <cell r="V1374">
            <v>46500</v>
          </cell>
          <cell r="W1374">
            <v>49400</v>
          </cell>
        </row>
        <row r="1375">
          <cell r="A1375">
            <v>45641</v>
          </cell>
          <cell r="B1375" t="str">
            <v>H</v>
          </cell>
          <cell r="C1375" t="str">
            <v>H</v>
          </cell>
          <cell r="D1375" t="str">
            <v>H</v>
          </cell>
          <cell r="E1375" t="str">
            <v>H</v>
          </cell>
          <cell r="F1375" t="str">
            <v>H</v>
          </cell>
          <cell r="G1375" t="str">
            <v>H</v>
          </cell>
          <cell r="H1375" t="str">
            <v>H</v>
          </cell>
          <cell r="I1375" t="str">
            <v>H</v>
          </cell>
          <cell r="J1375" t="str">
            <v>H</v>
          </cell>
          <cell r="K1375" t="str">
            <v>H</v>
          </cell>
          <cell r="L1375" t="str">
            <v>H</v>
          </cell>
          <cell r="M1375" t="str">
            <v>H</v>
          </cell>
          <cell r="N1375" t="str">
            <v>H</v>
          </cell>
          <cell r="O1375" t="str">
            <v>H</v>
          </cell>
          <cell r="P1375" t="str">
            <v>H</v>
          </cell>
          <cell r="Q1375" t="str">
            <v>H</v>
          </cell>
          <cell r="R1375" t="str">
            <v>H</v>
          </cell>
          <cell r="S1375" t="str">
            <v>H</v>
          </cell>
          <cell r="T1375" t="str">
            <v>H</v>
          </cell>
          <cell r="U1375" t="str">
            <v>H</v>
          </cell>
          <cell r="V1375" t="str">
            <v>H</v>
          </cell>
          <cell r="W1375" t="str">
            <v>H</v>
          </cell>
        </row>
        <row r="1376">
          <cell r="A1376">
            <v>45642</v>
          </cell>
          <cell r="B1376">
            <v>46800</v>
          </cell>
          <cell r="C1376">
            <v>45800</v>
          </cell>
          <cell r="D1376">
            <v>45200</v>
          </cell>
          <cell r="E1376">
            <v>41400</v>
          </cell>
          <cell r="F1376">
            <v>46800</v>
          </cell>
          <cell r="G1376" t="str">
            <v>-</v>
          </cell>
          <cell r="H1376">
            <v>44000</v>
          </cell>
          <cell r="I1376">
            <v>44400</v>
          </cell>
          <cell r="J1376">
            <v>47200</v>
          </cell>
          <cell r="K1376" t="str">
            <v>-</v>
          </cell>
          <cell r="L1376">
            <v>46800</v>
          </cell>
          <cell r="M1376">
            <v>46900</v>
          </cell>
          <cell r="N1376">
            <v>44400</v>
          </cell>
          <cell r="O1376">
            <v>41000</v>
          </cell>
          <cell r="P1376">
            <v>42200</v>
          </cell>
          <cell r="Q1376">
            <v>42300</v>
          </cell>
          <cell r="R1376">
            <v>41800</v>
          </cell>
          <cell r="S1376">
            <v>43500</v>
          </cell>
          <cell r="T1376">
            <v>45300</v>
          </cell>
          <cell r="U1376">
            <v>46000</v>
          </cell>
          <cell r="V1376">
            <v>46700</v>
          </cell>
          <cell r="W1376">
            <v>49400</v>
          </cell>
        </row>
        <row r="1377">
          <cell r="A1377">
            <v>45643</v>
          </cell>
          <cell r="B1377">
            <v>47000</v>
          </cell>
          <cell r="C1377">
            <v>46300</v>
          </cell>
          <cell r="D1377">
            <v>45200</v>
          </cell>
          <cell r="E1377">
            <v>41200</v>
          </cell>
          <cell r="F1377">
            <v>46800</v>
          </cell>
          <cell r="G1377" t="str">
            <v>-</v>
          </cell>
          <cell r="H1377">
            <v>44500</v>
          </cell>
          <cell r="I1377">
            <v>44400</v>
          </cell>
          <cell r="J1377">
            <v>47200</v>
          </cell>
          <cell r="K1377" t="str">
            <v>-</v>
          </cell>
          <cell r="L1377">
            <v>46700</v>
          </cell>
          <cell r="M1377">
            <v>47100</v>
          </cell>
          <cell r="N1377">
            <v>44200</v>
          </cell>
          <cell r="O1377">
            <v>41000</v>
          </cell>
          <cell r="P1377">
            <v>42100</v>
          </cell>
          <cell r="Q1377">
            <v>42300</v>
          </cell>
          <cell r="R1377">
            <v>41800</v>
          </cell>
          <cell r="S1377">
            <v>43500</v>
          </cell>
          <cell r="T1377">
            <v>45500</v>
          </cell>
          <cell r="U1377">
            <v>46000</v>
          </cell>
          <cell r="V1377">
            <v>46900</v>
          </cell>
          <cell r="W1377">
            <v>49400</v>
          </cell>
        </row>
        <row r="1378">
          <cell r="A1378">
            <v>45644</v>
          </cell>
          <cell r="B1378">
            <v>47400</v>
          </cell>
          <cell r="C1378">
            <v>46300</v>
          </cell>
          <cell r="D1378">
            <v>45800</v>
          </cell>
          <cell r="E1378">
            <v>42000</v>
          </cell>
          <cell r="F1378">
            <v>47100</v>
          </cell>
          <cell r="G1378" t="str">
            <v>-</v>
          </cell>
          <cell r="H1378">
            <v>44500</v>
          </cell>
          <cell r="I1378">
            <v>45000</v>
          </cell>
          <cell r="J1378">
            <v>47300</v>
          </cell>
          <cell r="K1378" t="str">
            <v>-</v>
          </cell>
          <cell r="L1378">
            <v>47100</v>
          </cell>
          <cell r="M1378">
            <v>47300</v>
          </cell>
          <cell r="N1378">
            <v>44700</v>
          </cell>
          <cell r="O1378">
            <v>41300</v>
          </cell>
          <cell r="P1378">
            <v>42200</v>
          </cell>
          <cell r="Q1378">
            <v>42500</v>
          </cell>
          <cell r="R1378">
            <v>42100</v>
          </cell>
          <cell r="S1378">
            <v>44200</v>
          </cell>
          <cell r="T1378">
            <v>45500</v>
          </cell>
          <cell r="U1378">
            <v>46000</v>
          </cell>
          <cell r="V1378">
            <v>47200</v>
          </cell>
          <cell r="W1378">
            <v>49500</v>
          </cell>
        </row>
        <row r="1379">
          <cell r="A1379">
            <v>45645</v>
          </cell>
          <cell r="B1379">
            <v>47400</v>
          </cell>
          <cell r="C1379">
            <v>46300</v>
          </cell>
          <cell r="D1379">
            <v>45800</v>
          </cell>
          <cell r="E1379">
            <v>41800</v>
          </cell>
          <cell r="F1379">
            <v>47400</v>
          </cell>
          <cell r="G1379" t="str">
            <v>-</v>
          </cell>
          <cell r="H1379">
            <v>44800</v>
          </cell>
          <cell r="I1379">
            <v>45000</v>
          </cell>
          <cell r="J1379">
            <v>47500</v>
          </cell>
          <cell r="K1379" t="str">
            <v>-</v>
          </cell>
          <cell r="L1379">
            <v>47000</v>
          </cell>
          <cell r="M1379">
            <v>47300</v>
          </cell>
          <cell r="N1379">
            <v>44700</v>
          </cell>
          <cell r="O1379">
            <v>41500</v>
          </cell>
          <cell r="P1379">
            <v>42000</v>
          </cell>
          <cell r="Q1379">
            <v>42500</v>
          </cell>
          <cell r="R1379">
            <v>42100</v>
          </cell>
          <cell r="S1379">
            <v>43900</v>
          </cell>
          <cell r="T1379">
            <v>45800</v>
          </cell>
          <cell r="U1379">
            <v>46000</v>
          </cell>
          <cell r="V1379">
            <v>47400</v>
          </cell>
          <cell r="W1379">
            <v>49800</v>
          </cell>
        </row>
        <row r="1380">
          <cell r="A1380">
            <v>45646</v>
          </cell>
          <cell r="B1380">
            <v>47400</v>
          </cell>
          <cell r="C1380">
            <v>46300</v>
          </cell>
          <cell r="D1380">
            <v>46000</v>
          </cell>
          <cell r="E1380">
            <v>41800</v>
          </cell>
          <cell r="F1380">
            <v>47500</v>
          </cell>
          <cell r="G1380" t="str">
            <v>-</v>
          </cell>
          <cell r="H1380">
            <v>45000</v>
          </cell>
          <cell r="I1380">
            <v>45000</v>
          </cell>
          <cell r="J1380">
            <v>47500</v>
          </cell>
          <cell r="K1380" t="str">
            <v>-</v>
          </cell>
          <cell r="L1380">
            <v>47200</v>
          </cell>
          <cell r="M1380">
            <v>47300</v>
          </cell>
          <cell r="N1380">
            <v>44500</v>
          </cell>
          <cell r="O1380">
            <v>42000</v>
          </cell>
          <cell r="P1380">
            <v>42000</v>
          </cell>
          <cell r="Q1380">
            <v>42400</v>
          </cell>
          <cell r="R1380">
            <v>42100</v>
          </cell>
          <cell r="S1380">
            <v>43900</v>
          </cell>
          <cell r="T1380">
            <v>45800</v>
          </cell>
          <cell r="U1380">
            <v>46000</v>
          </cell>
          <cell r="V1380">
            <v>47500</v>
          </cell>
          <cell r="W1380">
            <v>50000</v>
          </cell>
        </row>
        <row r="1381">
          <cell r="A1381">
            <v>45647</v>
          </cell>
          <cell r="B1381">
            <v>47400</v>
          </cell>
          <cell r="C1381">
            <v>46200</v>
          </cell>
          <cell r="D1381">
            <v>45800</v>
          </cell>
          <cell r="E1381">
            <v>41800</v>
          </cell>
          <cell r="F1381">
            <v>47500</v>
          </cell>
          <cell r="G1381" t="str">
            <v>-</v>
          </cell>
          <cell r="H1381">
            <v>45000</v>
          </cell>
          <cell r="I1381">
            <v>44800</v>
          </cell>
          <cell r="J1381">
            <v>47500</v>
          </cell>
          <cell r="K1381" t="str">
            <v>-</v>
          </cell>
          <cell r="L1381">
            <v>47100</v>
          </cell>
          <cell r="M1381">
            <v>47300</v>
          </cell>
          <cell r="N1381">
            <v>44600</v>
          </cell>
          <cell r="O1381">
            <v>42200</v>
          </cell>
          <cell r="P1381">
            <v>41800</v>
          </cell>
          <cell r="Q1381">
            <v>42300</v>
          </cell>
          <cell r="R1381">
            <v>42000</v>
          </cell>
          <cell r="S1381">
            <v>43900</v>
          </cell>
          <cell r="T1381">
            <v>45700</v>
          </cell>
          <cell r="U1381">
            <v>46000</v>
          </cell>
          <cell r="V1381">
            <v>47500</v>
          </cell>
          <cell r="W1381">
            <v>50000</v>
          </cell>
        </row>
        <row r="1382">
          <cell r="A1382">
            <v>45648</v>
          </cell>
          <cell r="B1382" t="str">
            <v>H</v>
          </cell>
          <cell r="C1382" t="str">
            <v>H</v>
          </cell>
          <cell r="D1382" t="str">
            <v>H</v>
          </cell>
          <cell r="E1382" t="str">
            <v>H</v>
          </cell>
          <cell r="F1382" t="str">
            <v>H</v>
          </cell>
          <cell r="G1382" t="str">
            <v>H</v>
          </cell>
          <cell r="H1382" t="str">
            <v>H</v>
          </cell>
          <cell r="I1382" t="str">
            <v>H</v>
          </cell>
          <cell r="J1382" t="str">
            <v>H</v>
          </cell>
          <cell r="K1382" t="str">
            <v>H</v>
          </cell>
          <cell r="L1382" t="str">
            <v>H</v>
          </cell>
          <cell r="M1382" t="str">
            <v>H</v>
          </cell>
          <cell r="N1382" t="str">
            <v>H</v>
          </cell>
          <cell r="O1382" t="str">
            <v>H</v>
          </cell>
          <cell r="P1382" t="str">
            <v>H</v>
          </cell>
          <cell r="Q1382" t="str">
            <v>H</v>
          </cell>
          <cell r="R1382" t="str">
            <v>H</v>
          </cell>
          <cell r="S1382" t="str">
            <v>H</v>
          </cell>
          <cell r="T1382" t="str">
            <v>H</v>
          </cell>
          <cell r="U1382" t="str">
            <v>H</v>
          </cell>
          <cell r="V1382" t="str">
            <v>H</v>
          </cell>
          <cell r="W1382" t="str">
            <v>H</v>
          </cell>
        </row>
        <row r="1383">
          <cell r="A1383">
            <v>45649</v>
          </cell>
          <cell r="B1383">
            <v>47700</v>
          </cell>
          <cell r="C1383">
            <v>46000</v>
          </cell>
          <cell r="D1383">
            <v>45600</v>
          </cell>
          <cell r="E1383">
            <v>41900</v>
          </cell>
          <cell r="F1383">
            <v>47300</v>
          </cell>
          <cell r="G1383" t="str">
            <v>-</v>
          </cell>
          <cell r="H1383">
            <v>45000</v>
          </cell>
          <cell r="I1383">
            <v>45100</v>
          </cell>
          <cell r="J1383">
            <v>47500</v>
          </cell>
          <cell r="K1383" t="str">
            <v>-</v>
          </cell>
          <cell r="L1383">
            <v>47100</v>
          </cell>
          <cell r="M1383">
            <v>47300</v>
          </cell>
          <cell r="N1383">
            <v>44800</v>
          </cell>
          <cell r="O1383">
            <v>42600</v>
          </cell>
          <cell r="P1383">
            <v>41800</v>
          </cell>
          <cell r="Q1383">
            <v>42300</v>
          </cell>
          <cell r="R1383">
            <v>41800</v>
          </cell>
          <cell r="S1383">
            <v>44000</v>
          </cell>
          <cell r="T1383">
            <v>45700</v>
          </cell>
          <cell r="U1383">
            <v>46000</v>
          </cell>
          <cell r="V1383">
            <v>47500</v>
          </cell>
          <cell r="W1383">
            <v>50200</v>
          </cell>
        </row>
        <row r="1384">
          <cell r="A1384">
            <v>45650</v>
          </cell>
          <cell r="B1384">
            <v>48000</v>
          </cell>
          <cell r="C1384">
            <v>46000</v>
          </cell>
          <cell r="D1384">
            <v>45500</v>
          </cell>
          <cell r="E1384">
            <v>41800</v>
          </cell>
          <cell r="F1384">
            <v>47300</v>
          </cell>
          <cell r="G1384" t="str">
            <v>-</v>
          </cell>
          <cell r="H1384">
            <v>44700</v>
          </cell>
          <cell r="I1384">
            <v>45100</v>
          </cell>
          <cell r="J1384">
            <v>47500</v>
          </cell>
          <cell r="K1384" t="str">
            <v>-</v>
          </cell>
          <cell r="L1384">
            <v>47100</v>
          </cell>
          <cell r="M1384">
            <v>47300</v>
          </cell>
          <cell r="N1384">
            <v>44600</v>
          </cell>
          <cell r="O1384">
            <v>42800</v>
          </cell>
          <cell r="P1384">
            <v>41700</v>
          </cell>
          <cell r="Q1384">
            <v>42000</v>
          </cell>
          <cell r="R1384">
            <v>41600</v>
          </cell>
          <cell r="S1384">
            <v>43900</v>
          </cell>
          <cell r="T1384">
            <v>45500</v>
          </cell>
          <cell r="U1384">
            <v>46000</v>
          </cell>
          <cell r="V1384">
            <v>47500</v>
          </cell>
          <cell r="W1384">
            <v>50200</v>
          </cell>
        </row>
        <row r="1385">
          <cell r="A1385">
            <v>45651</v>
          </cell>
          <cell r="B1385" t="str">
            <v>H</v>
          </cell>
          <cell r="C1385" t="str">
            <v>H</v>
          </cell>
          <cell r="D1385" t="str">
            <v>H</v>
          </cell>
          <cell r="E1385" t="str">
            <v>H</v>
          </cell>
          <cell r="F1385" t="str">
            <v>H</v>
          </cell>
          <cell r="G1385" t="str">
            <v>H</v>
          </cell>
          <cell r="H1385" t="str">
            <v>H</v>
          </cell>
          <cell r="I1385" t="str">
            <v>H</v>
          </cell>
          <cell r="J1385" t="str">
            <v>H</v>
          </cell>
          <cell r="K1385" t="str">
            <v>H</v>
          </cell>
          <cell r="L1385" t="str">
            <v>H</v>
          </cell>
          <cell r="M1385" t="str">
            <v>H</v>
          </cell>
          <cell r="N1385" t="str">
            <v>H</v>
          </cell>
          <cell r="O1385" t="str">
            <v>H</v>
          </cell>
          <cell r="P1385" t="str">
            <v>H</v>
          </cell>
          <cell r="Q1385" t="str">
            <v>H</v>
          </cell>
          <cell r="R1385" t="str">
            <v>H</v>
          </cell>
          <cell r="S1385" t="str">
            <v>H</v>
          </cell>
          <cell r="T1385" t="str">
            <v>H</v>
          </cell>
          <cell r="U1385" t="str">
            <v>H</v>
          </cell>
          <cell r="V1385" t="str">
            <v>H</v>
          </cell>
          <cell r="W1385" t="str">
            <v>H</v>
          </cell>
        </row>
        <row r="1386">
          <cell r="A1386">
            <v>45652</v>
          </cell>
          <cell r="B1386">
            <v>48300</v>
          </cell>
          <cell r="C1386">
            <v>46000</v>
          </cell>
          <cell r="D1386">
            <v>45700</v>
          </cell>
          <cell r="E1386">
            <v>41800</v>
          </cell>
          <cell r="F1386">
            <v>47200</v>
          </cell>
          <cell r="G1386" t="str">
            <v>-</v>
          </cell>
          <cell r="H1386">
            <v>44700</v>
          </cell>
          <cell r="I1386">
            <v>45100</v>
          </cell>
          <cell r="J1386">
            <v>47200</v>
          </cell>
          <cell r="K1386" t="str">
            <v>-</v>
          </cell>
          <cell r="L1386">
            <v>47000</v>
          </cell>
          <cell r="M1386">
            <v>47300</v>
          </cell>
          <cell r="N1386">
            <v>44500</v>
          </cell>
          <cell r="O1386">
            <v>43000</v>
          </cell>
          <cell r="P1386">
            <v>41600</v>
          </cell>
          <cell r="Q1386">
            <v>41900</v>
          </cell>
          <cell r="R1386">
            <v>41800</v>
          </cell>
          <cell r="S1386">
            <v>43900</v>
          </cell>
          <cell r="T1386">
            <v>45500</v>
          </cell>
          <cell r="U1386">
            <v>45500</v>
          </cell>
          <cell r="V1386">
            <v>47500</v>
          </cell>
          <cell r="W1386">
            <v>50200</v>
          </cell>
        </row>
        <row r="1387">
          <cell r="A1387">
            <v>45653</v>
          </cell>
          <cell r="B1387">
            <v>48300</v>
          </cell>
          <cell r="C1387">
            <v>45800</v>
          </cell>
          <cell r="D1387">
            <v>45500</v>
          </cell>
          <cell r="E1387">
            <v>41800</v>
          </cell>
          <cell r="F1387">
            <v>47200</v>
          </cell>
          <cell r="G1387" t="str">
            <v>-</v>
          </cell>
          <cell r="H1387">
            <v>44500</v>
          </cell>
          <cell r="I1387">
            <v>45100</v>
          </cell>
          <cell r="J1387">
            <v>47200</v>
          </cell>
          <cell r="K1387" t="str">
            <v>-</v>
          </cell>
          <cell r="L1387">
            <v>47000</v>
          </cell>
          <cell r="M1387">
            <v>47300</v>
          </cell>
          <cell r="N1387">
            <v>44400</v>
          </cell>
          <cell r="O1387">
            <v>43000</v>
          </cell>
          <cell r="P1387">
            <v>41600</v>
          </cell>
          <cell r="Q1387">
            <v>41600</v>
          </cell>
          <cell r="R1387">
            <v>41800</v>
          </cell>
          <cell r="S1387">
            <v>43900</v>
          </cell>
          <cell r="T1387">
            <v>45200</v>
          </cell>
          <cell r="U1387">
            <v>45500</v>
          </cell>
          <cell r="V1387">
            <v>47500</v>
          </cell>
          <cell r="W1387">
            <v>50200</v>
          </cell>
        </row>
        <row r="1388">
          <cell r="A1388">
            <v>45654</v>
          </cell>
          <cell r="B1388">
            <v>48300</v>
          </cell>
          <cell r="C1388">
            <v>45800</v>
          </cell>
          <cell r="D1388">
            <v>45600</v>
          </cell>
          <cell r="E1388">
            <v>41800</v>
          </cell>
          <cell r="F1388">
            <v>47200</v>
          </cell>
          <cell r="G1388" t="str">
            <v>-</v>
          </cell>
          <cell r="H1388">
            <v>44500</v>
          </cell>
          <cell r="I1388">
            <v>45200</v>
          </cell>
          <cell r="J1388">
            <v>47200</v>
          </cell>
          <cell r="K1388" t="str">
            <v>-</v>
          </cell>
          <cell r="L1388">
            <v>47100</v>
          </cell>
          <cell r="M1388">
            <v>47300</v>
          </cell>
          <cell r="N1388">
            <v>44300</v>
          </cell>
          <cell r="O1388">
            <v>43200</v>
          </cell>
          <cell r="P1388">
            <v>41600</v>
          </cell>
          <cell r="Q1388">
            <v>41700</v>
          </cell>
          <cell r="R1388">
            <v>42200</v>
          </cell>
          <cell r="S1388">
            <v>43900</v>
          </cell>
          <cell r="T1388">
            <v>45200</v>
          </cell>
          <cell r="U1388">
            <v>45500</v>
          </cell>
          <cell r="V1388">
            <v>47500</v>
          </cell>
          <cell r="W1388">
            <v>50200</v>
          </cell>
        </row>
        <row r="1389">
          <cell r="A1389">
            <v>45655</v>
          </cell>
          <cell r="B1389" t="str">
            <v>H</v>
          </cell>
          <cell r="C1389" t="str">
            <v>H</v>
          </cell>
          <cell r="D1389" t="str">
            <v>H</v>
          </cell>
          <cell r="E1389" t="str">
            <v>H</v>
          </cell>
          <cell r="F1389" t="str">
            <v>H</v>
          </cell>
          <cell r="G1389" t="str">
            <v>H</v>
          </cell>
          <cell r="H1389" t="str">
            <v>H</v>
          </cell>
          <cell r="I1389" t="str">
            <v>H</v>
          </cell>
          <cell r="J1389" t="str">
            <v>H</v>
          </cell>
          <cell r="K1389" t="str">
            <v>H</v>
          </cell>
          <cell r="L1389" t="str">
            <v>H</v>
          </cell>
          <cell r="M1389" t="str">
            <v>H</v>
          </cell>
          <cell r="N1389" t="str">
            <v>H</v>
          </cell>
          <cell r="O1389" t="str">
            <v>H</v>
          </cell>
          <cell r="P1389" t="str">
            <v>H</v>
          </cell>
          <cell r="Q1389" t="str">
            <v>H</v>
          </cell>
          <cell r="R1389" t="str">
            <v>H</v>
          </cell>
          <cell r="S1389" t="str">
            <v>H</v>
          </cell>
          <cell r="T1389" t="str">
            <v>H</v>
          </cell>
          <cell r="U1389" t="str">
            <v>H</v>
          </cell>
          <cell r="V1389" t="str">
            <v>H</v>
          </cell>
          <cell r="W1389" t="str">
            <v>H</v>
          </cell>
        </row>
        <row r="1390">
          <cell r="A1390">
            <v>45656</v>
          </cell>
          <cell r="B1390">
            <v>48500</v>
          </cell>
          <cell r="C1390">
            <v>45800</v>
          </cell>
          <cell r="D1390">
            <v>46000</v>
          </cell>
          <cell r="E1390">
            <v>42100</v>
          </cell>
          <cell r="F1390">
            <v>47200</v>
          </cell>
          <cell r="G1390" t="str">
            <v>-</v>
          </cell>
          <cell r="H1390">
            <v>44500</v>
          </cell>
          <cell r="I1390">
            <v>45600</v>
          </cell>
          <cell r="J1390">
            <v>47200</v>
          </cell>
          <cell r="K1390" t="str">
            <v>-</v>
          </cell>
          <cell r="L1390">
            <v>47200</v>
          </cell>
          <cell r="M1390">
            <v>47300</v>
          </cell>
          <cell r="N1390">
            <v>44700</v>
          </cell>
          <cell r="O1390">
            <v>43200</v>
          </cell>
          <cell r="P1390">
            <v>41900</v>
          </cell>
          <cell r="Q1390">
            <v>42200</v>
          </cell>
          <cell r="R1390">
            <v>42200</v>
          </cell>
          <cell r="S1390">
            <v>44200</v>
          </cell>
          <cell r="T1390">
            <v>45500</v>
          </cell>
          <cell r="U1390">
            <v>45500</v>
          </cell>
          <cell r="V1390">
            <v>47500</v>
          </cell>
          <cell r="W1390">
            <v>50200</v>
          </cell>
        </row>
        <row r="1391">
          <cell r="A1391">
            <v>45657</v>
          </cell>
          <cell r="B1391">
            <v>48700</v>
          </cell>
          <cell r="C1391">
            <v>45800</v>
          </cell>
          <cell r="D1391">
            <v>46300</v>
          </cell>
          <cell r="E1391">
            <v>42200</v>
          </cell>
          <cell r="F1391">
            <v>47200</v>
          </cell>
          <cell r="G1391" t="str">
            <v>-</v>
          </cell>
          <cell r="H1391">
            <v>44500</v>
          </cell>
          <cell r="I1391">
            <v>45500</v>
          </cell>
          <cell r="J1391">
            <v>47200</v>
          </cell>
          <cell r="K1391" t="str">
            <v>-</v>
          </cell>
          <cell r="L1391">
            <v>47500</v>
          </cell>
          <cell r="M1391">
            <v>47300</v>
          </cell>
          <cell r="N1391">
            <v>45100</v>
          </cell>
          <cell r="O1391">
            <v>43300</v>
          </cell>
          <cell r="P1391">
            <v>42300</v>
          </cell>
          <cell r="Q1391">
            <v>42400</v>
          </cell>
          <cell r="R1391">
            <v>42500</v>
          </cell>
          <cell r="S1391">
            <v>44300</v>
          </cell>
          <cell r="T1391">
            <v>45800</v>
          </cell>
          <cell r="U1391">
            <v>45500</v>
          </cell>
          <cell r="V1391">
            <v>47500</v>
          </cell>
          <cell r="W1391">
            <v>50200</v>
          </cell>
        </row>
        <row r="1392">
          <cell r="A1392">
            <v>45658</v>
          </cell>
          <cell r="B1392">
            <v>48700</v>
          </cell>
          <cell r="C1392">
            <v>45800</v>
          </cell>
          <cell r="D1392">
            <v>46000</v>
          </cell>
          <cell r="E1392">
            <v>42200</v>
          </cell>
          <cell r="F1392">
            <v>47200</v>
          </cell>
          <cell r="G1392" t="str">
            <v>-</v>
          </cell>
          <cell r="H1392">
            <v>44500</v>
          </cell>
          <cell r="I1392">
            <v>45500</v>
          </cell>
          <cell r="J1392">
            <v>47200</v>
          </cell>
          <cell r="K1392" t="str">
            <v>-</v>
          </cell>
          <cell r="L1392">
            <v>47300</v>
          </cell>
          <cell r="M1392">
            <v>47500</v>
          </cell>
          <cell r="N1392">
            <v>44900</v>
          </cell>
          <cell r="O1392">
            <v>43200</v>
          </cell>
          <cell r="P1392">
            <v>41800</v>
          </cell>
          <cell r="Q1392">
            <v>42400</v>
          </cell>
          <cell r="R1392">
            <v>42200</v>
          </cell>
          <cell r="S1392">
            <v>44300</v>
          </cell>
          <cell r="T1392">
            <v>45800</v>
          </cell>
          <cell r="U1392">
            <v>45500</v>
          </cell>
          <cell r="V1392">
            <v>47200</v>
          </cell>
          <cell r="W1392">
            <v>50200</v>
          </cell>
        </row>
        <row r="1393">
          <cell r="A1393">
            <v>45659</v>
          </cell>
          <cell r="B1393">
            <v>48700</v>
          </cell>
          <cell r="C1393">
            <v>45500</v>
          </cell>
          <cell r="D1393">
            <v>45900</v>
          </cell>
          <cell r="E1393">
            <v>42300</v>
          </cell>
          <cell r="F1393">
            <v>47200</v>
          </cell>
          <cell r="G1393" t="str">
            <v>-</v>
          </cell>
          <cell r="H1393">
            <v>44500</v>
          </cell>
          <cell r="I1393">
            <v>45400</v>
          </cell>
          <cell r="J1393">
            <v>47200</v>
          </cell>
          <cell r="K1393" t="str">
            <v>-</v>
          </cell>
          <cell r="L1393">
            <v>47600</v>
          </cell>
          <cell r="M1393">
            <v>47500</v>
          </cell>
          <cell r="N1393">
            <v>45200</v>
          </cell>
          <cell r="O1393">
            <v>43200</v>
          </cell>
          <cell r="P1393">
            <v>42100</v>
          </cell>
          <cell r="Q1393">
            <v>42400</v>
          </cell>
          <cell r="R1393">
            <v>42400</v>
          </cell>
          <cell r="S1393">
            <v>44400</v>
          </cell>
          <cell r="T1393">
            <v>45800</v>
          </cell>
          <cell r="U1393">
            <v>46000</v>
          </cell>
          <cell r="V1393">
            <v>47000</v>
          </cell>
          <cell r="W1393">
            <v>50200</v>
          </cell>
        </row>
        <row r="1394">
          <cell r="A1394">
            <v>45660</v>
          </cell>
          <cell r="B1394">
            <v>48700</v>
          </cell>
          <cell r="C1394">
            <v>45800</v>
          </cell>
          <cell r="D1394">
            <v>45700</v>
          </cell>
          <cell r="E1394">
            <v>42100</v>
          </cell>
          <cell r="F1394">
            <v>47200</v>
          </cell>
          <cell r="G1394" t="str">
            <v>-</v>
          </cell>
          <cell r="H1394">
            <v>44800</v>
          </cell>
          <cell r="I1394">
            <v>45300</v>
          </cell>
          <cell r="J1394">
            <v>46900</v>
          </cell>
          <cell r="K1394" t="str">
            <v>-</v>
          </cell>
          <cell r="L1394">
            <v>47300</v>
          </cell>
          <cell r="M1394">
            <v>47500</v>
          </cell>
          <cell r="N1394">
            <v>44900</v>
          </cell>
          <cell r="O1394">
            <v>43200</v>
          </cell>
          <cell r="P1394">
            <v>41600</v>
          </cell>
          <cell r="Q1394">
            <v>42300</v>
          </cell>
          <cell r="R1394">
            <v>42400</v>
          </cell>
          <cell r="S1394">
            <v>44200</v>
          </cell>
          <cell r="T1394">
            <v>45600</v>
          </cell>
          <cell r="U1394">
            <v>46500</v>
          </cell>
          <cell r="V1394">
            <v>47000</v>
          </cell>
          <cell r="W1394">
            <v>50200</v>
          </cell>
        </row>
        <row r="1395">
          <cell r="A1395">
            <v>45661</v>
          </cell>
          <cell r="B1395">
            <v>48700</v>
          </cell>
          <cell r="C1395">
            <v>45800</v>
          </cell>
          <cell r="D1395">
            <v>45500</v>
          </cell>
          <cell r="E1395">
            <v>42100</v>
          </cell>
          <cell r="F1395">
            <v>47000</v>
          </cell>
          <cell r="G1395" t="str">
            <v>-</v>
          </cell>
          <cell r="H1395">
            <v>44800</v>
          </cell>
          <cell r="I1395">
            <v>45300</v>
          </cell>
          <cell r="J1395">
            <v>46900</v>
          </cell>
          <cell r="K1395" t="str">
            <v>-</v>
          </cell>
          <cell r="L1395">
            <v>47300</v>
          </cell>
          <cell r="M1395">
            <v>47400</v>
          </cell>
          <cell r="N1395">
            <v>44500</v>
          </cell>
          <cell r="O1395">
            <v>43000</v>
          </cell>
          <cell r="P1395">
            <v>41500</v>
          </cell>
          <cell r="Q1395">
            <v>42200</v>
          </cell>
          <cell r="R1395">
            <v>42000</v>
          </cell>
          <cell r="S1395">
            <v>44200</v>
          </cell>
          <cell r="T1395">
            <v>45600</v>
          </cell>
          <cell r="U1395">
            <v>46500</v>
          </cell>
          <cell r="V1395">
            <v>47000</v>
          </cell>
          <cell r="W1395">
            <v>49800</v>
          </cell>
        </row>
        <row r="1396">
          <cell r="A1396">
            <v>45662</v>
          </cell>
          <cell r="B1396" t="str">
            <v>H</v>
          </cell>
          <cell r="C1396" t="str">
            <v>H</v>
          </cell>
          <cell r="D1396" t="str">
            <v>H</v>
          </cell>
          <cell r="E1396" t="str">
            <v>H</v>
          </cell>
          <cell r="F1396" t="str">
            <v>H</v>
          </cell>
          <cell r="G1396" t="str">
            <v>H</v>
          </cell>
          <cell r="H1396" t="str">
            <v>H</v>
          </cell>
          <cell r="I1396" t="str">
            <v>H</v>
          </cell>
          <cell r="J1396" t="str">
            <v>H</v>
          </cell>
          <cell r="K1396" t="str">
            <v>H</v>
          </cell>
          <cell r="L1396" t="str">
            <v>H</v>
          </cell>
          <cell r="M1396" t="str">
            <v>H</v>
          </cell>
          <cell r="N1396" t="str">
            <v>H</v>
          </cell>
          <cell r="O1396" t="str">
            <v>H</v>
          </cell>
          <cell r="P1396" t="str">
            <v>H</v>
          </cell>
          <cell r="Q1396" t="str">
            <v>H</v>
          </cell>
          <cell r="R1396" t="str">
            <v>H</v>
          </cell>
          <cell r="S1396" t="str">
            <v>H</v>
          </cell>
          <cell r="T1396" t="str">
            <v>H</v>
          </cell>
          <cell r="U1396" t="str">
            <v>H</v>
          </cell>
          <cell r="V1396" t="str">
            <v>H</v>
          </cell>
          <cell r="W1396" t="str">
            <v>H</v>
          </cell>
        </row>
        <row r="1397">
          <cell r="A1397">
            <v>45663</v>
          </cell>
          <cell r="B1397">
            <v>48700</v>
          </cell>
          <cell r="C1397">
            <v>45800</v>
          </cell>
          <cell r="D1397">
            <v>45000</v>
          </cell>
          <cell r="E1397">
            <v>41500</v>
          </cell>
          <cell r="F1397">
            <v>46800</v>
          </cell>
          <cell r="G1397" t="str">
            <v>-</v>
          </cell>
          <cell r="H1397">
            <v>44300</v>
          </cell>
          <cell r="I1397">
            <v>45000</v>
          </cell>
          <cell r="J1397">
            <v>46600</v>
          </cell>
          <cell r="K1397" t="str">
            <v>-</v>
          </cell>
          <cell r="L1397">
            <v>47000</v>
          </cell>
          <cell r="M1397">
            <v>47300</v>
          </cell>
          <cell r="N1397">
            <v>44500</v>
          </cell>
          <cell r="O1397">
            <v>43000</v>
          </cell>
          <cell r="P1397">
            <v>41300</v>
          </cell>
          <cell r="Q1397">
            <v>41800</v>
          </cell>
          <cell r="R1397">
            <v>41800</v>
          </cell>
          <cell r="S1397">
            <v>43900</v>
          </cell>
          <cell r="T1397">
            <v>45500</v>
          </cell>
          <cell r="U1397">
            <v>46300</v>
          </cell>
          <cell r="V1397">
            <v>46800</v>
          </cell>
          <cell r="W1397">
            <v>49700</v>
          </cell>
        </row>
        <row r="1398">
          <cell r="A1398">
            <v>45664</v>
          </cell>
          <cell r="B1398">
            <v>48700</v>
          </cell>
          <cell r="C1398">
            <v>45800</v>
          </cell>
          <cell r="D1398">
            <v>45000</v>
          </cell>
          <cell r="E1398">
            <v>41400</v>
          </cell>
          <cell r="F1398">
            <v>46700</v>
          </cell>
          <cell r="G1398" t="str">
            <v>-</v>
          </cell>
          <cell r="H1398">
            <v>44300</v>
          </cell>
          <cell r="I1398">
            <v>45000</v>
          </cell>
          <cell r="J1398">
            <v>46600</v>
          </cell>
          <cell r="K1398" t="str">
            <v>-</v>
          </cell>
          <cell r="L1398">
            <v>47000</v>
          </cell>
          <cell r="M1398">
            <v>47100</v>
          </cell>
          <cell r="N1398">
            <v>44600</v>
          </cell>
          <cell r="O1398">
            <v>43000</v>
          </cell>
          <cell r="P1398">
            <v>41400</v>
          </cell>
          <cell r="Q1398">
            <v>41800</v>
          </cell>
          <cell r="R1398">
            <v>41800</v>
          </cell>
          <cell r="S1398">
            <v>43600</v>
          </cell>
          <cell r="T1398">
            <v>45400</v>
          </cell>
          <cell r="U1398">
            <v>46300</v>
          </cell>
          <cell r="V1398">
            <v>46800</v>
          </cell>
          <cell r="W1398">
            <v>49700</v>
          </cell>
        </row>
        <row r="1399">
          <cell r="A1399">
            <v>45665</v>
          </cell>
          <cell r="B1399">
            <v>48000</v>
          </cell>
          <cell r="C1399">
            <v>45800</v>
          </cell>
          <cell r="D1399">
            <v>44800</v>
          </cell>
          <cell r="E1399">
            <v>41500</v>
          </cell>
          <cell r="F1399">
            <v>46400</v>
          </cell>
          <cell r="G1399" t="str">
            <v>-</v>
          </cell>
          <cell r="H1399">
            <v>44000</v>
          </cell>
          <cell r="I1399">
            <v>44800</v>
          </cell>
          <cell r="J1399">
            <v>46500</v>
          </cell>
          <cell r="K1399" t="str">
            <v>-</v>
          </cell>
          <cell r="L1399">
            <v>46800</v>
          </cell>
          <cell r="M1399">
            <v>47000</v>
          </cell>
          <cell r="N1399">
            <v>44400</v>
          </cell>
          <cell r="O1399">
            <v>43000</v>
          </cell>
          <cell r="P1399">
            <v>41300</v>
          </cell>
          <cell r="Q1399">
            <v>41600</v>
          </cell>
          <cell r="R1399">
            <v>41800</v>
          </cell>
          <cell r="S1399">
            <v>43600</v>
          </cell>
          <cell r="T1399">
            <v>45200</v>
          </cell>
          <cell r="U1399">
            <v>46300</v>
          </cell>
          <cell r="V1399">
            <v>46800</v>
          </cell>
          <cell r="W1399">
            <v>49700</v>
          </cell>
        </row>
        <row r="1400">
          <cell r="A1400">
            <v>45666</v>
          </cell>
          <cell r="B1400">
            <v>47800</v>
          </cell>
          <cell r="C1400">
            <v>45700</v>
          </cell>
          <cell r="D1400">
            <v>44700</v>
          </cell>
          <cell r="E1400">
            <v>41300</v>
          </cell>
          <cell r="F1400">
            <v>46400</v>
          </cell>
          <cell r="G1400" t="str">
            <v>-</v>
          </cell>
          <cell r="H1400">
            <v>44000</v>
          </cell>
          <cell r="I1400">
            <v>44500</v>
          </cell>
          <cell r="J1400">
            <v>46000</v>
          </cell>
          <cell r="K1400" t="str">
            <v>-</v>
          </cell>
          <cell r="L1400">
            <v>46600</v>
          </cell>
          <cell r="M1400">
            <v>47000</v>
          </cell>
          <cell r="N1400">
            <v>44500</v>
          </cell>
          <cell r="O1400">
            <v>42800</v>
          </cell>
          <cell r="P1400">
            <v>41100</v>
          </cell>
          <cell r="Q1400">
            <v>41400</v>
          </cell>
          <cell r="R1400">
            <v>41600</v>
          </cell>
          <cell r="S1400">
            <v>43400</v>
          </cell>
          <cell r="T1400">
            <v>45000</v>
          </cell>
          <cell r="U1400">
            <v>45800</v>
          </cell>
          <cell r="V1400">
            <v>46800</v>
          </cell>
          <cell r="W1400">
            <v>49700</v>
          </cell>
        </row>
        <row r="1401">
          <cell r="A1401">
            <v>45667</v>
          </cell>
          <cell r="B1401">
            <v>47800</v>
          </cell>
          <cell r="C1401">
            <v>45700</v>
          </cell>
          <cell r="D1401">
            <v>44700</v>
          </cell>
          <cell r="E1401">
            <v>41500</v>
          </cell>
          <cell r="F1401">
            <v>46400</v>
          </cell>
          <cell r="G1401" t="str">
            <v>-</v>
          </cell>
          <cell r="H1401">
            <v>44000</v>
          </cell>
          <cell r="I1401">
            <v>44400</v>
          </cell>
          <cell r="J1401">
            <v>46000</v>
          </cell>
          <cell r="K1401" t="str">
            <v>-</v>
          </cell>
          <cell r="L1401">
            <v>46600</v>
          </cell>
          <cell r="M1401">
            <v>47000</v>
          </cell>
          <cell r="N1401">
            <v>44700</v>
          </cell>
          <cell r="O1401">
            <v>42800</v>
          </cell>
          <cell r="P1401">
            <v>41300</v>
          </cell>
          <cell r="Q1401">
            <v>41600</v>
          </cell>
          <cell r="R1401">
            <v>41700</v>
          </cell>
          <cell r="S1401">
            <v>43600</v>
          </cell>
          <cell r="T1401">
            <v>45200</v>
          </cell>
          <cell r="U1401">
            <v>45800</v>
          </cell>
          <cell r="V1401">
            <v>46800</v>
          </cell>
          <cell r="W1401">
            <v>49700</v>
          </cell>
        </row>
        <row r="1402">
          <cell r="A1402">
            <v>45668</v>
          </cell>
          <cell r="B1402">
            <v>47800</v>
          </cell>
          <cell r="C1402">
            <v>45800</v>
          </cell>
          <cell r="D1402">
            <v>44500</v>
          </cell>
          <cell r="E1402">
            <v>41500</v>
          </cell>
          <cell r="F1402">
            <v>46400</v>
          </cell>
          <cell r="G1402" t="str">
            <v>-</v>
          </cell>
          <cell r="H1402">
            <v>43800</v>
          </cell>
          <cell r="I1402">
            <v>44400</v>
          </cell>
          <cell r="J1402">
            <v>46100</v>
          </cell>
          <cell r="K1402" t="str">
            <v>-</v>
          </cell>
          <cell r="L1402">
            <v>46500</v>
          </cell>
          <cell r="M1402">
            <v>47000</v>
          </cell>
          <cell r="N1402">
            <v>44400</v>
          </cell>
          <cell r="O1402">
            <v>42800</v>
          </cell>
          <cell r="P1402">
            <v>41100</v>
          </cell>
          <cell r="Q1402">
            <v>41500</v>
          </cell>
          <cell r="R1402">
            <v>41600</v>
          </cell>
          <cell r="S1402">
            <v>43600</v>
          </cell>
          <cell r="T1402">
            <v>45200</v>
          </cell>
          <cell r="U1402">
            <v>45800</v>
          </cell>
          <cell r="V1402">
            <v>46800</v>
          </cell>
          <cell r="W1402">
            <v>49700</v>
          </cell>
        </row>
        <row r="1403">
          <cell r="A1403">
            <v>45669</v>
          </cell>
          <cell r="B1403" t="str">
            <v>H</v>
          </cell>
          <cell r="C1403" t="str">
            <v>H</v>
          </cell>
          <cell r="D1403" t="str">
            <v>H</v>
          </cell>
          <cell r="E1403" t="str">
            <v>H</v>
          </cell>
          <cell r="F1403" t="str">
            <v>H</v>
          </cell>
          <cell r="G1403" t="str">
            <v>H</v>
          </cell>
          <cell r="H1403" t="str">
            <v>H</v>
          </cell>
          <cell r="I1403" t="str">
            <v>H</v>
          </cell>
          <cell r="J1403" t="str">
            <v>H</v>
          </cell>
          <cell r="K1403" t="str">
            <v>H</v>
          </cell>
          <cell r="L1403" t="str">
            <v>H</v>
          </cell>
          <cell r="M1403" t="str">
            <v>H</v>
          </cell>
          <cell r="N1403" t="str">
            <v>H</v>
          </cell>
          <cell r="O1403" t="str">
            <v>H</v>
          </cell>
          <cell r="P1403" t="str">
            <v>H</v>
          </cell>
          <cell r="Q1403" t="str">
            <v>H</v>
          </cell>
          <cell r="R1403" t="str">
            <v>H</v>
          </cell>
          <cell r="S1403" t="str">
            <v>H</v>
          </cell>
          <cell r="T1403" t="str">
            <v>H</v>
          </cell>
          <cell r="U1403" t="str">
            <v>H</v>
          </cell>
          <cell r="V1403" t="str">
            <v>H</v>
          </cell>
          <cell r="W1403" t="str">
            <v>H</v>
          </cell>
        </row>
        <row r="1404">
          <cell r="A1404">
            <v>45670</v>
          </cell>
          <cell r="B1404">
            <v>47600</v>
          </cell>
          <cell r="C1404">
            <v>45800</v>
          </cell>
          <cell r="D1404">
            <v>44700</v>
          </cell>
          <cell r="E1404">
            <v>41600</v>
          </cell>
          <cell r="F1404">
            <v>46400</v>
          </cell>
          <cell r="G1404" t="str">
            <v>-</v>
          </cell>
          <cell r="H1404">
            <v>43800</v>
          </cell>
          <cell r="I1404">
            <v>44700</v>
          </cell>
          <cell r="J1404">
            <v>46300</v>
          </cell>
          <cell r="K1404" t="str">
            <v>-</v>
          </cell>
          <cell r="L1404">
            <v>46500</v>
          </cell>
          <cell r="M1404">
            <v>47000</v>
          </cell>
          <cell r="N1404">
            <v>44700</v>
          </cell>
          <cell r="O1404">
            <v>42600</v>
          </cell>
          <cell r="P1404">
            <v>41300</v>
          </cell>
          <cell r="Q1404">
            <v>41600</v>
          </cell>
          <cell r="R1404">
            <v>41600</v>
          </cell>
          <cell r="S1404">
            <v>43700</v>
          </cell>
          <cell r="T1404">
            <v>45200</v>
          </cell>
          <cell r="U1404">
            <v>45800</v>
          </cell>
          <cell r="V1404">
            <v>46400</v>
          </cell>
          <cell r="W1404">
            <v>49500</v>
          </cell>
        </row>
        <row r="1405">
          <cell r="A1405">
            <v>45671</v>
          </cell>
          <cell r="B1405" t="str">
            <v>-</v>
          </cell>
          <cell r="C1405" t="str">
            <v>-</v>
          </cell>
          <cell r="D1405">
            <v>45000</v>
          </cell>
          <cell r="E1405">
            <v>41700</v>
          </cell>
          <cell r="F1405">
            <v>46400</v>
          </cell>
          <cell r="G1405" t="str">
            <v>-</v>
          </cell>
          <cell r="H1405" t="str">
            <v>-</v>
          </cell>
          <cell r="I1405" t="str">
            <v>-</v>
          </cell>
          <cell r="J1405">
            <v>46300</v>
          </cell>
          <cell r="K1405" t="str">
            <v>-</v>
          </cell>
          <cell r="L1405">
            <v>46700</v>
          </cell>
          <cell r="M1405">
            <v>47000</v>
          </cell>
          <cell r="N1405">
            <v>44700</v>
          </cell>
          <cell r="O1405">
            <v>42600</v>
          </cell>
          <cell r="P1405">
            <v>41300</v>
          </cell>
          <cell r="Q1405">
            <v>41700</v>
          </cell>
          <cell r="R1405">
            <v>41600</v>
          </cell>
          <cell r="S1405">
            <v>43800</v>
          </cell>
          <cell r="T1405">
            <v>45200</v>
          </cell>
          <cell r="U1405">
            <v>45800</v>
          </cell>
          <cell r="V1405">
            <v>46400</v>
          </cell>
          <cell r="W1405">
            <v>49200</v>
          </cell>
        </row>
        <row r="1406">
          <cell r="A1406">
            <v>45672</v>
          </cell>
          <cell r="B1406">
            <v>47600</v>
          </cell>
          <cell r="C1406" t="str">
            <v>-</v>
          </cell>
          <cell r="D1406">
            <v>45000</v>
          </cell>
          <cell r="E1406">
            <v>41600</v>
          </cell>
          <cell r="F1406">
            <v>46400</v>
          </cell>
          <cell r="G1406" t="str">
            <v>-</v>
          </cell>
          <cell r="H1406">
            <v>43800</v>
          </cell>
          <cell r="I1406">
            <v>44500</v>
          </cell>
          <cell r="J1406">
            <v>46300</v>
          </cell>
          <cell r="K1406" t="str">
            <v>-</v>
          </cell>
          <cell r="L1406">
            <v>46700</v>
          </cell>
          <cell r="M1406">
            <v>47000</v>
          </cell>
          <cell r="N1406">
            <v>45000</v>
          </cell>
          <cell r="O1406">
            <v>42600</v>
          </cell>
          <cell r="P1406">
            <v>41400</v>
          </cell>
          <cell r="Q1406">
            <v>41700</v>
          </cell>
          <cell r="R1406">
            <v>41600</v>
          </cell>
          <cell r="S1406">
            <v>43700</v>
          </cell>
          <cell r="T1406">
            <v>45200</v>
          </cell>
          <cell r="U1406">
            <v>45800</v>
          </cell>
          <cell r="V1406">
            <v>46200</v>
          </cell>
          <cell r="W1406">
            <v>49200</v>
          </cell>
        </row>
        <row r="1407">
          <cell r="A1407">
            <v>45673</v>
          </cell>
          <cell r="B1407">
            <v>47600</v>
          </cell>
          <cell r="C1407">
            <v>45800</v>
          </cell>
          <cell r="D1407">
            <v>44800</v>
          </cell>
          <cell r="E1407">
            <v>41800</v>
          </cell>
          <cell r="F1407">
            <v>46100</v>
          </cell>
          <cell r="G1407" t="str">
            <v>-</v>
          </cell>
          <cell r="H1407">
            <v>43700</v>
          </cell>
          <cell r="I1407">
            <v>44500</v>
          </cell>
          <cell r="J1407">
            <v>46300</v>
          </cell>
          <cell r="K1407" t="str">
            <v>-</v>
          </cell>
          <cell r="L1407">
            <v>46600</v>
          </cell>
          <cell r="M1407">
            <v>47000</v>
          </cell>
          <cell r="N1407">
            <v>44600</v>
          </cell>
          <cell r="O1407">
            <v>42600</v>
          </cell>
          <cell r="P1407">
            <v>41200</v>
          </cell>
          <cell r="Q1407">
            <v>41500</v>
          </cell>
          <cell r="R1407">
            <v>41600</v>
          </cell>
          <cell r="S1407">
            <v>43900</v>
          </cell>
          <cell r="T1407">
            <v>45000</v>
          </cell>
          <cell r="U1407">
            <v>45800</v>
          </cell>
          <cell r="V1407">
            <v>46200</v>
          </cell>
          <cell r="W1407">
            <v>49200</v>
          </cell>
        </row>
        <row r="1408">
          <cell r="A1408">
            <v>45674</v>
          </cell>
          <cell r="B1408">
            <v>47200</v>
          </cell>
          <cell r="C1408">
            <v>45700</v>
          </cell>
          <cell r="D1408">
            <v>44800</v>
          </cell>
          <cell r="E1408">
            <v>41700</v>
          </cell>
          <cell r="F1408">
            <v>46100</v>
          </cell>
          <cell r="G1408" t="str">
            <v>-</v>
          </cell>
          <cell r="H1408">
            <v>43700</v>
          </cell>
          <cell r="I1408">
            <v>44600</v>
          </cell>
          <cell r="J1408">
            <v>46300</v>
          </cell>
          <cell r="K1408" t="str">
            <v>-</v>
          </cell>
          <cell r="L1408">
            <v>46600</v>
          </cell>
          <cell r="M1408">
            <v>47000</v>
          </cell>
          <cell r="N1408">
            <v>44600</v>
          </cell>
          <cell r="O1408">
            <v>42600</v>
          </cell>
          <cell r="P1408">
            <v>41200</v>
          </cell>
          <cell r="Q1408">
            <v>41400</v>
          </cell>
          <cell r="R1408">
            <v>41600</v>
          </cell>
          <cell r="S1408">
            <v>43800</v>
          </cell>
          <cell r="T1408">
            <v>44800</v>
          </cell>
          <cell r="U1408">
            <v>45800</v>
          </cell>
          <cell r="V1408">
            <v>46000</v>
          </cell>
          <cell r="W1408">
            <v>49200</v>
          </cell>
        </row>
        <row r="1409">
          <cell r="A1409">
            <v>45675</v>
          </cell>
          <cell r="B1409">
            <v>47200</v>
          </cell>
          <cell r="C1409">
            <v>45700</v>
          </cell>
          <cell r="D1409">
            <v>44700</v>
          </cell>
          <cell r="E1409">
            <v>41700</v>
          </cell>
          <cell r="F1409">
            <v>46100</v>
          </cell>
          <cell r="G1409" t="str">
            <v>-</v>
          </cell>
          <cell r="H1409">
            <v>43700</v>
          </cell>
          <cell r="I1409">
            <v>44600</v>
          </cell>
          <cell r="J1409">
            <v>46300</v>
          </cell>
          <cell r="K1409" t="str">
            <v>-</v>
          </cell>
          <cell r="L1409">
            <v>46500</v>
          </cell>
          <cell r="M1409">
            <v>46900</v>
          </cell>
          <cell r="N1409">
            <v>44400</v>
          </cell>
          <cell r="O1409">
            <v>42500</v>
          </cell>
          <cell r="P1409">
            <v>41000</v>
          </cell>
          <cell r="Q1409">
            <v>41300</v>
          </cell>
          <cell r="R1409">
            <v>41500</v>
          </cell>
          <cell r="S1409">
            <v>43800</v>
          </cell>
          <cell r="T1409">
            <v>44800</v>
          </cell>
          <cell r="U1409">
            <v>45800</v>
          </cell>
          <cell r="V1409">
            <v>46000</v>
          </cell>
          <cell r="W1409">
            <v>49200</v>
          </cell>
        </row>
        <row r="1410">
          <cell r="A1410">
            <v>45676</v>
          </cell>
          <cell r="B1410" t="str">
            <v>H</v>
          </cell>
          <cell r="C1410" t="str">
            <v>H</v>
          </cell>
          <cell r="D1410" t="str">
            <v>H</v>
          </cell>
          <cell r="E1410" t="str">
            <v>H</v>
          </cell>
          <cell r="F1410" t="str">
            <v>H</v>
          </cell>
          <cell r="G1410" t="str">
            <v>H</v>
          </cell>
          <cell r="H1410" t="str">
            <v>H</v>
          </cell>
          <cell r="I1410" t="str">
            <v>H</v>
          </cell>
          <cell r="J1410" t="str">
            <v>H</v>
          </cell>
          <cell r="K1410" t="str">
            <v>H</v>
          </cell>
          <cell r="L1410" t="str">
            <v>H</v>
          </cell>
          <cell r="M1410" t="str">
            <v>H</v>
          </cell>
          <cell r="N1410" t="str">
            <v>H</v>
          </cell>
          <cell r="O1410" t="str">
            <v>H</v>
          </cell>
          <cell r="P1410" t="str">
            <v>H</v>
          </cell>
          <cell r="Q1410" t="str">
            <v>H</v>
          </cell>
          <cell r="R1410" t="str">
            <v>H</v>
          </cell>
          <cell r="S1410" t="str">
            <v>H</v>
          </cell>
          <cell r="T1410" t="str">
            <v>H</v>
          </cell>
          <cell r="U1410" t="str">
            <v>H</v>
          </cell>
          <cell r="V1410" t="str">
            <v>H</v>
          </cell>
          <cell r="W1410" t="str">
            <v>H</v>
          </cell>
        </row>
        <row r="1411">
          <cell r="A1411">
            <v>45677</v>
          </cell>
          <cell r="B1411">
            <v>46800</v>
          </cell>
          <cell r="C1411">
            <v>45800</v>
          </cell>
          <cell r="D1411">
            <v>44700</v>
          </cell>
          <cell r="E1411">
            <v>41700</v>
          </cell>
          <cell r="F1411">
            <v>46000</v>
          </cell>
          <cell r="G1411" t="str">
            <v>-</v>
          </cell>
          <cell r="H1411">
            <v>43500</v>
          </cell>
          <cell r="I1411">
            <v>44600</v>
          </cell>
          <cell r="J1411">
            <v>46000</v>
          </cell>
          <cell r="K1411" t="str">
            <v>-</v>
          </cell>
          <cell r="L1411">
            <v>46500</v>
          </cell>
          <cell r="M1411">
            <v>46900</v>
          </cell>
          <cell r="N1411">
            <v>44300</v>
          </cell>
          <cell r="O1411">
            <v>42800</v>
          </cell>
          <cell r="P1411">
            <v>41300</v>
          </cell>
          <cell r="Q1411">
            <v>41300</v>
          </cell>
          <cell r="R1411">
            <v>41800</v>
          </cell>
          <cell r="S1411">
            <v>43800</v>
          </cell>
          <cell r="T1411">
            <v>44700</v>
          </cell>
          <cell r="U1411">
            <v>45800</v>
          </cell>
          <cell r="V1411">
            <v>45600</v>
          </cell>
          <cell r="W1411">
            <v>48700</v>
          </cell>
        </row>
        <row r="1412">
          <cell r="A1412">
            <v>45678</v>
          </cell>
          <cell r="B1412">
            <v>46800</v>
          </cell>
          <cell r="C1412">
            <v>45700</v>
          </cell>
          <cell r="D1412">
            <v>44900</v>
          </cell>
          <cell r="E1412">
            <v>41700</v>
          </cell>
          <cell r="F1412">
            <v>46000</v>
          </cell>
          <cell r="G1412" t="str">
            <v>-</v>
          </cell>
          <cell r="H1412">
            <v>43500</v>
          </cell>
          <cell r="I1412">
            <v>44600</v>
          </cell>
          <cell r="J1412">
            <v>46000</v>
          </cell>
          <cell r="K1412" t="str">
            <v>-</v>
          </cell>
          <cell r="L1412">
            <v>46400</v>
          </cell>
          <cell r="M1412">
            <v>46900</v>
          </cell>
          <cell r="N1412">
            <v>44300</v>
          </cell>
          <cell r="O1412">
            <v>42800</v>
          </cell>
          <cell r="P1412">
            <v>41100</v>
          </cell>
          <cell r="Q1412">
            <v>41200</v>
          </cell>
          <cell r="R1412">
            <v>41700</v>
          </cell>
          <cell r="S1412">
            <v>43800</v>
          </cell>
          <cell r="T1412">
            <v>44500</v>
          </cell>
          <cell r="U1412">
            <v>45800</v>
          </cell>
          <cell r="V1412">
            <v>45600</v>
          </cell>
          <cell r="W1412">
            <v>48700</v>
          </cell>
        </row>
        <row r="1413">
          <cell r="A1413">
            <v>45679</v>
          </cell>
          <cell r="B1413">
            <v>46200</v>
          </cell>
          <cell r="C1413">
            <v>45700</v>
          </cell>
          <cell r="D1413">
            <v>44800</v>
          </cell>
          <cell r="E1413">
            <v>41500</v>
          </cell>
          <cell r="F1413">
            <v>45800</v>
          </cell>
          <cell r="G1413" t="str">
            <v>-</v>
          </cell>
          <cell r="H1413">
            <v>43500</v>
          </cell>
          <cell r="I1413">
            <v>44400</v>
          </cell>
          <cell r="J1413">
            <v>46000</v>
          </cell>
          <cell r="K1413" t="str">
            <v>-</v>
          </cell>
          <cell r="L1413">
            <v>46300</v>
          </cell>
          <cell r="M1413">
            <v>46900</v>
          </cell>
          <cell r="N1413">
            <v>44200</v>
          </cell>
          <cell r="O1413">
            <v>42700</v>
          </cell>
          <cell r="P1413">
            <v>41100</v>
          </cell>
          <cell r="Q1413">
            <v>41200</v>
          </cell>
          <cell r="R1413">
            <v>41500</v>
          </cell>
          <cell r="S1413">
            <v>43600</v>
          </cell>
          <cell r="T1413">
            <v>44500</v>
          </cell>
          <cell r="U1413">
            <v>45800</v>
          </cell>
          <cell r="V1413">
            <v>45600</v>
          </cell>
          <cell r="W1413">
            <v>48700</v>
          </cell>
        </row>
        <row r="1414">
          <cell r="A1414">
            <v>45680</v>
          </cell>
          <cell r="B1414">
            <v>46400</v>
          </cell>
          <cell r="C1414">
            <v>45700</v>
          </cell>
          <cell r="D1414">
            <v>45000</v>
          </cell>
          <cell r="E1414">
            <v>42000</v>
          </cell>
          <cell r="F1414">
            <v>45900</v>
          </cell>
          <cell r="G1414" t="str">
            <v>-</v>
          </cell>
          <cell r="H1414">
            <v>44000</v>
          </cell>
          <cell r="I1414">
            <v>44600</v>
          </cell>
          <cell r="J1414">
            <v>46200</v>
          </cell>
          <cell r="K1414" t="str">
            <v>-</v>
          </cell>
          <cell r="L1414">
            <v>46500</v>
          </cell>
          <cell r="M1414">
            <v>46900</v>
          </cell>
          <cell r="N1414">
            <v>44500</v>
          </cell>
          <cell r="O1414">
            <v>42800</v>
          </cell>
          <cell r="P1414">
            <v>41400</v>
          </cell>
          <cell r="Q1414">
            <v>41500</v>
          </cell>
          <cell r="R1414">
            <v>41700</v>
          </cell>
          <cell r="S1414">
            <v>43800</v>
          </cell>
          <cell r="T1414">
            <v>44800</v>
          </cell>
          <cell r="U1414">
            <v>45800</v>
          </cell>
          <cell r="V1414">
            <v>46000</v>
          </cell>
          <cell r="W1414">
            <v>48900</v>
          </cell>
        </row>
        <row r="1415">
          <cell r="A1415">
            <v>45681</v>
          </cell>
          <cell r="B1415">
            <v>46600</v>
          </cell>
          <cell r="C1415">
            <v>45700</v>
          </cell>
          <cell r="D1415">
            <v>45200</v>
          </cell>
          <cell r="E1415">
            <v>42200</v>
          </cell>
          <cell r="F1415">
            <v>46000</v>
          </cell>
          <cell r="G1415" t="str">
            <v>-</v>
          </cell>
          <cell r="H1415">
            <v>44000</v>
          </cell>
          <cell r="I1415">
            <v>44800</v>
          </cell>
          <cell r="J1415">
            <v>46500</v>
          </cell>
          <cell r="K1415" t="str">
            <v>-</v>
          </cell>
          <cell r="L1415">
            <v>46700</v>
          </cell>
          <cell r="M1415">
            <v>46900</v>
          </cell>
          <cell r="N1415">
            <v>45000</v>
          </cell>
          <cell r="O1415">
            <v>43000</v>
          </cell>
          <cell r="P1415">
            <v>41500</v>
          </cell>
          <cell r="Q1415">
            <v>41500</v>
          </cell>
          <cell r="R1415">
            <v>41800</v>
          </cell>
          <cell r="S1415">
            <v>44200</v>
          </cell>
          <cell r="T1415">
            <v>44800</v>
          </cell>
          <cell r="U1415">
            <v>45500</v>
          </cell>
          <cell r="V1415">
            <v>46500</v>
          </cell>
          <cell r="W1415">
            <v>49200</v>
          </cell>
        </row>
        <row r="1416">
          <cell r="A1416">
            <v>45682</v>
          </cell>
          <cell r="B1416">
            <v>46800</v>
          </cell>
          <cell r="C1416">
            <v>45700</v>
          </cell>
          <cell r="D1416">
            <v>45200</v>
          </cell>
          <cell r="E1416">
            <v>42300</v>
          </cell>
          <cell r="F1416">
            <v>46000</v>
          </cell>
          <cell r="G1416" t="str">
            <v>-</v>
          </cell>
          <cell r="H1416">
            <v>44000</v>
          </cell>
          <cell r="I1416">
            <v>44800</v>
          </cell>
          <cell r="J1416">
            <v>46500</v>
          </cell>
          <cell r="K1416" t="str">
            <v>-</v>
          </cell>
          <cell r="L1416">
            <v>46700</v>
          </cell>
          <cell r="M1416">
            <v>46900</v>
          </cell>
          <cell r="N1416">
            <v>44700</v>
          </cell>
          <cell r="O1416">
            <v>42900</v>
          </cell>
          <cell r="P1416">
            <v>41300</v>
          </cell>
          <cell r="Q1416">
            <v>41500</v>
          </cell>
          <cell r="R1416">
            <v>41700</v>
          </cell>
          <cell r="S1416">
            <v>44400</v>
          </cell>
          <cell r="T1416">
            <v>44800</v>
          </cell>
          <cell r="U1416">
            <v>45500</v>
          </cell>
          <cell r="V1416">
            <v>46500</v>
          </cell>
          <cell r="W1416">
            <v>49200</v>
          </cell>
        </row>
        <row r="1417">
          <cell r="A1417">
            <v>45683</v>
          </cell>
          <cell r="B1417" t="str">
            <v>H</v>
          </cell>
          <cell r="C1417" t="str">
            <v>H</v>
          </cell>
          <cell r="D1417" t="str">
            <v>H</v>
          </cell>
          <cell r="E1417" t="str">
            <v>H</v>
          </cell>
          <cell r="F1417" t="str">
            <v>H</v>
          </cell>
          <cell r="G1417" t="str">
            <v>H</v>
          </cell>
          <cell r="H1417" t="str">
            <v>H</v>
          </cell>
          <cell r="I1417" t="str">
            <v>H</v>
          </cell>
          <cell r="J1417" t="str">
            <v>H</v>
          </cell>
          <cell r="K1417" t="str">
            <v>H</v>
          </cell>
          <cell r="L1417" t="str">
            <v>H</v>
          </cell>
          <cell r="M1417" t="str">
            <v>H</v>
          </cell>
          <cell r="N1417" t="str">
            <v>H</v>
          </cell>
          <cell r="O1417" t="str">
            <v>H</v>
          </cell>
          <cell r="P1417" t="str">
            <v>H</v>
          </cell>
          <cell r="Q1417" t="str">
            <v>H</v>
          </cell>
          <cell r="R1417" t="str">
            <v>H</v>
          </cell>
          <cell r="S1417" t="str">
            <v>H</v>
          </cell>
          <cell r="T1417" t="str">
            <v>H</v>
          </cell>
          <cell r="U1417" t="str">
            <v>H</v>
          </cell>
          <cell r="V1417" t="str">
            <v>H</v>
          </cell>
          <cell r="W1417" t="str">
            <v>H</v>
          </cell>
        </row>
        <row r="1418">
          <cell r="A1418">
            <v>45684</v>
          </cell>
          <cell r="B1418">
            <v>47000</v>
          </cell>
          <cell r="C1418">
            <v>45800</v>
          </cell>
          <cell r="D1418">
            <v>45700</v>
          </cell>
          <cell r="E1418">
            <v>42700</v>
          </cell>
          <cell r="F1418">
            <v>46000</v>
          </cell>
          <cell r="G1418" t="str">
            <v>-</v>
          </cell>
          <cell r="H1418">
            <v>44000</v>
          </cell>
          <cell r="I1418">
            <v>45200</v>
          </cell>
          <cell r="J1418">
            <v>46800</v>
          </cell>
          <cell r="K1418" t="str">
            <v>-</v>
          </cell>
          <cell r="L1418">
            <v>47000</v>
          </cell>
          <cell r="M1418">
            <v>47000</v>
          </cell>
          <cell r="N1418">
            <v>45700</v>
          </cell>
          <cell r="O1418">
            <v>43300</v>
          </cell>
          <cell r="P1418">
            <v>42000</v>
          </cell>
          <cell r="Q1418">
            <v>42100</v>
          </cell>
          <cell r="R1418">
            <v>42000</v>
          </cell>
          <cell r="S1418">
            <v>44800</v>
          </cell>
          <cell r="T1418">
            <v>45100</v>
          </cell>
          <cell r="U1418">
            <v>45800</v>
          </cell>
          <cell r="V1418">
            <v>46700</v>
          </cell>
          <cell r="W1418">
            <v>49200</v>
          </cell>
        </row>
        <row r="1419">
          <cell r="A1419">
            <v>45685</v>
          </cell>
          <cell r="B1419">
            <v>47300</v>
          </cell>
          <cell r="C1419">
            <v>45800</v>
          </cell>
          <cell r="D1419">
            <v>46000</v>
          </cell>
          <cell r="E1419">
            <v>42900</v>
          </cell>
          <cell r="F1419">
            <v>46500</v>
          </cell>
          <cell r="G1419" t="str">
            <v>-</v>
          </cell>
          <cell r="H1419">
            <v>44500</v>
          </cell>
          <cell r="I1419">
            <v>45500</v>
          </cell>
          <cell r="J1419">
            <v>46800</v>
          </cell>
          <cell r="K1419" t="str">
            <v>-</v>
          </cell>
          <cell r="L1419">
            <v>47200</v>
          </cell>
          <cell r="M1419">
            <v>47100</v>
          </cell>
          <cell r="N1419">
            <v>45800</v>
          </cell>
          <cell r="O1419">
            <v>43300</v>
          </cell>
          <cell r="P1419">
            <v>42000</v>
          </cell>
          <cell r="Q1419">
            <v>42300</v>
          </cell>
          <cell r="R1419">
            <v>42100</v>
          </cell>
          <cell r="S1419">
            <v>45000</v>
          </cell>
          <cell r="T1419">
            <v>45600</v>
          </cell>
          <cell r="U1419">
            <v>45800</v>
          </cell>
          <cell r="V1419">
            <v>46800</v>
          </cell>
          <cell r="W1419">
            <v>49200</v>
          </cell>
        </row>
        <row r="1420">
          <cell r="A1420">
            <v>45686</v>
          </cell>
          <cell r="B1420">
            <v>47500</v>
          </cell>
          <cell r="C1420">
            <v>45800</v>
          </cell>
          <cell r="D1420">
            <v>46000</v>
          </cell>
          <cell r="E1420">
            <v>43100</v>
          </cell>
          <cell r="F1420">
            <v>46500</v>
          </cell>
          <cell r="G1420" t="str">
            <v>-</v>
          </cell>
          <cell r="H1420">
            <v>44500</v>
          </cell>
          <cell r="I1420">
            <v>45500</v>
          </cell>
          <cell r="J1420">
            <v>46800</v>
          </cell>
          <cell r="K1420" t="str">
            <v>-</v>
          </cell>
          <cell r="L1420">
            <v>47200</v>
          </cell>
          <cell r="M1420">
            <v>47100</v>
          </cell>
          <cell r="N1420">
            <v>46000</v>
          </cell>
          <cell r="O1420">
            <v>43400</v>
          </cell>
          <cell r="P1420">
            <v>42000</v>
          </cell>
          <cell r="Q1420">
            <v>42200</v>
          </cell>
          <cell r="R1420">
            <v>42300</v>
          </cell>
          <cell r="S1420">
            <v>45200</v>
          </cell>
          <cell r="T1420">
            <v>45600</v>
          </cell>
          <cell r="U1420">
            <v>45800</v>
          </cell>
          <cell r="V1420">
            <v>46800</v>
          </cell>
          <cell r="W1420">
            <v>49200</v>
          </cell>
        </row>
        <row r="1421">
          <cell r="A1421">
            <v>45687</v>
          </cell>
          <cell r="B1421">
            <v>47600</v>
          </cell>
          <cell r="C1421">
            <v>45800</v>
          </cell>
          <cell r="D1421">
            <v>46000</v>
          </cell>
          <cell r="E1421">
            <v>43000</v>
          </cell>
          <cell r="F1421">
            <v>46700</v>
          </cell>
          <cell r="G1421" t="str">
            <v>-</v>
          </cell>
          <cell r="H1421">
            <v>44500</v>
          </cell>
          <cell r="I1421">
            <v>45400</v>
          </cell>
          <cell r="J1421">
            <v>46800</v>
          </cell>
          <cell r="K1421" t="str">
            <v>-</v>
          </cell>
          <cell r="L1421">
            <v>47200</v>
          </cell>
          <cell r="M1421">
            <v>47100</v>
          </cell>
          <cell r="N1421">
            <v>45700</v>
          </cell>
          <cell r="O1421">
            <v>43400</v>
          </cell>
          <cell r="P1421">
            <v>41800</v>
          </cell>
          <cell r="Q1421">
            <v>42200</v>
          </cell>
          <cell r="R1421">
            <v>42500</v>
          </cell>
          <cell r="S1421">
            <v>45100</v>
          </cell>
          <cell r="T1421">
            <v>45600</v>
          </cell>
          <cell r="U1421">
            <v>45800</v>
          </cell>
          <cell r="V1421">
            <v>47000</v>
          </cell>
          <cell r="W1421">
            <v>49600</v>
          </cell>
        </row>
        <row r="1422">
          <cell r="A1422">
            <v>45688</v>
          </cell>
          <cell r="B1422">
            <v>47600</v>
          </cell>
          <cell r="C1422">
            <v>45800</v>
          </cell>
          <cell r="D1422">
            <v>46100</v>
          </cell>
          <cell r="E1422">
            <v>43100</v>
          </cell>
          <cell r="F1422">
            <v>46700</v>
          </cell>
          <cell r="G1422" t="str">
            <v>-</v>
          </cell>
          <cell r="H1422">
            <v>44500</v>
          </cell>
          <cell r="I1422">
            <v>45500</v>
          </cell>
          <cell r="J1422">
            <v>47000</v>
          </cell>
          <cell r="K1422" t="str">
            <v>-</v>
          </cell>
          <cell r="L1422">
            <v>47400</v>
          </cell>
          <cell r="M1422">
            <v>47100</v>
          </cell>
          <cell r="N1422">
            <v>45900</v>
          </cell>
          <cell r="O1422">
            <v>43400</v>
          </cell>
          <cell r="P1422">
            <v>42200</v>
          </cell>
          <cell r="Q1422">
            <v>42200</v>
          </cell>
          <cell r="R1422">
            <v>42500</v>
          </cell>
          <cell r="S1422">
            <v>45100</v>
          </cell>
          <cell r="T1422">
            <v>45600</v>
          </cell>
          <cell r="U1422">
            <v>45800</v>
          </cell>
          <cell r="V1422">
            <v>47200</v>
          </cell>
          <cell r="W1422">
            <v>49600</v>
          </cell>
        </row>
        <row r="1423">
          <cell r="A1423">
            <v>45689</v>
          </cell>
          <cell r="B1423">
            <v>47600</v>
          </cell>
          <cell r="C1423">
            <v>45800</v>
          </cell>
          <cell r="D1423">
            <v>46000</v>
          </cell>
          <cell r="E1423">
            <v>43000</v>
          </cell>
          <cell r="F1423">
            <v>46700</v>
          </cell>
          <cell r="G1423" t="str">
            <v>-</v>
          </cell>
          <cell r="H1423">
            <v>44500</v>
          </cell>
          <cell r="I1423">
            <v>45500</v>
          </cell>
          <cell r="J1423">
            <v>47000</v>
          </cell>
          <cell r="K1423" t="str">
            <v>-</v>
          </cell>
          <cell r="L1423">
            <v>47300</v>
          </cell>
          <cell r="M1423">
            <v>47100</v>
          </cell>
          <cell r="N1423">
            <v>45600</v>
          </cell>
          <cell r="O1423">
            <v>43300</v>
          </cell>
          <cell r="P1423">
            <v>42000</v>
          </cell>
          <cell r="Q1423">
            <v>42100</v>
          </cell>
          <cell r="R1423">
            <v>42300</v>
          </cell>
          <cell r="S1423">
            <v>45300</v>
          </cell>
          <cell r="T1423">
            <v>45600</v>
          </cell>
          <cell r="U1423">
            <v>46300</v>
          </cell>
          <cell r="V1423">
            <v>47200</v>
          </cell>
          <cell r="W1423">
            <v>49600</v>
          </cell>
        </row>
        <row r="1424">
          <cell r="A1424">
            <v>45690</v>
          </cell>
          <cell r="B1424" t="str">
            <v>H</v>
          </cell>
          <cell r="C1424" t="str">
            <v>H</v>
          </cell>
          <cell r="D1424" t="str">
            <v>H</v>
          </cell>
          <cell r="E1424" t="str">
            <v>H</v>
          </cell>
          <cell r="F1424" t="str">
            <v>H</v>
          </cell>
          <cell r="G1424" t="str">
            <v>H</v>
          </cell>
          <cell r="H1424" t="str">
            <v>H</v>
          </cell>
          <cell r="I1424" t="str">
            <v>H</v>
          </cell>
          <cell r="J1424" t="str">
            <v>H</v>
          </cell>
          <cell r="K1424" t="str">
            <v>H</v>
          </cell>
          <cell r="L1424" t="str">
            <v>H</v>
          </cell>
          <cell r="M1424" t="str">
            <v>H</v>
          </cell>
          <cell r="N1424" t="str">
            <v>H</v>
          </cell>
          <cell r="O1424" t="str">
            <v>H</v>
          </cell>
          <cell r="P1424" t="str">
            <v>H</v>
          </cell>
          <cell r="Q1424" t="str">
            <v>H</v>
          </cell>
          <cell r="R1424" t="str">
            <v>H</v>
          </cell>
          <cell r="S1424" t="str">
            <v>H</v>
          </cell>
          <cell r="T1424" t="str">
            <v>H</v>
          </cell>
          <cell r="U1424" t="str">
            <v>H</v>
          </cell>
          <cell r="V1424" t="str">
            <v>H</v>
          </cell>
          <cell r="W1424" t="str">
            <v>H</v>
          </cell>
        </row>
        <row r="1425">
          <cell r="A1425">
            <v>45691</v>
          </cell>
          <cell r="B1425">
            <v>47200</v>
          </cell>
          <cell r="C1425">
            <v>45800</v>
          </cell>
          <cell r="D1425">
            <v>45800</v>
          </cell>
          <cell r="E1425">
            <v>42900</v>
          </cell>
          <cell r="F1425">
            <v>46500</v>
          </cell>
          <cell r="G1425" t="str">
            <v>-</v>
          </cell>
          <cell r="H1425">
            <v>44000</v>
          </cell>
          <cell r="I1425">
            <v>45200</v>
          </cell>
          <cell r="J1425">
            <v>47000</v>
          </cell>
          <cell r="K1425" t="str">
            <v>-</v>
          </cell>
          <cell r="L1425">
            <v>47200</v>
          </cell>
          <cell r="M1425">
            <v>47100</v>
          </cell>
          <cell r="N1425">
            <v>45300</v>
          </cell>
          <cell r="O1425">
            <v>43300</v>
          </cell>
          <cell r="P1425">
            <v>41600</v>
          </cell>
          <cell r="Q1425">
            <v>42000</v>
          </cell>
          <cell r="R1425">
            <v>42300</v>
          </cell>
          <cell r="S1425">
            <v>45000</v>
          </cell>
          <cell r="T1425">
            <v>45500</v>
          </cell>
          <cell r="U1425">
            <v>46300</v>
          </cell>
          <cell r="V1425">
            <v>47200</v>
          </cell>
          <cell r="W1425">
            <v>49400</v>
          </cell>
        </row>
        <row r="1426">
          <cell r="A1426">
            <v>45692</v>
          </cell>
          <cell r="B1426">
            <v>47200</v>
          </cell>
          <cell r="C1426">
            <v>45800</v>
          </cell>
          <cell r="D1426">
            <v>45500</v>
          </cell>
          <cell r="E1426">
            <v>42800</v>
          </cell>
          <cell r="F1426">
            <v>46300</v>
          </cell>
          <cell r="G1426" t="str">
            <v>-</v>
          </cell>
          <cell r="H1426">
            <v>44500</v>
          </cell>
          <cell r="I1426">
            <v>44900</v>
          </cell>
          <cell r="J1426">
            <v>47000</v>
          </cell>
          <cell r="K1426" t="str">
            <v>-</v>
          </cell>
          <cell r="L1426">
            <v>47100</v>
          </cell>
          <cell r="M1426">
            <v>47100</v>
          </cell>
          <cell r="N1426">
            <v>45200</v>
          </cell>
          <cell r="O1426">
            <v>43200</v>
          </cell>
          <cell r="P1426">
            <v>41500</v>
          </cell>
          <cell r="Q1426">
            <v>42000</v>
          </cell>
          <cell r="R1426">
            <v>42200</v>
          </cell>
          <cell r="S1426">
            <v>44900</v>
          </cell>
          <cell r="T1426">
            <v>45500</v>
          </cell>
          <cell r="U1426">
            <v>46300</v>
          </cell>
          <cell r="V1426">
            <v>47200</v>
          </cell>
          <cell r="W1426">
            <v>49400</v>
          </cell>
        </row>
        <row r="1427">
          <cell r="A1427">
            <v>45693</v>
          </cell>
          <cell r="B1427">
            <v>46700</v>
          </cell>
          <cell r="C1427">
            <v>45700</v>
          </cell>
          <cell r="D1427">
            <v>45300</v>
          </cell>
          <cell r="E1427">
            <v>42700</v>
          </cell>
          <cell r="F1427">
            <v>46200</v>
          </cell>
          <cell r="G1427" t="str">
            <v>-</v>
          </cell>
          <cell r="H1427">
            <v>44500</v>
          </cell>
          <cell r="I1427">
            <v>44700</v>
          </cell>
          <cell r="J1427">
            <v>46800</v>
          </cell>
          <cell r="K1427" t="str">
            <v>-</v>
          </cell>
          <cell r="L1427">
            <v>46900</v>
          </cell>
          <cell r="M1427">
            <v>47000</v>
          </cell>
          <cell r="N1427">
            <v>44900</v>
          </cell>
          <cell r="O1427">
            <v>43000</v>
          </cell>
          <cell r="P1427">
            <v>41500</v>
          </cell>
          <cell r="Q1427">
            <v>41800</v>
          </cell>
          <cell r="R1427">
            <v>42000</v>
          </cell>
          <cell r="S1427">
            <v>44800</v>
          </cell>
          <cell r="T1427">
            <v>45100</v>
          </cell>
          <cell r="U1427">
            <v>46300</v>
          </cell>
          <cell r="V1427">
            <v>47000</v>
          </cell>
          <cell r="W1427">
            <v>49400</v>
          </cell>
        </row>
        <row r="1428">
          <cell r="A1428">
            <v>45694</v>
          </cell>
          <cell r="B1428">
            <v>47000</v>
          </cell>
          <cell r="C1428">
            <v>45700</v>
          </cell>
          <cell r="D1428">
            <v>45600</v>
          </cell>
          <cell r="E1428">
            <v>43000</v>
          </cell>
          <cell r="F1428">
            <v>46400</v>
          </cell>
          <cell r="G1428" t="str">
            <v>-</v>
          </cell>
          <cell r="H1428">
            <v>44500</v>
          </cell>
          <cell r="I1428">
            <v>44900</v>
          </cell>
          <cell r="J1428">
            <v>46800</v>
          </cell>
          <cell r="K1428" t="str">
            <v>-</v>
          </cell>
          <cell r="L1428">
            <v>47000</v>
          </cell>
          <cell r="M1428">
            <v>47100</v>
          </cell>
          <cell r="N1428">
            <v>45200</v>
          </cell>
          <cell r="O1428">
            <v>43200</v>
          </cell>
          <cell r="P1428">
            <v>42000</v>
          </cell>
          <cell r="Q1428">
            <v>42000</v>
          </cell>
          <cell r="R1428">
            <v>42200</v>
          </cell>
          <cell r="S1428">
            <v>45100</v>
          </cell>
          <cell r="T1428">
            <v>45300</v>
          </cell>
          <cell r="U1428">
            <v>46300</v>
          </cell>
          <cell r="V1428">
            <v>47000</v>
          </cell>
          <cell r="W1428">
            <v>49400</v>
          </cell>
        </row>
        <row r="1429">
          <cell r="A1429">
            <v>45695</v>
          </cell>
          <cell r="B1429">
            <v>47000</v>
          </cell>
          <cell r="C1429">
            <v>45700</v>
          </cell>
          <cell r="D1429">
            <v>45900</v>
          </cell>
          <cell r="E1429">
            <v>42700</v>
          </cell>
          <cell r="F1429">
            <v>46400</v>
          </cell>
          <cell r="G1429" t="str">
            <v>-</v>
          </cell>
          <cell r="H1429">
            <v>44500</v>
          </cell>
          <cell r="I1429">
            <v>45000</v>
          </cell>
          <cell r="J1429">
            <v>46800</v>
          </cell>
          <cell r="K1429" t="str">
            <v>-</v>
          </cell>
          <cell r="L1429">
            <v>47000</v>
          </cell>
          <cell r="M1429">
            <v>47100</v>
          </cell>
          <cell r="N1429">
            <v>45200</v>
          </cell>
          <cell r="O1429">
            <v>43100</v>
          </cell>
          <cell r="P1429">
            <v>42000</v>
          </cell>
          <cell r="Q1429">
            <v>41900</v>
          </cell>
          <cell r="R1429">
            <v>42100</v>
          </cell>
          <cell r="S1429">
            <v>44800</v>
          </cell>
          <cell r="T1429">
            <v>45200</v>
          </cell>
          <cell r="U1429">
            <v>46300</v>
          </cell>
          <cell r="V1429">
            <v>47000</v>
          </cell>
          <cell r="W1429">
            <v>49400</v>
          </cell>
        </row>
        <row r="1430">
          <cell r="A1430">
            <v>45696</v>
          </cell>
          <cell r="B1430">
            <v>46700</v>
          </cell>
          <cell r="C1430">
            <v>45700</v>
          </cell>
          <cell r="D1430">
            <v>46000</v>
          </cell>
          <cell r="E1430">
            <v>42800</v>
          </cell>
          <cell r="F1430">
            <v>46400</v>
          </cell>
          <cell r="G1430" t="str">
            <v>-</v>
          </cell>
          <cell r="H1430">
            <v>45000</v>
          </cell>
          <cell r="I1430">
            <v>45100</v>
          </cell>
          <cell r="J1430">
            <v>46800</v>
          </cell>
          <cell r="K1430" t="str">
            <v>-</v>
          </cell>
          <cell r="L1430">
            <v>46900</v>
          </cell>
          <cell r="M1430">
            <v>47000</v>
          </cell>
          <cell r="N1430">
            <v>45200</v>
          </cell>
          <cell r="O1430">
            <v>43300</v>
          </cell>
          <cell r="P1430">
            <v>41700</v>
          </cell>
          <cell r="Q1430">
            <v>42100</v>
          </cell>
          <cell r="R1430">
            <v>42300</v>
          </cell>
          <cell r="S1430">
            <v>44900</v>
          </cell>
          <cell r="T1430">
            <v>45300</v>
          </cell>
          <cell r="U1430">
            <v>46400</v>
          </cell>
          <cell r="V1430">
            <v>47300</v>
          </cell>
          <cell r="W1430">
            <v>49400</v>
          </cell>
        </row>
        <row r="1431">
          <cell r="A1431">
            <v>45697</v>
          </cell>
          <cell r="B1431" t="str">
            <v>H</v>
          </cell>
          <cell r="C1431" t="str">
            <v>H</v>
          </cell>
          <cell r="D1431" t="str">
            <v>H</v>
          </cell>
          <cell r="E1431" t="str">
            <v>H</v>
          </cell>
          <cell r="F1431" t="str">
            <v>H</v>
          </cell>
          <cell r="G1431" t="str">
            <v>H</v>
          </cell>
          <cell r="H1431" t="str">
            <v>H</v>
          </cell>
          <cell r="I1431" t="str">
            <v>H</v>
          </cell>
          <cell r="J1431" t="str">
            <v>H</v>
          </cell>
          <cell r="K1431" t="str">
            <v>H</v>
          </cell>
          <cell r="L1431" t="str">
            <v>H</v>
          </cell>
          <cell r="M1431" t="str">
            <v>H</v>
          </cell>
          <cell r="N1431" t="str">
            <v>H</v>
          </cell>
          <cell r="O1431" t="str">
            <v>H</v>
          </cell>
          <cell r="P1431" t="str">
            <v>H</v>
          </cell>
          <cell r="Q1431" t="str">
            <v>H</v>
          </cell>
          <cell r="R1431" t="str">
            <v>H</v>
          </cell>
          <cell r="S1431" t="str">
            <v>H</v>
          </cell>
          <cell r="T1431" t="str">
            <v>H</v>
          </cell>
          <cell r="U1431" t="str">
            <v>H</v>
          </cell>
          <cell r="V1431" t="str">
            <v>H</v>
          </cell>
          <cell r="W1431" t="str">
            <v>H</v>
          </cell>
        </row>
        <row r="1432">
          <cell r="A1432">
            <v>45698</v>
          </cell>
          <cell r="B1432">
            <v>47200</v>
          </cell>
          <cell r="C1432">
            <v>45900</v>
          </cell>
          <cell r="D1432">
            <v>46200</v>
          </cell>
          <cell r="E1432">
            <v>43200</v>
          </cell>
          <cell r="F1432">
            <v>46700</v>
          </cell>
          <cell r="G1432" t="str">
            <v>-</v>
          </cell>
          <cell r="H1432">
            <v>45000</v>
          </cell>
          <cell r="I1432">
            <v>45200</v>
          </cell>
          <cell r="J1432">
            <v>47500</v>
          </cell>
          <cell r="K1432" t="str">
            <v>-</v>
          </cell>
          <cell r="L1432">
            <v>47200</v>
          </cell>
          <cell r="M1432">
            <v>47500</v>
          </cell>
          <cell r="N1432">
            <v>45600</v>
          </cell>
          <cell r="O1432">
            <v>43500</v>
          </cell>
          <cell r="P1432">
            <v>42000</v>
          </cell>
          <cell r="Q1432">
            <v>42700</v>
          </cell>
          <cell r="R1432">
            <v>42800</v>
          </cell>
          <cell r="S1432">
            <v>45300</v>
          </cell>
          <cell r="T1432">
            <v>45800</v>
          </cell>
          <cell r="U1432">
            <v>46500</v>
          </cell>
          <cell r="V1432">
            <v>47400</v>
          </cell>
          <cell r="W1432">
            <v>49600</v>
          </cell>
        </row>
        <row r="1433">
          <cell r="A1433">
            <v>45699</v>
          </cell>
          <cell r="B1433">
            <v>47200</v>
          </cell>
          <cell r="C1433">
            <v>46000</v>
          </cell>
          <cell r="D1433">
            <v>46700</v>
          </cell>
          <cell r="E1433">
            <v>43100</v>
          </cell>
          <cell r="F1433">
            <v>47000</v>
          </cell>
          <cell r="G1433" t="str">
            <v>-</v>
          </cell>
          <cell r="H1433">
            <v>44700</v>
          </cell>
          <cell r="I1433">
            <v>45400</v>
          </cell>
          <cell r="J1433">
            <v>47500</v>
          </cell>
          <cell r="K1433" t="str">
            <v>-</v>
          </cell>
          <cell r="L1433">
            <v>47200</v>
          </cell>
          <cell r="M1433">
            <v>47600</v>
          </cell>
          <cell r="N1433">
            <v>45600</v>
          </cell>
          <cell r="O1433">
            <v>43400</v>
          </cell>
          <cell r="P1433">
            <v>42000</v>
          </cell>
          <cell r="Q1433">
            <v>42600</v>
          </cell>
          <cell r="R1433">
            <v>42700</v>
          </cell>
          <cell r="S1433">
            <v>45200</v>
          </cell>
          <cell r="T1433">
            <v>45800</v>
          </cell>
          <cell r="U1433">
            <v>46500</v>
          </cell>
          <cell r="V1433">
            <v>47400</v>
          </cell>
          <cell r="W1433">
            <v>49600</v>
          </cell>
        </row>
        <row r="1434">
          <cell r="A1434">
            <v>45700</v>
          </cell>
          <cell r="B1434">
            <v>47200</v>
          </cell>
          <cell r="C1434">
            <v>46000</v>
          </cell>
          <cell r="D1434">
            <v>46700</v>
          </cell>
          <cell r="E1434">
            <v>42900</v>
          </cell>
          <cell r="F1434">
            <v>47000</v>
          </cell>
          <cell r="G1434" t="str">
            <v>-</v>
          </cell>
          <cell r="H1434">
            <v>44300</v>
          </cell>
          <cell r="I1434">
            <v>45200</v>
          </cell>
          <cell r="J1434">
            <v>47100</v>
          </cell>
          <cell r="K1434" t="str">
            <v>-</v>
          </cell>
          <cell r="L1434">
            <v>47100</v>
          </cell>
          <cell r="M1434">
            <v>47700</v>
          </cell>
          <cell r="N1434">
            <v>45400</v>
          </cell>
          <cell r="O1434">
            <v>43200</v>
          </cell>
          <cell r="P1434">
            <v>41500</v>
          </cell>
          <cell r="Q1434">
            <v>42600</v>
          </cell>
          <cell r="R1434">
            <v>42500</v>
          </cell>
          <cell r="S1434">
            <v>45000</v>
          </cell>
          <cell r="T1434">
            <v>45700</v>
          </cell>
          <cell r="U1434">
            <v>46500</v>
          </cell>
          <cell r="V1434">
            <v>47400</v>
          </cell>
          <cell r="W1434">
            <v>49600</v>
          </cell>
        </row>
        <row r="1435">
          <cell r="A1435">
            <v>45701</v>
          </cell>
          <cell r="B1435">
            <v>47200</v>
          </cell>
          <cell r="C1435">
            <v>46000</v>
          </cell>
          <cell r="D1435">
            <v>46500</v>
          </cell>
          <cell r="E1435">
            <v>43300</v>
          </cell>
          <cell r="F1435">
            <v>47000</v>
          </cell>
          <cell r="G1435" t="str">
            <v>-</v>
          </cell>
          <cell r="H1435">
            <v>45000</v>
          </cell>
          <cell r="I1435">
            <v>45000</v>
          </cell>
          <cell r="J1435">
            <v>47100</v>
          </cell>
          <cell r="K1435" t="str">
            <v>-</v>
          </cell>
          <cell r="L1435">
            <v>47100</v>
          </cell>
          <cell r="M1435">
            <v>47800</v>
          </cell>
          <cell r="N1435">
            <v>45600</v>
          </cell>
          <cell r="O1435">
            <v>43800</v>
          </cell>
          <cell r="P1435">
            <v>42800</v>
          </cell>
          <cell r="Q1435">
            <v>42800</v>
          </cell>
          <cell r="R1435">
            <v>42800</v>
          </cell>
          <cell r="S1435">
            <v>45400</v>
          </cell>
          <cell r="T1435">
            <v>46000</v>
          </cell>
          <cell r="U1435">
            <v>46500</v>
          </cell>
          <cell r="V1435">
            <v>47400</v>
          </cell>
          <cell r="W1435">
            <v>49600</v>
          </cell>
        </row>
        <row r="1436">
          <cell r="A1436">
            <v>45702</v>
          </cell>
          <cell r="B1436">
            <v>47000</v>
          </cell>
          <cell r="C1436">
            <v>46000</v>
          </cell>
          <cell r="D1436">
            <v>46400</v>
          </cell>
          <cell r="E1436">
            <v>43000</v>
          </cell>
          <cell r="F1436">
            <v>47400</v>
          </cell>
          <cell r="G1436" t="str">
            <v>-</v>
          </cell>
          <cell r="H1436">
            <v>45000</v>
          </cell>
          <cell r="I1436">
            <v>45000</v>
          </cell>
          <cell r="J1436">
            <v>47100</v>
          </cell>
          <cell r="K1436" t="str">
            <v>-</v>
          </cell>
          <cell r="L1436">
            <v>46900</v>
          </cell>
          <cell r="M1436">
            <v>47900</v>
          </cell>
          <cell r="N1436">
            <v>45400</v>
          </cell>
          <cell r="O1436">
            <v>43700</v>
          </cell>
          <cell r="P1436">
            <v>42600</v>
          </cell>
          <cell r="Q1436">
            <v>42600</v>
          </cell>
          <cell r="R1436">
            <v>42700</v>
          </cell>
          <cell r="S1436">
            <v>45100</v>
          </cell>
          <cell r="T1436">
            <v>45900</v>
          </cell>
          <cell r="U1436">
            <v>46500</v>
          </cell>
          <cell r="V1436">
            <v>47300</v>
          </cell>
          <cell r="W1436">
            <v>49600</v>
          </cell>
        </row>
        <row r="1437">
          <cell r="A1437">
            <v>45703</v>
          </cell>
          <cell r="B1437">
            <v>46900</v>
          </cell>
          <cell r="C1437">
            <v>46000</v>
          </cell>
          <cell r="D1437">
            <v>46300</v>
          </cell>
          <cell r="E1437">
            <v>43000</v>
          </cell>
          <cell r="F1437">
            <v>47400</v>
          </cell>
          <cell r="G1437" t="str">
            <v>-</v>
          </cell>
          <cell r="H1437">
            <v>45000</v>
          </cell>
          <cell r="I1437">
            <v>44900</v>
          </cell>
          <cell r="J1437">
            <v>47100</v>
          </cell>
          <cell r="K1437" t="str">
            <v>-</v>
          </cell>
          <cell r="L1437">
            <v>46900</v>
          </cell>
          <cell r="M1437">
            <v>48000</v>
          </cell>
          <cell r="N1437">
            <v>45300</v>
          </cell>
          <cell r="O1437">
            <v>43600</v>
          </cell>
          <cell r="P1437">
            <v>42500</v>
          </cell>
          <cell r="Q1437">
            <v>42600</v>
          </cell>
          <cell r="R1437">
            <v>42600</v>
          </cell>
          <cell r="S1437">
            <v>45100</v>
          </cell>
          <cell r="T1437">
            <v>45900</v>
          </cell>
          <cell r="U1437">
            <v>46500</v>
          </cell>
          <cell r="V1437">
            <v>47300</v>
          </cell>
          <cell r="W1437">
            <v>49600</v>
          </cell>
        </row>
        <row r="1438">
          <cell r="A1438">
            <v>45704</v>
          </cell>
          <cell r="B1438" t="str">
            <v>H</v>
          </cell>
          <cell r="C1438" t="str">
            <v>H</v>
          </cell>
          <cell r="D1438" t="str">
            <v>H</v>
          </cell>
          <cell r="E1438" t="str">
            <v>H</v>
          </cell>
          <cell r="F1438" t="str">
            <v>H</v>
          </cell>
          <cell r="G1438" t="str">
            <v>H</v>
          </cell>
          <cell r="H1438" t="str">
            <v>H</v>
          </cell>
          <cell r="I1438" t="str">
            <v>H</v>
          </cell>
          <cell r="J1438" t="str">
            <v>H</v>
          </cell>
          <cell r="K1438" t="str">
            <v>H</v>
          </cell>
          <cell r="L1438" t="str">
            <v>H</v>
          </cell>
          <cell r="M1438" t="str">
            <v>H</v>
          </cell>
          <cell r="N1438" t="str">
            <v>H</v>
          </cell>
          <cell r="O1438" t="str">
            <v>H</v>
          </cell>
          <cell r="P1438" t="str">
            <v>H</v>
          </cell>
          <cell r="Q1438" t="str">
            <v>H</v>
          </cell>
          <cell r="R1438" t="str">
            <v>H</v>
          </cell>
          <cell r="S1438" t="str">
            <v>H</v>
          </cell>
          <cell r="T1438" t="str">
            <v>H</v>
          </cell>
          <cell r="U1438" t="str">
            <v>H</v>
          </cell>
          <cell r="V1438" t="str">
            <v>H</v>
          </cell>
          <cell r="W1438" t="str">
            <v>H</v>
          </cell>
        </row>
        <row r="1439">
          <cell r="A1439">
            <v>45705</v>
          </cell>
          <cell r="B1439">
            <v>46700</v>
          </cell>
          <cell r="C1439">
            <v>46000</v>
          </cell>
          <cell r="D1439">
            <v>46000</v>
          </cell>
          <cell r="E1439">
            <v>42800</v>
          </cell>
          <cell r="F1439">
            <v>47300</v>
          </cell>
          <cell r="G1439" t="str">
            <v>-</v>
          </cell>
          <cell r="H1439">
            <v>44500</v>
          </cell>
          <cell r="I1439">
            <v>44700</v>
          </cell>
          <cell r="J1439">
            <v>46900</v>
          </cell>
          <cell r="K1439" t="str">
            <v>-</v>
          </cell>
          <cell r="L1439">
            <v>46700</v>
          </cell>
          <cell r="M1439">
            <v>48000</v>
          </cell>
          <cell r="N1439">
            <v>45000</v>
          </cell>
          <cell r="O1439">
            <v>43500</v>
          </cell>
          <cell r="P1439">
            <v>42300</v>
          </cell>
          <cell r="Q1439">
            <v>42400</v>
          </cell>
          <cell r="R1439">
            <v>42500</v>
          </cell>
          <cell r="S1439">
            <v>44900</v>
          </cell>
          <cell r="T1439">
            <v>45700</v>
          </cell>
          <cell r="U1439">
            <v>46500</v>
          </cell>
          <cell r="V1439">
            <v>47100</v>
          </cell>
          <cell r="W1439">
            <v>49600</v>
          </cell>
        </row>
        <row r="1440">
          <cell r="A1440">
            <v>45706</v>
          </cell>
          <cell r="B1440">
            <v>46500</v>
          </cell>
          <cell r="C1440">
            <v>46000</v>
          </cell>
          <cell r="D1440">
            <v>46200</v>
          </cell>
          <cell r="E1440">
            <v>42800</v>
          </cell>
          <cell r="F1440">
            <v>47300</v>
          </cell>
          <cell r="G1440" t="str">
            <v>-</v>
          </cell>
          <cell r="H1440">
            <v>44300</v>
          </cell>
          <cell r="I1440">
            <v>44700</v>
          </cell>
          <cell r="J1440">
            <v>47100</v>
          </cell>
          <cell r="K1440" t="str">
            <v>-</v>
          </cell>
          <cell r="L1440">
            <v>46700</v>
          </cell>
          <cell r="M1440">
            <v>48200</v>
          </cell>
          <cell r="N1440">
            <v>44800</v>
          </cell>
          <cell r="O1440">
            <v>43500</v>
          </cell>
          <cell r="P1440">
            <v>42300</v>
          </cell>
          <cell r="Q1440">
            <v>42600</v>
          </cell>
          <cell r="R1440">
            <v>42500</v>
          </cell>
          <cell r="S1440">
            <v>44900</v>
          </cell>
          <cell r="T1440">
            <v>45700</v>
          </cell>
          <cell r="U1440">
            <v>46500</v>
          </cell>
          <cell r="V1440">
            <v>47100</v>
          </cell>
          <cell r="W1440">
            <v>49500</v>
          </cell>
        </row>
        <row r="1441">
          <cell r="A1441">
            <v>45707</v>
          </cell>
          <cell r="B1441">
            <v>46400</v>
          </cell>
          <cell r="C1441">
            <v>46000</v>
          </cell>
          <cell r="D1441">
            <v>46200</v>
          </cell>
          <cell r="E1441">
            <v>42600</v>
          </cell>
          <cell r="F1441">
            <v>47300</v>
          </cell>
          <cell r="G1441" t="str">
            <v>-</v>
          </cell>
          <cell r="H1441">
            <v>44300</v>
          </cell>
          <cell r="I1441">
            <v>44700</v>
          </cell>
          <cell r="J1441">
            <v>47100</v>
          </cell>
          <cell r="K1441" t="str">
            <v>-</v>
          </cell>
          <cell r="L1441">
            <v>46700</v>
          </cell>
          <cell r="M1441">
            <v>48200</v>
          </cell>
          <cell r="N1441">
            <v>44900</v>
          </cell>
          <cell r="O1441">
            <v>43500</v>
          </cell>
          <cell r="P1441">
            <v>42200</v>
          </cell>
          <cell r="Q1441">
            <v>42400</v>
          </cell>
          <cell r="R1441">
            <v>42500</v>
          </cell>
          <cell r="S1441">
            <v>44700</v>
          </cell>
          <cell r="T1441">
            <v>45600</v>
          </cell>
          <cell r="U1441">
            <v>46500</v>
          </cell>
          <cell r="V1441">
            <v>47200</v>
          </cell>
          <cell r="W1441">
            <v>49400</v>
          </cell>
        </row>
        <row r="1442">
          <cell r="A1442">
            <v>45708</v>
          </cell>
          <cell r="B1442">
            <v>46600</v>
          </cell>
          <cell r="C1442">
            <v>46000</v>
          </cell>
          <cell r="D1442">
            <v>46200</v>
          </cell>
          <cell r="E1442">
            <v>42900</v>
          </cell>
          <cell r="F1442">
            <v>47300</v>
          </cell>
          <cell r="G1442" t="str">
            <v>-</v>
          </cell>
          <cell r="H1442">
            <v>44300</v>
          </cell>
          <cell r="I1442">
            <v>44800</v>
          </cell>
          <cell r="J1442">
            <v>47100</v>
          </cell>
          <cell r="K1442" t="str">
            <v>-</v>
          </cell>
          <cell r="L1442">
            <v>47000</v>
          </cell>
          <cell r="M1442">
            <v>48500</v>
          </cell>
          <cell r="N1442">
            <v>45100</v>
          </cell>
          <cell r="O1442">
            <v>43800</v>
          </cell>
          <cell r="P1442">
            <v>42500</v>
          </cell>
          <cell r="Q1442">
            <v>42700</v>
          </cell>
          <cell r="R1442">
            <v>42800</v>
          </cell>
          <cell r="S1442">
            <v>45000</v>
          </cell>
          <cell r="T1442">
            <v>45800</v>
          </cell>
          <cell r="U1442">
            <v>46800</v>
          </cell>
          <cell r="V1442">
            <v>47000</v>
          </cell>
          <cell r="W1442">
            <v>49400</v>
          </cell>
        </row>
        <row r="1443">
          <cell r="A1443">
            <v>45709</v>
          </cell>
          <cell r="B1443">
            <v>46600</v>
          </cell>
          <cell r="C1443">
            <v>46000</v>
          </cell>
          <cell r="D1443">
            <v>46400</v>
          </cell>
          <cell r="E1443">
            <v>42800</v>
          </cell>
          <cell r="F1443">
            <v>47300</v>
          </cell>
          <cell r="G1443" t="str">
            <v>-</v>
          </cell>
          <cell r="H1443">
            <v>44300</v>
          </cell>
          <cell r="I1443">
            <v>44600</v>
          </cell>
          <cell r="J1443">
            <v>47100</v>
          </cell>
          <cell r="K1443" t="str">
            <v>-</v>
          </cell>
          <cell r="L1443">
            <v>46800</v>
          </cell>
          <cell r="M1443">
            <v>48600</v>
          </cell>
          <cell r="N1443">
            <v>45100</v>
          </cell>
          <cell r="O1443">
            <v>43700</v>
          </cell>
          <cell r="P1443">
            <v>42500</v>
          </cell>
          <cell r="Q1443">
            <v>42700</v>
          </cell>
          <cell r="R1443">
            <v>42700</v>
          </cell>
          <cell r="S1443">
            <v>44900</v>
          </cell>
          <cell r="T1443">
            <v>45800</v>
          </cell>
          <cell r="U1443">
            <v>46800</v>
          </cell>
          <cell r="V1443">
            <v>47000</v>
          </cell>
          <cell r="W1443">
            <v>49400</v>
          </cell>
        </row>
        <row r="1444">
          <cell r="A1444">
            <v>45710</v>
          </cell>
          <cell r="B1444">
            <v>46700</v>
          </cell>
          <cell r="C1444">
            <v>46000</v>
          </cell>
          <cell r="D1444">
            <v>46300</v>
          </cell>
          <cell r="E1444">
            <v>43000</v>
          </cell>
          <cell r="F1444">
            <v>47300</v>
          </cell>
          <cell r="G1444" t="str">
            <v>-</v>
          </cell>
          <cell r="H1444">
            <v>44300</v>
          </cell>
          <cell r="I1444">
            <v>44600</v>
          </cell>
          <cell r="J1444">
            <v>47100</v>
          </cell>
          <cell r="K1444" t="str">
            <v>-</v>
          </cell>
          <cell r="L1444">
            <v>46800</v>
          </cell>
          <cell r="M1444">
            <v>48700</v>
          </cell>
          <cell r="N1444">
            <v>45200</v>
          </cell>
          <cell r="O1444">
            <v>43700</v>
          </cell>
          <cell r="P1444">
            <v>42700</v>
          </cell>
          <cell r="Q1444">
            <v>42700</v>
          </cell>
          <cell r="R1444">
            <v>42700</v>
          </cell>
          <cell r="S1444">
            <v>45100</v>
          </cell>
          <cell r="T1444">
            <v>46000</v>
          </cell>
          <cell r="U1444">
            <v>46800</v>
          </cell>
          <cell r="V1444">
            <v>47000</v>
          </cell>
          <cell r="W1444">
            <v>49400</v>
          </cell>
        </row>
        <row r="1445">
          <cell r="A1445">
            <v>45711</v>
          </cell>
          <cell r="B1445" t="str">
            <v>H</v>
          </cell>
          <cell r="C1445" t="str">
            <v>H</v>
          </cell>
          <cell r="D1445" t="str">
            <v>H</v>
          </cell>
          <cell r="E1445" t="str">
            <v>H</v>
          </cell>
          <cell r="F1445" t="str">
            <v>H</v>
          </cell>
          <cell r="G1445" t="str">
            <v>H</v>
          </cell>
          <cell r="H1445" t="str">
            <v>H</v>
          </cell>
          <cell r="I1445" t="str">
            <v>H</v>
          </cell>
          <cell r="J1445" t="str">
            <v>H</v>
          </cell>
          <cell r="K1445" t="str">
            <v>H</v>
          </cell>
          <cell r="L1445" t="str">
            <v>H</v>
          </cell>
          <cell r="M1445" t="str">
            <v>H</v>
          </cell>
          <cell r="N1445" t="str">
            <v>H</v>
          </cell>
          <cell r="O1445" t="str">
            <v>H</v>
          </cell>
          <cell r="P1445" t="str">
            <v>H</v>
          </cell>
          <cell r="Q1445" t="str">
            <v>H</v>
          </cell>
          <cell r="R1445" t="str">
            <v>H</v>
          </cell>
          <cell r="S1445" t="str">
            <v>H</v>
          </cell>
          <cell r="T1445" t="str">
            <v>H</v>
          </cell>
          <cell r="U1445" t="str">
            <v>H</v>
          </cell>
          <cell r="V1445" t="str">
            <v>H</v>
          </cell>
          <cell r="W1445" t="str">
            <v>H</v>
          </cell>
        </row>
        <row r="1446">
          <cell r="A1446">
            <v>45712</v>
          </cell>
          <cell r="B1446">
            <v>47000</v>
          </cell>
          <cell r="C1446">
            <v>46000</v>
          </cell>
          <cell r="D1446">
            <v>46600</v>
          </cell>
          <cell r="E1446">
            <v>43200</v>
          </cell>
          <cell r="F1446">
            <v>47600</v>
          </cell>
          <cell r="G1446" t="str">
            <v>-</v>
          </cell>
          <cell r="H1446">
            <v>45000</v>
          </cell>
          <cell r="I1446">
            <v>44900</v>
          </cell>
          <cell r="J1446">
            <v>47300</v>
          </cell>
          <cell r="K1446" t="str">
            <v>-</v>
          </cell>
          <cell r="L1446">
            <v>46900</v>
          </cell>
          <cell r="M1446">
            <v>48800</v>
          </cell>
          <cell r="N1446">
            <v>45700</v>
          </cell>
          <cell r="O1446">
            <v>44000</v>
          </cell>
          <cell r="P1446">
            <v>43000</v>
          </cell>
          <cell r="Q1446">
            <v>43000</v>
          </cell>
          <cell r="R1446">
            <v>43000</v>
          </cell>
          <cell r="S1446">
            <v>45300</v>
          </cell>
          <cell r="T1446">
            <v>46300</v>
          </cell>
          <cell r="U1446">
            <v>46800</v>
          </cell>
          <cell r="V1446">
            <v>47000</v>
          </cell>
          <cell r="W1446">
            <v>49400</v>
          </cell>
        </row>
        <row r="1447">
          <cell r="A1447">
            <v>45713</v>
          </cell>
          <cell r="B1447">
            <v>47200</v>
          </cell>
          <cell r="C1447">
            <v>46000</v>
          </cell>
          <cell r="D1447">
            <v>46500</v>
          </cell>
          <cell r="E1447">
            <v>43100</v>
          </cell>
          <cell r="F1447">
            <v>48000</v>
          </cell>
          <cell r="G1447" t="str">
            <v>-</v>
          </cell>
          <cell r="H1447">
            <v>45000</v>
          </cell>
          <cell r="I1447">
            <v>45000</v>
          </cell>
          <cell r="J1447">
            <v>47500</v>
          </cell>
          <cell r="K1447" t="str">
            <v>-</v>
          </cell>
          <cell r="L1447">
            <v>46900</v>
          </cell>
          <cell r="M1447">
            <v>48800</v>
          </cell>
          <cell r="N1447">
            <v>45600</v>
          </cell>
          <cell r="O1447">
            <v>44200</v>
          </cell>
          <cell r="P1447">
            <v>42800</v>
          </cell>
          <cell r="Q1447">
            <v>43000</v>
          </cell>
          <cell r="R1447">
            <v>43200</v>
          </cell>
          <cell r="S1447">
            <v>45200</v>
          </cell>
          <cell r="T1447">
            <v>46300</v>
          </cell>
          <cell r="U1447">
            <v>46800</v>
          </cell>
          <cell r="V1447">
            <v>47500</v>
          </cell>
          <cell r="W1447">
            <v>49600</v>
          </cell>
        </row>
        <row r="1448">
          <cell r="A1448">
            <v>45714</v>
          </cell>
          <cell r="B1448">
            <v>47200</v>
          </cell>
          <cell r="C1448">
            <v>46000</v>
          </cell>
          <cell r="D1448">
            <v>46600</v>
          </cell>
          <cell r="E1448">
            <v>43500</v>
          </cell>
          <cell r="F1448">
            <v>48000</v>
          </cell>
          <cell r="G1448" t="str">
            <v>-</v>
          </cell>
          <cell r="H1448">
            <v>45000</v>
          </cell>
          <cell r="I1448">
            <v>45200</v>
          </cell>
          <cell r="J1448">
            <v>47500</v>
          </cell>
          <cell r="K1448" t="str">
            <v>-</v>
          </cell>
          <cell r="L1448">
            <v>47100</v>
          </cell>
          <cell r="M1448">
            <v>48800</v>
          </cell>
          <cell r="N1448">
            <v>45600</v>
          </cell>
          <cell r="O1448">
            <v>44300</v>
          </cell>
          <cell r="P1448">
            <v>43300</v>
          </cell>
          <cell r="Q1448">
            <v>43300</v>
          </cell>
          <cell r="R1448">
            <v>43400</v>
          </cell>
          <cell r="S1448">
            <v>45600</v>
          </cell>
          <cell r="T1448">
            <v>46500</v>
          </cell>
          <cell r="U1448">
            <v>47000</v>
          </cell>
          <cell r="V1448">
            <v>47500</v>
          </cell>
          <cell r="W1448">
            <v>49600</v>
          </cell>
        </row>
        <row r="1449">
          <cell r="A1449">
            <v>45715</v>
          </cell>
          <cell r="B1449">
            <v>47600</v>
          </cell>
          <cell r="C1449">
            <v>46200</v>
          </cell>
          <cell r="D1449">
            <v>46700</v>
          </cell>
          <cell r="E1449">
            <v>43900</v>
          </cell>
          <cell r="F1449">
            <v>48200</v>
          </cell>
          <cell r="G1449" t="str">
            <v>-</v>
          </cell>
          <cell r="H1449">
            <v>46000</v>
          </cell>
          <cell r="I1449">
            <v>45300</v>
          </cell>
          <cell r="J1449">
            <v>48100</v>
          </cell>
          <cell r="K1449" t="str">
            <v>-</v>
          </cell>
          <cell r="L1449">
            <v>47200</v>
          </cell>
          <cell r="M1449">
            <v>49000</v>
          </cell>
          <cell r="N1449">
            <v>46000</v>
          </cell>
          <cell r="O1449">
            <v>44500</v>
          </cell>
          <cell r="P1449">
            <v>44100</v>
          </cell>
          <cell r="Q1449">
            <v>43800</v>
          </cell>
          <cell r="R1449">
            <v>43600</v>
          </cell>
          <cell r="S1449">
            <v>46000</v>
          </cell>
          <cell r="T1449">
            <v>47000</v>
          </cell>
          <cell r="U1449">
            <v>47500</v>
          </cell>
          <cell r="V1449">
            <v>48000</v>
          </cell>
          <cell r="W1449">
            <v>50100</v>
          </cell>
        </row>
        <row r="1450">
          <cell r="A1450">
            <v>45716</v>
          </cell>
          <cell r="B1450">
            <v>47700</v>
          </cell>
          <cell r="C1450">
            <v>46200</v>
          </cell>
          <cell r="D1450">
            <v>46700</v>
          </cell>
          <cell r="E1450">
            <v>43500</v>
          </cell>
          <cell r="F1450">
            <v>48400</v>
          </cell>
          <cell r="G1450" t="str">
            <v>-</v>
          </cell>
          <cell r="H1450">
            <v>45500</v>
          </cell>
          <cell r="I1450">
            <v>45300</v>
          </cell>
          <cell r="J1450">
            <v>48100</v>
          </cell>
          <cell r="K1450" t="str">
            <v>-</v>
          </cell>
          <cell r="L1450">
            <v>47100</v>
          </cell>
          <cell r="M1450">
            <v>49100</v>
          </cell>
          <cell r="N1450">
            <v>46000</v>
          </cell>
          <cell r="O1450">
            <v>44700</v>
          </cell>
          <cell r="P1450">
            <v>43400</v>
          </cell>
          <cell r="Q1450">
            <v>43700</v>
          </cell>
          <cell r="R1450">
            <v>44000</v>
          </cell>
          <cell r="S1450">
            <v>45600</v>
          </cell>
          <cell r="T1450">
            <v>47000</v>
          </cell>
          <cell r="U1450">
            <v>47500</v>
          </cell>
          <cell r="V1450">
            <v>48200</v>
          </cell>
          <cell r="W1450">
            <v>50100</v>
          </cell>
        </row>
        <row r="1451">
          <cell r="A1451">
            <v>45717</v>
          </cell>
          <cell r="B1451">
            <v>47700</v>
          </cell>
          <cell r="C1451">
            <v>46300</v>
          </cell>
          <cell r="D1451">
            <v>46700</v>
          </cell>
          <cell r="E1451">
            <v>43700</v>
          </cell>
          <cell r="F1451">
            <v>48400</v>
          </cell>
          <cell r="G1451" t="str">
            <v>-</v>
          </cell>
          <cell r="H1451">
            <v>45500</v>
          </cell>
          <cell r="I1451">
            <v>45300</v>
          </cell>
          <cell r="J1451">
            <v>48100</v>
          </cell>
          <cell r="K1451" t="str">
            <v>-</v>
          </cell>
          <cell r="L1451">
            <v>47200</v>
          </cell>
          <cell r="M1451">
            <v>49200</v>
          </cell>
          <cell r="N1451">
            <v>46000</v>
          </cell>
          <cell r="O1451">
            <v>44700</v>
          </cell>
          <cell r="P1451">
            <v>43300</v>
          </cell>
          <cell r="Q1451">
            <v>43700</v>
          </cell>
          <cell r="R1451">
            <v>44000</v>
          </cell>
          <cell r="S1451">
            <v>45800</v>
          </cell>
          <cell r="T1451">
            <v>47000</v>
          </cell>
          <cell r="U1451">
            <v>47500</v>
          </cell>
          <cell r="V1451">
            <v>48200</v>
          </cell>
          <cell r="W1451">
            <v>50100</v>
          </cell>
        </row>
        <row r="1452">
          <cell r="A1452">
            <v>45718</v>
          </cell>
          <cell r="B1452" t="str">
            <v>H</v>
          </cell>
          <cell r="C1452" t="str">
            <v>H</v>
          </cell>
          <cell r="D1452" t="str">
            <v>H</v>
          </cell>
          <cell r="E1452" t="str">
            <v>H</v>
          </cell>
          <cell r="F1452" t="str">
            <v>H</v>
          </cell>
          <cell r="G1452" t="str">
            <v>H</v>
          </cell>
          <cell r="H1452" t="str">
            <v>H</v>
          </cell>
          <cell r="I1452" t="str">
            <v>H</v>
          </cell>
          <cell r="J1452" t="str">
            <v>H</v>
          </cell>
          <cell r="K1452" t="str">
            <v>H</v>
          </cell>
          <cell r="L1452" t="str">
            <v>H</v>
          </cell>
          <cell r="M1452" t="str">
            <v>H</v>
          </cell>
          <cell r="N1452" t="str">
            <v>H</v>
          </cell>
          <cell r="O1452" t="str">
            <v>H</v>
          </cell>
          <cell r="P1452" t="str">
            <v>H</v>
          </cell>
          <cell r="Q1452" t="str">
            <v>H</v>
          </cell>
          <cell r="R1452" t="str">
            <v>H</v>
          </cell>
          <cell r="S1452" t="str">
            <v>H</v>
          </cell>
          <cell r="T1452" t="str">
            <v>H</v>
          </cell>
          <cell r="U1452" t="str">
            <v>H</v>
          </cell>
          <cell r="V1452" t="str">
            <v>H</v>
          </cell>
          <cell r="W1452" t="str">
            <v>H</v>
          </cell>
        </row>
        <row r="1453">
          <cell r="A1453">
            <v>45719</v>
          </cell>
          <cell r="B1453">
            <v>47700</v>
          </cell>
          <cell r="C1453">
            <v>46300</v>
          </cell>
          <cell r="D1453">
            <v>46600</v>
          </cell>
          <cell r="E1453">
            <v>43200</v>
          </cell>
          <cell r="F1453">
            <v>48300</v>
          </cell>
          <cell r="G1453" t="str">
            <v>-</v>
          </cell>
          <cell r="H1453">
            <v>45500</v>
          </cell>
          <cell r="I1453">
            <v>45100</v>
          </cell>
          <cell r="J1453">
            <v>47900</v>
          </cell>
          <cell r="K1453" t="str">
            <v>-</v>
          </cell>
          <cell r="L1453">
            <v>47000</v>
          </cell>
          <cell r="M1453">
            <v>49100</v>
          </cell>
          <cell r="N1453">
            <v>45300</v>
          </cell>
          <cell r="O1453">
            <v>44700</v>
          </cell>
          <cell r="P1453">
            <v>43000</v>
          </cell>
          <cell r="Q1453">
            <v>43500</v>
          </cell>
          <cell r="R1453">
            <v>43900</v>
          </cell>
          <cell r="S1453">
            <v>45300</v>
          </cell>
          <cell r="T1453">
            <v>46800</v>
          </cell>
          <cell r="U1453">
            <v>47500</v>
          </cell>
          <cell r="V1453">
            <v>48200</v>
          </cell>
          <cell r="W1453">
            <v>50200</v>
          </cell>
        </row>
        <row r="1454">
          <cell r="A1454">
            <v>45720</v>
          </cell>
          <cell r="B1454">
            <v>47800</v>
          </cell>
          <cell r="C1454">
            <v>46300</v>
          </cell>
          <cell r="D1454">
            <v>46600</v>
          </cell>
          <cell r="E1454">
            <v>43500</v>
          </cell>
          <cell r="F1454">
            <v>47900</v>
          </cell>
          <cell r="G1454" t="str">
            <v>-</v>
          </cell>
          <cell r="H1454">
            <v>45500</v>
          </cell>
          <cell r="I1454">
            <v>45300</v>
          </cell>
          <cell r="J1454">
            <v>48300</v>
          </cell>
          <cell r="K1454" t="str">
            <v>-</v>
          </cell>
          <cell r="L1454">
            <v>47000</v>
          </cell>
          <cell r="M1454">
            <v>49200</v>
          </cell>
          <cell r="N1454">
            <v>45600</v>
          </cell>
          <cell r="O1454">
            <v>44700</v>
          </cell>
          <cell r="P1454">
            <v>43100</v>
          </cell>
          <cell r="Q1454">
            <v>43500</v>
          </cell>
          <cell r="R1454">
            <v>43800</v>
          </cell>
          <cell r="S1454">
            <v>45600</v>
          </cell>
          <cell r="T1454">
            <v>46800</v>
          </cell>
          <cell r="U1454">
            <v>47500</v>
          </cell>
          <cell r="V1454">
            <v>48200</v>
          </cell>
          <cell r="W1454">
            <v>50200</v>
          </cell>
        </row>
        <row r="1455">
          <cell r="A1455">
            <v>45721</v>
          </cell>
          <cell r="B1455">
            <v>47800</v>
          </cell>
          <cell r="C1455">
            <v>46800</v>
          </cell>
          <cell r="D1455">
            <v>46800</v>
          </cell>
          <cell r="E1455">
            <v>43800</v>
          </cell>
          <cell r="F1455">
            <v>48300</v>
          </cell>
          <cell r="G1455" t="str">
            <v>-</v>
          </cell>
          <cell r="H1455">
            <v>46000</v>
          </cell>
          <cell r="I1455">
            <v>45500</v>
          </cell>
          <cell r="J1455">
            <v>48600</v>
          </cell>
          <cell r="K1455" t="str">
            <v>-</v>
          </cell>
          <cell r="L1455">
            <v>47100</v>
          </cell>
          <cell r="M1455">
            <v>49300</v>
          </cell>
          <cell r="N1455">
            <v>45800</v>
          </cell>
          <cell r="O1455">
            <v>44500</v>
          </cell>
          <cell r="P1455">
            <v>43400</v>
          </cell>
          <cell r="Q1455">
            <v>43800</v>
          </cell>
          <cell r="R1455">
            <v>43700</v>
          </cell>
          <cell r="S1455">
            <v>45900</v>
          </cell>
          <cell r="T1455">
            <v>47000</v>
          </cell>
          <cell r="U1455">
            <v>47500</v>
          </cell>
          <cell r="V1455">
            <v>48200</v>
          </cell>
          <cell r="W1455">
            <v>50200</v>
          </cell>
        </row>
        <row r="1456">
          <cell r="A1456">
            <v>45722</v>
          </cell>
          <cell r="B1456">
            <v>47800</v>
          </cell>
          <cell r="C1456">
            <v>47000</v>
          </cell>
          <cell r="D1456">
            <v>46800</v>
          </cell>
          <cell r="E1456">
            <v>43800</v>
          </cell>
          <cell r="F1456">
            <v>48300</v>
          </cell>
          <cell r="G1456" t="str">
            <v>-</v>
          </cell>
          <cell r="H1456">
            <v>46000</v>
          </cell>
          <cell r="I1456">
            <v>45500</v>
          </cell>
          <cell r="J1456">
            <v>48600</v>
          </cell>
          <cell r="K1456" t="str">
            <v>-</v>
          </cell>
          <cell r="L1456">
            <v>47100</v>
          </cell>
          <cell r="M1456">
            <v>49300</v>
          </cell>
          <cell r="N1456">
            <v>46000</v>
          </cell>
          <cell r="O1456">
            <v>44300</v>
          </cell>
          <cell r="P1456">
            <v>43300</v>
          </cell>
          <cell r="Q1456">
            <v>43800</v>
          </cell>
          <cell r="R1456">
            <v>43700</v>
          </cell>
          <cell r="S1456">
            <v>45900</v>
          </cell>
          <cell r="T1456">
            <v>47000</v>
          </cell>
          <cell r="U1456">
            <v>47000</v>
          </cell>
          <cell r="V1456">
            <v>48600</v>
          </cell>
          <cell r="W1456">
            <v>50200</v>
          </cell>
        </row>
        <row r="1457">
          <cell r="A1457">
            <v>45723</v>
          </cell>
          <cell r="B1457">
            <v>47800</v>
          </cell>
          <cell r="C1457">
            <v>47000</v>
          </cell>
          <cell r="D1457">
            <v>47000</v>
          </cell>
          <cell r="E1457">
            <v>43800</v>
          </cell>
          <cell r="F1457">
            <v>48300</v>
          </cell>
          <cell r="G1457" t="str">
            <v>-</v>
          </cell>
          <cell r="H1457">
            <v>45800</v>
          </cell>
          <cell r="I1457">
            <v>45500</v>
          </cell>
          <cell r="J1457">
            <v>48400</v>
          </cell>
          <cell r="K1457" t="str">
            <v>-</v>
          </cell>
          <cell r="L1457">
            <v>47000</v>
          </cell>
          <cell r="M1457">
            <v>49400</v>
          </cell>
          <cell r="N1457">
            <v>45800</v>
          </cell>
          <cell r="O1457">
            <v>44300</v>
          </cell>
          <cell r="P1457">
            <v>43300</v>
          </cell>
          <cell r="Q1457">
            <v>43800</v>
          </cell>
          <cell r="R1457">
            <v>43700</v>
          </cell>
          <cell r="S1457">
            <v>45900</v>
          </cell>
          <cell r="T1457">
            <v>47000</v>
          </cell>
          <cell r="U1457">
            <v>47000</v>
          </cell>
          <cell r="V1457">
            <v>48600</v>
          </cell>
          <cell r="W1457">
            <v>50300</v>
          </cell>
        </row>
        <row r="1458">
          <cell r="A1458">
            <v>45724</v>
          </cell>
          <cell r="B1458">
            <v>47700</v>
          </cell>
          <cell r="C1458">
            <v>47000</v>
          </cell>
          <cell r="D1458">
            <v>47000</v>
          </cell>
          <cell r="E1458">
            <v>43800</v>
          </cell>
          <cell r="F1458">
            <v>48300</v>
          </cell>
          <cell r="G1458" t="str">
            <v>-</v>
          </cell>
          <cell r="H1458">
            <v>45800</v>
          </cell>
          <cell r="I1458">
            <v>45500</v>
          </cell>
          <cell r="J1458">
            <v>48700</v>
          </cell>
          <cell r="K1458" t="str">
            <v>-</v>
          </cell>
          <cell r="L1458">
            <v>47100</v>
          </cell>
          <cell r="M1458">
            <v>49500</v>
          </cell>
          <cell r="N1458">
            <v>46000</v>
          </cell>
          <cell r="O1458">
            <v>44300</v>
          </cell>
          <cell r="P1458">
            <v>43600</v>
          </cell>
          <cell r="Q1458">
            <v>43700</v>
          </cell>
          <cell r="R1458">
            <v>43800</v>
          </cell>
          <cell r="S1458">
            <v>45800</v>
          </cell>
          <cell r="T1458">
            <v>47000</v>
          </cell>
          <cell r="U1458">
            <v>47000</v>
          </cell>
          <cell r="V1458">
            <v>48600</v>
          </cell>
          <cell r="W1458">
            <v>50300</v>
          </cell>
        </row>
        <row r="1459">
          <cell r="A1459">
            <v>45725</v>
          </cell>
          <cell r="B1459" t="str">
            <v>H</v>
          </cell>
          <cell r="C1459" t="str">
            <v>H</v>
          </cell>
          <cell r="D1459" t="str">
            <v>H</v>
          </cell>
          <cell r="E1459" t="str">
            <v>H</v>
          </cell>
          <cell r="F1459" t="str">
            <v>H</v>
          </cell>
          <cell r="G1459" t="str">
            <v>H</v>
          </cell>
          <cell r="H1459" t="str">
            <v>H</v>
          </cell>
          <cell r="I1459" t="str">
            <v>H</v>
          </cell>
          <cell r="J1459" t="str">
            <v>H</v>
          </cell>
          <cell r="K1459" t="str">
            <v>H</v>
          </cell>
          <cell r="L1459" t="str">
            <v>H</v>
          </cell>
          <cell r="M1459" t="str">
            <v>H</v>
          </cell>
          <cell r="N1459" t="str">
            <v>H</v>
          </cell>
          <cell r="O1459" t="str">
            <v>H</v>
          </cell>
          <cell r="P1459" t="str">
            <v>H</v>
          </cell>
          <cell r="Q1459" t="str">
            <v>H</v>
          </cell>
          <cell r="R1459" t="str">
            <v>H</v>
          </cell>
          <cell r="S1459" t="str">
            <v>H</v>
          </cell>
          <cell r="T1459" t="str">
            <v>H</v>
          </cell>
          <cell r="U1459" t="str">
            <v>H</v>
          </cell>
          <cell r="V1459" t="str">
            <v>H</v>
          </cell>
          <cell r="W1459" t="str">
            <v>H</v>
          </cell>
        </row>
        <row r="1460">
          <cell r="A1460">
            <v>45726</v>
          </cell>
          <cell r="B1460">
            <v>47600</v>
          </cell>
          <cell r="C1460">
            <v>47000</v>
          </cell>
          <cell r="D1460">
            <v>47000</v>
          </cell>
          <cell r="E1460">
            <v>43500</v>
          </cell>
          <cell r="F1460">
            <v>48300</v>
          </cell>
          <cell r="G1460" t="str">
            <v>-</v>
          </cell>
          <cell r="H1460">
            <v>45800</v>
          </cell>
          <cell r="I1460">
            <v>45400</v>
          </cell>
          <cell r="J1460">
            <v>49000</v>
          </cell>
          <cell r="K1460" t="str">
            <v>-</v>
          </cell>
          <cell r="L1460">
            <v>47000</v>
          </cell>
          <cell r="M1460">
            <v>49500</v>
          </cell>
          <cell r="N1460">
            <v>45600</v>
          </cell>
          <cell r="O1460">
            <v>44300</v>
          </cell>
          <cell r="P1460">
            <v>43400</v>
          </cell>
          <cell r="Q1460">
            <v>43600</v>
          </cell>
          <cell r="R1460">
            <v>43700</v>
          </cell>
          <cell r="S1460">
            <v>45600</v>
          </cell>
          <cell r="T1460">
            <v>46800</v>
          </cell>
          <cell r="U1460">
            <v>47000</v>
          </cell>
          <cell r="V1460">
            <v>48600</v>
          </cell>
          <cell r="W1460">
            <v>50300</v>
          </cell>
        </row>
        <row r="1461">
          <cell r="A1461">
            <v>45727</v>
          </cell>
          <cell r="B1461">
            <v>47500</v>
          </cell>
          <cell r="C1461">
            <v>47000</v>
          </cell>
          <cell r="D1461">
            <v>47000</v>
          </cell>
          <cell r="E1461">
            <v>43500</v>
          </cell>
          <cell r="F1461">
            <v>48300</v>
          </cell>
          <cell r="G1461" t="str">
            <v>-</v>
          </cell>
          <cell r="H1461">
            <v>46000</v>
          </cell>
          <cell r="I1461">
            <v>45400</v>
          </cell>
          <cell r="J1461">
            <v>49000</v>
          </cell>
          <cell r="K1461" t="str">
            <v>-</v>
          </cell>
          <cell r="L1461">
            <v>47000</v>
          </cell>
          <cell r="M1461">
            <v>49500</v>
          </cell>
          <cell r="N1461">
            <v>45600</v>
          </cell>
          <cell r="O1461">
            <v>44300</v>
          </cell>
          <cell r="P1461">
            <v>43400</v>
          </cell>
          <cell r="Q1461">
            <v>43500</v>
          </cell>
          <cell r="R1461">
            <v>43700</v>
          </cell>
          <cell r="S1461">
            <v>45600</v>
          </cell>
          <cell r="T1461">
            <v>46800</v>
          </cell>
          <cell r="U1461">
            <v>47000</v>
          </cell>
          <cell r="V1461">
            <v>48600</v>
          </cell>
          <cell r="W1461">
            <v>50300</v>
          </cell>
        </row>
        <row r="1462">
          <cell r="A1462">
            <v>45728</v>
          </cell>
          <cell r="B1462">
            <v>47300</v>
          </cell>
          <cell r="C1462">
            <v>46800</v>
          </cell>
          <cell r="D1462">
            <v>47000</v>
          </cell>
          <cell r="E1462">
            <v>43400</v>
          </cell>
          <cell r="F1462">
            <v>48300</v>
          </cell>
          <cell r="G1462" t="str">
            <v>-</v>
          </cell>
          <cell r="H1462">
            <v>46000</v>
          </cell>
          <cell r="I1462">
            <v>45400</v>
          </cell>
          <cell r="J1462">
            <v>49000</v>
          </cell>
          <cell r="K1462" t="str">
            <v>-</v>
          </cell>
          <cell r="L1462">
            <v>46900</v>
          </cell>
          <cell r="M1462">
            <v>49400</v>
          </cell>
          <cell r="N1462">
            <v>45400</v>
          </cell>
          <cell r="O1462">
            <v>44300</v>
          </cell>
          <cell r="P1462">
            <v>43300</v>
          </cell>
          <cell r="Q1462">
            <v>43500</v>
          </cell>
          <cell r="R1462">
            <v>43700</v>
          </cell>
          <cell r="S1462">
            <v>45500</v>
          </cell>
          <cell r="T1462">
            <v>46700</v>
          </cell>
          <cell r="U1462">
            <v>47000</v>
          </cell>
          <cell r="V1462">
            <v>48600</v>
          </cell>
          <cell r="W1462">
            <v>50300</v>
          </cell>
        </row>
        <row r="1463">
          <cell r="A1463">
            <v>45729</v>
          </cell>
          <cell r="B1463">
            <v>47300</v>
          </cell>
          <cell r="C1463">
            <v>46800</v>
          </cell>
          <cell r="D1463">
            <v>47000</v>
          </cell>
          <cell r="E1463">
            <v>43400</v>
          </cell>
          <cell r="F1463">
            <v>48300</v>
          </cell>
          <cell r="G1463" t="str">
            <v>-</v>
          </cell>
          <cell r="H1463">
            <v>46000</v>
          </cell>
          <cell r="I1463">
            <v>45400</v>
          </cell>
          <cell r="J1463">
            <v>49000</v>
          </cell>
          <cell r="K1463" t="str">
            <v>-</v>
          </cell>
          <cell r="L1463">
            <v>46900</v>
          </cell>
          <cell r="M1463">
            <v>49400</v>
          </cell>
          <cell r="N1463">
            <v>45400</v>
          </cell>
          <cell r="O1463">
            <v>44100</v>
          </cell>
          <cell r="P1463">
            <v>43400</v>
          </cell>
          <cell r="Q1463">
            <v>43500</v>
          </cell>
          <cell r="R1463">
            <v>43800</v>
          </cell>
          <cell r="S1463">
            <v>45500</v>
          </cell>
          <cell r="T1463">
            <v>46700</v>
          </cell>
          <cell r="U1463">
            <v>47000</v>
          </cell>
          <cell r="V1463">
            <v>48600</v>
          </cell>
          <cell r="W1463">
            <v>50300</v>
          </cell>
        </row>
        <row r="1464">
          <cell r="A1464">
            <v>45730</v>
          </cell>
          <cell r="B1464" t="str">
            <v>H</v>
          </cell>
          <cell r="C1464" t="str">
            <v>H</v>
          </cell>
          <cell r="D1464" t="str">
            <v>H</v>
          </cell>
          <cell r="E1464" t="str">
            <v>H</v>
          </cell>
          <cell r="F1464" t="str">
            <v>H</v>
          </cell>
          <cell r="G1464" t="str">
            <v>H</v>
          </cell>
          <cell r="H1464" t="str">
            <v>H</v>
          </cell>
          <cell r="I1464" t="str">
            <v>H</v>
          </cell>
          <cell r="J1464" t="str">
            <v>H</v>
          </cell>
          <cell r="K1464" t="str">
            <v>H</v>
          </cell>
          <cell r="L1464" t="str">
            <v>H</v>
          </cell>
          <cell r="M1464" t="str">
            <v>H</v>
          </cell>
          <cell r="N1464" t="str">
            <v>H</v>
          </cell>
          <cell r="O1464" t="str">
            <v>H</v>
          </cell>
          <cell r="P1464" t="str">
            <v>H</v>
          </cell>
          <cell r="Q1464" t="str">
            <v>H</v>
          </cell>
          <cell r="R1464" t="str">
            <v>H</v>
          </cell>
          <cell r="S1464" t="str">
            <v>H</v>
          </cell>
          <cell r="T1464" t="str">
            <v>H</v>
          </cell>
          <cell r="U1464" t="str">
            <v>H</v>
          </cell>
          <cell r="V1464" t="str">
            <v>H</v>
          </cell>
          <cell r="W1464" t="str">
            <v>H</v>
          </cell>
        </row>
        <row r="1465">
          <cell r="A1465">
            <v>45731</v>
          </cell>
          <cell r="B1465" t="str">
            <v>H</v>
          </cell>
          <cell r="C1465" t="str">
            <v>H</v>
          </cell>
          <cell r="D1465" t="str">
            <v>H</v>
          </cell>
          <cell r="E1465" t="str">
            <v>H</v>
          </cell>
          <cell r="F1465" t="str">
            <v>H</v>
          </cell>
          <cell r="G1465" t="str">
            <v>H</v>
          </cell>
          <cell r="H1465" t="str">
            <v>H</v>
          </cell>
          <cell r="I1465" t="str">
            <v>H</v>
          </cell>
          <cell r="J1465" t="str">
            <v>H</v>
          </cell>
          <cell r="K1465" t="str">
            <v>H</v>
          </cell>
          <cell r="L1465" t="str">
            <v>H</v>
          </cell>
          <cell r="M1465" t="str">
            <v>H</v>
          </cell>
          <cell r="N1465" t="str">
            <v>H</v>
          </cell>
          <cell r="O1465" t="str">
            <v>H</v>
          </cell>
          <cell r="P1465" t="str">
            <v>H</v>
          </cell>
          <cell r="Q1465" t="str">
            <v>H</v>
          </cell>
          <cell r="R1465" t="str">
            <v>H</v>
          </cell>
          <cell r="S1465" t="str">
            <v>H</v>
          </cell>
          <cell r="T1465" t="str">
            <v>H</v>
          </cell>
          <cell r="U1465" t="str">
            <v>H</v>
          </cell>
          <cell r="V1465" t="str">
            <v>H</v>
          </cell>
          <cell r="W1465" t="str">
            <v>H</v>
          </cell>
        </row>
        <row r="1466">
          <cell r="A1466">
            <v>45732</v>
          </cell>
          <cell r="B1466" t="str">
            <v>H</v>
          </cell>
          <cell r="C1466" t="str">
            <v>H</v>
          </cell>
          <cell r="D1466" t="str">
            <v>H</v>
          </cell>
          <cell r="E1466" t="str">
            <v>H</v>
          </cell>
          <cell r="F1466" t="str">
            <v>H</v>
          </cell>
          <cell r="G1466" t="str">
            <v>H</v>
          </cell>
          <cell r="H1466" t="str">
            <v>H</v>
          </cell>
          <cell r="I1466" t="str">
            <v>H</v>
          </cell>
          <cell r="J1466" t="str">
            <v>H</v>
          </cell>
          <cell r="K1466" t="str">
            <v>H</v>
          </cell>
          <cell r="L1466" t="str">
            <v>H</v>
          </cell>
          <cell r="M1466" t="str">
            <v>H</v>
          </cell>
          <cell r="N1466" t="str">
            <v>H</v>
          </cell>
          <cell r="O1466" t="str">
            <v>H</v>
          </cell>
          <cell r="P1466" t="str">
            <v>H</v>
          </cell>
          <cell r="Q1466" t="str">
            <v>H</v>
          </cell>
          <cell r="R1466" t="str">
            <v>H</v>
          </cell>
          <cell r="S1466" t="str">
            <v>H</v>
          </cell>
          <cell r="T1466" t="str">
            <v>H</v>
          </cell>
          <cell r="U1466" t="str">
            <v>H</v>
          </cell>
          <cell r="V1466" t="str">
            <v>H</v>
          </cell>
          <cell r="W1466" t="str">
            <v>H</v>
          </cell>
        </row>
        <row r="1467">
          <cell r="A1467">
            <v>45733</v>
          </cell>
          <cell r="B1467">
            <v>47200</v>
          </cell>
          <cell r="C1467">
            <v>47000</v>
          </cell>
          <cell r="D1467">
            <v>47000</v>
          </cell>
          <cell r="E1467">
            <v>43600</v>
          </cell>
          <cell r="F1467">
            <v>48300</v>
          </cell>
          <cell r="G1467" t="str">
            <v>-</v>
          </cell>
          <cell r="H1467">
            <v>45800</v>
          </cell>
          <cell r="I1467">
            <v>45500</v>
          </cell>
          <cell r="J1467">
            <v>48800</v>
          </cell>
          <cell r="K1467" t="str">
            <v>-</v>
          </cell>
          <cell r="L1467">
            <v>47000</v>
          </cell>
          <cell r="M1467">
            <v>49300</v>
          </cell>
          <cell r="N1467">
            <v>45500</v>
          </cell>
          <cell r="O1467">
            <v>44100</v>
          </cell>
          <cell r="P1467">
            <v>43500</v>
          </cell>
          <cell r="Q1467">
            <v>43600</v>
          </cell>
          <cell r="R1467">
            <v>43700</v>
          </cell>
          <cell r="S1467">
            <v>45700</v>
          </cell>
          <cell r="T1467">
            <v>46800</v>
          </cell>
          <cell r="U1467">
            <v>47000</v>
          </cell>
          <cell r="V1467">
            <v>48600</v>
          </cell>
          <cell r="W1467">
            <v>50700</v>
          </cell>
        </row>
        <row r="1468">
          <cell r="A1468">
            <v>45734</v>
          </cell>
          <cell r="B1468">
            <v>47200</v>
          </cell>
          <cell r="C1468">
            <v>47000</v>
          </cell>
          <cell r="D1468">
            <v>47200</v>
          </cell>
          <cell r="E1468">
            <v>43700</v>
          </cell>
          <cell r="F1468">
            <v>48400</v>
          </cell>
          <cell r="G1468" t="str">
            <v>-</v>
          </cell>
          <cell r="H1468">
            <v>45800</v>
          </cell>
          <cell r="I1468">
            <v>45600</v>
          </cell>
          <cell r="J1468">
            <v>48800</v>
          </cell>
          <cell r="K1468" t="str">
            <v>-</v>
          </cell>
          <cell r="L1468">
            <v>47000</v>
          </cell>
          <cell r="M1468">
            <v>49300</v>
          </cell>
          <cell r="N1468">
            <v>45500</v>
          </cell>
          <cell r="O1468">
            <v>44500</v>
          </cell>
          <cell r="P1468">
            <v>43900</v>
          </cell>
          <cell r="Q1468">
            <v>44000</v>
          </cell>
          <cell r="R1468">
            <v>44000</v>
          </cell>
          <cell r="S1468">
            <v>45800</v>
          </cell>
          <cell r="T1468">
            <v>47200</v>
          </cell>
          <cell r="U1468">
            <v>47000</v>
          </cell>
          <cell r="V1468">
            <v>48800</v>
          </cell>
          <cell r="W1468">
            <v>51200</v>
          </cell>
        </row>
        <row r="1469">
          <cell r="A1469">
            <v>45735</v>
          </cell>
          <cell r="B1469">
            <v>47700</v>
          </cell>
          <cell r="C1469">
            <v>47500</v>
          </cell>
          <cell r="D1469">
            <v>47600</v>
          </cell>
          <cell r="E1469">
            <v>44200</v>
          </cell>
          <cell r="F1469">
            <v>49200</v>
          </cell>
          <cell r="G1469" t="str">
            <v>-</v>
          </cell>
          <cell r="H1469">
            <v>46500</v>
          </cell>
          <cell r="I1469">
            <v>46200</v>
          </cell>
          <cell r="J1469">
            <v>49400</v>
          </cell>
          <cell r="K1469" t="str">
            <v>-</v>
          </cell>
          <cell r="L1469">
            <v>47300</v>
          </cell>
          <cell r="M1469">
            <v>49400</v>
          </cell>
          <cell r="N1469">
            <v>46300</v>
          </cell>
          <cell r="O1469">
            <v>44800</v>
          </cell>
          <cell r="P1469">
            <v>44600</v>
          </cell>
          <cell r="Q1469">
            <v>44700</v>
          </cell>
          <cell r="R1469">
            <v>44200</v>
          </cell>
          <cell r="S1469">
            <v>46300</v>
          </cell>
          <cell r="T1469">
            <v>47600</v>
          </cell>
          <cell r="U1469">
            <v>47200</v>
          </cell>
          <cell r="V1469">
            <v>49300</v>
          </cell>
          <cell r="W1469">
            <v>51200</v>
          </cell>
        </row>
        <row r="1470">
          <cell r="A1470">
            <v>45736</v>
          </cell>
          <cell r="B1470">
            <v>48000</v>
          </cell>
          <cell r="C1470">
            <v>47800</v>
          </cell>
          <cell r="D1470">
            <v>48100</v>
          </cell>
          <cell r="E1470">
            <v>44600</v>
          </cell>
          <cell r="F1470">
            <v>49600</v>
          </cell>
          <cell r="G1470" t="str">
            <v>-</v>
          </cell>
          <cell r="H1470">
            <v>46500</v>
          </cell>
          <cell r="I1470">
            <v>46300</v>
          </cell>
          <cell r="J1470">
            <v>49500</v>
          </cell>
          <cell r="K1470" t="str">
            <v>-</v>
          </cell>
          <cell r="L1470">
            <v>47600</v>
          </cell>
          <cell r="M1470">
            <v>49400</v>
          </cell>
          <cell r="N1470">
            <v>46400</v>
          </cell>
          <cell r="O1470">
            <v>45500</v>
          </cell>
          <cell r="P1470">
            <v>45000</v>
          </cell>
          <cell r="Q1470">
            <v>45100</v>
          </cell>
          <cell r="R1470">
            <v>44800</v>
          </cell>
          <cell r="S1470">
            <v>46700</v>
          </cell>
          <cell r="T1470">
            <v>48200</v>
          </cell>
          <cell r="U1470">
            <v>47500</v>
          </cell>
          <cell r="V1470">
            <v>49500</v>
          </cell>
          <cell r="W1470">
            <v>52100</v>
          </cell>
        </row>
        <row r="1471">
          <cell r="A1471">
            <v>45737</v>
          </cell>
          <cell r="B1471">
            <v>48100</v>
          </cell>
          <cell r="C1471">
            <v>48000</v>
          </cell>
          <cell r="D1471">
            <v>48500</v>
          </cell>
          <cell r="E1471">
            <v>45300</v>
          </cell>
          <cell r="F1471">
            <v>50200</v>
          </cell>
          <cell r="G1471" t="str">
            <v>-</v>
          </cell>
          <cell r="H1471">
            <v>47000</v>
          </cell>
          <cell r="I1471">
            <v>46600</v>
          </cell>
          <cell r="J1471">
            <v>49500</v>
          </cell>
          <cell r="K1471" t="str">
            <v>-</v>
          </cell>
          <cell r="L1471">
            <v>48000</v>
          </cell>
          <cell r="M1471">
            <v>49400</v>
          </cell>
          <cell r="N1471">
            <v>47000</v>
          </cell>
          <cell r="O1471">
            <v>45800</v>
          </cell>
          <cell r="P1471">
            <v>45200</v>
          </cell>
          <cell r="Q1471">
            <v>45200</v>
          </cell>
          <cell r="R1471">
            <v>45000</v>
          </cell>
          <cell r="S1471">
            <v>47400</v>
          </cell>
          <cell r="T1471">
            <v>48500</v>
          </cell>
          <cell r="U1471">
            <v>47500</v>
          </cell>
          <cell r="V1471">
            <v>50200</v>
          </cell>
          <cell r="W1471">
            <v>52400</v>
          </cell>
        </row>
        <row r="1472">
          <cell r="A1472">
            <v>45738</v>
          </cell>
          <cell r="B1472">
            <v>48100</v>
          </cell>
          <cell r="C1472">
            <v>48000</v>
          </cell>
          <cell r="D1472">
            <v>48500</v>
          </cell>
          <cell r="E1472">
            <v>45200</v>
          </cell>
          <cell r="F1472">
            <v>50200</v>
          </cell>
          <cell r="G1472" t="str">
            <v>-</v>
          </cell>
          <cell r="H1472">
            <v>47000</v>
          </cell>
          <cell r="I1472">
            <v>46500</v>
          </cell>
          <cell r="J1472">
            <v>49200</v>
          </cell>
          <cell r="K1472" t="str">
            <v>-</v>
          </cell>
          <cell r="L1472">
            <v>48000</v>
          </cell>
          <cell r="M1472">
            <v>49300</v>
          </cell>
          <cell r="N1472">
            <v>47000</v>
          </cell>
          <cell r="O1472">
            <v>45800</v>
          </cell>
          <cell r="P1472">
            <v>44900</v>
          </cell>
          <cell r="Q1472">
            <v>45000</v>
          </cell>
          <cell r="R1472">
            <v>45000</v>
          </cell>
          <cell r="S1472">
            <v>47300</v>
          </cell>
          <cell r="T1472">
            <v>48400</v>
          </cell>
          <cell r="U1472">
            <v>47500</v>
          </cell>
          <cell r="V1472">
            <v>50200</v>
          </cell>
          <cell r="W1472">
            <v>52400</v>
          </cell>
        </row>
        <row r="1473">
          <cell r="A1473">
            <v>45739</v>
          </cell>
          <cell r="B1473" t="str">
            <v>H</v>
          </cell>
          <cell r="C1473" t="str">
            <v>H</v>
          </cell>
          <cell r="D1473" t="str">
            <v>H</v>
          </cell>
          <cell r="E1473" t="str">
            <v>H</v>
          </cell>
          <cell r="F1473" t="str">
            <v>H</v>
          </cell>
          <cell r="G1473" t="str">
            <v>H</v>
          </cell>
          <cell r="H1473" t="str">
            <v>H</v>
          </cell>
          <cell r="I1473" t="str">
            <v>H</v>
          </cell>
          <cell r="J1473" t="str">
            <v>H</v>
          </cell>
          <cell r="K1473" t="str">
            <v>H</v>
          </cell>
          <cell r="L1473" t="str">
            <v>H</v>
          </cell>
          <cell r="M1473" t="str">
            <v>H</v>
          </cell>
          <cell r="N1473" t="str">
            <v>H</v>
          </cell>
          <cell r="O1473" t="str">
            <v>H</v>
          </cell>
          <cell r="P1473" t="str">
            <v>H</v>
          </cell>
          <cell r="Q1473" t="str">
            <v>H</v>
          </cell>
          <cell r="R1473" t="str">
            <v>H</v>
          </cell>
          <cell r="S1473" t="str">
            <v>H</v>
          </cell>
          <cell r="T1473" t="str">
            <v>H</v>
          </cell>
          <cell r="U1473" t="str">
            <v>H</v>
          </cell>
          <cell r="V1473" t="str">
            <v>H</v>
          </cell>
          <cell r="W1473" t="str">
            <v>H</v>
          </cell>
        </row>
        <row r="1474">
          <cell r="A1474">
            <v>45740</v>
          </cell>
          <cell r="B1474">
            <v>48300</v>
          </cell>
          <cell r="C1474">
            <v>48000</v>
          </cell>
          <cell r="D1474">
            <v>49500</v>
          </cell>
          <cell r="E1474">
            <v>45500</v>
          </cell>
          <cell r="F1474">
            <v>50600</v>
          </cell>
          <cell r="G1474" t="str">
            <v>-</v>
          </cell>
          <cell r="H1474">
            <v>47500</v>
          </cell>
          <cell r="I1474">
            <v>47500</v>
          </cell>
          <cell r="J1474">
            <v>49500</v>
          </cell>
          <cell r="K1474" t="str">
            <v>-</v>
          </cell>
          <cell r="L1474">
            <v>48500</v>
          </cell>
          <cell r="M1474">
            <v>49400</v>
          </cell>
          <cell r="N1474">
            <v>47800</v>
          </cell>
          <cell r="O1474">
            <v>46000</v>
          </cell>
          <cell r="P1474">
            <v>45200</v>
          </cell>
          <cell r="Q1474">
            <v>45300</v>
          </cell>
          <cell r="R1474">
            <v>45900</v>
          </cell>
          <cell r="S1474">
            <v>47600</v>
          </cell>
          <cell r="T1474">
            <v>48400</v>
          </cell>
          <cell r="U1474">
            <v>47500</v>
          </cell>
          <cell r="V1474">
            <v>50200</v>
          </cell>
          <cell r="W1474">
            <v>52600</v>
          </cell>
        </row>
        <row r="1475">
          <cell r="A1475">
            <v>45741</v>
          </cell>
          <cell r="B1475">
            <v>48100</v>
          </cell>
          <cell r="C1475">
            <v>48000</v>
          </cell>
          <cell r="D1475">
            <v>49300</v>
          </cell>
          <cell r="E1475">
            <v>45500</v>
          </cell>
          <cell r="F1475">
            <v>50900</v>
          </cell>
          <cell r="G1475" t="str">
            <v>-</v>
          </cell>
          <cell r="H1475">
            <v>47500</v>
          </cell>
          <cell r="I1475">
            <v>47300</v>
          </cell>
          <cell r="J1475">
            <v>49500</v>
          </cell>
          <cell r="K1475" t="str">
            <v>-</v>
          </cell>
          <cell r="L1475">
            <v>48500</v>
          </cell>
          <cell r="M1475">
            <v>49400</v>
          </cell>
          <cell r="N1475">
            <v>47800</v>
          </cell>
          <cell r="O1475">
            <v>46300</v>
          </cell>
          <cell r="P1475">
            <v>45200</v>
          </cell>
          <cell r="Q1475">
            <v>45300</v>
          </cell>
          <cell r="R1475">
            <v>45900</v>
          </cell>
          <cell r="S1475">
            <v>47600</v>
          </cell>
          <cell r="T1475">
            <v>48700</v>
          </cell>
          <cell r="U1475">
            <v>47500</v>
          </cell>
          <cell r="V1475">
            <v>50300</v>
          </cell>
          <cell r="W1475">
            <v>52600</v>
          </cell>
        </row>
        <row r="1476">
          <cell r="A1476">
            <v>45742</v>
          </cell>
          <cell r="B1476">
            <v>48100</v>
          </cell>
          <cell r="C1476">
            <v>48000</v>
          </cell>
          <cell r="D1476">
            <v>49000</v>
          </cell>
          <cell r="E1476">
            <v>45500</v>
          </cell>
          <cell r="F1476">
            <v>50900</v>
          </cell>
          <cell r="G1476" t="str">
            <v>-</v>
          </cell>
          <cell r="H1476">
            <v>47300</v>
          </cell>
          <cell r="I1476">
            <v>47000</v>
          </cell>
          <cell r="J1476">
            <v>49500</v>
          </cell>
          <cell r="K1476" t="str">
            <v>-</v>
          </cell>
          <cell r="L1476">
            <v>48400</v>
          </cell>
          <cell r="M1476">
            <v>49400</v>
          </cell>
          <cell r="N1476">
            <v>47400</v>
          </cell>
          <cell r="O1476">
            <v>46400</v>
          </cell>
          <cell r="P1476">
            <v>45000</v>
          </cell>
          <cell r="Q1476">
            <v>45200</v>
          </cell>
          <cell r="R1476">
            <v>45900</v>
          </cell>
          <cell r="S1476">
            <v>47600</v>
          </cell>
          <cell r="T1476">
            <v>48500</v>
          </cell>
          <cell r="U1476">
            <v>47500</v>
          </cell>
          <cell r="V1476">
            <v>50300</v>
          </cell>
          <cell r="W1476">
            <v>52600</v>
          </cell>
        </row>
        <row r="1477">
          <cell r="A1477">
            <v>45743</v>
          </cell>
          <cell r="B1477">
            <v>48000</v>
          </cell>
          <cell r="C1477">
            <v>48000</v>
          </cell>
          <cell r="D1477">
            <v>49000</v>
          </cell>
          <cell r="E1477">
            <v>45300</v>
          </cell>
          <cell r="F1477">
            <v>50900</v>
          </cell>
          <cell r="G1477" t="str">
            <v>-</v>
          </cell>
          <cell r="H1477">
            <v>47500</v>
          </cell>
          <cell r="I1477">
            <v>47100</v>
          </cell>
          <cell r="J1477">
            <v>49500</v>
          </cell>
          <cell r="K1477" t="str">
            <v>-</v>
          </cell>
          <cell r="L1477">
            <v>48400</v>
          </cell>
          <cell r="M1477">
            <v>49400</v>
          </cell>
          <cell r="N1477">
            <v>47500</v>
          </cell>
          <cell r="O1477">
            <v>46400</v>
          </cell>
          <cell r="P1477">
            <v>44900</v>
          </cell>
          <cell r="Q1477">
            <v>45200</v>
          </cell>
          <cell r="R1477">
            <v>45600</v>
          </cell>
          <cell r="S1477">
            <v>47400</v>
          </cell>
          <cell r="T1477">
            <v>48500</v>
          </cell>
          <cell r="U1477">
            <v>47500</v>
          </cell>
          <cell r="V1477">
            <v>50000</v>
          </cell>
          <cell r="W1477">
            <v>52600</v>
          </cell>
        </row>
        <row r="1478">
          <cell r="A1478">
            <v>45744</v>
          </cell>
          <cell r="B1478">
            <v>48000</v>
          </cell>
          <cell r="C1478">
            <v>48000</v>
          </cell>
          <cell r="D1478">
            <v>48800</v>
          </cell>
          <cell r="E1478">
            <v>45100</v>
          </cell>
          <cell r="F1478">
            <v>50800</v>
          </cell>
          <cell r="G1478" t="str">
            <v>-</v>
          </cell>
          <cell r="H1478">
            <v>47200</v>
          </cell>
          <cell r="I1478">
            <v>47000</v>
          </cell>
          <cell r="J1478">
            <v>49300</v>
          </cell>
          <cell r="K1478" t="str">
            <v>-</v>
          </cell>
          <cell r="L1478">
            <v>48100</v>
          </cell>
          <cell r="M1478">
            <v>49300</v>
          </cell>
          <cell r="N1478">
            <v>47300</v>
          </cell>
          <cell r="O1478">
            <v>46300</v>
          </cell>
          <cell r="P1478">
            <v>44700</v>
          </cell>
          <cell r="Q1478">
            <v>44800</v>
          </cell>
          <cell r="R1478">
            <v>45500</v>
          </cell>
          <cell r="S1478">
            <v>47200</v>
          </cell>
          <cell r="T1478">
            <v>48300</v>
          </cell>
          <cell r="U1478">
            <v>48000</v>
          </cell>
          <cell r="V1478">
            <v>49800</v>
          </cell>
          <cell r="W1478">
            <v>52600</v>
          </cell>
        </row>
        <row r="1479">
          <cell r="A1479">
            <v>45745</v>
          </cell>
          <cell r="B1479">
            <v>48000</v>
          </cell>
          <cell r="C1479">
            <v>48000</v>
          </cell>
          <cell r="D1479">
            <v>48900</v>
          </cell>
          <cell r="E1479">
            <v>45200</v>
          </cell>
          <cell r="F1479">
            <v>50800</v>
          </cell>
          <cell r="G1479" t="str">
            <v>-</v>
          </cell>
          <cell r="H1479">
            <v>47200</v>
          </cell>
          <cell r="I1479">
            <v>47100</v>
          </cell>
          <cell r="J1479">
            <v>49300</v>
          </cell>
          <cell r="K1479" t="str">
            <v>-</v>
          </cell>
          <cell r="L1479">
            <v>48100</v>
          </cell>
          <cell r="M1479">
            <v>49300</v>
          </cell>
          <cell r="N1479">
            <v>47200</v>
          </cell>
          <cell r="O1479">
            <v>46000</v>
          </cell>
          <cell r="P1479">
            <v>44700</v>
          </cell>
          <cell r="Q1479">
            <v>44800</v>
          </cell>
          <cell r="R1479">
            <v>45500</v>
          </cell>
          <cell r="S1479">
            <v>47300</v>
          </cell>
          <cell r="T1479">
            <v>48200</v>
          </cell>
          <cell r="U1479">
            <v>48500</v>
          </cell>
          <cell r="V1479">
            <v>49800</v>
          </cell>
          <cell r="W1479">
            <v>52600</v>
          </cell>
        </row>
        <row r="1480">
          <cell r="A1480">
            <v>45746</v>
          </cell>
          <cell r="B1480" t="str">
            <v>H</v>
          </cell>
          <cell r="C1480" t="str">
            <v>H</v>
          </cell>
          <cell r="D1480" t="str">
            <v>H</v>
          </cell>
          <cell r="E1480" t="str">
            <v>H</v>
          </cell>
          <cell r="F1480" t="str">
            <v>H</v>
          </cell>
          <cell r="G1480" t="str">
            <v>H</v>
          </cell>
          <cell r="H1480" t="str">
            <v>H</v>
          </cell>
          <cell r="I1480" t="str">
            <v>H</v>
          </cell>
          <cell r="J1480" t="str">
            <v>H</v>
          </cell>
          <cell r="K1480" t="str">
            <v>H</v>
          </cell>
          <cell r="L1480" t="str">
            <v>H</v>
          </cell>
          <cell r="M1480" t="str">
            <v>H</v>
          </cell>
          <cell r="N1480" t="str">
            <v>H</v>
          </cell>
          <cell r="O1480" t="str">
            <v>H</v>
          </cell>
          <cell r="P1480" t="str">
            <v>H</v>
          </cell>
          <cell r="Q1480" t="str">
            <v>H</v>
          </cell>
          <cell r="R1480" t="str">
            <v>H</v>
          </cell>
          <cell r="S1480" t="str">
            <v>H</v>
          </cell>
          <cell r="T1480" t="str">
            <v>H</v>
          </cell>
          <cell r="U1480" t="str">
            <v>H</v>
          </cell>
          <cell r="V1480" t="str">
            <v>H</v>
          </cell>
          <cell r="W1480" t="str">
            <v>H</v>
          </cell>
        </row>
        <row r="1481">
          <cell r="A1481">
            <v>45747</v>
          </cell>
          <cell r="B1481">
            <v>48200</v>
          </cell>
          <cell r="C1481">
            <v>48000</v>
          </cell>
          <cell r="D1481">
            <v>49100</v>
          </cell>
          <cell r="E1481">
            <v>45700</v>
          </cell>
          <cell r="F1481">
            <v>51200</v>
          </cell>
          <cell r="G1481" t="str">
            <v>-</v>
          </cell>
          <cell r="H1481">
            <v>47500</v>
          </cell>
          <cell r="I1481">
            <v>47400</v>
          </cell>
          <cell r="J1481">
            <v>49500</v>
          </cell>
          <cell r="K1481" t="str">
            <v>-</v>
          </cell>
          <cell r="L1481">
            <v>48300</v>
          </cell>
          <cell r="M1481">
            <v>49500</v>
          </cell>
          <cell r="N1481">
            <v>47700</v>
          </cell>
          <cell r="O1481">
            <v>46000</v>
          </cell>
          <cell r="P1481">
            <v>44900</v>
          </cell>
          <cell r="Q1481">
            <v>45200</v>
          </cell>
          <cell r="R1481">
            <v>45600</v>
          </cell>
          <cell r="S1481">
            <v>47800</v>
          </cell>
          <cell r="T1481">
            <v>48200</v>
          </cell>
          <cell r="U1481">
            <v>48500</v>
          </cell>
          <cell r="V1481">
            <v>49800</v>
          </cell>
          <cell r="W1481">
            <v>52600</v>
          </cell>
        </row>
        <row r="1482">
          <cell r="A1482">
            <v>45748</v>
          </cell>
          <cell r="B1482">
            <v>48500</v>
          </cell>
          <cell r="C1482">
            <v>48500</v>
          </cell>
          <cell r="D1482">
            <v>49500</v>
          </cell>
          <cell r="E1482">
            <v>46000</v>
          </cell>
          <cell r="F1482">
            <v>51200</v>
          </cell>
          <cell r="G1482" t="str">
            <v>-</v>
          </cell>
          <cell r="H1482">
            <v>47700</v>
          </cell>
          <cell r="I1482">
            <v>47800</v>
          </cell>
          <cell r="J1482">
            <v>49500</v>
          </cell>
          <cell r="K1482" t="str">
            <v>-</v>
          </cell>
          <cell r="L1482">
            <v>48900</v>
          </cell>
          <cell r="M1482">
            <v>49500</v>
          </cell>
          <cell r="N1482">
            <v>48400</v>
          </cell>
          <cell r="O1482">
            <v>46700</v>
          </cell>
          <cell r="P1482">
            <v>45800</v>
          </cell>
          <cell r="Q1482">
            <v>45700</v>
          </cell>
          <cell r="R1482">
            <v>46000</v>
          </cell>
          <cell r="S1482">
            <v>48100</v>
          </cell>
          <cell r="T1482">
            <v>49000</v>
          </cell>
          <cell r="U1482">
            <v>49000</v>
          </cell>
          <cell r="V1482">
            <v>50500</v>
          </cell>
          <cell r="W1482">
            <v>53300</v>
          </cell>
        </row>
        <row r="1483">
          <cell r="A1483">
            <v>45749</v>
          </cell>
          <cell r="B1483">
            <v>48700</v>
          </cell>
          <cell r="C1483">
            <v>48700</v>
          </cell>
          <cell r="D1483">
            <v>49300</v>
          </cell>
          <cell r="E1483">
            <v>46300</v>
          </cell>
          <cell r="F1483">
            <v>51200</v>
          </cell>
          <cell r="G1483" t="str">
            <v>-</v>
          </cell>
          <cell r="H1483">
            <v>47500</v>
          </cell>
          <cell r="I1483">
            <v>47700</v>
          </cell>
          <cell r="J1483">
            <v>49600</v>
          </cell>
          <cell r="K1483" t="str">
            <v>-</v>
          </cell>
          <cell r="L1483">
            <v>49000</v>
          </cell>
          <cell r="M1483">
            <v>49500</v>
          </cell>
          <cell r="N1483">
            <v>48300</v>
          </cell>
          <cell r="O1483">
            <v>47000</v>
          </cell>
          <cell r="P1483">
            <v>45600</v>
          </cell>
          <cell r="Q1483">
            <v>45800</v>
          </cell>
          <cell r="R1483">
            <v>46200</v>
          </cell>
          <cell r="S1483">
            <v>48400</v>
          </cell>
          <cell r="T1483">
            <v>49000</v>
          </cell>
          <cell r="U1483">
            <v>49000</v>
          </cell>
          <cell r="V1483">
            <v>50500</v>
          </cell>
          <cell r="W1483">
            <v>53300</v>
          </cell>
        </row>
        <row r="1484">
          <cell r="A1484">
            <v>45750</v>
          </cell>
          <cell r="B1484">
            <v>48700</v>
          </cell>
          <cell r="C1484">
            <v>48700</v>
          </cell>
          <cell r="D1484">
            <v>49800</v>
          </cell>
          <cell r="E1484">
            <v>46600</v>
          </cell>
          <cell r="F1484">
            <v>51400</v>
          </cell>
          <cell r="G1484" t="str">
            <v>-</v>
          </cell>
          <cell r="H1484">
            <v>47500</v>
          </cell>
          <cell r="I1484">
            <v>48000</v>
          </cell>
          <cell r="J1484">
            <v>49900</v>
          </cell>
          <cell r="K1484" t="str">
            <v>-</v>
          </cell>
          <cell r="L1484">
            <v>49300</v>
          </cell>
          <cell r="M1484">
            <v>49600</v>
          </cell>
          <cell r="N1484">
            <v>48800</v>
          </cell>
          <cell r="O1484">
            <v>47500</v>
          </cell>
          <cell r="P1484">
            <v>46200</v>
          </cell>
          <cell r="Q1484">
            <v>46400</v>
          </cell>
          <cell r="R1484">
            <v>46600</v>
          </cell>
          <cell r="S1484">
            <v>48700</v>
          </cell>
          <cell r="T1484">
            <v>49500</v>
          </cell>
          <cell r="U1484">
            <v>49700</v>
          </cell>
          <cell r="V1484">
            <v>50500</v>
          </cell>
          <cell r="W1484">
            <v>53300</v>
          </cell>
        </row>
        <row r="1485">
          <cell r="A1485">
            <v>45751</v>
          </cell>
          <cell r="B1485">
            <v>48700</v>
          </cell>
          <cell r="C1485">
            <v>48700</v>
          </cell>
          <cell r="D1485">
            <v>50200</v>
          </cell>
          <cell r="E1485">
            <v>46700</v>
          </cell>
          <cell r="F1485">
            <v>51400</v>
          </cell>
          <cell r="G1485" t="str">
            <v>-</v>
          </cell>
          <cell r="H1485">
            <v>47500</v>
          </cell>
          <cell r="I1485">
            <v>48100</v>
          </cell>
          <cell r="J1485">
            <v>49900</v>
          </cell>
          <cell r="K1485" t="str">
            <v>-</v>
          </cell>
          <cell r="L1485">
            <v>49300</v>
          </cell>
          <cell r="M1485">
            <v>49600</v>
          </cell>
          <cell r="N1485">
            <v>48800</v>
          </cell>
          <cell r="O1485">
            <v>47800</v>
          </cell>
          <cell r="P1485">
            <v>46400</v>
          </cell>
          <cell r="Q1485">
            <v>46500</v>
          </cell>
          <cell r="R1485">
            <v>46700</v>
          </cell>
          <cell r="S1485">
            <v>48800</v>
          </cell>
          <cell r="T1485">
            <v>49600</v>
          </cell>
          <cell r="U1485">
            <v>50000</v>
          </cell>
          <cell r="V1485">
            <v>50800</v>
          </cell>
          <cell r="W1485">
            <v>53300</v>
          </cell>
        </row>
        <row r="1486">
          <cell r="A1486">
            <v>45752</v>
          </cell>
          <cell r="B1486">
            <v>48700</v>
          </cell>
          <cell r="C1486">
            <v>48700</v>
          </cell>
          <cell r="D1486">
            <v>49800</v>
          </cell>
          <cell r="E1486">
            <v>46300</v>
          </cell>
          <cell r="F1486">
            <v>51200</v>
          </cell>
          <cell r="G1486" t="str">
            <v>-</v>
          </cell>
          <cell r="H1486">
            <v>47300</v>
          </cell>
          <cell r="I1486">
            <v>47800</v>
          </cell>
          <cell r="J1486">
            <v>49800</v>
          </cell>
          <cell r="K1486" t="str">
            <v>-</v>
          </cell>
          <cell r="L1486">
            <v>49100</v>
          </cell>
          <cell r="M1486">
            <v>49500</v>
          </cell>
          <cell r="N1486">
            <v>48600</v>
          </cell>
          <cell r="O1486">
            <v>47800</v>
          </cell>
          <cell r="P1486">
            <v>46000</v>
          </cell>
          <cell r="Q1486">
            <v>46200</v>
          </cell>
          <cell r="R1486">
            <v>46700</v>
          </cell>
          <cell r="S1486">
            <v>48400</v>
          </cell>
          <cell r="T1486">
            <v>49500</v>
          </cell>
          <cell r="U1486">
            <v>50000</v>
          </cell>
          <cell r="V1486">
            <v>50800</v>
          </cell>
          <cell r="W1486">
            <v>53300</v>
          </cell>
        </row>
        <row r="1487">
          <cell r="A1487">
            <v>45753</v>
          </cell>
          <cell r="B1487" t="str">
            <v>H</v>
          </cell>
          <cell r="C1487" t="str">
            <v>H</v>
          </cell>
          <cell r="D1487" t="str">
            <v>H</v>
          </cell>
          <cell r="E1487" t="str">
            <v>H</v>
          </cell>
          <cell r="F1487" t="str">
            <v>H</v>
          </cell>
          <cell r="G1487" t="str">
            <v>H</v>
          </cell>
          <cell r="H1487" t="str">
            <v>H</v>
          </cell>
          <cell r="I1487" t="str">
            <v>H</v>
          </cell>
          <cell r="J1487" t="str">
            <v>H</v>
          </cell>
          <cell r="K1487" t="str">
            <v>H</v>
          </cell>
          <cell r="L1487" t="str">
            <v>H</v>
          </cell>
          <cell r="M1487" t="str">
            <v>H</v>
          </cell>
          <cell r="N1487" t="str">
            <v>H</v>
          </cell>
          <cell r="O1487" t="str">
            <v>H</v>
          </cell>
          <cell r="P1487" t="str">
            <v>H</v>
          </cell>
          <cell r="Q1487" t="str">
            <v>H</v>
          </cell>
          <cell r="R1487" t="str">
            <v>H</v>
          </cell>
          <cell r="S1487" t="str">
            <v>H</v>
          </cell>
          <cell r="T1487" t="str">
            <v>H</v>
          </cell>
          <cell r="U1487" t="str">
            <v>H</v>
          </cell>
          <cell r="V1487" t="str">
            <v>H</v>
          </cell>
          <cell r="W1487" t="str">
            <v>H</v>
          </cell>
        </row>
        <row r="1488">
          <cell r="A1488">
            <v>45754</v>
          </cell>
          <cell r="B1488">
            <v>48300</v>
          </cell>
          <cell r="C1488">
            <v>48700</v>
          </cell>
          <cell r="D1488">
            <v>49000</v>
          </cell>
          <cell r="E1488">
            <v>45800</v>
          </cell>
          <cell r="F1488">
            <v>51200</v>
          </cell>
          <cell r="G1488" t="str">
            <v>-</v>
          </cell>
          <cell r="H1488">
            <v>47000</v>
          </cell>
          <cell r="I1488">
            <v>47300</v>
          </cell>
          <cell r="J1488">
            <v>49500</v>
          </cell>
          <cell r="K1488" t="str">
            <v>-</v>
          </cell>
          <cell r="L1488">
            <v>48700</v>
          </cell>
          <cell r="M1488">
            <v>49400</v>
          </cell>
          <cell r="N1488">
            <v>48000</v>
          </cell>
          <cell r="O1488">
            <v>47300</v>
          </cell>
          <cell r="P1488">
            <v>45500</v>
          </cell>
          <cell r="Q1488">
            <v>45700</v>
          </cell>
          <cell r="R1488">
            <v>46200</v>
          </cell>
          <cell r="S1488">
            <v>47900</v>
          </cell>
          <cell r="T1488">
            <v>49300</v>
          </cell>
          <cell r="U1488">
            <v>50000</v>
          </cell>
          <cell r="V1488">
            <v>50200</v>
          </cell>
          <cell r="W1488">
            <v>53300</v>
          </cell>
        </row>
        <row r="1489">
          <cell r="A1489">
            <v>45755</v>
          </cell>
          <cell r="B1489">
            <v>48000</v>
          </cell>
          <cell r="C1489">
            <v>48500</v>
          </cell>
          <cell r="D1489">
            <v>49000</v>
          </cell>
          <cell r="E1489">
            <v>45800</v>
          </cell>
          <cell r="F1489">
            <v>51100</v>
          </cell>
          <cell r="G1489" t="str">
            <v>-</v>
          </cell>
          <cell r="H1489">
            <v>47000</v>
          </cell>
          <cell r="I1489">
            <v>47500</v>
          </cell>
          <cell r="J1489">
            <v>49300</v>
          </cell>
          <cell r="K1489" t="str">
            <v>-</v>
          </cell>
          <cell r="L1489">
            <v>48600</v>
          </cell>
          <cell r="M1489">
            <v>49400</v>
          </cell>
          <cell r="N1489">
            <v>47800</v>
          </cell>
          <cell r="O1489">
            <v>47100</v>
          </cell>
          <cell r="P1489">
            <v>45400</v>
          </cell>
          <cell r="Q1489">
            <v>45600</v>
          </cell>
          <cell r="R1489">
            <v>46000</v>
          </cell>
          <cell r="S1489">
            <v>47900</v>
          </cell>
          <cell r="T1489">
            <v>49000</v>
          </cell>
          <cell r="U1489">
            <v>50000</v>
          </cell>
          <cell r="V1489">
            <v>50200</v>
          </cell>
          <cell r="W1489">
            <v>53300</v>
          </cell>
        </row>
        <row r="1490">
          <cell r="A1490">
            <v>45756</v>
          </cell>
          <cell r="B1490">
            <v>48000</v>
          </cell>
          <cell r="C1490">
            <v>48500</v>
          </cell>
          <cell r="D1490">
            <v>49200</v>
          </cell>
          <cell r="E1490">
            <v>46000</v>
          </cell>
          <cell r="F1490">
            <v>50800</v>
          </cell>
          <cell r="G1490" t="str">
            <v>-</v>
          </cell>
          <cell r="H1490">
            <v>47200</v>
          </cell>
          <cell r="I1490">
            <v>47700</v>
          </cell>
          <cell r="J1490">
            <v>49300</v>
          </cell>
          <cell r="K1490" t="str">
            <v>-</v>
          </cell>
          <cell r="L1490">
            <v>48800</v>
          </cell>
          <cell r="M1490">
            <v>49400</v>
          </cell>
          <cell r="N1490">
            <v>48200</v>
          </cell>
          <cell r="O1490">
            <v>47300</v>
          </cell>
          <cell r="P1490">
            <v>45900</v>
          </cell>
          <cell r="Q1490">
            <v>45800</v>
          </cell>
          <cell r="R1490">
            <v>46200</v>
          </cell>
          <cell r="S1490">
            <v>48100</v>
          </cell>
          <cell r="T1490">
            <v>49000</v>
          </cell>
          <cell r="U1490">
            <v>50500</v>
          </cell>
          <cell r="V1490">
            <v>50300</v>
          </cell>
          <cell r="W1490">
            <v>53300</v>
          </cell>
        </row>
        <row r="1491">
          <cell r="A1491">
            <v>45757</v>
          </cell>
          <cell r="B1491">
            <v>48200</v>
          </cell>
          <cell r="C1491">
            <v>48700</v>
          </cell>
          <cell r="D1491">
            <v>49400</v>
          </cell>
          <cell r="E1491">
            <v>46200</v>
          </cell>
          <cell r="F1491">
            <v>50800</v>
          </cell>
          <cell r="G1491" t="str">
            <v>-</v>
          </cell>
          <cell r="H1491">
            <v>47300</v>
          </cell>
          <cell r="I1491">
            <v>47900</v>
          </cell>
          <cell r="J1491">
            <v>49300</v>
          </cell>
          <cell r="K1491" t="str">
            <v>-</v>
          </cell>
          <cell r="L1491">
            <v>48800</v>
          </cell>
          <cell r="M1491">
            <v>49400</v>
          </cell>
          <cell r="N1491">
            <v>48200</v>
          </cell>
          <cell r="O1491">
            <v>47300</v>
          </cell>
          <cell r="P1491">
            <v>45900</v>
          </cell>
          <cell r="Q1491">
            <v>45900</v>
          </cell>
          <cell r="R1491">
            <v>46200</v>
          </cell>
          <cell r="S1491">
            <v>48300</v>
          </cell>
          <cell r="T1491">
            <v>49300</v>
          </cell>
          <cell r="U1491">
            <v>51000</v>
          </cell>
          <cell r="V1491">
            <v>50300</v>
          </cell>
          <cell r="W1491">
            <v>53300</v>
          </cell>
        </row>
        <row r="1492">
          <cell r="A1492">
            <v>45758</v>
          </cell>
          <cell r="B1492">
            <v>48600</v>
          </cell>
          <cell r="C1492">
            <v>48700</v>
          </cell>
          <cell r="D1492">
            <v>49500</v>
          </cell>
          <cell r="E1492">
            <v>46600</v>
          </cell>
          <cell r="F1492">
            <v>51000</v>
          </cell>
          <cell r="G1492" t="str">
            <v>-</v>
          </cell>
          <cell r="H1492">
            <v>47300</v>
          </cell>
          <cell r="I1492">
            <v>47900</v>
          </cell>
          <cell r="J1492">
            <v>49700</v>
          </cell>
          <cell r="K1492" t="str">
            <v>-</v>
          </cell>
          <cell r="L1492">
            <v>48900</v>
          </cell>
          <cell r="M1492">
            <v>49400</v>
          </cell>
          <cell r="N1492">
            <v>48500</v>
          </cell>
          <cell r="O1492">
            <v>47300</v>
          </cell>
          <cell r="P1492">
            <v>46000</v>
          </cell>
          <cell r="Q1492">
            <v>46100</v>
          </cell>
          <cell r="R1492">
            <v>46300</v>
          </cell>
          <cell r="S1492">
            <v>48700</v>
          </cell>
          <cell r="T1492">
            <v>49300</v>
          </cell>
          <cell r="U1492">
            <v>51500</v>
          </cell>
          <cell r="V1492">
            <v>50400</v>
          </cell>
          <cell r="W1492">
            <v>53300</v>
          </cell>
        </row>
        <row r="1493">
          <cell r="A1493">
            <v>45759</v>
          </cell>
          <cell r="B1493">
            <v>48600</v>
          </cell>
          <cell r="C1493">
            <v>48700</v>
          </cell>
          <cell r="D1493">
            <v>49500</v>
          </cell>
          <cell r="E1493">
            <v>46400</v>
          </cell>
          <cell r="F1493">
            <v>50800</v>
          </cell>
          <cell r="G1493" t="str">
            <v>-</v>
          </cell>
          <cell r="H1493">
            <v>47300</v>
          </cell>
          <cell r="I1493">
            <v>47700</v>
          </cell>
          <cell r="J1493">
            <v>49700</v>
          </cell>
          <cell r="K1493" t="str">
            <v>-</v>
          </cell>
          <cell r="L1493">
            <v>48900</v>
          </cell>
          <cell r="M1493">
            <v>49400</v>
          </cell>
          <cell r="N1493">
            <v>48400</v>
          </cell>
          <cell r="O1493">
            <v>47100</v>
          </cell>
          <cell r="P1493">
            <v>45800</v>
          </cell>
          <cell r="Q1493">
            <v>46000</v>
          </cell>
          <cell r="R1493">
            <v>46100</v>
          </cell>
          <cell r="S1493">
            <v>48500</v>
          </cell>
          <cell r="T1493">
            <v>49200</v>
          </cell>
          <cell r="U1493">
            <v>52000</v>
          </cell>
          <cell r="V1493">
            <v>50400</v>
          </cell>
          <cell r="W1493">
            <v>53300</v>
          </cell>
        </row>
        <row r="1494">
          <cell r="A1494">
            <v>45760</v>
          </cell>
          <cell r="B1494" t="str">
            <v>H</v>
          </cell>
          <cell r="C1494" t="str">
            <v>H</v>
          </cell>
          <cell r="D1494" t="str">
            <v>H</v>
          </cell>
          <cell r="E1494" t="str">
            <v>H</v>
          </cell>
          <cell r="F1494" t="str">
            <v>H</v>
          </cell>
          <cell r="G1494" t="str">
            <v>H</v>
          </cell>
          <cell r="H1494" t="str">
            <v>H</v>
          </cell>
          <cell r="I1494" t="str">
            <v>H</v>
          </cell>
          <cell r="J1494" t="str">
            <v>H</v>
          </cell>
          <cell r="K1494" t="str">
            <v>H</v>
          </cell>
          <cell r="L1494" t="str">
            <v>H</v>
          </cell>
          <cell r="M1494" t="str">
            <v>H</v>
          </cell>
          <cell r="N1494" t="str">
            <v>H</v>
          </cell>
          <cell r="O1494" t="str">
            <v>H</v>
          </cell>
          <cell r="P1494" t="str">
            <v>H</v>
          </cell>
          <cell r="Q1494" t="str">
            <v>H</v>
          </cell>
          <cell r="R1494" t="str">
            <v>H</v>
          </cell>
          <cell r="S1494" t="str">
            <v>H</v>
          </cell>
          <cell r="T1494" t="str">
            <v>H</v>
          </cell>
          <cell r="U1494" t="str">
            <v>H</v>
          </cell>
          <cell r="V1494" t="str">
            <v>H</v>
          </cell>
          <cell r="W1494" t="str">
            <v>H</v>
          </cell>
        </row>
        <row r="1495">
          <cell r="A1495">
            <v>45761</v>
          </cell>
          <cell r="B1495">
            <v>48200</v>
          </cell>
          <cell r="C1495" t="str">
            <v>-</v>
          </cell>
          <cell r="D1495">
            <v>48900</v>
          </cell>
          <cell r="E1495">
            <v>45900</v>
          </cell>
          <cell r="F1495">
            <v>50000</v>
          </cell>
          <cell r="G1495" t="str">
            <v>-</v>
          </cell>
          <cell r="H1495">
            <v>47000</v>
          </cell>
          <cell r="I1495">
            <v>47500</v>
          </cell>
          <cell r="J1495">
            <v>49700</v>
          </cell>
          <cell r="K1495" t="str">
            <v>-</v>
          </cell>
          <cell r="L1495">
            <v>48800</v>
          </cell>
          <cell r="M1495">
            <v>49400</v>
          </cell>
          <cell r="N1495">
            <v>47600</v>
          </cell>
          <cell r="O1495">
            <v>47000</v>
          </cell>
          <cell r="P1495">
            <v>45600</v>
          </cell>
          <cell r="Q1495">
            <v>45600</v>
          </cell>
          <cell r="R1495">
            <v>46000</v>
          </cell>
          <cell r="S1495">
            <v>48000</v>
          </cell>
          <cell r="T1495">
            <v>48800</v>
          </cell>
          <cell r="U1495">
            <v>52000</v>
          </cell>
          <cell r="V1495">
            <v>50200</v>
          </cell>
          <cell r="W1495">
            <v>53300</v>
          </cell>
        </row>
        <row r="1496">
          <cell r="A1496">
            <v>45762</v>
          </cell>
          <cell r="B1496">
            <v>48200</v>
          </cell>
          <cell r="C1496">
            <v>48700</v>
          </cell>
          <cell r="D1496">
            <v>48700</v>
          </cell>
          <cell r="E1496">
            <v>45600</v>
          </cell>
          <cell r="F1496">
            <v>49600</v>
          </cell>
          <cell r="G1496" t="str">
            <v>-</v>
          </cell>
          <cell r="H1496">
            <v>47000</v>
          </cell>
          <cell r="I1496">
            <v>47400</v>
          </cell>
          <cell r="J1496">
            <v>49500</v>
          </cell>
          <cell r="K1496" t="str">
            <v>-</v>
          </cell>
          <cell r="L1496">
            <v>48700</v>
          </cell>
          <cell r="M1496">
            <v>49300</v>
          </cell>
          <cell r="N1496">
            <v>47300</v>
          </cell>
          <cell r="O1496">
            <v>47000</v>
          </cell>
          <cell r="P1496">
            <v>45400</v>
          </cell>
          <cell r="Q1496">
            <v>45400</v>
          </cell>
          <cell r="R1496">
            <v>46000</v>
          </cell>
          <cell r="S1496">
            <v>47800</v>
          </cell>
          <cell r="T1496">
            <v>48700</v>
          </cell>
          <cell r="U1496">
            <v>52000</v>
          </cell>
          <cell r="V1496">
            <v>50100</v>
          </cell>
          <cell r="W1496">
            <v>53000</v>
          </cell>
        </row>
        <row r="1497">
          <cell r="A1497">
            <v>45763</v>
          </cell>
          <cell r="B1497">
            <v>48200</v>
          </cell>
          <cell r="C1497">
            <v>48700</v>
          </cell>
          <cell r="D1497">
            <v>48700</v>
          </cell>
          <cell r="E1497">
            <v>45800</v>
          </cell>
          <cell r="F1497">
            <v>49600</v>
          </cell>
          <cell r="G1497" t="str">
            <v>-</v>
          </cell>
          <cell r="H1497">
            <v>47000</v>
          </cell>
          <cell r="I1497">
            <v>47500</v>
          </cell>
          <cell r="J1497">
            <v>49500</v>
          </cell>
          <cell r="K1497" t="str">
            <v>-</v>
          </cell>
          <cell r="L1497">
            <v>48700</v>
          </cell>
          <cell r="M1497">
            <v>49400</v>
          </cell>
          <cell r="N1497">
            <v>47600</v>
          </cell>
          <cell r="O1497">
            <v>47200</v>
          </cell>
          <cell r="P1497">
            <v>45500</v>
          </cell>
          <cell r="Q1497">
            <v>45800</v>
          </cell>
          <cell r="R1497">
            <v>46000</v>
          </cell>
          <cell r="S1497">
            <v>47900</v>
          </cell>
          <cell r="T1497">
            <v>49000</v>
          </cell>
          <cell r="U1497">
            <v>52000</v>
          </cell>
          <cell r="V1497">
            <v>50000</v>
          </cell>
          <cell r="W1497">
            <v>53000</v>
          </cell>
        </row>
        <row r="1498">
          <cell r="A1498">
            <v>45764</v>
          </cell>
          <cell r="B1498">
            <v>48100</v>
          </cell>
          <cell r="C1498">
            <v>48700</v>
          </cell>
          <cell r="D1498">
            <v>48600</v>
          </cell>
          <cell r="E1498">
            <v>45500</v>
          </cell>
          <cell r="F1498">
            <v>49800</v>
          </cell>
          <cell r="G1498" t="str">
            <v>-</v>
          </cell>
          <cell r="H1498">
            <v>47000</v>
          </cell>
          <cell r="I1498">
            <v>47200</v>
          </cell>
          <cell r="J1498">
            <v>49300</v>
          </cell>
          <cell r="K1498" t="str">
            <v>-</v>
          </cell>
          <cell r="L1498">
            <v>48400</v>
          </cell>
          <cell r="M1498">
            <v>49300</v>
          </cell>
          <cell r="N1498">
            <v>47300</v>
          </cell>
          <cell r="O1498">
            <v>47000</v>
          </cell>
          <cell r="P1498">
            <v>45100</v>
          </cell>
          <cell r="Q1498">
            <v>45400</v>
          </cell>
          <cell r="R1498">
            <v>45800</v>
          </cell>
          <cell r="S1498">
            <v>47600</v>
          </cell>
          <cell r="T1498">
            <v>48600</v>
          </cell>
          <cell r="U1498">
            <v>52000</v>
          </cell>
          <cell r="V1498">
            <v>49200</v>
          </cell>
          <cell r="W1498">
            <v>52500</v>
          </cell>
        </row>
        <row r="1499">
          <cell r="A1499">
            <v>45765</v>
          </cell>
          <cell r="B1499">
            <v>48100</v>
          </cell>
          <cell r="C1499">
            <v>48700</v>
          </cell>
          <cell r="D1499">
            <v>48600</v>
          </cell>
          <cell r="E1499">
            <v>45500</v>
          </cell>
          <cell r="F1499">
            <v>49600</v>
          </cell>
          <cell r="G1499" t="str">
            <v>-</v>
          </cell>
          <cell r="H1499">
            <v>47000</v>
          </cell>
          <cell r="I1499">
            <v>47000</v>
          </cell>
          <cell r="J1499">
            <v>49300</v>
          </cell>
          <cell r="K1499" t="str">
            <v>-</v>
          </cell>
          <cell r="L1499">
            <v>48300</v>
          </cell>
          <cell r="M1499">
            <v>49300</v>
          </cell>
          <cell r="N1499">
            <v>47200</v>
          </cell>
          <cell r="O1499">
            <v>47200</v>
          </cell>
          <cell r="P1499">
            <v>44900</v>
          </cell>
          <cell r="Q1499">
            <v>45200</v>
          </cell>
          <cell r="R1499">
            <v>45700</v>
          </cell>
          <cell r="S1499">
            <v>47500</v>
          </cell>
          <cell r="T1499">
            <v>48500</v>
          </cell>
          <cell r="U1499">
            <v>52000</v>
          </cell>
          <cell r="V1499">
            <v>49200</v>
          </cell>
          <cell r="W1499">
            <v>52500</v>
          </cell>
        </row>
        <row r="1500">
          <cell r="A1500">
            <v>45766</v>
          </cell>
          <cell r="B1500">
            <v>48000</v>
          </cell>
          <cell r="C1500">
            <v>48500</v>
          </cell>
          <cell r="D1500">
            <v>48400</v>
          </cell>
          <cell r="E1500">
            <v>45300</v>
          </cell>
          <cell r="F1500">
            <v>49600</v>
          </cell>
          <cell r="G1500" t="str">
            <v>-</v>
          </cell>
          <cell r="H1500">
            <v>47000</v>
          </cell>
          <cell r="I1500">
            <v>46800</v>
          </cell>
          <cell r="J1500">
            <v>49000</v>
          </cell>
          <cell r="K1500" t="str">
            <v>-</v>
          </cell>
          <cell r="L1500">
            <v>48100</v>
          </cell>
          <cell r="M1500">
            <v>49300</v>
          </cell>
          <cell r="N1500">
            <v>46800</v>
          </cell>
          <cell r="O1500">
            <v>47000</v>
          </cell>
          <cell r="P1500">
            <v>44500</v>
          </cell>
          <cell r="Q1500">
            <v>44800</v>
          </cell>
          <cell r="R1500">
            <v>45600</v>
          </cell>
          <cell r="S1500">
            <v>47400</v>
          </cell>
          <cell r="T1500">
            <v>48200</v>
          </cell>
          <cell r="U1500">
            <v>51500</v>
          </cell>
          <cell r="V1500">
            <v>49200</v>
          </cell>
          <cell r="W1500">
            <v>52500</v>
          </cell>
        </row>
        <row r="1501">
          <cell r="A1501">
            <v>45767</v>
          </cell>
          <cell r="B1501" t="str">
            <v>H</v>
          </cell>
          <cell r="C1501" t="str">
            <v>H</v>
          </cell>
          <cell r="D1501" t="str">
            <v>H</v>
          </cell>
          <cell r="E1501" t="str">
            <v>H</v>
          </cell>
          <cell r="F1501" t="str">
            <v>H</v>
          </cell>
          <cell r="G1501" t="str">
            <v>H</v>
          </cell>
          <cell r="H1501" t="str">
            <v>H</v>
          </cell>
          <cell r="I1501" t="str">
            <v>H</v>
          </cell>
          <cell r="J1501" t="str">
            <v>H</v>
          </cell>
          <cell r="K1501" t="str">
            <v>H</v>
          </cell>
          <cell r="L1501" t="str">
            <v>H</v>
          </cell>
          <cell r="M1501" t="str">
            <v>H</v>
          </cell>
          <cell r="N1501" t="str">
            <v>H</v>
          </cell>
          <cell r="O1501" t="str">
            <v>H</v>
          </cell>
          <cell r="P1501" t="str">
            <v>H</v>
          </cell>
          <cell r="Q1501" t="str">
            <v>H</v>
          </cell>
          <cell r="R1501" t="str">
            <v>H</v>
          </cell>
          <cell r="S1501" t="str">
            <v>H</v>
          </cell>
          <cell r="T1501" t="str">
            <v>H</v>
          </cell>
          <cell r="U1501" t="str">
            <v>H</v>
          </cell>
          <cell r="V1501" t="str">
            <v>H</v>
          </cell>
          <cell r="W1501" t="str">
            <v>H</v>
          </cell>
        </row>
        <row r="1502">
          <cell r="A1502">
            <v>45768</v>
          </cell>
          <cell r="B1502">
            <v>47900</v>
          </cell>
          <cell r="C1502">
            <v>48500</v>
          </cell>
          <cell r="D1502">
            <v>47900</v>
          </cell>
          <cell r="E1502">
            <v>44700</v>
          </cell>
          <cell r="F1502">
            <v>48800</v>
          </cell>
          <cell r="G1502" t="str">
            <v>-</v>
          </cell>
          <cell r="H1502">
            <v>47000</v>
          </cell>
          <cell r="I1502">
            <v>46800</v>
          </cell>
          <cell r="J1502">
            <v>49000</v>
          </cell>
          <cell r="K1502" t="str">
            <v>-</v>
          </cell>
          <cell r="L1502">
            <v>48000</v>
          </cell>
          <cell r="M1502">
            <v>49300</v>
          </cell>
          <cell r="N1502">
            <v>46600</v>
          </cell>
          <cell r="O1502">
            <v>47000</v>
          </cell>
          <cell r="P1502">
            <v>44600</v>
          </cell>
          <cell r="Q1502">
            <v>44700</v>
          </cell>
          <cell r="R1502">
            <v>45500</v>
          </cell>
          <cell r="S1502">
            <v>46800</v>
          </cell>
          <cell r="T1502">
            <v>48000</v>
          </cell>
          <cell r="U1502">
            <v>51000</v>
          </cell>
          <cell r="V1502">
            <v>48900</v>
          </cell>
          <cell r="W1502">
            <v>51700</v>
          </cell>
        </row>
        <row r="1503">
          <cell r="A1503">
            <v>45769</v>
          </cell>
          <cell r="B1503">
            <v>48500</v>
          </cell>
          <cell r="C1503">
            <v>48700</v>
          </cell>
          <cell r="D1503">
            <v>48600</v>
          </cell>
          <cell r="E1503">
            <v>45500</v>
          </cell>
          <cell r="F1503">
            <v>50000</v>
          </cell>
          <cell r="G1503" t="str">
            <v>-</v>
          </cell>
          <cell r="H1503">
            <v>48000</v>
          </cell>
          <cell r="I1503">
            <v>47500</v>
          </cell>
          <cell r="J1503">
            <v>49700</v>
          </cell>
          <cell r="K1503" t="str">
            <v>-</v>
          </cell>
          <cell r="L1503">
            <v>49000</v>
          </cell>
          <cell r="M1503">
            <v>49600</v>
          </cell>
          <cell r="N1503">
            <v>47800</v>
          </cell>
          <cell r="O1503">
            <v>47800</v>
          </cell>
          <cell r="P1503">
            <v>45100</v>
          </cell>
          <cell r="Q1503">
            <v>45600</v>
          </cell>
          <cell r="R1503">
            <v>46300</v>
          </cell>
          <cell r="S1503">
            <v>47600</v>
          </cell>
          <cell r="T1503">
            <v>49000</v>
          </cell>
          <cell r="U1503">
            <v>51500</v>
          </cell>
          <cell r="V1503">
            <v>49400</v>
          </cell>
          <cell r="W1503">
            <v>52300</v>
          </cell>
        </row>
        <row r="1504">
          <cell r="A1504">
            <v>45770</v>
          </cell>
          <cell r="B1504">
            <v>48400</v>
          </cell>
          <cell r="C1504">
            <v>48800</v>
          </cell>
          <cell r="D1504">
            <v>48600</v>
          </cell>
          <cell r="E1504">
            <v>45300</v>
          </cell>
          <cell r="F1504">
            <v>50000</v>
          </cell>
          <cell r="G1504" t="str">
            <v>-</v>
          </cell>
          <cell r="H1504">
            <v>47500</v>
          </cell>
          <cell r="I1504">
            <v>47300</v>
          </cell>
          <cell r="J1504">
            <v>49500</v>
          </cell>
          <cell r="K1504" t="str">
            <v>-</v>
          </cell>
          <cell r="L1504">
            <v>48900</v>
          </cell>
          <cell r="M1504">
            <v>49400</v>
          </cell>
          <cell r="N1504">
            <v>47500</v>
          </cell>
          <cell r="O1504">
            <v>47300</v>
          </cell>
          <cell r="P1504">
            <v>44700</v>
          </cell>
          <cell r="Q1504">
            <v>45200</v>
          </cell>
          <cell r="R1504">
            <v>45700</v>
          </cell>
          <cell r="S1504">
            <v>47400</v>
          </cell>
          <cell r="T1504">
            <v>48700</v>
          </cell>
          <cell r="U1504">
            <v>51500</v>
          </cell>
          <cell r="V1504">
            <v>49400</v>
          </cell>
          <cell r="W1504">
            <v>52300</v>
          </cell>
        </row>
        <row r="1505">
          <cell r="A1505">
            <v>45771</v>
          </cell>
          <cell r="B1505">
            <v>48400</v>
          </cell>
          <cell r="C1505">
            <v>48500</v>
          </cell>
          <cell r="D1505">
            <v>48400</v>
          </cell>
          <cell r="E1505">
            <v>45400</v>
          </cell>
          <cell r="F1505">
            <v>50000</v>
          </cell>
          <cell r="G1505" t="str">
            <v>-</v>
          </cell>
          <cell r="H1505">
            <v>47500</v>
          </cell>
          <cell r="I1505">
            <v>47300</v>
          </cell>
          <cell r="J1505">
            <v>49500</v>
          </cell>
          <cell r="K1505" t="str">
            <v>-</v>
          </cell>
          <cell r="L1505">
            <v>48900</v>
          </cell>
          <cell r="M1505">
            <v>49400</v>
          </cell>
          <cell r="N1505">
            <v>47800</v>
          </cell>
          <cell r="O1505">
            <v>47000</v>
          </cell>
          <cell r="P1505">
            <v>44700</v>
          </cell>
          <cell r="Q1505">
            <v>45200</v>
          </cell>
          <cell r="R1505">
            <v>45500</v>
          </cell>
          <cell r="S1505">
            <v>47500</v>
          </cell>
          <cell r="T1505">
            <v>48500</v>
          </cell>
          <cell r="U1505">
            <v>51500</v>
          </cell>
          <cell r="V1505">
            <v>49400</v>
          </cell>
          <cell r="W1505">
            <v>52300</v>
          </cell>
        </row>
        <row r="1506">
          <cell r="A1506">
            <v>45772</v>
          </cell>
          <cell r="B1506">
            <v>48400</v>
          </cell>
          <cell r="C1506">
            <v>48500</v>
          </cell>
          <cell r="D1506">
            <v>48300</v>
          </cell>
          <cell r="E1506">
            <v>45000</v>
          </cell>
          <cell r="F1506">
            <v>50000</v>
          </cell>
          <cell r="G1506" t="str">
            <v>-</v>
          </cell>
          <cell r="H1506">
            <v>46500</v>
          </cell>
          <cell r="I1506">
            <v>47000</v>
          </cell>
          <cell r="J1506">
            <v>49500</v>
          </cell>
          <cell r="K1506" t="str">
            <v>-</v>
          </cell>
          <cell r="L1506">
            <v>48700</v>
          </cell>
          <cell r="M1506">
            <v>49400</v>
          </cell>
          <cell r="N1506">
            <v>47200</v>
          </cell>
          <cell r="O1506">
            <v>47000</v>
          </cell>
          <cell r="P1506">
            <v>44300</v>
          </cell>
          <cell r="Q1506">
            <v>45000</v>
          </cell>
          <cell r="R1506">
            <v>45500</v>
          </cell>
          <cell r="S1506">
            <v>47100</v>
          </cell>
          <cell r="T1506">
            <v>48400</v>
          </cell>
          <cell r="U1506">
            <v>51500</v>
          </cell>
          <cell r="V1506">
            <v>49300</v>
          </cell>
          <cell r="W1506">
            <v>52300</v>
          </cell>
        </row>
        <row r="1507">
          <cell r="A1507">
            <v>45773</v>
          </cell>
          <cell r="B1507">
            <v>48200</v>
          </cell>
          <cell r="C1507">
            <v>48500</v>
          </cell>
          <cell r="D1507">
            <v>48100</v>
          </cell>
          <cell r="E1507">
            <v>45000</v>
          </cell>
          <cell r="F1507">
            <v>50000</v>
          </cell>
          <cell r="G1507" t="str">
            <v>-</v>
          </cell>
          <cell r="H1507">
            <v>46500</v>
          </cell>
          <cell r="I1507">
            <v>47000</v>
          </cell>
          <cell r="J1507">
            <v>49500</v>
          </cell>
          <cell r="K1507" t="str">
            <v>-</v>
          </cell>
          <cell r="L1507">
            <v>48500</v>
          </cell>
          <cell r="M1507">
            <v>49400</v>
          </cell>
          <cell r="N1507">
            <v>47000</v>
          </cell>
          <cell r="O1507">
            <v>46900</v>
          </cell>
          <cell r="P1507">
            <v>44400</v>
          </cell>
          <cell r="Q1507">
            <v>45000</v>
          </cell>
          <cell r="R1507">
            <v>45300</v>
          </cell>
          <cell r="S1507">
            <v>47100</v>
          </cell>
          <cell r="T1507">
            <v>48300</v>
          </cell>
          <cell r="U1507">
            <v>51500</v>
          </cell>
          <cell r="V1507">
            <v>49300</v>
          </cell>
          <cell r="W1507">
            <v>52300</v>
          </cell>
        </row>
        <row r="1508">
          <cell r="A1508">
            <v>45774</v>
          </cell>
          <cell r="B1508" t="str">
            <v>H</v>
          </cell>
          <cell r="C1508" t="str">
            <v>H</v>
          </cell>
          <cell r="D1508" t="str">
            <v>H</v>
          </cell>
          <cell r="E1508" t="str">
            <v>H</v>
          </cell>
          <cell r="F1508" t="str">
            <v>H</v>
          </cell>
          <cell r="G1508" t="str">
            <v>H</v>
          </cell>
          <cell r="H1508" t="str">
            <v>H</v>
          </cell>
          <cell r="I1508" t="str">
            <v>H</v>
          </cell>
          <cell r="J1508" t="str">
            <v>H</v>
          </cell>
          <cell r="K1508" t="str">
            <v>H</v>
          </cell>
          <cell r="L1508" t="str">
            <v>H</v>
          </cell>
          <cell r="M1508" t="str">
            <v>H</v>
          </cell>
          <cell r="N1508" t="str">
            <v>H</v>
          </cell>
          <cell r="O1508" t="str">
            <v>H</v>
          </cell>
          <cell r="P1508" t="str">
            <v>H</v>
          </cell>
          <cell r="Q1508" t="str">
            <v>H</v>
          </cell>
          <cell r="R1508" t="str">
            <v>H</v>
          </cell>
          <cell r="S1508" t="str">
            <v>H</v>
          </cell>
          <cell r="T1508" t="str">
            <v>H</v>
          </cell>
          <cell r="U1508" t="str">
            <v>H</v>
          </cell>
          <cell r="V1508" t="str">
            <v>H</v>
          </cell>
          <cell r="W1508" t="str">
            <v>H</v>
          </cell>
        </row>
        <row r="1509">
          <cell r="A1509">
            <v>45775</v>
          </cell>
          <cell r="B1509">
            <v>47900</v>
          </cell>
          <cell r="C1509">
            <v>48500</v>
          </cell>
          <cell r="D1509">
            <v>47800</v>
          </cell>
          <cell r="E1509">
            <v>44600</v>
          </cell>
          <cell r="F1509">
            <v>49500</v>
          </cell>
          <cell r="G1509" t="str">
            <v>-</v>
          </cell>
          <cell r="H1509">
            <v>46500</v>
          </cell>
          <cell r="I1509">
            <v>46500</v>
          </cell>
          <cell r="J1509">
            <v>49200</v>
          </cell>
          <cell r="K1509" t="str">
            <v>-</v>
          </cell>
          <cell r="L1509">
            <v>48300</v>
          </cell>
          <cell r="M1509">
            <v>49300</v>
          </cell>
          <cell r="N1509">
            <v>47000</v>
          </cell>
          <cell r="O1509">
            <v>46700</v>
          </cell>
          <cell r="P1509">
            <v>44300</v>
          </cell>
          <cell r="Q1509">
            <v>45000</v>
          </cell>
          <cell r="R1509">
            <v>44900</v>
          </cell>
          <cell r="S1509">
            <v>46700</v>
          </cell>
          <cell r="T1509">
            <v>48300</v>
          </cell>
          <cell r="U1509">
            <v>51000</v>
          </cell>
          <cell r="V1509">
            <v>49100</v>
          </cell>
          <cell r="W1509">
            <v>52300</v>
          </cell>
        </row>
        <row r="1510">
          <cell r="A1510">
            <v>45776</v>
          </cell>
          <cell r="B1510">
            <v>47800</v>
          </cell>
          <cell r="C1510">
            <v>48500</v>
          </cell>
          <cell r="D1510">
            <v>47800</v>
          </cell>
          <cell r="E1510">
            <v>44600</v>
          </cell>
          <cell r="F1510">
            <v>49500</v>
          </cell>
          <cell r="G1510" t="str">
            <v>-</v>
          </cell>
          <cell r="H1510">
            <v>46000</v>
          </cell>
          <cell r="I1510">
            <v>46500</v>
          </cell>
          <cell r="J1510">
            <v>49000</v>
          </cell>
          <cell r="K1510" t="str">
            <v>-</v>
          </cell>
          <cell r="L1510">
            <v>48200</v>
          </cell>
          <cell r="M1510">
            <v>49300</v>
          </cell>
          <cell r="N1510">
            <v>47000</v>
          </cell>
          <cell r="O1510">
            <v>46800</v>
          </cell>
          <cell r="P1510">
            <v>44200</v>
          </cell>
          <cell r="Q1510">
            <v>44800</v>
          </cell>
          <cell r="R1510">
            <v>44900</v>
          </cell>
          <cell r="S1510">
            <v>46700</v>
          </cell>
          <cell r="T1510">
            <v>48100</v>
          </cell>
          <cell r="U1510">
            <v>51000</v>
          </cell>
          <cell r="V1510">
            <v>48800</v>
          </cell>
          <cell r="W1510">
            <v>52100</v>
          </cell>
        </row>
        <row r="1511">
          <cell r="A1511">
            <v>45777</v>
          </cell>
          <cell r="B1511">
            <v>47800</v>
          </cell>
          <cell r="C1511">
            <v>48500</v>
          </cell>
          <cell r="D1511">
            <v>47300</v>
          </cell>
          <cell r="E1511">
            <v>44200</v>
          </cell>
          <cell r="F1511">
            <v>49500</v>
          </cell>
          <cell r="G1511" t="str">
            <v>-</v>
          </cell>
          <cell r="H1511">
            <v>46000</v>
          </cell>
          <cell r="I1511">
            <v>46200</v>
          </cell>
          <cell r="J1511">
            <v>49000</v>
          </cell>
          <cell r="K1511" t="str">
            <v>-</v>
          </cell>
          <cell r="L1511">
            <v>48200</v>
          </cell>
          <cell r="M1511">
            <v>49300</v>
          </cell>
          <cell r="N1511">
            <v>46600</v>
          </cell>
          <cell r="O1511">
            <v>46700</v>
          </cell>
          <cell r="P1511">
            <v>44200</v>
          </cell>
          <cell r="Q1511">
            <v>44500</v>
          </cell>
          <cell r="R1511">
            <v>44700</v>
          </cell>
          <cell r="S1511">
            <v>46300</v>
          </cell>
          <cell r="T1511">
            <v>48000</v>
          </cell>
          <cell r="U1511">
            <v>50500</v>
          </cell>
          <cell r="V1511">
            <v>48800</v>
          </cell>
          <cell r="W1511">
            <v>52000</v>
          </cell>
        </row>
        <row r="1512">
          <cell r="A1512">
            <v>45778</v>
          </cell>
          <cell r="B1512">
            <v>47800</v>
          </cell>
          <cell r="C1512">
            <v>48500</v>
          </cell>
          <cell r="D1512">
            <v>47500</v>
          </cell>
          <cell r="E1512">
            <v>44100</v>
          </cell>
          <cell r="F1512">
            <v>49300</v>
          </cell>
          <cell r="G1512" t="str">
            <v>-</v>
          </cell>
          <cell r="H1512">
            <v>45700</v>
          </cell>
          <cell r="I1512">
            <v>46200</v>
          </cell>
          <cell r="J1512">
            <v>49000</v>
          </cell>
          <cell r="K1512" t="str">
            <v>-</v>
          </cell>
          <cell r="L1512">
            <v>48100</v>
          </cell>
          <cell r="M1512">
            <v>49300</v>
          </cell>
          <cell r="N1512">
            <v>46600</v>
          </cell>
          <cell r="O1512">
            <v>46700</v>
          </cell>
          <cell r="P1512">
            <v>44200</v>
          </cell>
          <cell r="Q1512">
            <v>44500</v>
          </cell>
          <cell r="R1512">
            <v>44600</v>
          </cell>
          <cell r="S1512">
            <v>46200</v>
          </cell>
          <cell r="T1512">
            <v>48200</v>
          </cell>
          <cell r="U1512">
            <v>50000</v>
          </cell>
          <cell r="V1512">
            <v>48800</v>
          </cell>
          <cell r="W1512">
            <v>52000</v>
          </cell>
        </row>
        <row r="1513">
          <cell r="A1513">
            <v>45779</v>
          </cell>
          <cell r="B1513">
            <v>47600</v>
          </cell>
          <cell r="C1513">
            <v>48500</v>
          </cell>
          <cell r="D1513">
            <v>47500</v>
          </cell>
          <cell r="E1513">
            <v>44200</v>
          </cell>
          <cell r="F1513">
            <v>49300</v>
          </cell>
          <cell r="G1513" t="str">
            <v>-</v>
          </cell>
          <cell r="H1513">
            <v>45500</v>
          </cell>
          <cell r="I1513">
            <v>46200</v>
          </cell>
          <cell r="J1513">
            <v>49000</v>
          </cell>
          <cell r="K1513" t="str">
            <v>-</v>
          </cell>
          <cell r="L1513">
            <v>48000</v>
          </cell>
          <cell r="M1513">
            <v>49000</v>
          </cell>
          <cell r="N1513">
            <v>46700</v>
          </cell>
          <cell r="O1513">
            <v>46200</v>
          </cell>
          <cell r="P1513">
            <v>44100</v>
          </cell>
          <cell r="Q1513">
            <v>44500</v>
          </cell>
          <cell r="R1513">
            <v>44300</v>
          </cell>
          <cell r="S1513">
            <v>46300</v>
          </cell>
          <cell r="T1513">
            <v>48200</v>
          </cell>
          <cell r="U1513">
            <v>49500</v>
          </cell>
          <cell r="V1513">
            <v>48500</v>
          </cell>
          <cell r="W1513">
            <v>51800</v>
          </cell>
        </row>
        <row r="1514">
          <cell r="A1514">
            <v>45780</v>
          </cell>
          <cell r="B1514">
            <v>47600</v>
          </cell>
          <cell r="C1514">
            <v>48300</v>
          </cell>
          <cell r="D1514">
            <v>47300</v>
          </cell>
          <cell r="E1514">
            <v>44300</v>
          </cell>
          <cell r="F1514">
            <v>49000</v>
          </cell>
          <cell r="G1514" t="str">
            <v>-</v>
          </cell>
          <cell r="H1514">
            <v>45500</v>
          </cell>
          <cell r="I1514">
            <v>46300</v>
          </cell>
          <cell r="J1514">
            <v>48800</v>
          </cell>
          <cell r="K1514" t="str">
            <v>-</v>
          </cell>
          <cell r="L1514">
            <v>48000</v>
          </cell>
          <cell r="M1514">
            <v>48600</v>
          </cell>
          <cell r="N1514">
            <v>46700</v>
          </cell>
          <cell r="O1514">
            <v>45800</v>
          </cell>
          <cell r="P1514">
            <v>44000</v>
          </cell>
          <cell r="Q1514">
            <v>44300</v>
          </cell>
          <cell r="R1514">
            <v>44500</v>
          </cell>
          <cell r="S1514">
            <v>46400</v>
          </cell>
          <cell r="T1514">
            <v>48000</v>
          </cell>
          <cell r="U1514">
            <v>49000</v>
          </cell>
          <cell r="V1514">
            <v>48500</v>
          </cell>
          <cell r="W1514">
            <v>51800</v>
          </cell>
        </row>
        <row r="1515">
          <cell r="A1515">
            <v>45781</v>
          </cell>
          <cell r="B1515" t="str">
            <v>H</v>
          </cell>
          <cell r="C1515" t="str">
            <v>H</v>
          </cell>
          <cell r="D1515" t="str">
            <v>H</v>
          </cell>
          <cell r="E1515" t="str">
            <v>H</v>
          </cell>
          <cell r="F1515" t="str">
            <v>H</v>
          </cell>
          <cell r="G1515" t="str">
            <v>H</v>
          </cell>
          <cell r="H1515" t="str">
            <v>H</v>
          </cell>
          <cell r="I1515" t="str">
            <v>H</v>
          </cell>
          <cell r="J1515" t="str">
            <v>H</v>
          </cell>
          <cell r="K1515" t="str">
            <v>H</v>
          </cell>
          <cell r="L1515" t="str">
            <v>H</v>
          </cell>
          <cell r="M1515" t="str">
            <v>H</v>
          </cell>
          <cell r="N1515" t="str">
            <v>H</v>
          </cell>
          <cell r="O1515" t="str">
            <v>H</v>
          </cell>
          <cell r="P1515" t="str">
            <v>H</v>
          </cell>
          <cell r="Q1515" t="str">
            <v>H</v>
          </cell>
          <cell r="R1515" t="str">
            <v>H</v>
          </cell>
          <cell r="S1515" t="str">
            <v>H</v>
          </cell>
          <cell r="T1515" t="str">
            <v>H</v>
          </cell>
          <cell r="U1515" t="str">
            <v>H</v>
          </cell>
          <cell r="V1515" t="str">
            <v>H</v>
          </cell>
          <cell r="W1515" t="str">
            <v>H</v>
          </cell>
        </row>
        <row r="1516">
          <cell r="A1516">
            <v>45782</v>
          </cell>
          <cell r="B1516">
            <v>47600</v>
          </cell>
          <cell r="C1516">
            <v>48500</v>
          </cell>
          <cell r="D1516">
            <v>47300</v>
          </cell>
          <cell r="E1516">
            <v>44000</v>
          </cell>
          <cell r="F1516">
            <v>48900</v>
          </cell>
          <cell r="G1516" t="str">
            <v>-</v>
          </cell>
          <cell r="H1516">
            <v>45500</v>
          </cell>
          <cell r="I1516">
            <v>46400</v>
          </cell>
          <cell r="J1516">
            <v>48800</v>
          </cell>
          <cell r="K1516" t="str">
            <v>-</v>
          </cell>
          <cell r="L1516">
            <v>48000</v>
          </cell>
          <cell r="M1516">
            <v>48600</v>
          </cell>
          <cell r="N1516">
            <v>46700</v>
          </cell>
          <cell r="O1516">
            <v>45800</v>
          </cell>
          <cell r="P1516">
            <v>44100</v>
          </cell>
          <cell r="Q1516">
            <v>44400</v>
          </cell>
          <cell r="R1516">
            <v>44500</v>
          </cell>
          <cell r="S1516">
            <v>46100</v>
          </cell>
          <cell r="T1516">
            <v>48000</v>
          </cell>
          <cell r="U1516">
            <v>49000</v>
          </cell>
          <cell r="V1516">
            <v>48500</v>
          </cell>
          <cell r="W1516">
            <v>51300</v>
          </cell>
        </row>
        <row r="1517">
          <cell r="A1517">
            <v>45783</v>
          </cell>
          <cell r="B1517">
            <v>47600</v>
          </cell>
          <cell r="C1517">
            <v>48500</v>
          </cell>
          <cell r="D1517">
            <v>47200</v>
          </cell>
          <cell r="E1517">
            <v>43700</v>
          </cell>
          <cell r="F1517">
            <v>48900</v>
          </cell>
          <cell r="G1517" t="str">
            <v>-</v>
          </cell>
          <cell r="H1517">
            <v>45500</v>
          </cell>
          <cell r="I1517">
            <v>46300</v>
          </cell>
          <cell r="J1517">
            <v>48800</v>
          </cell>
          <cell r="K1517" t="str">
            <v>-</v>
          </cell>
          <cell r="L1517">
            <v>48000</v>
          </cell>
          <cell r="M1517">
            <v>48600</v>
          </cell>
          <cell r="N1517">
            <v>46300</v>
          </cell>
          <cell r="O1517">
            <v>45300</v>
          </cell>
          <cell r="P1517">
            <v>44000</v>
          </cell>
          <cell r="Q1517">
            <v>44300</v>
          </cell>
          <cell r="R1517">
            <v>44300</v>
          </cell>
          <cell r="S1517">
            <v>45800</v>
          </cell>
          <cell r="T1517">
            <v>47600</v>
          </cell>
          <cell r="U1517">
            <v>49000</v>
          </cell>
          <cell r="V1517">
            <v>48500</v>
          </cell>
          <cell r="W1517">
            <v>51300</v>
          </cell>
        </row>
        <row r="1518">
          <cell r="A1518">
            <v>45784</v>
          </cell>
          <cell r="B1518">
            <v>47500</v>
          </cell>
          <cell r="C1518">
            <v>48300</v>
          </cell>
          <cell r="D1518">
            <v>47000</v>
          </cell>
          <cell r="E1518">
            <v>43400</v>
          </cell>
          <cell r="F1518">
            <v>48900</v>
          </cell>
          <cell r="G1518" t="str">
            <v>-</v>
          </cell>
          <cell r="H1518">
            <v>45300</v>
          </cell>
          <cell r="I1518">
            <v>46000</v>
          </cell>
          <cell r="J1518">
            <v>48800</v>
          </cell>
          <cell r="K1518" t="str">
            <v>-</v>
          </cell>
          <cell r="L1518">
            <v>47700</v>
          </cell>
          <cell r="M1518">
            <v>48500</v>
          </cell>
          <cell r="N1518">
            <v>46000</v>
          </cell>
          <cell r="O1518">
            <v>45100</v>
          </cell>
          <cell r="P1518">
            <v>43900</v>
          </cell>
          <cell r="Q1518">
            <v>44200</v>
          </cell>
          <cell r="R1518">
            <v>44200</v>
          </cell>
          <cell r="S1518">
            <v>45500</v>
          </cell>
          <cell r="T1518">
            <v>47500</v>
          </cell>
          <cell r="U1518">
            <v>48500</v>
          </cell>
          <cell r="V1518">
            <v>48200</v>
          </cell>
          <cell r="W1518">
            <v>51200</v>
          </cell>
        </row>
        <row r="1519">
          <cell r="A1519">
            <v>45785</v>
          </cell>
          <cell r="B1519">
            <v>47500</v>
          </cell>
          <cell r="C1519">
            <v>48300</v>
          </cell>
          <cell r="D1519">
            <v>47000</v>
          </cell>
          <cell r="E1519">
            <v>43300</v>
          </cell>
          <cell r="F1519">
            <v>48900</v>
          </cell>
          <cell r="G1519" t="str">
            <v>-</v>
          </cell>
          <cell r="H1519">
            <v>45000</v>
          </cell>
          <cell r="I1519">
            <v>46000</v>
          </cell>
          <cell r="J1519">
            <v>48600</v>
          </cell>
          <cell r="K1519" t="str">
            <v>-</v>
          </cell>
          <cell r="L1519">
            <v>47700</v>
          </cell>
          <cell r="M1519">
            <v>48000</v>
          </cell>
          <cell r="N1519">
            <v>46000</v>
          </cell>
          <cell r="O1519">
            <v>45000</v>
          </cell>
          <cell r="P1519">
            <v>43900</v>
          </cell>
          <cell r="Q1519">
            <v>44100</v>
          </cell>
          <cell r="R1519">
            <v>44000</v>
          </cell>
          <cell r="S1519">
            <v>45400</v>
          </cell>
          <cell r="T1519">
            <v>47100</v>
          </cell>
          <cell r="U1519">
            <v>48000</v>
          </cell>
          <cell r="V1519">
            <v>48200</v>
          </cell>
          <cell r="W1519">
            <v>51200</v>
          </cell>
        </row>
        <row r="1520">
          <cell r="A1520">
            <v>45786</v>
          </cell>
          <cell r="B1520">
            <v>47500</v>
          </cell>
          <cell r="C1520">
            <v>48300</v>
          </cell>
          <cell r="D1520">
            <v>47000</v>
          </cell>
          <cell r="E1520">
            <v>43200</v>
          </cell>
          <cell r="F1520">
            <v>49100</v>
          </cell>
          <cell r="G1520" t="str">
            <v>-</v>
          </cell>
          <cell r="H1520">
            <v>45000</v>
          </cell>
          <cell r="I1520">
            <v>46000</v>
          </cell>
          <cell r="J1520">
            <v>48600</v>
          </cell>
          <cell r="K1520" t="str">
            <v>-</v>
          </cell>
          <cell r="L1520">
            <v>47700</v>
          </cell>
          <cell r="M1520">
            <v>48000</v>
          </cell>
          <cell r="N1520">
            <v>46000</v>
          </cell>
          <cell r="O1520">
            <v>45000</v>
          </cell>
          <cell r="P1520">
            <v>43800</v>
          </cell>
          <cell r="Q1520">
            <v>43900</v>
          </cell>
          <cell r="R1520">
            <v>44000</v>
          </cell>
          <cell r="S1520">
            <v>45300</v>
          </cell>
          <cell r="T1520">
            <v>47000</v>
          </cell>
          <cell r="U1520">
            <v>48000</v>
          </cell>
          <cell r="V1520">
            <v>48200</v>
          </cell>
          <cell r="W1520">
            <v>51200</v>
          </cell>
        </row>
        <row r="1521">
          <cell r="A1521">
            <v>45787</v>
          </cell>
          <cell r="B1521">
            <v>47500</v>
          </cell>
          <cell r="C1521">
            <v>48200</v>
          </cell>
          <cell r="D1521">
            <v>47000</v>
          </cell>
          <cell r="E1521">
            <v>43000</v>
          </cell>
          <cell r="F1521">
            <v>48900</v>
          </cell>
          <cell r="G1521" t="str">
            <v>-</v>
          </cell>
          <cell r="H1521">
            <v>45000</v>
          </cell>
          <cell r="I1521">
            <v>45900</v>
          </cell>
          <cell r="J1521">
            <v>48500</v>
          </cell>
          <cell r="K1521" t="str">
            <v>-</v>
          </cell>
          <cell r="L1521">
            <v>47600</v>
          </cell>
          <cell r="M1521">
            <v>47900</v>
          </cell>
          <cell r="N1521">
            <v>45900</v>
          </cell>
          <cell r="O1521">
            <v>44700</v>
          </cell>
          <cell r="P1521">
            <v>43600</v>
          </cell>
          <cell r="Q1521">
            <v>43800</v>
          </cell>
          <cell r="R1521">
            <v>43800</v>
          </cell>
          <cell r="S1521">
            <v>45500</v>
          </cell>
          <cell r="T1521">
            <v>47000</v>
          </cell>
          <cell r="U1521">
            <v>48000</v>
          </cell>
          <cell r="V1521">
            <v>48200</v>
          </cell>
          <cell r="W1521">
            <v>51200</v>
          </cell>
        </row>
        <row r="1522">
          <cell r="A1522">
            <v>45788</v>
          </cell>
          <cell r="B1522" t="str">
            <v>H</v>
          </cell>
          <cell r="C1522" t="str">
            <v>H</v>
          </cell>
          <cell r="D1522" t="str">
            <v>H</v>
          </cell>
          <cell r="E1522" t="str">
            <v>H</v>
          </cell>
          <cell r="F1522" t="str">
            <v>H</v>
          </cell>
          <cell r="G1522" t="str">
            <v>H</v>
          </cell>
          <cell r="H1522" t="str">
            <v>H</v>
          </cell>
          <cell r="I1522" t="str">
            <v>H</v>
          </cell>
          <cell r="J1522" t="str">
            <v>H</v>
          </cell>
          <cell r="K1522" t="str">
            <v>H</v>
          </cell>
          <cell r="L1522" t="str">
            <v>H</v>
          </cell>
          <cell r="M1522" t="str">
            <v>H</v>
          </cell>
          <cell r="N1522" t="str">
            <v>H</v>
          </cell>
          <cell r="O1522" t="str">
            <v>H</v>
          </cell>
          <cell r="P1522" t="str">
            <v>H</v>
          </cell>
          <cell r="Q1522" t="str">
            <v>H</v>
          </cell>
          <cell r="R1522" t="str">
            <v>H</v>
          </cell>
          <cell r="S1522" t="str">
            <v>H</v>
          </cell>
          <cell r="T1522" t="str">
            <v>H</v>
          </cell>
          <cell r="U1522" t="str">
            <v>H</v>
          </cell>
          <cell r="V1522" t="str">
            <v>H</v>
          </cell>
          <cell r="W1522" t="str">
            <v>H</v>
          </cell>
        </row>
        <row r="1523">
          <cell r="A1523">
            <v>45789</v>
          </cell>
          <cell r="B1523">
            <v>47700</v>
          </cell>
          <cell r="C1523">
            <v>48200</v>
          </cell>
          <cell r="D1523">
            <v>47300</v>
          </cell>
          <cell r="E1523">
            <v>43400</v>
          </cell>
          <cell r="F1523">
            <v>49400</v>
          </cell>
          <cell r="G1523" t="str">
            <v>-</v>
          </cell>
          <cell r="H1523">
            <v>46000</v>
          </cell>
          <cell r="I1523">
            <v>46100</v>
          </cell>
          <cell r="J1523">
            <v>48500</v>
          </cell>
          <cell r="K1523" t="str">
            <v>-</v>
          </cell>
          <cell r="L1523">
            <v>47800</v>
          </cell>
          <cell r="M1523">
            <v>48000</v>
          </cell>
          <cell r="N1523">
            <v>46400</v>
          </cell>
          <cell r="O1523">
            <v>44800</v>
          </cell>
          <cell r="P1523">
            <v>44000</v>
          </cell>
          <cell r="Q1523">
            <v>44100</v>
          </cell>
          <cell r="R1523">
            <v>44100</v>
          </cell>
          <cell r="S1523">
            <v>45500</v>
          </cell>
          <cell r="T1523">
            <v>47500</v>
          </cell>
          <cell r="U1523">
            <v>48000</v>
          </cell>
          <cell r="V1523">
            <v>48500</v>
          </cell>
          <cell r="W1523">
            <v>50900</v>
          </cell>
        </row>
        <row r="1524">
          <cell r="A1524">
            <v>45790</v>
          </cell>
          <cell r="B1524">
            <v>47700</v>
          </cell>
          <cell r="C1524">
            <v>48000</v>
          </cell>
          <cell r="D1524">
            <v>47400</v>
          </cell>
          <cell r="E1524">
            <v>43000</v>
          </cell>
          <cell r="F1524">
            <v>49300</v>
          </cell>
          <cell r="G1524" t="str">
            <v>-</v>
          </cell>
          <cell r="H1524">
            <v>46000</v>
          </cell>
          <cell r="I1524">
            <v>45800</v>
          </cell>
          <cell r="J1524">
            <v>48500</v>
          </cell>
          <cell r="K1524" t="str">
            <v>-</v>
          </cell>
          <cell r="L1524">
            <v>47700</v>
          </cell>
          <cell r="M1524">
            <v>48000</v>
          </cell>
          <cell r="N1524">
            <v>46100</v>
          </cell>
          <cell r="O1524">
            <v>44800</v>
          </cell>
          <cell r="P1524">
            <v>43700</v>
          </cell>
          <cell r="Q1524">
            <v>43900</v>
          </cell>
          <cell r="R1524">
            <v>43800</v>
          </cell>
          <cell r="S1524">
            <v>45100</v>
          </cell>
          <cell r="T1524">
            <v>47300</v>
          </cell>
          <cell r="U1524">
            <v>48000</v>
          </cell>
          <cell r="V1524">
            <v>48500</v>
          </cell>
          <cell r="W1524">
            <v>50900</v>
          </cell>
        </row>
        <row r="1525">
          <cell r="A1525">
            <v>45791</v>
          </cell>
          <cell r="B1525">
            <v>47200</v>
          </cell>
          <cell r="C1525">
            <v>48000</v>
          </cell>
          <cell r="D1525">
            <v>47400</v>
          </cell>
          <cell r="E1525">
            <v>42800</v>
          </cell>
          <cell r="F1525">
            <v>49300</v>
          </cell>
          <cell r="G1525" t="str">
            <v>-</v>
          </cell>
          <cell r="H1525">
            <v>46000</v>
          </cell>
          <cell r="I1525">
            <v>45800</v>
          </cell>
          <cell r="J1525">
            <v>48300</v>
          </cell>
          <cell r="K1525" t="str">
            <v>-</v>
          </cell>
          <cell r="L1525">
            <v>47500</v>
          </cell>
          <cell r="M1525">
            <v>47900</v>
          </cell>
          <cell r="N1525">
            <v>46000</v>
          </cell>
          <cell r="O1525">
            <v>44500</v>
          </cell>
          <cell r="P1525">
            <v>43500</v>
          </cell>
          <cell r="Q1525">
            <v>43700</v>
          </cell>
          <cell r="R1525">
            <v>43700</v>
          </cell>
          <cell r="S1525">
            <v>44900</v>
          </cell>
          <cell r="T1525">
            <v>47200</v>
          </cell>
          <cell r="U1525">
            <v>48000</v>
          </cell>
          <cell r="V1525">
            <v>47800</v>
          </cell>
          <cell r="W1525">
            <v>50900</v>
          </cell>
        </row>
        <row r="1526">
          <cell r="A1526">
            <v>45792</v>
          </cell>
          <cell r="B1526">
            <v>47200</v>
          </cell>
          <cell r="C1526">
            <v>48000</v>
          </cell>
          <cell r="D1526">
            <v>47200</v>
          </cell>
          <cell r="E1526">
            <v>42600</v>
          </cell>
          <cell r="F1526">
            <v>49300</v>
          </cell>
          <cell r="G1526" t="str">
            <v>-</v>
          </cell>
          <cell r="H1526">
            <v>46000</v>
          </cell>
          <cell r="I1526">
            <v>45600</v>
          </cell>
          <cell r="J1526">
            <v>48300</v>
          </cell>
          <cell r="K1526" t="str">
            <v>-</v>
          </cell>
          <cell r="L1526">
            <v>47500</v>
          </cell>
          <cell r="M1526">
            <v>47900</v>
          </cell>
          <cell r="N1526">
            <v>45700</v>
          </cell>
          <cell r="O1526">
            <v>44500</v>
          </cell>
          <cell r="P1526">
            <v>43300</v>
          </cell>
          <cell r="Q1526">
            <v>43500</v>
          </cell>
          <cell r="R1526">
            <v>43700</v>
          </cell>
          <cell r="S1526">
            <v>44700</v>
          </cell>
          <cell r="T1526">
            <v>47000</v>
          </cell>
          <cell r="U1526">
            <v>47500</v>
          </cell>
          <cell r="V1526">
            <v>47800</v>
          </cell>
          <cell r="W1526">
            <v>50800</v>
          </cell>
        </row>
        <row r="1527">
          <cell r="A1527">
            <v>45793</v>
          </cell>
          <cell r="B1527">
            <v>47200</v>
          </cell>
          <cell r="C1527">
            <v>48000</v>
          </cell>
          <cell r="D1527">
            <v>47000</v>
          </cell>
          <cell r="E1527">
            <v>42700</v>
          </cell>
          <cell r="F1527">
            <v>49300</v>
          </cell>
          <cell r="G1527" t="str">
            <v>-</v>
          </cell>
          <cell r="H1527">
            <v>46000</v>
          </cell>
          <cell r="I1527">
            <v>45700</v>
          </cell>
          <cell r="J1527">
            <v>48300</v>
          </cell>
          <cell r="K1527" t="str">
            <v>-</v>
          </cell>
          <cell r="L1527">
            <v>47500</v>
          </cell>
          <cell r="M1527">
            <v>47900</v>
          </cell>
          <cell r="N1527">
            <v>46000</v>
          </cell>
          <cell r="O1527">
            <v>44500</v>
          </cell>
          <cell r="P1527">
            <v>43200</v>
          </cell>
          <cell r="Q1527">
            <v>43500</v>
          </cell>
          <cell r="R1527">
            <v>44000</v>
          </cell>
          <cell r="S1527">
            <v>44800</v>
          </cell>
          <cell r="T1527">
            <v>47000</v>
          </cell>
          <cell r="U1527">
            <v>47500</v>
          </cell>
          <cell r="V1527">
            <v>47600</v>
          </cell>
          <cell r="W1527">
            <v>50600</v>
          </cell>
        </row>
        <row r="1528">
          <cell r="A1528">
            <v>45794</v>
          </cell>
          <cell r="B1528">
            <v>47200</v>
          </cell>
          <cell r="C1528">
            <v>48000</v>
          </cell>
          <cell r="D1528">
            <v>46900</v>
          </cell>
          <cell r="E1528">
            <v>42700</v>
          </cell>
          <cell r="F1528">
            <v>49300</v>
          </cell>
          <cell r="G1528" t="str">
            <v>-</v>
          </cell>
          <cell r="H1528">
            <v>46000</v>
          </cell>
          <cell r="I1528">
            <v>45700</v>
          </cell>
          <cell r="J1528">
            <v>48300</v>
          </cell>
          <cell r="K1528" t="str">
            <v>-</v>
          </cell>
          <cell r="L1528">
            <v>47500</v>
          </cell>
          <cell r="M1528">
            <v>47900</v>
          </cell>
          <cell r="N1528">
            <v>46000</v>
          </cell>
          <cell r="O1528">
            <v>44300</v>
          </cell>
          <cell r="P1528">
            <v>43100</v>
          </cell>
          <cell r="Q1528">
            <v>43600</v>
          </cell>
          <cell r="R1528">
            <v>43800</v>
          </cell>
          <cell r="S1528">
            <v>44800</v>
          </cell>
          <cell r="T1528">
            <v>47000</v>
          </cell>
          <cell r="U1528">
            <v>47500</v>
          </cell>
          <cell r="V1528">
            <v>47600</v>
          </cell>
          <cell r="W1528">
            <v>50600</v>
          </cell>
        </row>
        <row r="1529">
          <cell r="A1529">
            <v>45795</v>
          </cell>
          <cell r="B1529" t="str">
            <v>H</v>
          </cell>
          <cell r="C1529" t="str">
            <v>H</v>
          </cell>
          <cell r="D1529" t="str">
            <v>H</v>
          </cell>
          <cell r="E1529" t="str">
            <v>H</v>
          </cell>
          <cell r="F1529" t="str">
            <v>H</v>
          </cell>
          <cell r="G1529" t="str">
            <v>H</v>
          </cell>
          <cell r="H1529" t="str">
            <v>H</v>
          </cell>
          <cell r="I1529" t="str">
            <v>H</v>
          </cell>
          <cell r="J1529" t="str">
            <v>H</v>
          </cell>
          <cell r="K1529" t="str">
            <v>H</v>
          </cell>
          <cell r="L1529" t="str">
            <v>H</v>
          </cell>
          <cell r="M1529" t="str">
            <v>H</v>
          </cell>
          <cell r="N1529" t="str">
            <v>H</v>
          </cell>
          <cell r="O1529" t="str">
            <v>H</v>
          </cell>
          <cell r="P1529" t="str">
            <v>H</v>
          </cell>
          <cell r="Q1529" t="str">
            <v>H</v>
          </cell>
          <cell r="R1529" t="str">
            <v>H</v>
          </cell>
          <cell r="S1529" t="str">
            <v>H</v>
          </cell>
          <cell r="T1529" t="str">
            <v>H</v>
          </cell>
          <cell r="U1529" t="str">
            <v>H</v>
          </cell>
          <cell r="V1529" t="str">
            <v>H</v>
          </cell>
          <cell r="W1529" t="str">
            <v>H</v>
          </cell>
        </row>
        <row r="1530">
          <cell r="A1530">
            <v>45796</v>
          </cell>
          <cell r="B1530">
            <v>47200</v>
          </cell>
          <cell r="C1530">
            <v>48000</v>
          </cell>
          <cell r="D1530">
            <v>46800</v>
          </cell>
          <cell r="E1530">
            <v>42600</v>
          </cell>
          <cell r="F1530">
            <v>48400</v>
          </cell>
          <cell r="G1530" t="str">
            <v>-</v>
          </cell>
          <cell r="H1530">
            <v>45500</v>
          </cell>
          <cell r="I1530">
            <v>45700</v>
          </cell>
          <cell r="J1530">
            <v>48000</v>
          </cell>
          <cell r="K1530" t="str">
            <v>-</v>
          </cell>
          <cell r="L1530">
            <v>47500</v>
          </cell>
          <cell r="M1530">
            <v>47800</v>
          </cell>
          <cell r="N1530">
            <v>45600</v>
          </cell>
          <cell r="O1530">
            <v>44300</v>
          </cell>
          <cell r="P1530">
            <v>42900</v>
          </cell>
          <cell r="Q1530">
            <v>43500</v>
          </cell>
          <cell r="R1530">
            <v>43700</v>
          </cell>
          <cell r="S1530">
            <v>44700</v>
          </cell>
          <cell r="T1530">
            <v>46600</v>
          </cell>
          <cell r="U1530">
            <v>47500</v>
          </cell>
          <cell r="V1530">
            <v>47300</v>
          </cell>
          <cell r="W1530">
            <v>50000</v>
          </cell>
        </row>
        <row r="1531">
          <cell r="A1531">
            <v>45797</v>
          </cell>
          <cell r="B1531">
            <v>47200</v>
          </cell>
          <cell r="C1531">
            <v>48000</v>
          </cell>
          <cell r="D1531">
            <v>46700</v>
          </cell>
          <cell r="E1531">
            <v>42500</v>
          </cell>
          <cell r="F1531">
            <v>48400</v>
          </cell>
          <cell r="G1531" t="str">
            <v>-</v>
          </cell>
          <cell r="H1531">
            <v>45500</v>
          </cell>
          <cell r="I1531">
            <v>45800</v>
          </cell>
          <cell r="J1531">
            <v>48000</v>
          </cell>
          <cell r="K1531" t="str">
            <v>-</v>
          </cell>
          <cell r="L1531">
            <v>47600</v>
          </cell>
          <cell r="M1531">
            <v>47800</v>
          </cell>
          <cell r="N1531">
            <v>45600</v>
          </cell>
          <cell r="O1531">
            <v>44500</v>
          </cell>
          <cell r="P1531">
            <v>43100</v>
          </cell>
          <cell r="Q1531">
            <v>43500</v>
          </cell>
          <cell r="R1531">
            <v>43900</v>
          </cell>
          <cell r="S1531">
            <v>44500</v>
          </cell>
          <cell r="T1531">
            <v>46600</v>
          </cell>
          <cell r="U1531">
            <v>47500</v>
          </cell>
          <cell r="V1531">
            <v>47300</v>
          </cell>
          <cell r="W1531">
            <v>50000</v>
          </cell>
        </row>
        <row r="1532">
          <cell r="A1532">
            <v>45798</v>
          </cell>
          <cell r="B1532">
            <v>47200</v>
          </cell>
          <cell r="C1532">
            <v>47800</v>
          </cell>
          <cell r="D1532">
            <v>46700</v>
          </cell>
          <cell r="E1532">
            <v>42600</v>
          </cell>
          <cell r="F1532">
            <v>48400</v>
          </cell>
          <cell r="G1532" t="str">
            <v>-</v>
          </cell>
          <cell r="H1532">
            <v>45500</v>
          </cell>
          <cell r="I1532">
            <v>45900</v>
          </cell>
          <cell r="J1532">
            <v>47800</v>
          </cell>
          <cell r="K1532" t="str">
            <v>-</v>
          </cell>
          <cell r="L1532">
            <v>47600</v>
          </cell>
          <cell r="M1532">
            <v>47800</v>
          </cell>
          <cell r="N1532">
            <v>45800</v>
          </cell>
          <cell r="O1532">
            <v>44500</v>
          </cell>
          <cell r="P1532">
            <v>43200</v>
          </cell>
          <cell r="Q1532">
            <v>43500</v>
          </cell>
          <cell r="R1532">
            <v>44100</v>
          </cell>
          <cell r="S1532">
            <v>44700</v>
          </cell>
          <cell r="T1532">
            <v>46600</v>
          </cell>
          <cell r="U1532">
            <v>47500</v>
          </cell>
          <cell r="V1532">
            <v>47300</v>
          </cell>
          <cell r="W1532">
            <v>50000</v>
          </cell>
        </row>
        <row r="1533">
          <cell r="A1533">
            <v>45799</v>
          </cell>
          <cell r="B1533">
            <v>47000</v>
          </cell>
          <cell r="C1533">
            <v>47800</v>
          </cell>
          <cell r="D1533">
            <v>46700</v>
          </cell>
          <cell r="E1533">
            <v>42500</v>
          </cell>
          <cell r="F1533">
            <v>48100</v>
          </cell>
          <cell r="G1533" t="str">
            <v>-</v>
          </cell>
          <cell r="H1533">
            <v>45500</v>
          </cell>
          <cell r="I1533">
            <v>45800</v>
          </cell>
          <cell r="J1533">
            <v>47700</v>
          </cell>
          <cell r="K1533" t="str">
            <v>-</v>
          </cell>
          <cell r="L1533">
            <v>47600</v>
          </cell>
          <cell r="M1533">
            <v>47800</v>
          </cell>
          <cell r="N1533">
            <v>45600</v>
          </cell>
          <cell r="O1533">
            <v>44300</v>
          </cell>
          <cell r="P1533">
            <v>42900</v>
          </cell>
          <cell r="Q1533">
            <v>43400</v>
          </cell>
          <cell r="R1533">
            <v>43900</v>
          </cell>
          <cell r="S1533">
            <v>44600</v>
          </cell>
          <cell r="T1533">
            <v>46500</v>
          </cell>
          <cell r="U1533">
            <v>47500</v>
          </cell>
          <cell r="V1533">
            <v>47300</v>
          </cell>
          <cell r="W1533">
            <v>50000</v>
          </cell>
        </row>
        <row r="1534">
          <cell r="A1534">
            <v>45800</v>
          </cell>
          <cell r="B1534">
            <v>46900</v>
          </cell>
          <cell r="C1534">
            <v>47500</v>
          </cell>
          <cell r="D1534">
            <v>46400</v>
          </cell>
          <cell r="E1534">
            <v>42300</v>
          </cell>
          <cell r="F1534">
            <v>47800</v>
          </cell>
          <cell r="G1534" t="str">
            <v>-</v>
          </cell>
          <cell r="H1534">
            <v>45500</v>
          </cell>
          <cell r="I1534">
            <v>45600</v>
          </cell>
          <cell r="J1534">
            <v>47200</v>
          </cell>
          <cell r="K1534" t="str">
            <v>-</v>
          </cell>
          <cell r="L1534">
            <v>47500</v>
          </cell>
          <cell r="M1534">
            <v>47500</v>
          </cell>
          <cell r="N1534">
            <v>45400</v>
          </cell>
          <cell r="O1534">
            <v>44100</v>
          </cell>
          <cell r="P1534">
            <v>42900</v>
          </cell>
          <cell r="Q1534">
            <v>43300</v>
          </cell>
          <cell r="R1534">
            <v>43300</v>
          </cell>
          <cell r="S1534">
            <v>44400</v>
          </cell>
          <cell r="T1534">
            <v>46300</v>
          </cell>
          <cell r="U1534">
            <v>47500</v>
          </cell>
          <cell r="V1534">
            <v>47000</v>
          </cell>
          <cell r="W1534">
            <v>50000</v>
          </cell>
        </row>
        <row r="1535">
          <cell r="A1535">
            <v>45801</v>
          </cell>
          <cell r="B1535">
            <v>46900</v>
          </cell>
          <cell r="C1535">
            <v>47700</v>
          </cell>
          <cell r="D1535">
            <v>46600</v>
          </cell>
          <cell r="E1535">
            <v>42200</v>
          </cell>
          <cell r="F1535">
            <v>47800</v>
          </cell>
          <cell r="G1535" t="str">
            <v>-</v>
          </cell>
          <cell r="H1535">
            <v>45500</v>
          </cell>
          <cell r="I1535">
            <v>45600</v>
          </cell>
          <cell r="J1535">
            <v>47200</v>
          </cell>
          <cell r="K1535" t="str">
            <v>-</v>
          </cell>
          <cell r="L1535">
            <v>47500</v>
          </cell>
          <cell r="M1535">
            <v>47300</v>
          </cell>
          <cell r="N1535">
            <v>45600</v>
          </cell>
          <cell r="O1535">
            <v>43800</v>
          </cell>
          <cell r="P1535">
            <v>42800</v>
          </cell>
          <cell r="Q1535">
            <v>43200</v>
          </cell>
          <cell r="R1535">
            <v>43100</v>
          </cell>
          <cell r="S1535">
            <v>44300</v>
          </cell>
          <cell r="T1535">
            <v>46300</v>
          </cell>
          <cell r="U1535">
            <v>47500</v>
          </cell>
          <cell r="V1535">
            <v>46800</v>
          </cell>
          <cell r="W1535">
            <v>50000</v>
          </cell>
        </row>
        <row r="1536">
          <cell r="A1536">
            <v>45802</v>
          </cell>
          <cell r="B1536" t="str">
            <v>H</v>
          </cell>
          <cell r="C1536" t="str">
            <v>H</v>
          </cell>
          <cell r="D1536" t="str">
            <v>H</v>
          </cell>
          <cell r="E1536" t="str">
            <v>H</v>
          </cell>
          <cell r="F1536" t="str">
            <v>H</v>
          </cell>
          <cell r="G1536" t="str">
            <v>H</v>
          </cell>
          <cell r="H1536" t="str">
            <v>H</v>
          </cell>
          <cell r="I1536" t="str">
            <v>H</v>
          </cell>
          <cell r="J1536" t="str">
            <v>H</v>
          </cell>
          <cell r="K1536" t="str">
            <v>H</v>
          </cell>
          <cell r="L1536" t="str">
            <v>H</v>
          </cell>
          <cell r="M1536" t="str">
            <v>H</v>
          </cell>
          <cell r="N1536" t="str">
            <v>H</v>
          </cell>
          <cell r="O1536" t="str">
            <v>H</v>
          </cell>
          <cell r="P1536" t="str">
            <v>H</v>
          </cell>
          <cell r="Q1536" t="str">
            <v>H</v>
          </cell>
          <cell r="R1536" t="str">
            <v>H</v>
          </cell>
          <cell r="S1536" t="str">
            <v>H</v>
          </cell>
          <cell r="T1536" t="str">
            <v>H</v>
          </cell>
          <cell r="U1536" t="str">
            <v>H</v>
          </cell>
          <cell r="V1536" t="str">
            <v>H</v>
          </cell>
          <cell r="W1536" t="str">
            <v>H</v>
          </cell>
        </row>
        <row r="1537">
          <cell r="A1537">
            <v>45803</v>
          </cell>
          <cell r="B1537">
            <v>46400</v>
          </cell>
          <cell r="C1537">
            <v>47500</v>
          </cell>
          <cell r="D1537">
            <v>46200</v>
          </cell>
          <cell r="E1537">
            <v>41800</v>
          </cell>
          <cell r="F1537">
            <v>47100</v>
          </cell>
          <cell r="G1537" t="str">
            <v>-</v>
          </cell>
          <cell r="H1537">
            <v>45500</v>
          </cell>
          <cell r="I1537">
            <v>45400</v>
          </cell>
          <cell r="J1537">
            <v>46700</v>
          </cell>
          <cell r="K1537" t="str">
            <v>-</v>
          </cell>
          <cell r="L1537">
            <v>47200</v>
          </cell>
          <cell r="M1537">
            <v>47000</v>
          </cell>
          <cell r="N1537">
            <v>45300</v>
          </cell>
          <cell r="O1537">
            <v>43700</v>
          </cell>
          <cell r="P1537">
            <v>42700</v>
          </cell>
          <cell r="Q1537">
            <v>43100</v>
          </cell>
          <cell r="R1537">
            <v>43100</v>
          </cell>
          <cell r="S1537">
            <v>43900</v>
          </cell>
          <cell r="T1537">
            <v>46000</v>
          </cell>
          <cell r="U1537">
            <v>47500</v>
          </cell>
          <cell r="V1537">
            <v>46600</v>
          </cell>
          <cell r="W1537">
            <v>49200</v>
          </cell>
        </row>
        <row r="1538">
          <cell r="A1538">
            <v>45804</v>
          </cell>
          <cell r="B1538">
            <v>46400</v>
          </cell>
          <cell r="C1538">
            <v>47500</v>
          </cell>
          <cell r="D1538">
            <v>46000</v>
          </cell>
          <cell r="E1538">
            <v>41600</v>
          </cell>
          <cell r="F1538">
            <v>46800</v>
          </cell>
          <cell r="G1538" t="str">
            <v>-</v>
          </cell>
          <cell r="H1538">
            <v>45000</v>
          </cell>
          <cell r="I1538">
            <v>45200</v>
          </cell>
          <cell r="J1538">
            <v>46600</v>
          </cell>
          <cell r="K1538" t="str">
            <v>-</v>
          </cell>
          <cell r="L1538">
            <v>47100</v>
          </cell>
          <cell r="M1538">
            <v>46900</v>
          </cell>
          <cell r="N1538">
            <v>45100</v>
          </cell>
          <cell r="O1538">
            <v>43500</v>
          </cell>
          <cell r="P1538">
            <v>42200</v>
          </cell>
          <cell r="Q1538">
            <v>42900</v>
          </cell>
          <cell r="R1538">
            <v>43000</v>
          </cell>
          <cell r="S1538">
            <v>43700</v>
          </cell>
          <cell r="T1538">
            <v>45700</v>
          </cell>
          <cell r="U1538">
            <v>47500</v>
          </cell>
          <cell r="V1538">
            <v>46500</v>
          </cell>
          <cell r="W1538">
            <v>49200</v>
          </cell>
        </row>
        <row r="1539">
          <cell r="A1539">
            <v>45805</v>
          </cell>
          <cell r="B1539">
            <v>46300</v>
          </cell>
          <cell r="C1539">
            <v>47300</v>
          </cell>
          <cell r="D1539">
            <v>45800</v>
          </cell>
          <cell r="E1539">
            <v>41500</v>
          </cell>
          <cell r="F1539">
            <v>46800</v>
          </cell>
          <cell r="G1539" t="str">
            <v>-</v>
          </cell>
          <cell r="H1539">
            <v>45000</v>
          </cell>
          <cell r="I1539">
            <v>45100</v>
          </cell>
          <cell r="J1539">
            <v>46600</v>
          </cell>
          <cell r="K1539" t="str">
            <v>-</v>
          </cell>
          <cell r="L1539">
            <v>47100</v>
          </cell>
          <cell r="M1539">
            <v>46900</v>
          </cell>
          <cell r="N1539">
            <v>45300</v>
          </cell>
          <cell r="O1539">
            <v>43500</v>
          </cell>
          <cell r="P1539">
            <v>42200</v>
          </cell>
          <cell r="Q1539">
            <v>42800</v>
          </cell>
          <cell r="R1539">
            <v>43000</v>
          </cell>
          <cell r="S1539">
            <v>43600</v>
          </cell>
          <cell r="T1539">
            <v>45700</v>
          </cell>
          <cell r="U1539">
            <v>47500</v>
          </cell>
          <cell r="V1539">
            <v>46500</v>
          </cell>
          <cell r="W1539">
            <v>49200</v>
          </cell>
        </row>
        <row r="1540">
          <cell r="A1540">
            <v>45806</v>
          </cell>
          <cell r="B1540">
            <v>46200</v>
          </cell>
          <cell r="C1540">
            <v>47300</v>
          </cell>
          <cell r="D1540">
            <v>45800</v>
          </cell>
          <cell r="E1540">
            <v>41300</v>
          </cell>
          <cell r="F1540">
            <v>46700</v>
          </cell>
          <cell r="G1540" t="str">
            <v>-</v>
          </cell>
          <cell r="H1540">
            <v>44500</v>
          </cell>
          <cell r="I1540">
            <v>44900</v>
          </cell>
          <cell r="J1540">
            <v>46500</v>
          </cell>
          <cell r="K1540" t="str">
            <v>-</v>
          </cell>
          <cell r="L1540">
            <v>46900</v>
          </cell>
          <cell r="M1540">
            <v>46800</v>
          </cell>
          <cell r="N1540">
            <v>45000</v>
          </cell>
          <cell r="O1540">
            <v>43300</v>
          </cell>
          <cell r="P1540">
            <v>42000</v>
          </cell>
          <cell r="Q1540">
            <v>42500</v>
          </cell>
          <cell r="R1540">
            <v>43000</v>
          </cell>
          <cell r="S1540">
            <v>43400</v>
          </cell>
          <cell r="T1540">
            <v>45500</v>
          </cell>
          <cell r="U1540">
            <v>47500</v>
          </cell>
          <cell r="V1540">
            <v>46300</v>
          </cell>
          <cell r="W1540">
            <v>49200</v>
          </cell>
        </row>
        <row r="1541">
          <cell r="A1541">
            <v>45807</v>
          </cell>
          <cell r="B1541">
            <v>46100</v>
          </cell>
          <cell r="C1541">
            <v>47500</v>
          </cell>
          <cell r="D1541">
            <v>45800</v>
          </cell>
          <cell r="E1541">
            <v>41300</v>
          </cell>
          <cell r="F1541">
            <v>46700</v>
          </cell>
          <cell r="G1541" t="str">
            <v>-</v>
          </cell>
          <cell r="H1541">
            <v>44500</v>
          </cell>
          <cell r="I1541">
            <v>44900</v>
          </cell>
          <cell r="J1541">
            <v>46500</v>
          </cell>
          <cell r="K1541" t="str">
            <v>-</v>
          </cell>
          <cell r="L1541">
            <v>46900</v>
          </cell>
          <cell r="M1541">
            <v>46400</v>
          </cell>
          <cell r="N1541">
            <v>45000</v>
          </cell>
          <cell r="O1541">
            <v>42700</v>
          </cell>
          <cell r="P1541">
            <v>42000</v>
          </cell>
          <cell r="Q1541">
            <v>42400</v>
          </cell>
          <cell r="R1541">
            <v>43000</v>
          </cell>
          <cell r="S1541">
            <v>43400</v>
          </cell>
          <cell r="T1541">
            <v>45500</v>
          </cell>
          <cell r="U1541">
            <v>47000</v>
          </cell>
          <cell r="V1541">
            <v>46300</v>
          </cell>
          <cell r="W1541">
            <v>49200</v>
          </cell>
        </row>
        <row r="1542">
          <cell r="A1542">
            <v>45808</v>
          </cell>
          <cell r="B1542">
            <v>46100</v>
          </cell>
          <cell r="C1542">
            <v>47300</v>
          </cell>
          <cell r="D1542">
            <v>45800</v>
          </cell>
          <cell r="E1542">
            <v>41400</v>
          </cell>
          <cell r="F1542">
            <v>46000</v>
          </cell>
          <cell r="G1542" t="str">
            <v>-</v>
          </cell>
          <cell r="H1542">
            <v>44000</v>
          </cell>
          <cell r="I1542">
            <v>44900</v>
          </cell>
          <cell r="J1542">
            <v>46300</v>
          </cell>
          <cell r="K1542" t="str">
            <v>-</v>
          </cell>
          <cell r="L1542">
            <v>46800</v>
          </cell>
          <cell r="M1542">
            <v>46400</v>
          </cell>
          <cell r="N1542">
            <v>44800</v>
          </cell>
          <cell r="O1542">
            <v>42500</v>
          </cell>
          <cell r="P1542">
            <v>41900</v>
          </cell>
          <cell r="Q1542">
            <v>42400</v>
          </cell>
          <cell r="R1542">
            <v>42500</v>
          </cell>
          <cell r="S1542">
            <v>43500</v>
          </cell>
          <cell r="T1542">
            <v>45500</v>
          </cell>
          <cell r="U1542">
            <v>46500</v>
          </cell>
          <cell r="V1542">
            <v>46000</v>
          </cell>
          <cell r="W1542">
            <v>49200</v>
          </cell>
        </row>
        <row r="1543">
          <cell r="A1543">
            <v>45809</v>
          </cell>
          <cell r="B1543" t="str">
            <v>H</v>
          </cell>
          <cell r="C1543" t="str">
            <v>H</v>
          </cell>
          <cell r="D1543" t="str">
            <v>H</v>
          </cell>
          <cell r="E1543" t="str">
            <v>H</v>
          </cell>
          <cell r="F1543" t="str">
            <v>H</v>
          </cell>
          <cell r="G1543" t="str">
            <v>H</v>
          </cell>
          <cell r="H1543" t="str">
            <v>H</v>
          </cell>
          <cell r="I1543" t="str">
            <v>H</v>
          </cell>
          <cell r="J1543" t="str">
            <v>H</v>
          </cell>
          <cell r="K1543" t="str">
            <v>H</v>
          </cell>
          <cell r="L1543" t="str">
            <v>H</v>
          </cell>
          <cell r="M1543" t="str">
            <v>H</v>
          </cell>
          <cell r="N1543" t="str">
            <v>H</v>
          </cell>
          <cell r="O1543" t="str">
            <v>H</v>
          </cell>
          <cell r="P1543" t="str">
            <v>H</v>
          </cell>
          <cell r="Q1543" t="str">
            <v>H</v>
          </cell>
          <cell r="R1543" t="str">
            <v>H</v>
          </cell>
          <cell r="S1543" t="str">
            <v>H</v>
          </cell>
          <cell r="T1543" t="str">
            <v>H</v>
          </cell>
          <cell r="U1543" t="str">
            <v>H</v>
          </cell>
          <cell r="V1543" t="str">
            <v>H</v>
          </cell>
          <cell r="W1543" t="str">
            <v>H</v>
          </cell>
        </row>
        <row r="1544">
          <cell r="A1544">
            <v>45810</v>
          </cell>
          <cell r="B1544">
            <v>46100</v>
          </cell>
          <cell r="C1544">
            <v>47300</v>
          </cell>
          <cell r="D1544">
            <v>46000</v>
          </cell>
          <cell r="E1544">
            <v>41400</v>
          </cell>
          <cell r="F1544">
            <v>45700</v>
          </cell>
          <cell r="G1544" t="str">
            <v>-</v>
          </cell>
          <cell r="H1544">
            <v>44500</v>
          </cell>
          <cell r="I1544">
            <v>45300</v>
          </cell>
          <cell r="J1544">
            <v>46500</v>
          </cell>
          <cell r="K1544" t="str">
            <v>-</v>
          </cell>
          <cell r="L1544">
            <v>46800</v>
          </cell>
          <cell r="M1544">
            <v>46400</v>
          </cell>
          <cell r="N1544">
            <v>45300</v>
          </cell>
          <cell r="O1544">
            <v>42000</v>
          </cell>
          <cell r="P1544">
            <v>42200</v>
          </cell>
          <cell r="Q1544">
            <v>42500</v>
          </cell>
          <cell r="R1544">
            <v>42400</v>
          </cell>
          <cell r="S1544">
            <v>43500</v>
          </cell>
          <cell r="T1544">
            <v>45600</v>
          </cell>
          <cell r="U1544">
            <v>46500</v>
          </cell>
          <cell r="V1544">
            <v>46200</v>
          </cell>
          <cell r="W1544">
            <v>48900</v>
          </cell>
        </row>
        <row r="1545">
          <cell r="A1545">
            <v>45811</v>
          </cell>
          <cell r="B1545">
            <v>46100</v>
          </cell>
          <cell r="C1545">
            <v>47300</v>
          </cell>
          <cell r="D1545">
            <v>46000</v>
          </cell>
          <cell r="E1545">
            <v>41200</v>
          </cell>
          <cell r="F1545">
            <v>45700</v>
          </cell>
          <cell r="G1545" t="str">
            <v>-</v>
          </cell>
          <cell r="H1545">
            <v>44500</v>
          </cell>
          <cell r="I1545">
            <v>45100</v>
          </cell>
          <cell r="J1545">
            <v>46500</v>
          </cell>
          <cell r="K1545" t="str">
            <v>-</v>
          </cell>
          <cell r="L1545">
            <v>47100</v>
          </cell>
          <cell r="M1545">
            <v>46400</v>
          </cell>
          <cell r="N1545">
            <v>45200</v>
          </cell>
          <cell r="O1545">
            <v>41700</v>
          </cell>
          <cell r="P1545">
            <v>42000</v>
          </cell>
          <cell r="Q1545">
            <v>42200</v>
          </cell>
          <cell r="R1545">
            <v>42300</v>
          </cell>
          <cell r="S1545">
            <v>43300</v>
          </cell>
          <cell r="T1545">
            <v>45600</v>
          </cell>
          <cell r="U1545">
            <v>46500</v>
          </cell>
          <cell r="V1545">
            <v>46200</v>
          </cell>
          <cell r="W1545">
            <v>48900</v>
          </cell>
        </row>
        <row r="1546">
          <cell r="A1546">
            <v>45812</v>
          </cell>
          <cell r="B1546">
            <v>46100</v>
          </cell>
          <cell r="C1546">
            <v>47000</v>
          </cell>
          <cell r="D1546">
            <v>46100</v>
          </cell>
          <cell r="E1546">
            <v>41200</v>
          </cell>
          <cell r="F1546">
            <v>45700</v>
          </cell>
          <cell r="G1546" t="str">
            <v>-</v>
          </cell>
          <cell r="H1546">
            <v>44500</v>
          </cell>
          <cell r="I1546">
            <v>45100</v>
          </cell>
          <cell r="J1546">
            <v>46500</v>
          </cell>
          <cell r="K1546" t="str">
            <v>-</v>
          </cell>
          <cell r="L1546">
            <v>47100</v>
          </cell>
          <cell r="M1546">
            <v>46300</v>
          </cell>
          <cell r="N1546">
            <v>45200</v>
          </cell>
          <cell r="O1546">
            <v>41300</v>
          </cell>
          <cell r="P1546">
            <v>41700</v>
          </cell>
          <cell r="Q1546">
            <v>42000</v>
          </cell>
          <cell r="R1546">
            <v>42200</v>
          </cell>
          <cell r="S1546">
            <v>43300</v>
          </cell>
          <cell r="T1546">
            <v>45500</v>
          </cell>
          <cell r="U1546">
            <v>46500</v>
          </cell>
          <cell r="V1546">
            <v>46200</v>
          </cell>
          <cell r="W1546">
            <v>48900</v>
          </cell>
        </row>
        <row r="1547">
          <cell r="A1547">
            <v>45813</v>
          </cell>
          <cell r="B1547">
            <v>46100</v>
          </cell>
          <cell r="C1547">
            <v>47000</v>
          </cell>
          <cell r="D1547">
            <v>45800</v>
          </cell>
          <cell r="E1547">
            <v>41200</v>
          </cell>
          <cell r="F1547">
            <v>45600</v>
          </cell>
          <cell r="G1547" t="str">
            <v>-</v>
          </cell>
          <cell r="H1547">
            <v>44500</v>
          </cell>
          <cell r="I1547">
            <v>45000</v>
          </cell>
          <cell r="J1547">
            <v>46100</v>
          </cell>
          <cell r="K1547" t="str">
            <v>-</v>
          </cell>
          <cell r="L1547">
            <v>47200</v>
          </cell>
          <cell r="M1547">
            <v>46000</v>
          </cell>
          <cell r="N1547">
            <v>45200</v>
          </cell>
          <cell r="O1547">
            <v>41300</v>
          </cell>
          <cell r="P1547">
            <v>41700</v>
          </cell>
          <cell r="Q1547">
            <v>42000</v>
          </cell>
          <cell r="R1547">
            <v>42000</v>
          </cell>
          <cell r="S1547">
            <v>43300</v>
          </cell>
          <cell r="T1547">
            <v>45500</v>
          </cell>
          <cell r="U1547">
            <v>46500</v>
          </cell>
          <cell r="V1547">
            <v>46000</v>
          </cell>
          <cell r="W1547">
            <v>48900</v>
          </cell>
        </row>
        <row r="1548">
          <cell r="A1548">
            <v>45814</v>
          </cell>
          <cell r="B1548">
            <v>46000</v>
          </cell>
          <cell r="C1548">
            <v>47000</v>
          </cell>
          <cell r="D1548">
            <v>45800</v>
          </cell>
          <cell r="E1548">
            <v>41000</v>
          </cell>
          <cell r="F1548">
            <v>45600</v>
          </cell>
          <cell r="G1548" t="str">
            <v>-</v>
          </cell>
          <cell r="H1548">
            <v>44500</v>
          </cell>
          <cell r="I1548">
            <v>44800</v>
          </cell>
          <cell r="J1548">
            <v>46000</v>
          </cell>
          <cell r="K1548" t="str">
            <v>-</v>
          </cell>
          <cell r="L1548">
            <v>47100</v>
          </cell>
          <cell r="M1548">
            <v>45900</v>
          </cell>
          <cell r="N1548">
            <v>45000</v>
          </cell>
          <cell r="O1548">
            <v>41000</v>
          </cell>
          <cell r="P1548">
            <v>41600</v>
          </cell>
          <cell r="Q1548">
            <v>41900</v>
          </cell>
          <cell r="R1548">
            <v>41900</v>
          </cell>
          <cell r="S1548">
            <v>43100</v>
          </cell>
          <cell r="T1548">
            <v>45500</v>
          </cell>
          <cell r="U1548">
            <v>46500</v>
          </cell>
          <cell r="V1548">
            <v>46000</v>
          </cell>
          <cell r="W1548">
            <v>48900</v>
          </cell>
        </row>
        <row r="1549">
          <cell r="A1549">
            <v>45815</v>
          </cell>
          <cell r="B1549">
            <v>45500</v>
          </cell>
          <cell r="C1549">
            <v>47000</v>
          </cell>
          <cell r="D1549">
            <v>45700</v>
          </cell>
          <cell r="E1549">
            <v>41000</v>
          </cell>
          <cell r="F1549">
            <v>45600</v>
          </cell>
          <cell r="G1549" t="str">
            <v>-</v>
          </cell>
          <cell r="H1549">
            <v>44500</v>
          </cell>
          <cell r="I1549">
            <v>44600</v>
          </cell>
          <cell r="J1549">
            <v>45500</v>
          </cell>
          <cell r="K1549" t="str">
            <v>-</v>
          </cell>
          <cell r="L1549">
            <v>47000</v>
          </cell>
          <cell r="M1549">
            <v>45800</v>
          </cell>
          <cell r="N1549">
            <v>44900</v>
          </cell>
          <cell r="O1549">
            <v>40700</v>
          </cell>
          <cell r="P1549">
            <v>41600</v>
          </cell>
          <cell r="Q1549">
            <v>41700</v>
          </cell>
          <cell r="R1549">
            <v>41800</v>
          </cell>
          <cell r="S1549">
            <v>43100</v>
          </cell>
          <cell r="T1549">
            <v>45000</v>
          </cell>
          <cell r="U1549">
            <v>46500</v>
          </cell>
          <cell r="V1549">
            <v>46000</v>
          </cell>
          <cell r="W1549">
            <v>48900</v>
          </cell>
        </row>
        <row r="1550">
          <cell r="A1550">
            <v>45816</v>
          </cell>
          <cell r="B1550" t="str">
            <v>H</v>
          </cell>
          <cell r="C1550" t="str">
            <v>H</v>
          </cell>
          <cell r="D1550" t="str">
            <v>H</v>
          </cell>
          <cell r="E1550" t="str">
            <v>H</v>
          </cell>
          <cell r="F1550" t="str">
            <v>H</v>
          </cell>
          <cell r="G1550" t="str">
            <v>H</v>
          </cell>
          <cell r="H1550" t="str">
            <v>H</v>
          </cell>
          <cell r="I1550" t="str">
            <v>H</v>
          </cell>
          <cell r="J1550" t="str">
            <v>H</v>
          </cell>
          <cell r="K1550" t="str">
            <v>H</v>
          </cell>
          <cell r="L1550" t="str">
            <v>H</v>
          </cell>
          <cell r="M1550" t="str">
            <v>H</v>
          </cell>
          <cell r="N1550" t="str">
            <v>H</v>
          </cell>
          <cell r="O1550" t="str">
            <v>H</v>
          </cell>
          <cell r="P1550" t="str">
            <v>H</v>
          </cell>
          <cell r="Q1550" t="str">
            <v>H</v>
          </cell>
          <cell r="R1550" t="str">
            <v>H</v>
          </cell>
          <cell r="S1550" t="str">
            <v>H</v>
          </cell>
          <cell r="T1550" t="str">
            <v>H</v>
          </cell>
          <cell r="U1550" t="str">
            <v>H</v>
          </cell>
          <cell r="V1550" t="str">
            <v>H</v>
          </cell>
          <cell r="W1550" t="str">
            <v>H</v>
          </cell>
        </row>
        <row r="1551">
          <cell r="A1551">
            <v>45817</v>
          </cell>
          <cell r="B1551">
            <v>45500</v>
          </cell>
          <cell r="C1551">
            <v>47000</v>
          </cell>
          <cell r="D1551">
            <v>45500</v>
          </cell>
          <cell r="E1551">
            <v>41000</v>
          </cell>
          <cell r="F1551">
            <v>45600</v>
          </cell>
          <cell r="G1551" t="str">
            <v>-</v>
          </cell>
          <cell r="H1551">
            <v>44000</v>
          </cell>
          <cell r="I1551">
            <v>44600</v>
          </cell>
          <cell r="J1551">
            <v>45500</v>
          </cell>
          <cell r="K1551" t="str">
            <v>-</v>
          </cell>
          <cell r="L1551">
            <v>46900</v>
          </cell>
          <cell r="M1551">
            <v>45300</v>
          </cell>
          <cell r="N1551">
            <v>44600</v>
          </cell>
          <cell r="O1551">
            <v>40500</v>
          </cell>
          <cell r="P1551">
            <v>41100</v>
          </cell>
          <cell r="Q1551">
            <v>41500</v>
          </cell>
          <cell r="R1551">
            <v>41600</v>
          </cell>
          <cell r="S1551">
            <v>43100</v>
          </cell>
          <cell r="T1551">
            <v>44800</v>
          </cell>
          <cell r="U1551">
            <v>46500</v>
          </cell>
          <cell r="V1551">
            <v>45700</v>
          </cell>
          <cell r="W1551">
            <v>48400</v>
          </cell>
        </row>
        <row r="1552">
          <cell r="A1552">
            <v>45818</v>
          </cell>
          <cell r="B1552">
            <v>45500</v>
          </cell>
          <cell r="C1552">
            <v>46500</v>
          </cell>
          <cell r="D1552">
            <v>45600</v>
          </cell>
          <cell r="E1552">
            <v>41000</v>
          </cell>
          <cell r="F1552">
            <v>45600</v>
          </cell>
          <cell r="G1552" t="str">
            <v>-</v>
          </cell>
          <cell r="H1552">
            <v>44000</v>
          </cell>
          <cell r="I1552">
            <v>44600</v>
          </cell>
          <cell r="J1552">
            <v>45300</v>
          </cell>
          <cell r="K1552" t="str">
            <v>-</v>
          </cell>
          <cell r="L1552">
            <v>46900</v>
          </cell>
          <cell r="M1552">
            <v>45300</v>
          </cell>
          <cell r="N1552">
            <v>44600</v>
          </cell>
          <cell r="O1552">
            <v>40300</v>
          </cell>
          <cell r="P1552">
            <v>41200</v>
          </cell>
          <cell r="Q1552">
            <v>41400</v>
          </cell>
          <cell r="R1552">
            <v>41500</v>
          </cell>
          <cell r="S1552">
            <v>43100</v>
          </cell>
          <cell r="T1552">
            <v>44800</v>
          </cell>
          <cell r="U1552">
            <v>46500</v>
          </cell>
          <cell r="V1552">
            <v>45600</v>
          </cell>
          <cell r="W1552">
            <v>48400</v>
          </cell>
        </row>
        <row r="1553">
          <cell r="A1553">
            <v>45819</v>
          </cell>
          <cell r="B1553">
            <v>45300</v>
          </cell>
          <cell r="C1553">
            <v>46500</v>
          </cell>
          <cell r="D1553">
            <v>45600</v>
          </cell>
          <cell r="E1553">
            <v>40900</v>
          </cell>
          <cell r="F1553">
            <v>45600</v>
          </cell>
          <cell r="G1553" t="str">
            <v>-</v>
          </cell>
          <cell r="H1553">
            <v>44000</v>
          </cell>
          <cell r="I1553">
            <v>44400</v>
          </cell>
          <cell r="J1553">
            <v>45300</v>
          </cell>
          <cell r="K1553" t="str">
            <v>-</v>
          </cell>
          <cell r="L1553">
            <v>46900</v>
          </cell>
          <cell r="M1553">
            <v>45300</v>
          </cell>
          <cell r="N1553">
            <v>44400</v>
          </cell>
          <cell r="O1553">
            <v>40100</v>
          </cell>
          <cell r="P1553">
            <v>41200</v>
          </cell>
          <cell r="Q1553">
            <v>41400</v>
          </cell>
          <cell r="R1553">
            <v>41700</v>
          </cell>
          <cell r="S1553">
            <v>43000</v>
          </cell>
          <cell r="T1553">
            <v>44800</v>
          </cell>
          <cell r="U1553">
            <v>46500</v>
          </cell>
          <cell r="V1553">
            <v>45600</v>
          </cell>
          <cell r="W1553">
            <v>48400</v>
          </cell>
        </row>
        <row r="1554">
          <cell r="A1554">
            <v>45820</v>
          </cell>
          <cell r="B1554">
            <v>45200</v>
          </cell>
          <cell r="C1554">
            <v>46500</v>
          </cell>
          <cell r="D1554">
            <v>45500</v>
          </cell>
          <cell r="E1554">
            <v>40800</v>
          </cell>
          <cell r="F1554">
            <v>45500</v>
          </cell>
          <cell r="G1554" t="str">
            <v>-</v>
          </cell>
          <cell r="H1554">
            <v>44000</v>
          </cell>
          <cell r="I1554">
            <v>44300</v>
          </cell>
          <cell r="J1554">
            <v>45200</v>
          </cell>
          <cell r="K1554" t="str">
            <v>-</v>
          </cell>
          <cell r="L1554">
            <v>46800</v>
          </cell>
          <cell r="M1554">
            <v>45200</v>
          </cell>
          <cell r="N1554">
            <v>44200</v>
          </cell>
          <cell r="O1554">
            <v>39900</v>
          </cell>
          <cell r="P1554">
            <v>41100</v>
          </cell>
          <cell r="Q1554">
            <v>41400</v>
          </cell>
          <cell r="R1554">
            <v>41700</v>
          </cell>
          <cell r="S1554">
            <v>42900</v>
          </cell>
          <cell r="T1554">
            <v>44800</v>
          </cell>
          <cell r="U1554">
            <v>46500</v>
          </cell>
          <cell r="V1554">
            <v>45500</v>
          </cell>
          <cell r="W1554">
            <v>48400</v>
          </cell>
        </row>
        <row r="1555">
          <cell r="A1555">
            <v>45821</v>
          </cell>
          <cell r="B1555">
            <v>45000</v>
          </cell>
          <cell r="C1555">
            <v>46500</v>
          </cell>
          <cell r="D1555">
            <v>45400</v>
          </cell>
          <cell r="E1555">
            <v>40800</v>
          </cell>
          <cell r="F1555">
            <v>45500</v>
          </cell>
          <cell r="G1555" t="str">
            <v>-</v>
          </cell>
          <cell r="H1555">
            <v>44000</v>
          </cell>
          <cell r="I1555">
            <v>44300</v>
          </cell>
          <cell r="J1555">
            <v>45200</v>
          </cell>
          <cell r="K1555" t="str">
            <v>-</v>
          </cell>
          <cell r="L1555">
            <v>46600</v>
          </cell>
          <cell r="M1555">
            <v>44900</v>
          </cell>
          <cell r="N1555">
            <v>44000</v>
          </cell>
          <cell r="O1555">
            <v>39600</v>
          </cell>
          <cell r="P1555">
            <v>41000</v>
          </cell>
          <cell r="Q1555">
            <v>41300</v>
          </cell>
          <cell r="R1555">
            <v>41600</v>
          </cell>
          <cell r="S1555">
            <v>42900</v>
          </cell>
          <cell r="T1555">
            <v>44600</v>
          </cell>
          <cell r="U1555">
            <v>46500</v>
          </cell>
          <cell r="V1555">
            <v>45500</v>
          </cell>
          <cell r="W1555">
            <v>48400</v>
          </cell>
        </row>
        <row r="1556">
          <cell r="A1556">
            <v>45822</v>
          </cell>
          <cell r="B1556">
            <v>45000</v>
          </cell>
          <cell r="C1556">
            <v>46500</v>
          </cell>
          <cell r="D1556">
            <v>45300</v>
          </cell>
          <cell r="E1556">
            <v>40600</v>
          </cell>
          <cell r="F1556">
            <v>45500</v>
          </cell>
          <cell r="G1556" t="str">
            <v>-</v>
          </cell>
          <cell r="H1556">
            <v>44000</v>
          </cell>
          <cell r="I1556">
            <v>44200</v>
          </cell>
          <cell r="J1556">
            <v>44700</v>
          </cell>
          <cell r="K1556" t="str">
            <v>-</v>
          </cell>
          <cell r="L1556">
            <v>46600</v>
          </cell>
          <cell r="M1556">
            <v>44700</v>
          </cell>
          <cell r="N1556">
            <v>44000</v>
          </cell>
          <cell r="O1556">
            <v>39500</v>
          </cell>
          <cell r="P1556">
            <v>40900</v>
          </cell>
          <cell r="Q1556">
            <v>41200</v>
          </cell>
          <cell r="R1556">
            <v>41500</v>
          </cell>
          <cell r="S1556">
            <v>42700</v>
          </cell>
          <cell r="T1556">
            <v>44500</v>
          </cell>
          <cell r="U1556">
            <v>46500</v>
          </cell>
          <cell r="V1556">
            <v>45500</v>
          </cell>
          <cell r="W1556">
            <v>48400</v>
          </cell>
        </row>
        <row r="1557">
          <cell r="A1557">
            <v>45823</v>
          </cell>
          <cell r="B1557" t="str">
            <v>H</v>
          </cell>
          <cell r="C1557" t="str">
            <v>H</v>
          </cell>
          <cell r="D1557" t="str">
            <v>H</v>
          </cell>
          <cell r="E1557" t="str">
            <v>H</v>
          </cell>
          <cell r="F1557" t="str">
            <v>H</v>
          </cell>
          <cell r="G1557" t="str">
            <v>H</v>
          </cell>
          <cell r="H1557" t="str">
            <v>H</v>
          </cell>
          <cell r="I1557" t="str">
            <v>H</v>
          </cell>
          <cell r="J1557" t="str">
            <v>H</v>
          </cell>
          <cell r="K1557" t="str">
            <v>H</v>
          </cell>
          <cell r="L1557" t="str">
            <v>H</v>
          </cell>
          <cell r="M1557" t="str">
            <v>H</v>
          </cell>
          <cell r="N1557" t="str">
            <v>H</v>
          </cell>
          <cell r="O1557" t="str">
            <v>H</v>
          </cell>
          <cell r="P1557" t="str">
            <v>H</v>
          </cell>
          <cell r="Q1557" t="str">
            <v>H</v>
          </cell>
          <cell r="R1557" t="str">
            <v>H</v>
          </cell>
          <cell r="S1557" t="str">
            <v>H</v>
          </cell>
          <cell r="T1557" t="str">
            <v>H</v>
          </cell>
          <cell r="U1557" t="str">
            <v>H</v>
          </cell>
          <cell r="V1557" t="str">
            <v>H</v>
          </cell>
          <cell r="W1557" t="str">
            <v>H</v>
          </cell>
        </row>
        <row r="1558">
          <cell r="A1558">
            <v>45824</v>
          </cell>
          <cell r="B1558">
            <v>44900</v>
          </cell>
          <cell r="C1558">
            <v>46500</v>
          </cell>
          <cell r="D1558">
            <v>45300</v>
          </cell>
          <cell r="E1558">
            <v>40800</v>
          </cell>
          <cell r="F1558">
            <v>45100</v>
          </cell>
          <cell r="G1558" t="str">
            <v>-</v>
          </cell>
          <cell r="H1558">
            <v>43800</v>
          </cell>
          <cell r="I1558">
            <v>44200</v>
          </cell>
          <cell r="J1558">
            <v>44000</v>
          </cell>
          <cell r="K1558" t="str">
            <v>-</v>
          </cell>
          <cell r="L1558">
            <v>46600</v>
          </cell>
          <cell r="M1558">
            <v>44400</v>
          </cell>
          <cell r="N1558">
            <v>44000</v>
          </cell>
          <cell r="O1558">
            <v>39500</v>
          </cell>
          <cell r="P1558">
            <v>40900</v>
          </cell>
          <cell r="Q1558">
            <v>41200</v>
          </cell>
          <cell r="R1558">
            <v>41500</v>
          </cell>
          <cell r="S1558">
            <v>42900</v>
          </cell>
          <cell r="T1558">
            <v>44500</v>
          </cell>
          <cell r="U1558">
            <v>46500</v>
          </cell>
          <cell r="V1558">
            <v>45300</v>
          </cell>
          <cell r="W1558">
            <v>48200</v>
          </cell>
        </row>
        <row r="1559">
          <cell r="A1559">
            <v>45825</v>
          </cell>
          <cell r="B1559">
            <v>44900</v>
          </cell>
          <cell r="C1559">
            <v>46500</v>
          </cell>
          <cell r="D1559">
            <v>45400</v>
          </cell>
          <cell r="E1559">
            <v>41000</v>
          </cell>
          <cell r="F1559">
            <v>45100</v>
          </cell>
          <cell r="G1559" t="str">
            <v>-</v>
          </cell>
          <cell r="H1559">
            <v>44000</v>
          </cell>
          <cell r="I1559">
            <v>44200</v>
          </cell>
          <cell r="J1559">
            <v>44000</v>
          </cell>
          <cell r="K1559" t="str">
            <v>-</v>
          </cell>
          <cell r="L1559">
            <v>46600</v>
          </cell>
          <cell r="M1559">
            <v>44400</v>
          </cell>
          <cell r="N1559">
            <v>44200</v>
          </cell>
          <cell r="O1559">
            <v>39300</v>
          </cell>
          <cell r="P1559">
            <v>40900</v>
          </cell>
          <cell r="Q1559">
            <v>41200</v>
          </cell>
          <cell r="R1559">
            <v>41500</v>
          </cell>
          <cell r="S1559">
            <v>43100</v>
          </cell>
          <cell r="T1559">
            <v>44600</v>
          </cell>
          <cell r="U1559">
            <v>46000</v>
          </cell>
          <cell r="V1559">
            <v>45300</v>
          </cell>
          <cell r="W1559">
            <v>48200</v>
          </cell>
        </row>
        <row r="1560">
          <cell r="A1560">
            <v>45826</v>
          </cell>
          <cell r="B1560">
            <v>44800</v>
          </cell>
          <cell r="C1560">
            <v>46500</v>
          </cell>
          <cell r="D1560">
            <v>45400</v>
          </cell>
          <cell r="E1560">
            <v>40800</v>
          </cell>
          <cell r="F1560">
            <v>44900</v>
          </cell>
          <cell r="G1560" t="str">
            <v>-</v>
          </cell>
          <cell r="H1560">
            <v>44000</v>
          </cell>
          <cell r="I1560">
            <v>44200</v>
          </cell>
          <cell r="J1560">
            <v>43800</v>
          </cell>
          <cell r="K1560" t="str">
            <v>-</v>
          </cell>
          <cell r="L1560">
            <v>46600</v>
          </cell>
          <cell r="M1560">
            <v>44400</v>
          </cell>
          <cell r="N1560">
            <v>44000</v>
          </cell>
          <cell r="O1560">
            <v>39300</v>
          </cell>
          <cell r="P1560">
            <v>40800</v>
          </cell>
          <cell r="Q1560">
            <v>41000</v>
          </cell>
          <cell r="R1560">
            <v>41300</v>
          </cell>
          <cell r="S1560">
            <v>42900</v>
          </cell>
          <cell r="T1560">
            <v>44600</v>
          </cell>
          <cell r="U1560">
            <v>46000</v>
          </cell>
          <cell r="V1560">
            <v>45300</v>
          </cell>
          <cell r="W1560">
            <v>48200</v>
          </cell>
        </row>
        <row r="1561">
          <cell r="A1561">
            <v>45827</v>
          </cell>
          <cell r="B1561">
            <v>44700</v>
          </cell>
          <cell r="C1561">
            <v>46500</v>
          </cell>
          <cell r="D1561">
            <v>45300</v>
          </cell>
          <cell r="E1561">
            <v>40500</v>
          </cell>
          <cell r="F1561">
            <v>44700</v>
          </cell>
          <cell r="G1561" t="str">
            <v>-</v>
          </cell>
          <cell r="H1561">
            <v>44500</v>
          </cell>
          <cell r="I1561">
            <v>44000</v>
          </cell>
          <cell r="J1561">
            <v>43800</v>
          </cell>
          <cell r="K1561" t="str">
            <v>-</v>
          </cell>
          <cell r="L1561">
            <v>46500</v>
          </cell>
          <cell r="M1561">
            <v>44300</v>
          </cell>
          <cell r="N1561">
            <v>44000</v>
          </cell>
          <cell r="O1561">
            <v>39100</v>
          </cell>
          <cell r="P1561">
            <v>40700</v>
          </cell>
          <cell r="Q1561">
            <v>41000</v>
          </cell>
          <cell r="R1561">
            <v>41300</v>
          </cell>
          <cell r="S1561">
            <v>42600</v>
          </cell>
          <cell r="T1561">
            <v>44400</v>
          </cell>
          <cell r="U1561">
            <v>46000</v>
          </cell>
          <cell r="V1561">
            <v>45300</v>
          </cell>
          <cell r="W1561">
            <v>48200</v>
          </cell>
        </row>
        <row r="1562">
          <cell r="A1562">
            <v>45828</v>
          </cell>
          <cell r="B1562">
            <v>44600</v>
          </cell>
          <cell r="C1562">
            <v>46300</v>
          </cell>
          <cell r="D1562">
            <v>45000</v>
          </cell>
          <cell r="E1562">
            <v>40400</v>
          </cell>
          <cell r="F1562">
            <v>44700</v>
          </cell>
          <cell r="G1562" t="str">
            <v>-</v>
          </cell>
          <cell r="H1562">
            <v>44500</v>
          </cell>
          <cell r="I1562">
            <v>43800</v>
          </cell>
          <cell r="J1562">
            <v>43500</v>
          </cell>
          <cell r="K1562" t="str">
            <v>-</v>
          </cell>
          <cell r="L1562">
            <v>46400</v>
          </cell>
          <cell r="M1562">
            <v>44000</v>
          </cell>
          <cell r="N1562">
            <v>43700</v>
          </cell>
          <cell r="O1562">
            <v>39100</v>
          </cell>
          <cell r="P1562">
            <v>40700</v>
          </cell>
          <cell r="Q1562">
            <v>41000</v>
          </cell>
          <cell r="R1562">
            <v>41100</v>
          </cell>
          <cell r="S1562">
            <v>42500</v>
          </cell>
          <cell r="T1562">
            <v>44400</v>
          </cell>
          <cell r="U1562">
            <v>46000</v>
          </cell>
          <cell r="V1562">
            <v>45200</v>
          </cell>
          <cell r="W1562">
            <v>48200</v>
          </cell>
        </row>
        <row r="1563">
          <cell r="A1563">
            <v>45829</v>
          </cell>
          <cell r="B1563">
            <v>44500</v>
          </cell>
          <cell r="C1563">
            <v>46300</v>
          </cell>
          <cell r="D1563">
            <v>44800</v>
          </cell>
          <cell r="E1563">
            <v>40300</v>
          </cell>
          <cell r="F1563">
            <v>44700</v>
          </cell>
          <cell r="G1563" t="str">
            <v>-</v>
          </cell>
          <cell r="H1563">
            <v>44500</v>
          </cell>
          <cell r="I1563">
            <v>43800</v>
          </cell>
          <cell r="J1563">
            <v>43500</v>
          </cell>
          <cell r="K1563" t="str">
            <v>-</v>
          </cell>
          <cell r="L1563">
            <v>46300</v>
          </cell>
          <cell r="M1563">
            <v>44000</v>
          </cell>
          <cell r="N1563">
            <v>43500</v>
          </cell>
          <cell r="O1563">
            <v>39000</v>
          </cell>
          <cell r="P1563">
            <v>40500</v>
          </cell>
          <cell r="Q1563">
            <v>41000</v>
          </cell>
          <cell r="R1563">
            <v>41100</v>
          </cell>
          <cell r="S1563">
            <v>42400</v>
          </cell>
          <cell r="T1563">
            <v>44300</v>
          </cell>
          <cell r="U1563">
            <v>46000</v>
          </cell>
          <cell r="V1563">
            <v>45000</v>
          </cell>
          <cell r="W1563">
            <v>48200</v>
          </cell>
        </row>
        <row r="1564">
          <cell r="A1564">
            <v>45830</v>
          </cell>
          <cell r="B1564" t="str">
            <v>H</v>
          </cell>
          <cell r="C1564" t="str">
            <v>H</v>
          </cell>
          <cell r="D1564" t="str">
            <v>H</v>
          </cell>
          <cell r="E1564" t="str">
            <v>H</v>
          </cell>
          <cell r="F1564" t="str">
            <v>H</v>
          </cell>
          <cell r="G1564" t="str">
            <v>H</v>
          </cell>
          <cell r="H1564" t="str">
            <v>H</v>
          </cell>
          <cell r="I1564" t="str">
            <v>H</v>
          </cell>
          <cell r="J1564" t="str">
            <v>H</v>
          </cell>
          <cell r="K1564" t="str">
            <v>H</v>
          </cell>
          <cell r="L1564" t="str">
            <v>H</v>
          </cell>
          <cell r="M1564" t="str">
            <v>H</v>
          </cell>
          <cell r="N1564" t="str">
            <v>H</v>
          </cell>
          <cell r="O1564" t="str">
            <v>H</v>
          </cell>
          <cell r="P1564" t="str">
            <v>H</v>
          </cell>
          <cell r="Q1564" t="str">
            <v>H</v>
          </cell>
          <cell r="R1564" t="str">
            <v>H</v>
          </cell>
          <cell r="S1564" t="str">
            <v>H</v>
          </cell>
          <cell r="T1564" t="str">
            <v>H</v>
          </cell>
          <cell r="U1564" t="str">
            <v>H</v>
          </cell>
          <cell r="V1564" t="str">
            <v>H</v>
          </cell>
          <cell r="W1564" t="str">
            <v>H</v>
          </cell>
        </row>
        <row r="1565">
          <cell r="A1565">
            <v>45831</v>
          </cell>
          <cell r="B1565">
            <v>43900</v>
          </cell>
          <cell r="C1565">
            <v>46300</v>
          </cell>
          <cell r="D1565">
            <v>44500</v>
          </cell>
          <cell r="E1565">
            <v>40300</v>
          </cell>
          <cell r="F1565">
            <v>44500</v>
          </cell>
          <cell r="G1565" t="str">
            <v>-</v>
          </cell>
          <cell r="H1565">
            <v>44500</v>
          </cell>
          <cell r="I1565">
            <v>43600</v>
          </cell>
          <cell r="J1565">
            <v>43500</v>
          </cell>
          <cell r="K1565" t="str">
            <v>-</v>
          </cell>
          <cell r="L1565">
            <v>45700</v>
          </cell>
          <cell r="M1565">
            <v>44000</v>
          </cell>
          <cell r="N1565">
            <v>43500</v>
          </cell>
          <cell r="O1565">
            <v>38700</v>
          </cell>
          <cell r="P1565">
            <v>40100</v>
          </cell>
          <cell r="Q1565">
            <v>40800</v>
          </cell>
          <cell r="R1565">
            <v>41000</v>
          </cell>
          <cell r="S1565">
            <v>42400</v>
          </cell>
          <cell r="T1565">
            <v>44200</v>
          </cell>
          <cell r="U1565">
            <v>46000</v>
          </cell>
          <cell r="V1565">
            <v>44800</v>
          </cell>
          <cell r="W1565">
            <v>47500</v>
          </cell>
        </row>
        <row r="1566">
          <cell r="A1566">
            <v>45832</v>
          </cell>
          <cell r="B1566">
            <v>43600</v>
          </cell>
          <cell r="C1566">
            <v>46000</v>
          </cell>
          <cell r="D1566">
            <v>44400</v>
          </cell>
          <cell r="E1566">
            <v>40200</v>
          </cell>
          <cell r="F1566">
            <v>44400</v>
          </cell>
          <cell r="G1566" t="str">
            <v>-</v>
          </cell>
          <cell r="H1566">
            <v>44500</v>
          </cell>
          <cell r="I1566">
            <v>43300</v>
          </cell>
          <cell r="J1566">
            <v>43500</v>
          </cell>
          <cell r="K1566" t="str">
            <v>-</v>
          </cell>
          <cell r="L1566">
            <v>45700</v>
          </cell>
          <cell r="M1566">
            <v>43700</v>
          </cell>
          <cell r="N1566">
            <v>43200</v>
          </cell>
          <cell r="O1566">
            <v>38500</v>
          </cell>
          <cell r="P1566">
            <v>40100</v>
          </cell>
          <cell r="Q1566">
            <v>40400</v>
          </cell>
          <cell r="R1566">
            <v>41000</v>
          </cell>
          <cell r="S1566">
            <v>42300</v>
          </cell>
          <cell r="T1566">
            <v>43900</v>
          </cell>
          <cell r="U1566">
            <v>46000</v>
          </cell>
          <cell r="V1566">
            <v>44800</v>
          </cell>
          <cell r="W1566">
            <v>47500</v>
          </cell>
        </row>
        <row r="1567">
          <cell r="A1567">
            <v>45833</v>
          </cell>
          <cell r="B1567">
            <v>43500</v>
          </cell>
          <cell r="C1567">
            <v>46000</v>
          </cell>
          <cell r="D1567">
            <v>44400</v>
          </cell>
          <cell r="E1567">
            <v>40400</v>
          </cell>
          <cell r="F1567">
            <v>44400</v>
          </cell>
          <cell r="G1567" t="str">
            <v>-</v>
          </cell>
          <cell r="H1567">
            <v>44300</v>
          </cell>
          <cell r="I1567">
            <v>43500</v>
          </cell>
          <cell r="J1567">
            <v>43500</v>
          </cell>
          <cell r="K1567" t="str">
            <v>-</v>
          </cell>
          <cell r="L1567">
            <v>45800</v>
          </cell>
          <cell r="M1567">
            <v>43700</v>
          </cell>
          <cell r="N1567">
            <v>43200</v>
          </cell>
          <cell r="O1567">
            <v>38300</v>
          </cell>
          <cell r="P1567">
            <v>40200</v>
          </cell>
          <cell r="Q1567">
            <v>40500</v>
          </cell>
          <cell r="R1567">
            <v>41000</v>
          </cell>
          <cell r="S1567">
            <v>42500</v>
          </cell>
          <cell r="T1567">
            <v>43900</v>
          </cell>
          <cell r="U1567">
            <v>46000</v>
          </cell>
          <cell r="V1567">
            <v>44800</v>
          </cell>
          <cell r="W1567">
            <v>47500</v>
          </cell>
        </row>
        <row r="1568">
          <cell r="A1568">
            <v>45834</v>
          </cell>
          <cell r="B1568">
            <v>43500</v>
          </cell>
          <cell r="C1568">
            <v>46000</v>
          </cell>
          <cell r="D1568">
            <v>44500</v>
          </cell>
          <cell r="E1568">
            <v>40500</v>
          </cell>
          <cell r="F1568">
            <v>44400</v>
          </cell>
          <cell r="G1568" t="str">
            <v>-</v>
          </cell>
          <cell r="H1568">
            <v>44500</v>
          </cell>
          <cell r="I1568">
            <v>43600</v>
          </cell>
          <cell r="J1568">
            <v>44300</v>
          </cell>
          <cell r="K1568" t="str">
            <v>-</v>
          </cell>
          <cell r="L1568">
            <v>45900</v>
          </cell>
          <cell r="M1568">
            <v>43800</v>
          </cell>
          <cell r="N1568">
            <v>43400</v>
          </cell>
          <cell r="O1568">
            <v>39000</v>
          </cell>
          <cell r="P1568">
            <v>40400</v>
          </cell>
          <cell r="Q1568">
            <v>40500</v>
          </cell>
          <cell r="R1568">
            <v>41200</v>
          </cell>
          <cell r="S1568">
            <v>42600</v>
          </cell>
          <cell r="T1568">
            <v>44000</v>
          </cell>
          <cell r="U1568">
            <v>45500</v>
          </cell>
          <cell r="V1568">
            <v>44800</v>
          </cell>
          <cell r="W1568">
            <v>47500</v>
          </cell>
        </row>
        <row r="1569">
          <cell r="A1569">
            <v>45835</v>
          </cell>
          <cell r="B1569">
            <v>43500</v>
          </cell>
          <cell r="C1569">
            <v>46000</v>
          </cell>
          <cell r="D1569">
            <v>44700</v>
          </cell>
          <cell r="E1569">
            <v>40300</v>
          </cell>
          <cell r="F1569">
            <v>44400</v>
          </cell>
          <cell r="G1569" t="str">
            <v>-</v>
          </cell>
          <cell r="H1569">
            <v>44500</v>
          </cell>
          <cell r="I1569">
            <v>43400</v>
          </cell>
          <cell r="J1569">
            <v>44300</v>
          </cell>
          <cell r="K1569" t="str">
            <v>-</v>
          </cell>
          <cell r="L1569">
            <v>45900</v>
          </cell>
          <cell r="M1569">
            <v>43800</v>
          </cell>
          <cell r="N1569">
            <v>43300</v>
          </cell>
          <cell r="O1569">
            <v>39200</v>
          </cell>
          <cell r="P1569">
            <v>40300</v>
          </cell>
          <cell r="Q1569">
            <v>40400</v>
          </cell>
          <cell r="R1569">
            <v>41200</v>
          </cell>
          <cell r="S1569">
            <v>42400</v>
          </cell>
          <cell r="T1569">
            <v>44000</v>
          </cell>
          <cell r="U1569">
            <v>45500</v>
          </cell>
          <cell r="V1569">
            <v>44800</v>
          </cell>
          <cell r="W1569">
            <v>47500</v>
          </cell>
        </row>
        <row r="1570">
          <cell r="A1570">
            <v>45836</v>
          </cell>
          <cell r="B1570">
            <v>43300</v>
          </cell>
          <cell r="C1570">
            <v>46000</v>
          </cell>
          <cell r="D1570">
            <v>44600</v>
          </cell>
          <cell r="E1570">
            <v>40300</v>
          </cell>
          <cell r="F1570">
            <v>44500</v>
          </cell>
          <cell r="G1570" t="str">
            <v>-</v>
          </cell>
          <cell r="H1570">
            <v>44500</v>
          </cell>
          <cell r="I1570">
            <v>43400</v>
          </cell>
          <cell r="J1570">
            <v>44300</v>
          </cell>
          <cell r="K1570" t="str">
            <v>-</v>
          </cell>
          <cell r="L1570">
            <v>45800</v>
          </cell>
          <cell r="M1570">
            <v>43700</v>
          </cell>
          <cell r="N1570">
            <v>43300</v>
          </cell>
          <cell r="O1570">
            <v>39300</v>
          </cell>
          <cell r="P1570">
            <v>40000</v>
          </cell>
          <cell r="Q1570">
            <v>40200</v>
          </cell>
          <cell r="R1570">
            <v>41000</v>
          </cell>
          <cell r="S1570">
            <v>42400</v>
          </cell>
          <cell r="T1570">
            <v>43800</v>
          </cell>
          <cell r="U1570">
            <v>45500</v>
          </cell>
          <cell r="V1570">
            <v>44800</v>
          </cell>
          <cell r="W1570">
            <v>47500</v>
          </cell>
        </row>
        <row r="1571">
          <cell r="A1571">
            <v>45837</v>
          </cell>
          <cell r="B1571" t="str">
            <v>H</v>
          </cell>
          <cell r="C1571" t="str">
            <v>H</v>
          </cell>
          <cell r="D1571" t="str">
            <v>H</v>
          </cell>
          <cell r="E1571" t="str">
            <v>H</v>
          </cell>
          <cell r="F1571" t="str">
            <v>H</v>
          </cell>
          <cell r="G1571" t="str">
            <v>H</v>
          </cell>
          <cell r="H1571" t="str">
            <v>H</v>
          </cell>
          <cell r="I1571" t="str">
            <v>H</v>
          </cell>
          <cell r="J1571" t="str">
            <v>H</v>
          </cell>
          <cell r="K1571" t="str">
            <v>H</v>
          </cell>
          <cell r="L1571" t="str">
            <v>H</v>
          </cell>
          <cell r="M1571" t="str">
            <v>H</v>
          </cell>
          <cell r="N1571" t="str">
            <v>H</v>
          </cell>
          <cell r="O1571" t="str">
            <v>H</v>
          </cell>
          <cell r="P1571" t="str">
            <v>H</v>
          </cell>
          <cell r="Q1571" t="str">
            <v>H</v>
          </cell>
          <cell r="R1571" t="str">
            <v>H</v>
          </cell>
          <cell r="S1571" t="str">
            <v>H</v>
          </cell>
          <cell r="T1571" t="str">
            <v>H</v>
          </cell>
          <cell r="U1571" t="str">
            <v>H</v>
          </cell>
          <cell r="V1571" t="str">
            <v>H</v>
          </cell>
          <cell r="W1571" t="str">
            <v>H</v>
          </cell>
        </row>
        <row r="1572">
          <cell r="A1572">
            <v>45838</v>
          </cell>
          <cell r="B1572">
            <v>43300</v>
          </cell>
          <cell r="C1572">
            <v>46000</v>
          </cell>
          <cell r="D1572">
            <v>44500</v>
          </cell>
          <cell r="E1572">
            <v>40300</v>
          </cell>
          <cell r="F1572">
            <v>44400</v>
          </cell>
          <cell r="G1572" t="str">
            <v>-</v>
          </cell>
          <cell r="H1572">
            <v>44500</v>
          </cell>
          <cell r="I1572">
            <v>43300</v>
          </cell>
          <cell r="J1572">
            <v>44300</v>
          </cell>
          <cell r="K1572" t="str">
            <v>-</v>
          </cell>
          <cell r="L1572">
            <v>45800</v>
          </cell>
          <cell r="M1572">
            <v>43700</v>
          </cell>
          <cell r="N1572">
            <v>43000</v>
          </cell>
          <cell r="O1572">
            <v>39500</v>
          </cell>
          <cell r="P1572">
            <v>39800</v>
          </cell>
          <cell r="Q1572">
            <v>39900</v>
          </cell>
          <cell r="R1572">
            <v>41000</v>
          </cell>
          <cell r="S1572">
            <v>42400</v>
          </cell>
          <cell r="T1572">
            <v>43600</v>
          </cell>
          <cell r="U1572">
            <v>45500</v>
          </cell>
          <cell r="V1572">
            <v>44800</v>
          </cell>
          <cell r="W1572">
            <v>47500</v>
          </cell>
        </row>
        <row r="1573">
          <cell r="A1573">
            <v>45839</v>
          </cell>
          <cell r="B1573">
            <v>43200</v>
          </cell>
          <cell r="C1573">
            <v>46000</v>
          </cell>
          <cell r="D1573">
            <v>44500</v>
          </cell>
          <cell r="E1573">
            <v>40600</v>
          </cell>
          <cell r="F1573">
            <v>44300</v>
          </cell>
          <cell r="G1573" t="str">
            <v>-</v>
          </cell>
          <cell r="H1573">
            <v>44500</v>
          </cell>
          <cell r="I1573">
            <v>43300</v>
          </cell>
          <cell r="J1573">
            <v>43800</v>
          </cell>
          <cell r="K1573" t="str">
            <v>-</v>
          </cell>
          <cell r="L1573">
            <v>45800</v>
          </cell>
          <cell r="M1573">
            <v>43700</v>
          </cell>
          <cell r="N1573">
            <v>43300</v>
          </cell>
          <cell r="O1573">
            <v>39700</v>
          </cell>
          <cell r="P1573">
            <v>39700</v>
          </cell>
          <cell r="Q1573">
            <v>39800</v>
          </cell>
          <cell r="R1573">
            <v>40900</v>
          </cell>
          <cell r="S1573">
            <v>42700</v>
          </cell>
          <cell r="T1573">
            <v>43500</v>
          </cell>
          <cell r="U1573">
            <v>45500</v>
          </cell>
          <cell r="V1573">
            <v>44700</v>
          </cell>
          <cell r="W1573">
            <v>47500</v>
          </cell>
        </row>
        <row r="1574">
          <cell r="A1574">
            <v>45840</v>
          </cell>
          <cell r="B1574">
            <v>43000</v>
          </cell>
          <cell r="C1574">
            <v>46000</v>
          </cell>
          <cell r="D1574">
            <v>44400</v>
          </cell>
          <cell r="E1574">
            <v>40500</v>
          </cell>
          <cell r="F1574">
            <v>44100</v>
          </cell>
          <cell r="G1574" t="str">
            <v>-</v>
          </cell>
          <cell r="H1574">
            <v>44500</v>
          </cell>
          <cell r="I1574">
            <v>43300</v>
          </cell>
          <cell r="J1574">
            <v>43500</v>
          </cell>
          <cell r="K1574" t="str">
            <v>-</v>
          </cell>
          <cell r="L1574">
            <v>45700</v>
          </cell>
          <cell r="M1574">
            <v>43500</v>
          </cell>
          <cell r="N1574">
            <v>43200</v>
          </cell>
          <cell r="O1574">
            <v>39700</v>
          </cell>
          <cell r="P1574">
            <v>39700</v>
          </cell>
          <cell r="Q1574">
            <v>39900</v>
          </cell>
          <cell r="R1574">
            <v>41000</v>
          </cell>
          <cell r="S1574">
            <v>42600</v>
          </cell>
          <cell r="T1574">
            <v>43300</v>
          </cell>
          <cell r="U1574">
            <v>45500</v>
          </cell>
          <cell r="V1574">
            <v>44700</v>
          </cell>
          <cell r="W1574">
            <v>47500</v>
          </cell>
        </row>
        <row r="1575">
          <cell r="A1575">
            <v>45841</v>
          </cell>
          <cell r="B1575">
            <v>42800</v>
          </cell>
          <cell r="C1575">
            <v>46000</v>
          </cell>
          <cell r="D1575">
            <v>44200</v>
          </cell>
          <cell r="E1575">
            <v>40500</v>
          </cell>
          <cell r="F1575">
            <v>44100</v>
          </cell>
          <cell r="G1575" t="str">
            <v>-</v>
          </cell>
          <cell r="H1575">
            <v>44500</v>
          </cell>
          <cell r="I1575">
            <v>43200</v>
          </cell>
          <cell r="J1575">
            <v>43500</v>
          </cell>
          <cell r="K1575" t="str">
            <v>-</v>
          </cell>
          <cell r="L1575">
            <v>45500</v>
          </cell>
          <cell r="M1575">
            <v>43500</v>
          </cell>
          <cell r="N1575">
            <v>43000</v>
          </cell>
          <cell r="O1575">
            <v>39900</v>
          </cell>
          <cell r="P1575">
            <v>39500</v>
          </cell>
          <cell r="Q1575">
            <v>39700</v>
          </cell>
          <cell r="R1575">
            <v>40800</v>
          </cell>
          <cell r="S1575">
            <v>42600</v>
          </cell>
          <cell r="T1575">
            <v>43000</v>
          </cell>
          <cell r="U1575">
            <v>45500</v>
          </cell>
          <cell r="V1575">
            <v>44700</v>
          </cell>
          <cell r="W1575">
            <v>47500</v>
          </cell>
        </row>
        <row r="1576">
          <cell r="A1576">
            <v>45842</v>
          </cell>
          <cell r="B1576">
            <v>42800</v>
          </cell>
          <cell r="C1576">
            <v>46000</v>
          </cell>
          <cell r="D1576">
            <v>44200</v>
          </cell>
          <cell r="E1576">
            <v>40500</v>
          </cell>
          <cell r="F1576">
            <v>44000</v>
          </cell>
          <cell r="G1576" t="str">
            <v>-</v>
          </cell>
          <cell r="H1576">
            <v>44500</v>
          </cell>
          <cell r="I1576">
            <v>43200</v>
          </cell>
          <cell r="J1576">
            <v>43200</v>
          </cell>
          <cell r="K1576" t="str">
            <v>-</v>
          </cell>
          <cell r="L1576">
            <v>45500</v>
          </cell>
          <cell r="M1576">
            <v>43400</v>
          </cell>
          <cell r="N1576">
            <v>43000</v>
          </cell>
          <cell r="O1576">
            <v>40100</v>
          </cell>
          <cell r="P1576">
            <v>39300</v>
          </cell>
          <cell r="Q1576">
            <v>39400</v>
          </cell>
          <cell r="R1576">
            <v>40800</v>
          </cell>
          <cell r="S1576">
            <v>42600</v>
          </cell>
          <cell r="T1576">
            <v>42700</v>
          </cell>
          <cell r="U1576">
            <v>45500</v>
          </cell>
          <cell r="V1576">
            <v>44500</v>
          </cell>
          <cell r="W1576">
            <v>47500</v>
          </cell>
        </row>
        <row r="1577">
          <cell r="A1577">
            <v>45843</v>
          </cell>
          <cell r="B1577">
            <v>42800</v>
          </cell>
          <cell r="C1577">
            <v>46000</v>
          </cell>
          <cell r="D1577">
            <v>44200</v>
          </cell>
          <cell r="E1577">
            <v>40500</v>
          </cell>
          <cell r="F1577">
            <v>43700</v>
          </cell>
          <cell r="G1577" t="str">
            <v>-</v>
          </cell>
          <cell r="H1577">
            <v>44500</v>
          </cell>
          <cell r="I1577">
            <v>43200</v>
          </cell>
          <cell r="J1577">
            <v>43200</v>
          </cell>
          <cell r="K1577" t="str">
            <v>-</v>
          </cell>
          <cell r="L1577">
            <v>45500</v>
          </cell>
          <cell r="M1577">
            <v>43400</v>
          </cell>
          <cell r="N1577">
            <v>43000</v>
          </cell>
          <cell r="O1577">
            <v>40300</v>
          </cell>
          <cell r="P1577">
            <v>39400</v>
          </cell>
          <cell r="Q1577">
            <v>39400</v>
          </cell>
          <cell r="R1577">
            <v>40800</v>
          </cell>
          <cell r="S1577">
            <v>42600</v>
          </cell>
          <cell r="T1577">
            <v>42600</v>
          </cell>
          <cell r="U1577">
            <v>45500</v>
          </cell>
          <cell r="V1577">
            <v>44500</v>
          </cell>
          <cell r="W1577">
            <v>47500</v>
          </cell>
        </row>
        <row r="1578">
          <cell r="A1578">
            <v>45844</v>
          </cell>
          <cell r="B1578" t="str">
            <v>H</v>
          </cell>
          <cell r="C1578" t="str">
            <v>H</v>
          </cell>
          <cell r="D1578" t="str">
            <v>H</v>
          </cell>
          <cell r="E1578" t="str">
            <v>H</v>
          </cell>
          <cell r="F1578" t="str">
            <v>H</v>
          </cell>
          <cell r="G1578" t="str">
            <v>H</v>
          </cell>
          <cell r="H1578" t="str">
            <v>H</v>
          </cell>
          <cell r="I1578" t="str">
            <v>H</v>
          </cell>
          <cell r="J1578" t="str">
            <v>H</v>
          </cell>
          <cell r="K1578" t="str">
            <v>H</v>
          </cell>
          <cell r="L1578" t="str">
            <v>H</v>
          </cell>
          <cell r="M1578" t="str">
            <v>H</v>
          </cell>
          <cell r="N1578" t="str">
            <v>H</v>
          </cell>
          <cell r="O1578" t="str">
            <v>H</v>
          </cell>
          <cell r="P1578" t="str">
            <v>H</v>
          </cell>
          <cell r="Q1578" t="str">
            <v>H</v>
          </cell>
          <cell r="R1578" t="str">
            <v>H</v>
          </cell>
          <cell r="S1578" t="str">
            <v>H</v>
          </cell>
          <cell r="T1578" t="str">
            <v>H</v>
          </cell>
          <cell r="U1578" t="str">
            <v>H</v>
          </cell>
          <cell r="V1578" t="str">
            <v>H</v>
          </cell>
          <cell r="W1578" t="str">
            <v>H</v>
          </cell>
        </row>
        <row r="1579">
          <cell r="A1579">
            <v>45845</v>
          </cell>
          <cell r="B1579">
            <v>42800</v>
          </cell>
          <cell r="C1579">
            <v>46000</v>
          </cell>
          <cell r="D1579">
            <v>44000</v>
          </cell>
          <cell r="E1579">
            <v>40500</v>
          </cell>
          <cell r="F1579">
            <v>43400</v>
          </cell>
          <cell r="G1579" t="str">
            <v>-</v>
          </cell>
          <cell r="H1579">
            <v>44500</v>
          </cell>
          <cell r="I1579">
            <v>43200</v>
          </cell>
          <cell r="J1579">
            <v>42700</v>
          </cell>
          <cell r="K1579" t="str">
            <v>-</v>
          </cell>
          <cell r="L1579">
            <v>45500</v>
          </cell>
          <cell r="M1579">
            <v>43400</v>
          </cell>
          <cell r="N1579">
            <v>42800</v>
          </cell>
          <cell r="O1579">
            <v>40500</v>
          </cell>
          <cell r="P1579">
            <v>39400</v>
          </cell>
          <cell r="Q1579">
            <v>39400</v>
          </cell>
          <cell r="R1579">
            <v>40800</v>
          </cell>
          <cell r="S1579">
            <v>42600</v>
          </cell>
          <cell r="T1579">
            <v>42500</v>
          </cell>
          <cell r="U1579">
            <v>45500</v>
          </cell>
          <cell r="V1579">
            <v>44500</v>
          </cell>
          <cell r="W1579">
            <v>47500</v>
          </cell>
        </row>
        <row r="1580">
          <cell r="A1580">
            <v>45846</v>
          </cell>
          <cell r="B1580">
            <v>42800</v>
          </cell>
          <cell r="C1580">
            <v>46000</v>
          </cell>
          <cell r="D1580">
            <v>43900</v>
          </cell>
          <cell r="E1580">
            <v>40200</v>
          </cell>
          <cell r="F1580">
            <v>43400</v>
          </cell>
          <cell r="G1580" t="str">
            <v>-</v>
          </cell>
          <cell r="H1580">
            <v>44500</v>
          </cell>
          <cell r="I1580">
            <v>43000</v>
          </cell>
          <cell r="J1580">
            <v>42900</v>
          </cell>
          <cell r="K1580" t="str">
            <v>-</v>
          </cell>
          <cell r="L1580">
            <v>45400</v>
          </cell>
          <cell r="M1580">
            <v>43400</v>
          </cell>
          <cell r="N1580">
            <v>42600</v>
          </cell>
          <cell r="O1580">
            <v>40700</v>
          </cell>
          <cell r="P1580">
            <v>39300</v>
          </cell>
          <cell r="Q1580">
            <v>39500</v>
          </cell>
          <cell r="R1580">
            <v>41000</v>
          </cell>
          <cell r="S1580">
            <v>42300</v>
          </cell>
          <cell r="T1580">
            <v>42500</v>
          </cell>
          <cell r="U1580">
            <v>45500</v>
          </cell>
          <cell r="V1580">
            <v>44500</v>
          </cell>
          <cell r="W1580">
            <v>47500</v>
          </cell>
        </row>
        <row r="1581">
          <cell r="A1581">
            <v>45847</v>
          </cell>
          <cell r="B1581">
            <v>43200</v>
          </cell>
          <cell r="C1581">
            <v>46000</v>
          </cell>
          <cell r="D1581">
            <v>44400</v>
          </cell>
          <cell r="E1581">
            <v>40200</v>
          </cell>
          <cell r="F1581">
            <v>43500</v>
          </cell>
          <cell r="G1581" t="str">
            <v>-</v>
          </cell>
          <cell r="H1581">
            <v>44500</v>
          </cell>
          <cell r="I1581">
            <v>43200</v>
          </cell>
          <cell r="J1581">
            <v>43000</v>
          </cell>
          <cell r="K1581" t="str">
            <v>-</v>
          </cell>
          <cell r="L1581">
            <v>45500</v>
          </cell>
          <cell r="M1581">
            <v>43500</v>
          </cell>
          <cell r="N1581">
            <v>43300</v>
          </cell>
          <cell r="O1581">
            <v>40700</v>
          </cell>
          <cell r="P1581">
            <v>39700</v>
          </cell>
          <cell r="Q1581">
            <v>39700</v>
          </cell>
          <cell r="R1581">
            <v>41000</v>
          </cell>
          <cell r="S1581">
            <v>42300</v>
          </cell>
          <cell r="T1581">
            <v>43000</v>
          </cell>
          <cell r="U1581">
            <v>45500</v>
          </cell>
          <cell r="V1581">
            <v>45200</v>
          </cell>
          <cell r="W1581">
            <v>48000</v>
          </cell>
        </row>
        <row r="1582">
          <cell r="A1582">
            <v>45848</v>
          </cell>
          <cell r="B1582">
            <v>43200</v>
          </cell>
          <cell r="C1582">
            <v>46000</v>
          </cell>
          <cell r="D1582">
            <v>44400</v>
          </cell>
          <cell r="E1582">
            <v>40300</v>
          </cell>
          <cell r="F1582">
            <v>43800</v>
          </cell>
          <cell r="G1582" t="str">
            <v>-</v>
          </cell>
          <cell r="H1582">
            <v>45000</v>
          </cell>
          <cell r="I1582">
            <v>43200</v>
          </cell>
          <cell r="J1582">
            <v>43200</v>
          </cell>
          <cell r="K1582" t="str">
            <v>-</v>
          </cell>
          <cell r="L1582">
            <v>45500</v>
          </cell>
          <cell r="M1582">
            <v>43500</v>
          </cell>
          <cell r="N1582">
            <v>43300</v>
          </cell>
          <cell r="O1582">
            <v>40600</v>
          </cell>
          <cell r="P1582">
            <v>39600</v>
          </cell>
          <cell r="Q1582">
            <v>39700</v>
          </cell>
          <cell r="R1582">
            <v>40800</v>
          </cell>
          <cell r="S1582">
            <v>42400</v>
          </cell>
          <cell r="T1582">
            <v>43000</v>
          </cell>
          <cell r="U1582">
            <v>45500</v>
          </cell>
          <cell r="V1582">
            <v>45200</v>
          </cell>
          <cell r="W1582">
            <v>48000</v>
          </cell>
        </row>
        <row r="1583">
          <cell r="A1583">
            <v>45849</v>
          </cell>
          <cell r="B1583">
            <v>43200</v>
          </cell>
          <cell r="C1583">
            <v>46000</v>
          </cell>
          <cell r="D1583">
            <v>44300</v>
          </cell>
          <cell r="E1583">
            <v>40200</v>
          </cell>
          <cell r="F1583">
            <v>43800</v>
          </cell>
          <cell r="G1583" t="str">
            <v>-</v>
          </cell>
          <cell r="H1583">
            <v>45000</v>
          </cell>
          <cell r="I1583">
            <v>43000</v>
          </cell>
          <cell r="J1583">
            <v>43200</v>
          </cell>
          <cell r="K1583" t="str">
            <v>-</v>
          </cell>
          <cell r="L1583">
            <v>45500</v>
          </cell>
          <cell r="M1583">
            <v>43500</v>
          </cell>
          <cell r="N1583">
            <v>43200</v>
          </cell>
          <cell r="O1583">
            <v>40700</v>
          </cell>
          <cell r="P1583">
            <v>39300</v>
          </cell>
          <cell r="Q1583">
            <v>39500</v>
          </cell>
          <cell r="R1583">
            <v>40700</v>
          </cell>
          <cell r="S1583">
            <v>42400</v>
          </cell>
          <cell r="T1583">
            <v>43000</v>
          </cell>
          <cell r="U1583">
            <v>45500</v>
          </cell>
          <cell r="V1583">
            <v>45200</v>
          </cell>
          <cell r="W1583">
            <v>48000</v>
          </cell>
        </row>
        <row r="1584">
          <cell r="A1584">
            <v>45850</v>
          </cell>
          <cell r="B1584">
            <v>43200</v>
          </cell>
          <cell r="C1584">
            <v>46000</v>
          </cell>
          <cell r="D1584">
            <v>44000</v>
          </cell>
          <cell r="E1584">
            <v>40200</v>
          </cell>
          <cell r="F1584">
            <v>43800</v>
          </cell>
          <cell r="G1584" t="str">
            <v>-</v>
          </cell>
          <cell r="H1584">
            <v>45000</v>
          </cell>
          <cell r="I1584">
            <v>43000</v>
          </cell>
          <cell r="J1584">
            <v>43100</v>
          </cell>
          <cell r="K1584" t="str">
            <v>-</v>
          </cell>
          <cell r="L1584">
            <v>45300</v>
          </cell>
          <cell r="M1584">
            <v>43400</v>
          </cell>
          <cell r="N1584">
            <v>42900</v>
          </cell>
          <cell r="O1584">
            <v>40700</v>
          </cell>
          <cell r="P1584">
            <v>39300</v>
          </cell>
          <cell r="Q1584">
            <v>39300</v>
          </cell>
          <cell r="R1584">
            <v>40600</v>
          </cell>
          <cell r="S1584">
            <v>42400</v>
          </cell>
          <cell r="T1584">
            <v>42800</v>
          </cell>
          <cell r="U1584">
            <v>45500</v>
          </cell>
          <cell r="V1584">
            <v>45200</v>
          </cell>
          <cell r="W1584">
            <v>48000</v>
          </cell>
        </row>
        <row r="1585">
          <cell r="A1585">
            <v>45851</v>
          </cell>
          <cell r="B1585" t="str">
            <v>H</v>
          </cell>
          <cell r="C1585" t="str">
            <v>H</v>
          </cell>
          <cell r="D1585" t="str">
            <v>H</v>
          </cell>
          <cell r="E1585" t="str">
            <v>H</v>
          </cell>
          <cell r="F1585" t="str">
            <v>H</v>
          </cell>
          <cell r="G1585" t="str">
            <v>H</v>
          </cell>
          <cell r="H1585" t="str">
            <v>H</v>
          </cell>
          <cell r="I1585" t="str">
            <v>H</v>
          </cell>
          <cell r="J1585" t="str">
            <v>H</v>
          </cell>
          <cell r="K1585" t="str">
            <v>H</v>
          </cell>
          <cell r="L1585" t="str">
            <v>H</v>
          </cell>
          <cell r="M1585" t="str">
            <v>H</v>
          </cell>
          <cell r="N1585" t="str">
            <v>H</v>
          </cell>
          <cell r="O1585" t="str">
            <v>H</v>
          </cell>
          <cell r="P1585" t="str">
            <v>H</v>
          </cell>
          <cell r="Q1585" t="str">
            <v>H</v>
          </cell>
          <cell r="R1585" t="str">
            <v>H</v>
          </cell>
          <cell r="S1585" t="str">
            <v>H</v>
          </cell>
          <cell r="T1585" t="str">
            <v>H</v>
          </cell>
          <cell r="U1585" t="str">
            <v>H</v>
          </cell>
          <cell r="V1585" t="str">
            <v>H</v>
          </cell>
          <cell r="W1585" t="str">
            <v>H</v>
          </cell>
        </row>
        <row r="1586">
          <cell r="A1586">
            <v>45852</v>
          </cell>
          <cell r="B1586">
            <v>42800</v>
          </cell>
          <cell r="C1586">
            <v>45700</v>
          </cell>
          <cell r="D1586">
            <v>43900</v>
          </cell>
          <cell r="E1586">
            <v>39800</v>
          </cell>
          <cell r="F1586">
            <v>43400</v>
          </cell>
          <cell r="G1586" t="str">
            <v>-</v>
          </cell>
          <cell r="H1586">
            <v>44500</v>
          </cell>
          <cell r="I1586">
            <v>42700</v>
          </cell>
          <cell r="J1586">
            <v>42800</v>
          </cell>
          <cell r="K1586" t="str">
            <v>-</v>
          </cell>
          <cell r="L1586">
            <v>45200</v>
          </cell>
          <cell r="M1586">
            <v>43300</v>
          </cell>
          <cell r="N1586" t="str">
            <v>-</v>
          </cell>
          <cell r="O1586">
            <v>40500</v>
          </cell>
          <cell r="P1586">
            <v>39100</v>
          </cell>
          <cell r="Q1586">
            <v>39200</v>
          </cell>
          <cell r="R1586">
            <v>40200</v>
          </cell>
          <cell r="S1586">
            <v>42000</v>
          </cell>
          <cell r="T1586">
            <v>42500</v>
          </cell>
          <cell r="U1586">
            <v>45500</v>
          </cell>
          <cell r="V1586">
            <v>45100</v>
          </cell>
          <cell r="W1586">
            <v>48000</v>
          </cell>
        </row>
        <row r="1587">
          <cell r="A1587">
            <v>45853</v>
          </cell>
          <cell r="B1587">
            <v>42600</v>
          </cell>
          <cell r="C1587">
            <v>45500</v>
          </cell>
          <cell r="D1587">
            <v>43800</v>
          </cell>
          <cell r="E1587">
            <v>39700</v>
          </cell>
          <cell r="F1587">
            <v>43400</v>
          </cell>
          <cell r="G1587" t="str">
            <v>-</v>
          </cell>
          <cell r="H1587">
            <v>44500</v>
          </cell>
          <cell r="I1587">
            <v>42400</v>
          </cell>
          <cell r="J1587">
            <v>42800</v>
          </cell>
          <cell r="K1587" t="str">
            <v>-</v>
          </cell>
          <cell r="L1587">
            <v>45000</v>
          </cell>
          <cell r="M1587">
            <v>43300</v>
          </cell>
          <cell r="N1587" t="str">
            <v>-</v>
          </cell>
          <cell r="O1587">
            <v>40700</v>
          </cell>
          <cell r="P1587">
            <v>39100</v>
          </cell>
          <cell r="Q1587">
            <v>39000</v>
          </cell>
          <cell r="R1587">
            <v>40200</v>
          </cell>
          <cell r="S1587">
            <v>41900</v>
          </cell>
          <cell r="T1587">
            <v>42300</v>
          </cell>
          <cell r="U1587">
            <v>45000</v>
          </cell>
          <cell r="V1587">
            <v>45000</v>
          </cell>
          <cell r="W1587">
            <v>48000</v>
          </cell>
        </row>
        <row r="1588">
          <cell r="A1588">
            <v>45854</v>
          </cell>
          <cell r="B1588">
            <v>42500</v>
          </cell>
          <cell r="C1588">
            <v>45500</v>
          </cell>
          <cell r="D1588">
            <v>43900</v>
          </cell>
          <cell r="E1588">
            <v>39900</v>
          </cell>
          <cell r="F1588">
            <v>43200</v>
          </cell>
          <cell r="G1588" t="str">
            <v>-</v>
          </cell>
          <cell r="H1588">
            <v>44500</v>
          </cell>
          <cell r="I1588">
            <v>42400</v>
          </cell>
          <cell r="J1588">
            <v>42700</v>
          </cell>
          <cell r="K1588" t="str">
            <v>-</v>
          </cell>
          <cell r="L1588">
            <v>44900</v>
          </cell>
          <cell r="M1588">
            <v>43300</v>
          </cell>
          <cell r="N1588" t="str">
            <v>-</v>
          </cell>
          <cell r="O1588">
            <v>40900</v>
          </cell>
          <cell r="P1588">
            <v>39100</v>
          </cell>
          <cell r="Q1588">
            <v>39000</v>
          </cell>
          <cell r="R1588">
            <v>40100</v>
          </cell>
          <cell r="S1588">
            <v>42100</v>
          </cell>
          <cell r="T1588">
            <v>42300</v>
          </cell>
          <cell r="U1588">
            <v>45000</v>
          </cell>
          <cell r="V1588">
            <v>45000</v>
          </cell>
          <cell r="W1588">
            <v>48000</v>
          </cell>
        </row>
        <row r="1589">
          <cell r="A1589">
            <v>45855</v>
          </cell>
          <cell r="B1589">
            <v>43000</v>
          </cell>
          <cell r="C1589">
            <v>45500</v>
          </cell>
          <cell r="D1589">
            <v>43900</v>
          </cell>
          <cell r="E1589">
            <v>40000</v>
          </cell>
          <cell r="F1589">
            <v>43300</v>
          </cell>
          <cell r="G1589" t="str">
            <v>-</v>
          </cell>
          <cell r="H1589">
            <v>44500</v>
          </cell>
          <cell r="I1589">
            <v>42600</v>
          </cell>
          <cell r="J1589">
            <v>43000</v>
          </cell>
          <cell r="K1589" t="str">
            <v>-</v>
          </cell>
          <cell r="L1589">
            <v>45100</v>
          </cell>
          <cell r="M1589">
            <v>43400</v>
          </cell>
          <cell r="N1589" t="str">
            <v>-</v>
          </cell>
          <cell r="O1589">
            <v>41000</v>
          </cell>
          <cell r="P1589">
            <v>39100</v>
          </cell>
          <cell r="Q1589">
            <v>39000</v>
          </cell>
          <cell r="R1589">
            <v>40200</v>
          </cell>
          <cell r="S1589">
            <v>42100</v>
          </cell>
          <cell r="T1589">
            <v>42300</v>
          </cell>
          <cell r="U1589">
            <v>44500</v>
          </cell>
          <cell r="V1589">
            <v>45000</v>
          </cell>
          <cell r="W1589">
            <v>48000</v>
          </cell>
        </row>
        <row r="1590">
          <cell r="A1590">
            <v>45856</v>
          </cell>
          <cell r="B1590">
            <v>43200</v>
          </cell>
          <cell r="C1590">
            <v>45500</v>
          </cell>
          <cell r="D1590">
            <v>44000</v>
          </cell>
          <cell r="E1590">
            <v>40000</v>
          </cell>
          <cell r="F1590">
            <v>43300</v>
          </cell>
          <cell r="G1590" t="str">
            <v>-</v>
          </cell>
          <cell r="H1590">
            <v>44500</v>
          </cell>
          <cell r="I1590">
            <v>42600</v>
          </cell>
          <cell r="J1590">
            <v>43000</v>
          </cell>
          <cell r="K1590" t="str">
            <v>-</v>
          </cell>
          <cell r="L1590">
            <v>45100</v>
          </cell>
          <cell r="M1590">
            <v>43400</v>
          </cell>
          <cell r="N1590" t="str">
            <v>-</v>
          </cell>
          <cell r="O1590">
            <v>41200</v>
          </cell>
          <cell r="P1590">
            <v>39200</v>
          </cell>
          <cell r="Q1590">
            <v>39100</v>
          </cell>
          <cell r="R1590">
            <v>40400</v>
          </cell>
          <cell r="S1590">
            <v>42100</v>
          </cell>
          <cell r="T1590">
            <v>42300</v>
          </cell>
          <cell r="U1590">
            <v>44000</v>
          </cell>
          <cell r="V1590">
            <v>45000</v>
          </cell>
          <cell r="W1590">
            <v>48000</v>
          </cell>
        </row>
        <row r="1591">
          <cell r="A1591">
            <v>45857</v>
          </cell>
          <cell r="B1591">
            <v>43200</v>
          </cell>
          <cell r="C1591">
            <v>45500</v>
          </cell>
          <cell r="D1591">
            <v>44000</v>
          </cell>
          <cell r="E1591">
            <v>39800</v>
          </cell>
          <cell r="F1591">
            <v>43300</v>
          </cell>
          <cell r="G1591" t="str">
            <v>-</v>
          </cell>
          <cell r="H1591">
            <v>44500</v>
          </cell>
          <cell r="I1591">
            <v>42600</v>
          </cell>
          <cell r="J1591">
            <v>43000</v>
          </cell>
          <cell r="K1591" t="str">
            <v>-</v>
          </cell>
          <cell r="L1591">
            <v>45100</v>
          </cell>
          <cell r="M1591">
            <v>43400</v>
          </cell>
          <cell r="N1591" t="str">
            <v>-</v>
          </cell>
          <cell r="O1591">
            <v>41200</v>
          </cell>
          <cell r="P1591">
            <v>39100</v>
          </cell>
          <cell r="Q1591">
            <v>39000</v>
          </cell>
          <cell r="R1591">
            <v>40400</v>
          </cell>
          <cell r="S1591">
            <v>42000</v>
          </cell>
          <cell r="T1591">
            <v>42300</v>
          </cell>
          <cell r="U1591">
            <v>44000</v>
          </cell>
          <cell r="V1591">
            <v>45000</v>
          </cell>
          <cell r="W1591">
            <v>48000</v>
          </cell>
        </row>
        <row r="1592">
          <cell r="A1592">
            <v>45858</v>
          </cell>
          <cell r="B1592" t="str">
            <v>H</v>
          </cell>
          <cell r="C1592" t="str">
            <v>H</v>
          </cell>
          <cell r="D1592" t="str">
            <v>H</v>
          </cell>
          <cell r="E1592" t="str">
            <v>H</v>
          </cell>
          <cell r="F1592" t="str">
            <v>H</v>
          </cell>
          <cell r="G1592" t="str">
            <v>H</v>
          </cell>
          <cell r="H1592" t="str">
            <v>H</v>
          </cell>
          <cell r="I1592" t="str">
            <v>H</v>
          </cell>
          <cell r="J1592" t="str">
            <v>H</v>
          </cell>
          <cell r="K1592" t="str">
            <v>H</v>
          </cell>
          <cell r="L1592" t="str">
            <v>H</v>
          </cell>
          <cell r="M1592" t="str">
            <v>H</v>
          </cell>
          <cell r="N1592" t="str">
            <v>H</v>
          </cell>
          <cell r="O1592" t="str">
            <v>H</v>
          </cell>
          <cell r="P1592" t="str">
            <v>H</v>
          </cell>
          <cell r="Q1592" t="str">
            <v>H</v>
          </cell>
          <cell r="R1592" t="str">
            <v>H</v>
          </cell>
          <cell r="S1592" t="str">
            <v>H</v>
          </cell>
          <cell r="T1592" t="str">
            <v>H</v>
          </cell>
          <cell r="U1592" t="str">
            <v>H</v>
          </cell>
          <cell r="V1592" t="str">
            <v>H</v>
          </cell>
          <cell r="W1592" t="str">
            <v>H</v>
          </cell>
        </row>
        <row r="1593">
          <cell r="A1593">
            <v>45859</v>
          </cell>
          <cell r="B1593">
            <v>43200</v>
          </cell>
          <cell r="C1593">
            <v>45500</v>
          </cell>
          <cell r="D1593">
            <v>43800</v>
          </cell>
          <cell r="E1593">
            <v>39800</v>
          </cell>
          <cell r="F1593">
            <v>43300</v>
          </cell>
          <cell r="G1593" t="str">
            <v>-</v>
          </cell>
          <cell r="H1593">
            <v>44500</v>
          </cell>
          <cell r="I1593">
            <v>42500</v>
          </cell>
          <cell r="J1593">
            <v>42700</v>
          </cell>
          <cell r="K1593" t="str">
            <v>-</v>
          </cell>
          <cell r="L1593">
            <v>45000</v>
          </cell>
          <cell r="M1593">
            <v>43100</v>
          </cell>
          <cell r="N1593" t="str">
            <v>-</v>
          </cell>
          <cell r="O1593">
            <v>41300</v>
          </cell>
          <cell r="P1593">
            <v>39100</v>
          </cell>
          <cell r="Q1593">
            <v>39000</v>
          </cell>
          <cell r="R1593">
            <v>40300</v>
          </cell>
          <cell r="S1593">
            <v>42000</v>
          </cell>
          <cell r="T1593">
            <v>42200</v>
          </cell>
          <cell r="U1593">
            <v>44000</v>
          </cell>
          <cell r="V1593">
            <v>45000</v>
          </cell>
          <cell r="W1593">
            <v>47500</v>
          </cell>
        </row>
        <row r="1594">
          <cell r="A1594">
            <v>45860</v>
          </cell>
          <cell r="B1594">
            <v>43200</v>
          </cell>
          <cell r="C1594">
            <v>45300</v>
          </cell>
          <cell r="D1594">
            <v>43600</v>
          </cell>
          <cell r="E1594">
            <v>39700</v>
          </cell>
          <cell r="F1594">
            <v>43300</v>
          </cell>
          <cell r="G1594" t="str">
            <v>-</v>
          </cell>
          <cell r="H1594">
            <v>44000</v>
          </cell>
          <cell r="I1594">
            <v>42500</v>
          </cell>
          <cell r="J1594">
            <v>42700</v>
          </cell>
          <cell r="K1594" t="str">
            <v>-</v>
          </cell>
          <cell r="L1594">
            <v>44900</v>
          </cell>
          <cell r="M1594">
            <v>43100</v>
          </cell>
          <cell r="N1594">
            <v>42800</v>
          </cell>
          <cell r="O1594">
            <v>41200</v>
          </cell>
          <cell r="P1594">
            <v>39000</v>
          </cell>
          <cell r="Q1594">
            <v>39100</v>
          </cell>
          <cell r="R1594">
            <v>40200</v>
          </cell>
          <cell r="S1594">
            <v>41800</v>
          </cell>
          <cell r="T1594">
            <v>42200</v>
          </cell>
          <cell r="U1594">
            <v>44000</v>
          </cell>
          <cell r="V1594">
            <v>45000</v>
          </cell>
          <cell r="W1594">
            <v>47500</v>
          </cell>
        </row>
        <row r="1595">
          <cell r="A1595">
            <v>45861</v>
          </cell>
          <cell r="B1595">
            <v>43400</v>
          </cell>
          <cell r="C1595">
            <v>45300</v>
          </cell>
          <cell r="D1595">
            <v>43800</v>
          </cell>
          <cell r="E1595">
            <v>40200</v>
          </cell>
          <cell r="F1595">
            <v>43800</v>
          </cell>
          <cell r="G1595" t="str">
            <v>-</v>
          </cell>
          <cell r="H1595">
            <v>44000</v>
          </cell>
          <cell r="I1595">
            <v>42800</v>
          </cell>
          <cell r="J1595">
            <v>43300</v>
          </cell>
          <cell r="K1595" t="str">
            <v>-</v>
          </cell>
          <cell r="L1595">
            <v>45100</v>
          </cell>
          <cell r="M1595">
            <v>43200</v>
          </cell>
          <cell r="N1595">
            <v>43000</v>
          </cell>
          <cell r="O1595">
            <v>41400</v>
          </cell>
          <cell r="P1595">
            <v>39500</v>
          </cell>
          <cell r="Q1595">
            <v>39500</v>
          </cell>
          <cell r="R1595">
            <v>40400</v>
          </cell>
          <cell r="S1595">
            <v>42100</v>
          </cell>
          <cell r="T1595">
            <v>42500</v>
          </cell>
          <cell r="U1595">
            <v>44000</v>
          </cell>
          <cell r="V1595">
            <v>45000</v>
          </cell>
          <cell r="W1595">
            <v>47500</v>
          </cell>
        </row>
        <row r="1596">
          <cell r="A1596">
            <v>45862</v>
          </cell>
          <cell r="B1596">
            <v>43800</v>
          </cell>
          <cell r="C1596">
            <v>45300</v>
          </cell>
          <cell r="D1596">
            <v>44000</v>
          </cell>
          <cell r="E1596">
            <v>40300</v>
          </cell>
          <cell r="F1596">
            <v>43900</v>
          </cell>
          <cell r="G1596" t="str">
            <v>-</v>
          </cell>
          <cell r="H1596">
            <v>44500</v>
          </cell>
          <cell r="I1596">
            <v>43300</v>
          </cell>
          <cell r="J1596">
            <v>43500</v>
          </cell>
          <cell r="K1596" t="str">
            <v>-</v>
          </cell>
          <cell r="L1596">
            <v>45200</v>
          </cell>
          <cell r="M1596">
            <v>43500</v>
          </cell>
          <cell r="N1596">
            <v>43200</v>
          </cell>
          <cell r="O1596">
            <v>41600</v>
          </cell>
          <cell r="P1596">
            <v>40000</v>
          </cell>
          <cell r="Q1596">
            <v>40200</v>
          </cell>
          <cell r="R1596">
            <v>40400</v>
          </cell>
          <cell r="S1596">
            <v>42400</v>
          </cell>
          <cell r="T1596">
            <v>42900</v>
          </cell>
          <cell r="U1596">
            <v>44000</v>
          </cell>
          <cell r="V1596">
            <v>45200</v>
          </cell>
          <cell r="W1596">
            <v>47500</v>
          </cell>
        </row>
        <row r="1597">
          <cell r="A1597">
            <v>45863</v>
          </cell>
          <cell r="B1597">
            <v>44500</v>
          </cell>
          <cell r="C1597">
            <v>45500</v>
          </cell>
          <cell r="D1597">
            <v>44800</v>
          </cell>
          <cell r="E1597">
            <v>40800</v>
          </cell>
          <cell r="F1597">
            <v>44400</v>
          </cell>
          <cell r="G1597" t="str">
            <v>-</v>
          </cell>
          <cell r="H1597">
            <v>44500</v>
          </cell>
          <cell r="I1597">
            <v>43700</v>
          </cell>
          <cell r="J1597">
            <v>43700</v>
          </cell>
          <cell r="K1597" t="str">
            <v>-</v>
          </cell>
          <cell r="L1597">
            <v>45500</v>
          </cell>
          <cell r="M1597">
            <v>43700</v>
          </cell>
          <cell r="N1597">
            <v>44200</v>
          </cell>
          <cell r="O1597">
            <v>41800</v>
          </cell>
          <cell r="P1597">
            <v>40800</v>
          </cell>
          <cell r="Q1597">
            <v>41200</v>
          </cell>
          <cell r="R1597">
            <v>41000</v>
          </cell>
          <cell r="S1597">
            <v>42900</v>
          </cell>
          <cell r="T1597">
            <v>43800</v>
          </cell>
          <cell r="U1597">
            <v>45000</v>
          </cell>
          <cell r="V1597">
            <v>45500</v>
          </cell>
          <cell r="W1597">
            <v>47500</v>
          </cell>
        </row>
        <row r="1598">
          <cell r="A1598">
            <v>45864</v>
          </cell>
          <cell r="B1598">
            <v>44500</v>
          </cell>
          <cell r="C1598">
            <v>45500</v>
          </cell>
          <cell r="D1598">
            <v>45000</v>
          </cell>
          <cell r="E1598">
            <v>40700</v>
          </cell>
          <cell r="F1598">
            <v>44500</v>
          </cell>
          <cell r="G1598" t="str">
            <v>-</v>
          </cell>
          <cell r="H1598">
            <v>44500</v>
          </cell>
          <cell r="I1598">
            <v>43600</v>
          </cell>
          <cell r="J1598">
            <v>44000</v>
          </cell>
          <cell r="K1598" t="str">
            <v>-</v>
          </cell>
          <cell r="L1598">
            <v>45600</v>
          </cell>
          <cell r="M1598">
            <v>43900</v>
          </cell>
          <cell r="N1598">
            <v>44200</v>
          </cell>
          <cell r="O1598">
            <v>41600</v>
          </cell>
          <cell r="P1598">
            <v>40500</v>
          </cell>
          <cell r="Q1598">
            <v>41000</v>
          </cell>
          <cell r="R1598">
            <v>41000</v>
          </cell>
          <cell r="S1598">
            <v>42800</v>
          </cell>
          <cell r="T1598">
            <v>43800</v>
          </cell>
          <cell r="U1598">
            <v>45000</v>
          </cell>
          <cell r="V1598">
            <v>45500</v>
          </cell>
          <cell r="W1598">
            <v>47500</v>
          </cell>
        </row>
        <row r="1599">
          <cell r="A1599">
            <v>45865</v>
          </cell>
          <cell r="B1599" t="str">
            <v>H</v>
          </cell>
          <cell r="C1599" t="str">
            <v>H</v>
          </cell>
          <cell r="D1599" t="str">
            <v>H</v>
          </cell>
          <cell r="E1599" t="str">
            <v>H</v>
          </cell>
          <cell r="F1599" t="str">
            <v>H</v>
          </cell>
          <cell r="G1599" t="str">
            <v>H</v>
          </cell>
          <cell r="H1599" t="str">
            <v>H</v>
          </cell>
          <cell r="I1599" t="str">
            <v>H</v>
          </cell>
          <cell r="J1599" t="str">
            <v>H</v>
          </cell>
          <cell r="K1599" t="str">
            <v>H</v>
          </cell>
          <cell r="L1599" t="str">
            <v>H</v>
          </cell>
          <cell r="M1599" t="str">
            <v>H</v>
          </cell>
          <cell r="N1599" t="str">
            <v>H</v>
          </cell>
          <cell r="O1599" t="str">
            <v>H</v>
          </cell>
          <cell r="P1599" t="str">
            <v>H</v>
          </cell>
          <cell r="Q1599" t="str">
            <v>H</v>
          </cell>
          <cell r="R1599" t="str">
            <v>H</v>
          </cell>
          <cell r="S1599" t="str">
            <v>H</v>
          </cell>
          <cell r="T1599" t="str">
            <v>H</v>
          </cell>
          <cell r="U1599" t="str">
            <v>H</v>
          </cell>
          <cell r="V1599" t="str">
            <v>H</v>
          </cell>
          <cell r="W1599" t="str">
            <v>H</v>
          </cell>
        </row>
        <row r="1600">
          <cell r="A1600">
            <v>45866</v>
          </cell>
          <cell r="B1600">
            <v>44500</v>
          </cell>
          <cell r="C1600">
            <v>45500</v>
          </cell>
          <cell r="D1600">
            <v>45100</v>
          </cell>
          <cell r="E1600">
            <v>40600</v>
          </cell>
          <cell r="F1600">
            <v>44600</v>
          </cell>
          <cell r="G1600" t="str">
            <v>-</v>
          </cell>
          <cell r="H1600">
            <v>44000</v>
          </cell>
          <cell r="I1600">
            <v>43650</v>
          </cell>
          <cell r="J1600">
            <v>43800</v>
          </cell>
          <cell r="K1600" t="str">
            <v>-</v>
          </cell>
          <cell r="L1600">
            <v>45600</v>
          </cell>
          <cell r="M1600">
            <v>44100</v>
          </cell>
          <cell r="N1600">
            <v>44000</v>
          </cell>
          <cell r="O1600">
            <v>41800</v>
          </cell>
          <cell r="P1600">
            <v>40400</v>
          </cell>
          <cell r="Q1600">
            <v>40700</v>
          </cell>
          <cell r="R1600">
            <v>40900</v>
          </cell>
          <cell r="S1600">
            <v>42700</v>
          </cell>
          <cell r="T1600">
            <v>43700</v>
          </cell>
          <cell r="U1600">
            <v>45000</v>
          </cell>
          <cell r="V1600">
            <v>45700</v>
          </cell>
          <cell r="W1600">
            <v>47700</v>
          </cell>
        </row>
        <row r="1601">
          <cell r="A1601">
            <v>45867</v>
          </cell>
          <cell r="B1601">
            <v>44300</v>
          </cell>
          <cell r="C1601">
            <v>45500</v>
          </cell>
          <cell r="D1601">
            <v>44900</v>
          </cell>
          <cell r="E1601">
            <v>40400</v>
          </cell>
          <cell r="F1601">
            <v>44400</v>
          </cell>
          <cell r="G1601" t="str">
            <v>-</v>
          </cell>
          <cell r="H1601">
            <v>44000</v>
          </cell>
          <cell r="I1601">
            <v>43400</v>
          </cell>
          <cell r="J1601">
            <v>43500</v>
          </cell>
          <cell r="K1601" t="str">
            <v>-</v>
          </cell>
          <cell r="L1601">
            <v>45600</v>
          </cell>
          <cell r="M1601">
            <v>44200</v>
          </cell>
          <cell r="N1601">
            <v>43600</v>
          </cell>
          <cell r="O1601">
            <v>41700</v>
          </cell>
          <cell r="P1601">
            <v>40200</v>
          </cell>
          <cell r="Q1601">
            <v>40400</v>
          </cell>
          <cell r="R1601">
            <v>40900</v>
          </cell>
          <cell r="S1601">
            <v>42500</v>
          </cell>
          <cell r="T1601">
            <v>43700</v>
          </cell>
          <cell r="U1601">
            <v>45000</v>
          </cell>
          <cell r="V1601">
            <v>45700</v>
          </cell>
          <cell r="W1601">
            <v>47700</v>
          </cell>
        </row>
        <row r="1602">
          <cell r="A1602">
            <v>45868</v>
          </cell>
          <cell r="B1602">
            <v>44100</v>
          </cell>
          <cell r="C1602">
            <v>45500</v>
          </cell>
          <cell r="D1602">
            <v>44700</v>
          </cell>
          <cell r="E1602">
            <v>40400</v>
          </cell>
          <cell r="F1602">
            <v>44300</v>
          </cell>
          <cell r="G1602" t="str">
            <v>-</v>
          </cell>
          <cell r="H1602">
            <v>43500</v>
          </cell>
          <cell r="I1602">
            <v>43200</v>
          </cell>
          <cell r="J1602">
            <v>43500</v>
          </cell>
          <cell r="K1602" t="str">
            <v>-</v>
          </cell>
          <cell r="L1602">
            <v>45400</v>
          </cell>
          <cell r="M1602">
            <v>44300</v>
          </cell>
          <cell r="N1602">
            <v>43500</v>
          </cell>
          <cell r="O1602">
            <v>41700</v>
          </cell>
          <cell r="P1602">
            <v>39900</v>
          </cell>
          <cell r="Q1602">
            <v>40200</v>
          </cell>
          <cell r="R1602">
            <v>40700</v>
          </cell>
          <cell r="S1602">
            <v>42500</v>
          </cell>
          <cell r="T1602">
            <v>43200</v>
          </cell>
          <cell r="U1602">
            <v>44500</v>
          </cell>
          <cell r="V1602">
            <v>45700</v>
          </cell>
          <cell r="W1602">
            <v>47700</v>
          </cell>
        </row>
        <row r="1603">
          <cell r="A1603">
            <v>45869</v>
          </cell>
          <cell r="B1603">
            <v>44100</v>
          </cell>
          <cell r="C1603">
            <v>45500</v>
          </cell>
          <cell r="D1603">
            <v>44600</v>
          </cell>
          <cell r="E1603">
            <v>40200</v>
          </cell>
          <cell r="F1603">
            <v>44300</v>
          </cell>
          <cell r="G1603" t="str">
            <v>-</v>
          </cell>
          <cell r="H1603">
            <v>43500</v>
          </cell>
          <cell r="I1603">
            <v>43200</v>
          </cell>
          <cell r="J1603">
            <v>43500</v>
          </cell>
          <cell r="K1603" t="str">
            <v>-</v>
          </cell>
          <cell r="L1603">
            <v>45500</v>
          </cell>
          <cell r="M1603">
            <v>44500</v>
          </cell>
          <cell r="N1603">
            <v>43700</v>
          </cell>
          <cell r="O1603">
            <v>41800</v>
          </cell>
          <cell r="P1603">
            <v>39800</v>
          </cell>
          <cell r="Q1603">
            <v>40000</v>
          </cell>
          <cell r="R1603">
            <v>40700</v>
          </cell>
          <cell r="S1603">
            <v>42300</v>
          </cell>
          <cell r="T1603">
            <v>43100</v>
          </cell>
          <cell r="U1603">
            <v>44500</v>
          </cell>
          <cell r="V1603">
            <v>45700</v>
          </cell>
          <cell r="W1603">
            <v>47700</v>
          </cell>
        </row>
        <row r="1604">
          <cell r="A1604">
            <v>45870</v>
          </cell>
          <cell r="B1604">
            <v>44100</v>
          </cell>
          <cell r="C1604">
            <v>45500</v>
          </cell>
          <cell r="D1604">
            <v>44600</v>
          </cell>
          <cell r="E1604">
            <v>40300</v>
          </cell>
          <cell r="F1604">
            <v>44300</v>
          </cell>
          <cell r="G1604" t="str">
            <v>-</v>
          </cell>
          <cell r="H1604">
            <v>43500</v>
          </cell>
          <cell r="I1604">
            <v>43200</v>
          </cell>
          <cell r="J1604">
            <v>43700</v>
          </cell>
          <cell r="K1604" t="str">
            <v>-</v>
          </cell>
          <cell r="L1604">
            <v>45500</v>
          </cell>
          <cell r="M1604">
            <v>44600</v>
          </cell>
          <cell r="N1604">
            <v>43600</v>
          </cell>
          <cell r="O1604">
            <v>41800</v>
          </cell>
          <cell r="P1604">
            <v>39600</v>
          </cell>
          <cell r="Q1604">
            <v>39600</v>
          </cell>
          <cell r="R1604">
            <v>40700</v>
          </cell>
          <cell r="S1604">
            <v>42400</v>
          </cell>
          <cell r="T1604">
            <v>42800</v>
          </cell>
          <cell r="U1604">
            <v>44500</v>
          </cell>
          <cell r="V1604">
            <v>45700</v>
          </cell>
          <cell r="W1604">
            <v>47700</v>
          </cell>
        </row>
        <row r="1605">
          <cell r="A1605">
            <v>45871</v>
          </cell>
          <cell r="B1605">
            <v>44100</v>
          </cell>
          <cell r="C1605">
            <v>45500</v>
          </cell>
          <cell r="D1605">
            <v>44800</v>
          </cell>
          <cell r="E1605">
            <v>40500</v>
          </cell>
          <cell r="F1605">
            <v>44200</v>
          </cell>
          <cell r="G1605" t="str">
            <v>-</v>
          </cell>
          <cell r="H1605">
            <v>43500</v>
          </cell>
          <cell r="I1605">
            <v>43400</v>
          </cell>
          <cell r="J1605">
            <v>43700</v>
          </cell>
          <cell r="K1605" t="str">
            <v>-</v>
          </cell>
          <cell r="L1605">
            <v>45600</v>
          </cell>
          <cell r="M1605">
            <v>44800</v>
          </cell>
          <cell r="N1605">
            <v>43700</v>
          </cell>
          <cell r="O1605">
            <v>42000</v>
          </cell>
          <cell r="P1605">
            <v>39900</v>
          </cell>
          <cell r="Q1605">
            <v>39700</v>
          </cell>
          <cell r="R1605">
            <v>40800</v>
          </cell>
          <cell r="S1605">
            <v>42600</v>
          </cell>
          <cell r="T1605">
            <v>42800</v>
          </cell>
          <cell r="U1605">
            <v>44500</v>
          </cell>
          <cell r="V1605">
            <v>45700</v>
          </cell>
          <cell r="W1605">
            <v>47700</v>
          </cell>
        </row>
        <row r="1606">
          <cell r="A1606">
            <v>45872</v>
          </cell>
          <cell r="B1606" t="str">
            <v>H</v>
          </cell>
          <cell r="C1606" t="str">
            <v>H</v>
          </cell>
          <cell r="D1606" t="str">
            <v>H</v>
          </cell>
          <cell r="E1606" t="str">
            <v>H</v>
          </cell>
          <cell r="F1606" t="str">
            <v>H</v>
          </cell>
          <cell r="G1606" t="str">
            <v>H</v>
          </cell>
          <cell r="H1606" t="str">
            <v>H</v>
          </cell>
          <cell r="I1606" t="str">
            <v>H</v>
          </cell>
          <cell r="J1606" t="str">
            <v>H</v>
          </cell>
          <cell r="K1606" t="str">
            <v>H</v>
          </cell>
          <cell r="L1606" t="str">
            <v>H</v>
          </cell>
          <cell r="M1606" t="str">
            <v>H</v>
          </cell>
          <cell r="N1606" t="str">
            <v>H</v>
          </cell>
          <cell r="O1606" t="str">
            <v>H</v>
          </cell>
          <cell r="P1606" t="str">
            <v>H</v>
          </cell>
          <cell r="Q1606" t="str">
            <v>H</v>
          </cell>
          <cell r="R1606" t="str">
            <v>H</v>
          </cell>
          <cell r="S1606" t="str">
            <v>H</v>
          </cell>
          <cell r="T1606" t="str">
            <v>H</v>
          </cell>
          <cell r="U1606" t="str">
            <v>H</v>
          </cell>
          <cell r="V1606" t="str">
            <v>H</v>
          </cell>
          <cell r="W1606" t="str">
            <v>H</v>
          </cell>
        </row>
        <row r="1607">
          <cell r="A1607">
            <v>45873</v>
          </cell>
          <cell r="B1607">
            <v>44600</v>
          </cell>
          <cell r="C1607">
            <v>45700</v>
          </cell>
          <cell r="D1607">
            <v>45000</v>
          </cell>
          <cell r="E1607">
            <v>40800</v>
          </cell>
          <cell r="F1607">
            <v>44600</v>
          </cell>
          <cell r="G1607" t="str">
            <v>-</v>
          </cell>
          <cell r="H1607">
            <v>43500</v>
          </cell>
          <cell r="I1607">
            <v>43500</v>
          </cell>
          <cell r="J1607">
            <v>44400</v>
          </cell>
          <cell r="K1607" t="str">
            <v>-</v>
          </cell>
          <cell r="L1607">
            <v>45800</v>
          </cell>
          <cell r="M1607">
            <v>45200</v>
          </cell>
          <cell r="N1607">
            <v>43700</v>
          </cell>
          <cell r="O1607">
            <v>42100</v>
          </cell>
          <cell r="P1607">
            <v>40200</v>
          </cell>
          <cell r="Q1607">
            <v>40300</v>
          </cell>
          <cell r="R1607">
            <v>41000</v>
          </cell>
          <cell r="S1607">
            <v>42900</v>
          </cell>
          <cell r="T1607">
            <v>43500</v>
          </cell>
          <cell r="U1607">
            <v>45000</v>
          </cell>
          <cell r="V1607">
            <v>45700</v>
          </cell>
          <cell r="W1607">
            <v>47500</v>
          </cell>
        </row>
        <row r="1608">
          <cell r="A1608">
            <v>45874</v>
          </cell>
          <cell r="B1608">
            <v>44800</v>
          </cell>
          <cell r="C1608">
            <v>45700</v>
          </cell>
          <cell r="D1608">
            <v>45200</v>
          </cell>
          <cell r="E1608">
            <v>40500</v>
          </cell>
          <cell r="F1608">
            <v>44600</v>
          </cell>
          <cell r="G1608" t="str">
            <v>-</v>
          </cell>
          <cell r="H1608">
            <v>43500</v>
          </cell>
          <cell r="I1608">
            <v>43500</v>
          </cell>
          <cell r="J1608">
            <v>44400</v>
          </cell>
          <cell r="K1608" t="str">
            <v>-</v>
          </cell>
          <cell r="L1608">
            <v>46000</v>
          </cell>
          <cell r="M1608">
            <v>45600</v>
          </cell>
          <cell r="N1608">
            <v>43500</v>
          </cell>
          <cell r="O1608">
            <v>42100</v>
          </cell>
          <cell r="P1608">
            <v>40100</v>
          </cell>
          <cell r="Q1608">
            <v>40100</v>
          </cell>
          <cell r="R1608">
            <v>41000</v>
          </cell>
          <cell r="S1608">
            <v>42600</v>
          </cell>
          <cell r="T1608">
            <v>43800</v>
          </cell>
          <cell r="U1608">
            <v>45000</v>
          </cell>
          <cell r="V1608">
            <v>45700</v>
          </cell>
          <cell r="W1608">
            <v>47500</v>
          </cell>
        </row>
        <row r="1609">
          <cell r="A1609">
            <v>45875</v>
          </cell>
          <cell r="B1609">
            <v>44800</v>
          </cell>
          <cell r="C1609">
            <v>45700</v>
          </cell>
          <cell r="D1609">
            <v>44900</v>
          </cell>
          <cell r="E1609">
            <v>40300</v>
          </cell>
          <cell r="F1609">
            <v>44600</v>
          </cell>
          <cell r="G1609" t="str">
            <v>-</v>
          </cell>
          <cell r="H1609">
            <v>43500</v>
          </cell>
          <cell r="I1609">
            <v>43300</v>
          </cell>
          <cell r="J1609">
            <v>44300</v>
          </cell>
          <cell r="K1609" t="str">
            <v>-</v>
          </cell>
          <cell r="L1609">
            <v>45900</v>
          </cell>
          <cell r="M1609">
            <v>45800</v>
          </cell>
          <cell r="N1609">
            <v>43400</v>
          </cell>
          <cell r="O1609">
            <v>42100</v>
          </cell>
          <cell r="P1609">
            <v>39500</v>
          </cell>
          <cell r="Q1609">
            <v>39800</v>
          </cell>
          <cell r="R1609">
            <v>41000</v>
          </cell>
          <cell r="S1609">
            <v>42400</v>
          </cell>
          <cell r="T1609">
            <v>43500</v>
          </cell>
          <cell r="U1609">
            <v>45000</v>
          </cell>
          <cell r="V1609">
            <v>45700</v>
          </cell>
          <cell r="W1609">
            <v>47500</v>
          </cell>
        </row>
        <row r="1610">
          <cell r="A1610">
            <v>45876</v>
          </cell>
          <cell r="B1610">
            <v>44600</v>
          </cell>
          <cell r="C1610">
            <v>45700</v>
          </cell>
          <cell r="D1610">
            <v>44700</v>
          </cell>
          <cell r="E1610">
            <v>39900</v>
          </cell>
          <cell r="F1610">
            <v>44500</v>
          </cell>
          <cell r="G1610" t="str">
            <v>-</v>
          </cell>
          <cell r="H1610">
            <v>43500</v>
          </cell>
          <cell r="I1610">
            <v>43150</v>
          </cell>
          <cell r="J1610">
            <v>44100</v>
          </cell>
          <cell r="K1610" t="str">
            <v>-</v>
          </cell>
          <cell r="L1610">
            <v>45700</v>
          </cell>
          <cell r="M1610">
            <v>45800</v>
          </cell>
          <cell r="N1610">
            <v>43200</v>
          </cell>
          <cell r="O1610">
            <v>42100</v>
          </cell>
          <cell r="P1610">
            <v>39500</v>
          </cell>
          <cell r="Q1610">
            <v>39700</v>
          </cell>
          <cell r="R1610">
            <v>40800</v>
          </cell>
          <cell r="S1610">
            <v>42000</v>
          </cell>
          <cell r="T1610">
            <v>43300</v>
          </cell>
          <cell r="U1610">
            <v>45000</v>
          </cell>
          <cell r="V1610">
            <v>45500</v>
          </cell>
          <cell r="W1610">
            <v>47500</v>
          </cell>
        </row>
        <row r="1611">
          <cell r="A1611">
            <v>45877</v>
          </cell>
          <cell r="B1611">
            <v>44600</v>
          </cell>
          <cell r="C1611">
            <v>45700</v>
          </cell>
          <cell r="D1611">
            <v>44100</v>
          </cell>
          <cell r="E1611">
            <v>39800</v>
          </cell>
          <cell r="F1611">
            <v>44500</v>
          </cell>
          <cell r="G1611" t="str">
            <v>-</v>
          </cell>
          <cell r="H1611">
            <v>43000</v>
          </cell>
          <cell r="I1611">
            <v>43100</v>
          </cell>
          <cell r="J1611">
            <v>44000</v>
          </cell>
          <cell r="K1611" t="str">
            <v>-</v>
          </cell>
          <cell r="L1611">
            <v>45600</v>
          </cell>
          <cell r="M1611">
            <v>45900</v>
          </cell>
          <cell r="N1611">
            <v>43000</v>
          </cell>
          <cell r="O1611">
            <v>42000</v>
          </cell>
          <cell r="P1611">
            <v>39600</v>
          </cell>
          <cell r="Q1611">
            <v>39800</v>
          </cell>
          <cell r="R1611">
            <v>40800</v>
          </cell>
          <cell r="S1611">
            <v>41900</v>
          </cell>
          <cell r="T1611">
            <v>43300</v>
          </cell>
          <cell r="U1611">
            <v>45000</v>
          </cell>
          <cell r="V1611">
            <v>45500</v>
          </cell>
          <cell r="W1611">
            <v>47500</v>
          </cell>
        </row>
        <row r="1612">
          <cell r="A1612">
            <v>45878</v>
          </cell>
          <cell r="B1612" t="str">
            <v>H</v>
          </cell>
          <cell r="C1612" t="str">
            <v>H</v>
          </cell>
          <cell r="D1612" t="str">
            <v>H</v>
          </cell>
          <cell r="E1612" t="str">
            <v>H</v>
          </cell>
          <cell r="F1612" t="str">
            <v>H</v>
          </cell>
          <cell r="G1612" t="str">
            <v>H</v>
          </cell>
          <cell r="H1612" t="str">
            <v>H</v>
          </cell>
          <cell r="I1612" t="str">
            <v>H</v>
          </cell>
          <cell r="J1612" t="str">
            <v>H</v>
          </cell>
          <cell r="K1612" t="str">
            <v>H</v>
          </cell>
          <cell r="L1612" t="str">
            <v>H</v>
          </cell>
          <cell r="M1612" t="str">
            <v>H</v>
          </cell>
          <cell r="N1612" t="str">
            <v>H</v>
          </cell>
          <cell r="O1612" t="str">
            <v>H</v>
          </cell>
          <cell r="P1612" t="str">
            <v>H</v>
          </cell>
          <cell r="Q1612" t="str">
            <v>H</v>
          </cell>
          <cell r="R1612" t="str">
            <v>H</v>
          </cell>
          <cell r="S1612" t="str">
            <v>H</v>
          </cell>
          <cell r="T1612" t="str">
            <v>H</v>
          </cell>
          <cell r="U1612" t="str">
            <v>H</v>
          </cell>
          <cell r="V1612" t="str">
            <v>H</v>
          </cell>
          <cell r="W1612" t="str">
            <v>H</v>
          </cell>
        </row>
        <row r="1613">
          <cell r="A1613">
            <v>45879</v>
          </cell>
          <cell r="B1613" t="str">
            <v>H</v>
          </cell>
          <cell r="C1613" t="str">
            <v>H</v>
          </cell>
          <cell r="D1613" t="str">
            <v>H</v>
          </cell>
          <cell r="E1613" t="str">
            <v>H</v>
          </cell>
          <cell r="F1613" t="str">
            <v>H</v>
          </cell>
          <cell r="G1613" t="str">
            <v>H</v>
          </cell>
          <cell r="H1613" t="str">
            <v>H</v>
          </cell>
          <cell r="I1613" t="str">
            <v>H</v>
          </cell>
          <cell r="J1613" t="str">
            <v>H</v>
          </cell>
          <cell r="K1613" t="str">
            <v>H</v>
          </cell>
          <cell r="L1613" t="str">
            <v>H</v>
          </cell>
          <cell r="M1613" t="str">
            <v>H</v>
          </cell>
          <cell r="N1613" t="str">
            <v>H</v>
          </cell>
          <cell r="O1613" t="str">
            <v>H</v>
          </cell>
          <cell r="P1613" t="str">
            <v>H</v>
          </cell>
          <cell r="Q1613" t="str">
            <v>H</v>
          </cell>
          <cell r="R1613" t="str">
            <v>H</v>
          </cell>
          <cell r="S1613" t="str">
            <v>H</v>
          </cell>
          <cell r="T1613" t="str">
            <v>H</v>
          </cell>
          <cell r="U1613" t="str">
            <v>H</v>
          </cell>
          <cell r="V1613" t="str">
            <v>H</v>
          </cell>
          <cell r="W1613" t="str">
            <v>H</v>
          </cell>
        </row>
        <row r="1614">
          <cell r="A1614">
            <v>45880</v>
          </cell>
          <cell r="B1614">
            <v>44800</v>
          </cell>
          <cell r="C1614">
            <v>45500</v>
          </cell>
          <cell r="D1614">
            <v>44000</v>
          </cell>
          <cell r="E1614">
            <v>40000</v>
          </cell>
          <cell r="F1614">
            <v>44500</v>
          </cell>
          <cell r="G1614" t="str">
            <v>-</v>
          </cell>
          <cell r="H1614">
            <v>43000</v>
          </cell>
          <cell r="I1614">
            <v>43200</v>
          </cell>
          <cell r="J1614">
            <v>44000</v>
          </cell>
          <cell r="K1614" t="str">
            <v>-</v>
          </cell>
          <cell r="L1614">
            <v>45600</v>
          </cell>
          <cell r="M1614">
            <v>45900</v>
          </cell>
          <cell r="N1614">
            <v>43000</v>
          </cell>
          <cell r="O1614">
            <v>42100</v>
          </cell>
          <cell r="P1614">
            <v>39700</v>
          </cell>
          <cell r="Q1614">
            <v>40000</v>
          </cell>
          <cell r="R1614">
            <v>40800</v>
          </cell>
          <cell r="S1614">
            <v>42100</v>
          </cell>
          <cell r="T1614">
            <v>43000</v>
          </cell>
          <cell r="U1614">
            <v>44500</v>
          </cell>
          <cell r="V1614">
            <v>45300</v>
          </cell>
          <cell r="W1614">
            <v>47500</v>
          </cell>
        </row>
        <row r="1615">
          <cell r="A1615">
            <v>45881</v>
          </cell>
          <cell r="B1615">
            <v>44800</v>
          </cell>
          <cell r="C1615">
            <v>45500</v>
          </cell>
          <cell r="D1615">
            <v>43700</v>
          </cell>
          <cell r="E1615">
            <v>40000</v>
          </cell>
          <cell r="F1615">
            <v>44200</v>
          </cell>
          <cell r="G1615" t="str">
            <v>-</v>
          </cell>
          <cell r="H1615">
            <v>43000</v>
          </cell>
          <cell r="I1615">
            <v>43100</v>
          </cell>
          <cell r="J1615">
            <v>44000</v>
          </cell>
          <cell r="K1615" t="str">
            <v>-</v>
          </cell>
          <cell r="L1615">
            <v>45500</v>
          </cell>
          <cell r="M1615">
            <v>45900</v>
          </cell>
          <cell r="N1615">
            <v>42800</v>
          </cell>
          <cell r="O1615">
            <v>42100</v>
          </cell>
          <cell r="P1615">
            <v>39700</v>
          </cell>
          <cell r="Q1615">
            <v>39900</v>
          </cell>
          <cell r="R1615">
            <v>40800</v>
          </cell>
          <cell r="S1615">
            <v>42100</v>
          </cell>
          <cell r="T1615">
            <v>43000</v>
          </cell>
          <cell r="U1615">
            <v>44500</v>
          </cell>
          <cell r="V1615">
            <v>45300</v>
          </cell>
          <cell r="W1615">
            <v>47500</v>
          </cell>
        </row>
        <row r="1616">
          <cell r="A1616">
            <v>45882</v>
          </cell>
          <cell r="B1616">
            <v>44600</v>
          </cell>
          <cell r="C1616">
            <v>45500</v>
          </cell>
          <cell r="D1616">
            <v>43600</v>
          </cell>
          <cell r="E1616">
            <v>39800</v>
          </cell>
          <cell r="F1616">
            <v>44500</v>
          </cell>
          <cell r="G1616" t="str">
            <v>-</v>
          </cell>
          <cell r="H1616">
            <v>43000</v>
          </cell>
          <cell r="I1616">
            <v>43000</v>
          </cell>
          <cell r="J1616">
            <v>44000</v>
          </cell>
          <cell r="K1616" t="str">
            <v>-</v>
          </cell>
          <cell r="L1616">
            <v>45400</v>
          </cell>
          <cell r="M1616">
            <v>45800</v>
          </cell>
          <cell r="N1616">
            <v>42700</v>
          </cell>
          <cell r="O1616">
            <v>42000</v>
          </cell>
          <cell r="P1616">
            <v>39500</v>
          </cell>
          <cell r="Q1616">
            <v>39700</v>
          </cell>
          <cell r="R1616">
            <v>40500</v>
          </cell>
          <cell r="S1616">
            <v>41900</v>
          </cell>
          <cell r="T1616">
            <v>42800</v>
          </cell>
          <cell r="U1616">
            <v>44500</v>
          </cell>
          <cell r="V1616">
            <v>45300</v>
          </cell>
          <cell r="W1616">
            <v>47500</v>
          </cell>
        </row>
        <row r="1617">
          <cell r="A1617">
            <v>45883</v>
          </cell>
          <cell r="B1617">
            <v>44600</v>
          </cell>
          <cell r="C1617">
            <v>45500</v>
          </cell>
          <cell r="D1617">
            <v>43600</v>
          </cell>
          <cell r="E1617">
            <v>39800</v>
          </cell>
          <cell r="F1617">
            <v>44500</v>
          </cell>
          <cell r="G1617" t="str">
            <v>-</v>
          </cell>
          <cell r="H1617">
            <v>43000</v>
          </cell>
          <cell r="I1617">
            <v>43100</v>
          </cell>
          <cell r="J1617">
            <v>44000</v>
          </cell>
          <cell r="K1617" t="str">
            <v>-</v>
          </cell>
          <cell r="L1617">
            <v>45400</v>
          </cell>
          <cell r="M1617">
            <v>45800</v>
          </cell>
          <cell r="N1617">
            <v>42500</v>
          </cell>
          <cell r="O1617">
            <v>42000</v>
          </cell>
          <cell r="P1617">
            <v>39600</v>
          </cell>
          <cell r="Q1617">
            <v>39700</v>
          </cell>
          <cell r="R1617">
            <v>40500</v>
          </cell>
          <cell r="S1617">
            <v>41900</v>
          </cell>
          <cell r="T1617">
            <v>42800</v>
          </cell>
          <cell r="U1617">
            <v>44500</v>
          </cell>
          <cell r="V1617">
            <v>45300</v>
          </cell>
          <cell r="W1617">
            <v>47500</v>
          </cell>
        </row>
        <row r="1618">
          <cell r="A1618">
            <v>45884</v>
          </cell>
          <cell r="B1618" t="str">
            <v>H</v>
          </cell>
          <cell r="C1618" t="str">
            <v>H</v>
          </cell>
          <cell r="D1618" t="str">
            <v>H</v>
          </cell>
          <cell r="E1618" t="str">
            <v>H</v>
          </cell>
          <cell r="F1618" t="str">
            <v>H</v>
          </cell>
          <cell r="G1618" t="str">
            <v>H</v>
          </cell>
          <cell r="H1618" t="str">
            <v>H</v>
          </cell>
          <cell r="I1618" t="str">
            <v>H</v>
          </cell>
          <cell r="J1618" t="str">
            <v>H</v>
          </cell>
          <cell r="K1618" t="str">
            <v>H</v>
          </cell>
          <cell r="L1618" t="str">
            <v>H</v>
          </cell>
          <cell r="M1618" t="str">
            <v>H</v>
          </cell>
          <cell r="N1618" t="str">
            <v>H</v>
          </cell>
          <cell r="O1618" t="str">
            <v>H</v>
          </cell>
          <cell r="P1618" t="str">
            <v>H</v>
          </cell>
          <cell r="Q1618" t="str">
            <v>H</v>
          </cell>
          <cell r="R1618" t="str">
            <v>H</v>
          </cell>
          <cell r="S1618" t="str">
            <v>H</v>
          </cell>
          <cell r="T1618" t="str">
            <v>H</v>
          </cell>
          <cell r="U1618" t="str">
            <v>H</v>
          </cell>
          <cell r="V1618" t="str">
            <v>H</v>
          </cell>
          <cell r="W1618" t="str">
            <v>H</v>
          </cell>
        </row>
        <row r="1619">
          <cell r="A1619">
            <v>45885</v>
          </cell>
          <cell r="B1619" t="str">
            <v>H</v>
          </cell>
          <cell r="C1619" t="str">
            <v>H</v>
          </cell>
          <cell r="D1619" t="str">
            <v>H</v>
          </cell>
          <cell r="E1619" t="str">
            <v>H</v>
          </cell>
          <cell r="F1619" t="str">
            <v>H</v>
          </cell>
          <cell r="G1619" t="str">
            <v>H</v>
          </cell>
          <cell r="H1619" t="str">
            <v>H</v>
          </cell>
          <cell r="I1619" t="str">
            <v>H</v>
          </cell>
          <cell r="J1619" t="str">
            <v>H</v>
          </cell>
          <cell r="K1619" t="str">
            <v>H</v>
          </cell>
          <cell r="L1619" t="str">
            <v>H</v>
          </cell>
          <cell r="M1619" t="str">
            <v>H</v>
          </cell>
          <cell r="N1619" t="str">
            <v>H</v>
          </cell>
          <cell r="O1619" t="str">
            <v>H</v>
          </cell>
          <cell r="P1619" t="str">
            <v>H</v>
          </cell>
          <cell r="Q1619" t="str">
            <v>H</v>
          </cell>
          <cell r="R1619" t="str">
            <v>H</v>
          </cell>
          <cell r="S1619" t="str">
            <v>H</v>
          </cell>
          <cell r="T1619" t="str">
            <v>H</v>
          </cell>
          <cell r="U1619" t="str">
            <v>H</v>
          </cell>
          <cell r="V1619" t="str">
            <v>H</v>
          </cell>
          <cell r="W1619" t="str">
            <v>H</v>
          </cell>
        </row>
        <row r="1620">
          <cell r="A1620">
            <v>45886</v>
          </cell>
          <cell r="B1620" t="str">
            <v>H</v>
          </cell>
          <cell r="C1620" t="str">
            <v>H</v>
          </cell>
          <cell r="D1620" t="str">
            <v>H</v>
          </cell>
          <cell r="E1620" t="str">
            <v>H</v>
          </cell>
          <cell r="F1620" t="str">
            <v>H</v>
          </cell>
          <cell r="G1620" t="str">
            <v>H</v>
          </cell>
          <cell r="H1620" t="str">
            <v>H</v>
          </cell>
          <cell r="I1620" t="str">
            <v>H</v>
          </cell>
          <cell r="J1620" t="str">
            <v>H</v>
          </cell>
          <cell r="K1620" t="str">
            <v>H</v>
          </cell>
          <cell r="L1620" t="str">
            <v>H</v>
          </cell>
          <cell r="M1620" t="str">
            <v>H</v>
          </cell>
          <cell r="N1620" t="str">
            <v>H</v>
          </cell>
          <cell r="O1620" t="str">
            <v>H</v>
          </cell>
          <cell r="P1620" t="str">
            <v>H</v>
          </cell>
          <cell r="Q1620" t="str">
            <v>H</v>
          </cell>
          <cell r="R1620" t="str">
            <v>H</v>
          </cell>
          <cell r="S1620" t="str">
            <v>H</v>
          </cell>
          <cell r="T1620" t="str">
            <v>H</v>
          </cell>
          <cell r="U1620" t="str">
            <v>H</v>
          </cell>
          <cell r="V1620" t="str">
            <v>H</v>
          </cell>
          <cell r="W1620" t="str">
            <v>H</v>
          </cell>
        </row>
        <row r="1621">
          <cell r="A1621">
            <v>45887</v>
          </cell>
          <cell r="B1621">
            <v>44500</v>
          </cell>
          <cell r="C1621">
            <v>45500</v>
          </cell>
          <cell r="D1621">
            <v>43400</v>
          </cell>
          <cell r="E1621">
            <v>39800</v>
          </cell>
          <cell r="F1621">
            <v>44500</v>
          </cell>
          <cell r="G1621" t="str">
            <v>-</v>
          </cell>
          <cell r="H1621">
            <v>43000</v>
          </cell>
          <cell r="I1621">
            <v>43000</v>
          </cell>
          <cell r="J1621">
            <v>44000</v>
          </cell>
          <cell r="K1621" t="str">
            <v>-</v>
          </cell>
          <cell r="L1621">
            <v>45400</v>
          </cell>
          <cell r="M1621">
            <v>45800</v>
          </cell>
          <cell r="N1621">
            <v>42200</v>
          </cell>
          <cell r="O1621">
            <v>41900</v>
          </cell>
          <cell r="P1621">
            <v>39800</v>
          </cell>
          <cell r="Q1621">
            <v>40000</v>
          </cell>
          <cell r="R1621">
            <v>40300</v>
          </cell>
          <cell r="S1621">
            <v>41900</v>
          </cell>
          <cell r="T1621">
            <v>43000</v>
          </cell>
          <cell r="U1621">
            <v>44000</v>
          </cell>
          <cell r="V1621">
            <v>45200</v>
          </cell>
          <cell r="W1621">
            <v>47100</v>
          </cell>
        </row>
        <row r="1622">
          <cell r="A1622">
            <v>45888</v>
          </cell>
          <cell r="B1622">
            <v>44700</v>
          </cell>
          <cell r="C1622">
            <v>45500</v>
          </cell>
          <cell r="D1622">
            <v>43600</v>
          </cell>
          <cell r="E1622">
            <v>39800</v>
          </cell>
          <cell r="F1622">
            <v>44500</v>
          </cell>
          <cell r="G1622" t="str">
            <v>-</v>
          </cell>
          <cell r="H1622">
            <v>43000</v>
          </cell>
          <cell r="I1622">
            <v>43100</v>
          </cell>
          <cell r="J1622">
            <v>44200</v>
          </cell>
          <cell r="K1622" t="str">
            <v>-</v>
          </cell>
          <cell r="L1622">
            <v>45500</v>
          </cell>
          <cell r="M1622">
            <v>45800</v>
          </cell>
          <cell r="N1622">
            <v>42300</v>
          </cell>
          <cell r="O1622">
            <v>42100</v>
          </cell>
          <cell r="P1622">
            <v>40200</v>
          </cell>
          <cell r="Q1622">
            <v>40300</v>
          </cell>
          <cell r="R1622">
            <v>40500</v>
          </cell>
          <cell r="S1622">
            <v>41900</v>
          </cell>
          <cell r="T1622">
            <v>43300</v>
          </cell>
          <cell r="U1622">
            <v>44000</v>
          </cell>
          <cell r="V1622">
            <v>45200</v>
          </cell>
          <cell r="W1622">
            <v>47100</v>
          </cell>
        </row>
        <row r="1623">
          <cell r="A1623">
            <v>45889</v>
          </cell>
          <cell r="B1623">
            <v>44700</v>
          </cell>
          <cell r="C1623">
            <v>45500</v>
          </cell>
          <cell r="D1623">
            <v>43500</v>
          </cell>
          <cell r="E1623">
            <v>39700</v>
          </cell>
          <cell r="F1623">
            <v>44500</v>
          </cell>
          <cell r="G1623" t="str">
            <v>-</v>
          </cell>
          <cell r="H1623">
            <v>43000</v>
          </cell>
          <cell r="I1623">
            <v>43100</v>
          </cell>
          <cell r="J1623">
            <v>43900</v>
          </cell>
          <cell r="K1623" t="str">
            <v>-</v>
          </cell>
          <cell r="L1623">
            <v>45500</v>
          </cell>
          <cell r="M1623">
            <v>45700</v>
          </cell>
          <cell r="N1623">
            <v>42300</v>
          </cell>
          <cell r="O1623">
            <v>42100</v>
          </cell>
          <cell r="P1623">
            <v>40100</v>
          </cell>
          <cell r="Q1623">
            <v>40300</v>
          </cell>
          <cell r="R1623">
            <v>40500</v>
          </cell>
          <cell r="S1623">
            <v>41800</v>
          </cell>
          <cell r="T1623">
            <v>43300</v>
          </cell>
          <cell r="U1623">
            <v>44000</v>
          </cell>
          <cell r="V1623">
            <v>45200</v>
          </cell>
          <cell r="W1623">
            <v>47100</v>
          </cell>
        </row>
        <row r="1624">
          <cell r="A1624">
            <v>45890</v>
          </cell>
          <cell r="B1624">
            <v>44500</v>
          </cell>
          <cell r="C1624">
            <v>45500</v>
          </cell>
          <cell r="D1624">
            <v>43300</v>
          </cell>
          <cell r="E1624">
            <v>39800</v>
          </cell>
          <cell r="F1624">
            <v>44400</v>
          </cell>
          <cell r="G1624" t="str">
            <v>-</v>
          </cell>
          <cell r="H1624">
            <v>43000</v>
          </cell>
          <cell r="I1624">
            <v>42800</v>
          </cell>
          <cell r="J1624">
            <v>43900</v>
          </cell>
          <cell r="K1624" t="str">
            <v>-</v>
          </cell>
          <cell r="L1624">
            <v>45300</v>
          </cell>
          <cell r="M1624">
            <v>45700</v>
          </cell>
          <cell r="N1624">
            <v>42300</v>
          </cell>
          <cell r="O1624">
            <v>42000</v>
          </cell>
          <cell r="P1624">
            <v>40000</v>
          </cell>
          <cell r="Q1624">
            <v>40200</v>
          </cell>
          <cell r="R1624">
            <v>40400</v>
          </cell>
          <cell r="S1624">
            <v>41900</v>
          </cell>
          <cell r="T1624">
            <v>43300</v>
          </cell>
          <cell r="U1624">
            <v>44000</v>
          </cell>
          <cell r="V1624">
            <v>45200</v>
          </cell>
          <cell r="W1624">
            <v>47100</v>
          </cell>
        </row>
        <row r="1625">
          <cell r="A1625">
            <v>45891</v>
          </cell>
          <cell r="B1625">
            <v>44300</v>
          </cell>
          <cell r="C1625">
            <v>45500</v>
          </cell>
          <cell r="D1625">
            <v>43000</v>
          </cell>
          <cell r="E1625">
            <v>39700</v>
          </cell>
          <cell r="F1625">
            <v>44200</v>
          </cell>
          <cell r="G1625" t="str">
            <v>-</v>
          </cell>
          <cell r="H1625">
            <v>43000</v>
          </cell>
          <cell r="I1625">
            <v>42700</v>
          </cell>
          <cell r="J1625">
            <v>43800</v>
          </cell>
          <cell r="K1625" t="str">
            <v>-</v>
          </cell>
          <cell r="L1625">
            <v>45200</v>
          </cell>
          <cell r="M1625">
            <v>45700</v>
          </cell>
          <cell r="N1625">
            <v>42000</v>
          </cell>
          <cell r="O1625">
            <v>41900</v>
          </cell>
          <cell r="P1625">
            <v>39700</v>
          </cell>
          <cell r="Q1625">
            <v>39900</v>
          </cell>
          <cell r="R1625">
            <v>40300</v>
          </cell>
          <cell r="S1625">
            <v>41800</v>
          </cell>
          <cell r="T1625">
            <v>43000</v>
          </cell>
          <cell r="U1625">
            <v>44000</v>
          </cell>
          <cell r="V1625">
            <v>44800</v>
          </cell>
          <cell r="W1625">
            <v>47100</v>
          </cell>
        </row>
        <row r="1626">
          <cell r="A1626">
            <v>45892</v>
          </cell>
          <cell r="B1626">
            <v>44300</v>
          </cell>
          <cell r="C1626">
            <v>45500</v>
          </cell>
          <cell r="D1626">
            <v>42900</v>
          </cell>
          <cell r="E1626">
            <v>39700</v>
          </cell>
          <cell r="F1626">
            <v>44200</v>
          </cell>
          <cell r="G1626" t="str">
            <v>-</v>
          </cell>
          <cell r="H1626">
            <v>42000</v>
          </cell>
          <cell r="I1626">
            <v>42700</v>
          </cell>
          <cell r="J1626">
            <v>43500</v>
          </cell>
          <cell r="K1626" t="str">
            <v>-</v>
          </cell>
          <cell r="L1626">
            <v>45100</v>
          </cell>
          <cell r="M1626">
            <v>45300</v>
          </cell>
          <cell r="N1626">
            <v>41800</v>
          </cell>
          <cell r="O1626">
            <v>41800</v>
          </cell>
          <cell r="P1626">
            <v>39700</v>
          </cell>
          <cell r="Q1626">
            <v>39900</v>
          </cell>
          <cell r="R1626">
            <v>40200</v>
          </cell>
          <cell r="S1626">
            <v>41800</v>
          </cell>
          <cell r="T1626">
            <v>43000</v>
          </cell>
          <cell r="U1626">
            <v>44000</v>
          </cell>
          <cell r="V1626">
            <v>44800</v>
          </cell>
          <cell r="W1626">
            <v>47100</v>
          </cell>
        </row>
        <row r="1627">
          <cell r="A1627">
            <v>45893</v>
          </cell>
          <cell r="B1627" t="str">
            <v>H</v>
          </cell>
          <cell r="C1627" t="str">
            <v>H</v>
          </cell>
          <cell r="D1627" t="str">
            <v>H</v>
          </cell>
          <cell r="E1627" t="str">
            <v>H</v>
          </cell>
          <cell r="F1627" t="str">
            <v>H</v>
          </cell>
          <cell r="G1627" t="str">
            <v>H</v>
          </cell>
          <cell r="H1627" t="str">
            <v>H</v>
          </cell>
          <cell r="I1627" t="str">
            <v>H</v>
          </cell>
          <cell r="J1627" t="str">
            <v>H</v>
          </cell>
          <cell r="K1627" t="str">
            <v>H</v>
          </cell>
          <cell r="L1627" t="str">
            <v>H</v>
          </cell>
          <cell r="M1627" t="str">
            <v>H</v>
          </cell>
          <cell r="N1627" t="str">
            <v>H</v>
          </cell>
          <cell r="O1627" t="str">
            <v>H</v>
          </cell>
          <cell r="P1627" t="str">
            <v>H</v>
          </cell>
          <cell r="Q1627" t="str">
            <v>H</v>
          </cell>
          <cell r="R1627" t="str">
            <v>H</v>
          </cell>
          <cell r="S1627" t="str">
            <v>H</v>
          </cell>
          <cell r="T1627" t="str">
            <v>H</v>
          </cell>
          <cell r="U1627" t="str">
            <v>H</v>
          </cell>
          <cell r="V1627" t="str">
            <v>H</v>
          </cell>
          <cell r="W1627" t="str">
            <v>H</v>
          </cell>
        </row>
        <row r="1628">
          <cell r="A1628">
            <v>45894</v>
          </cell>
          <cell r="B1628">
            <v>44000</v>
          </cell>
          <cell r="C1628">
            <v>45500</v>
          </cell>
          <cell r="D1628">
            <v>42700</v>
          </cell>
          <cell r="E1628">
            <v>39400</v>
          </cell>
          <cell r="F1628">
            <v>44200</v>
          </cell>
          <cell r="G1628" t="str">
            <v>-</v>
          </cell>
          <cell r="H1628">
            <v>42000</v>
          </cell>
          <cell r="I1628">
            <v>42600</v>
          </cell>
          <cell r="J1628">
            <v>43500</v>
          </cell>
          <cell r="K1628" t="str">
            <v>-</v>
          </cell>
          <cell r="L1628">
            <v>45000</v>
          </cell>
          <cell r="M1628">
            <v>45000</v>
          </cell>
          <cell r="N1628">
            <v>41700</v>
          </cell>
          <cell r="O1628">
            <v>41800</v>
          </cell>
          <cell r="P1628">
            <v>39400</v>
          </cell>
          <cell r="Q1628">
            <v>39600</v>
          </cell>
          <cell r="R1628">
            <v>40000</v>
          </cell>
          <cell r="S1628">
            <v>41500</v>
          </cell>
          <cell r="T1628">
            <v>42800</v>
          </cell>
          <cell r="U1628">
            <v>44000</v>
          </cell>
          <cell r="V1628">
            <v>44500</v>
          </cell>
          <cell r="W1628">
            <v>46800</v>
          </cell>
        </row>
        <row r="1629">
          <cell r="A1629">
            <v>45895</v>
          </cell>
          <cell r="B1629">
            <v>43800</v>
          </cell>
          <cell r="C1629">
            <v>45500</v>
          </cell>
          <cell r="D1629">
            <v>42500</v>
          </cell>
          <cell r="E1629">
            <v>39300</v>
          </cell>
          <cell r="F1629">
            <v>44100</v>
          </cell>
          <cell r="G1629" t="str">
            <v>-</v>
          </cell>
          <cell r="H1629">
            <v>42000</v>
          </cell>
          <cell r="I1629">
            <v>42200</v>
          </cell>
          <cell r="J1629">
            <v>43500</v>
          </cell>
          <cell r="K1629" t="str">
            <v>-</v>
          </cell>
          <cell r="L1629">
            <v>44800</v>
          </cell>
          <cell r="M1629">
            <v>44700</v>
          </cell>
          <cell r="N1629">
            <v>41400</v>
          </cell>
          <cell r="O1629">
            <v>41800</v>
          </cell>
          <cell r="P1629">
            <v>39200</v>
          </cell>
          <cell r="Q1629">
            <v>39400</v>
          </cell>
          <cell r="R1629">
            <v>39800</v>
          </cell>
          <cell r="S1629">
            <v>41400</v>
          </cell>
          <cell r="T1629">
            <v>42700</v>
          </cell>
          <cell r="U1629">
            <v>43500</v>
          </cell>
          <cell r="V1629">
            <v>44500</v>
          </cell>
          <cell r="W1629">
            <v>46800</v>
          </cell>
        </row>
        <row r="1630">
          <cell r="A1630">
            <v>45896</v>
          </cell>
          <cell r="B1630">
            <v>43800</v>
          </cell>
          <cell r="C1630" t="str">
            <v>-</v>
          </cell>
          <cell r="D1630">
            <v>42500</v>
          </cell>
          <cell r="E1630">
            <v>39200</v>
          </cell>
          <cell r="F1630" t="str">
            <v>-</v>
          </cell>
          <cell r="G1630" t="str">
            <v>-</v>
          </cell>
          <cell r="H1630">
            <v>41500</v>
          </cell>
          <cell r="I1630">
            <v>42200</v>
          </cell>
          <cell r="J1630">
            <v>43500</v>
          </cell>
          <cell r="K1630" t="str">
            <v>-</v>
          </cell>
          <cell r="L1630">
            <v>44500</v>
          </cell>
          <cell r="M1630" t="str">
            <v>-</v>
          </cell>
          <cell r="N1630">
            <v>41300</v>
          </cell>
          <cell r="O1630">
            <v>41800</v>
          </cell>
          <cell r="P1630">
            <v>39500</v>
          </cell>
          <cell r="Q1630">
            <v>39500</v>
          </cell>
          <cell r="R1630">
            <v>39800</v>
          </cell>
          <cell r="S1630">
            <v>41300</v>
          </cell>
          <cell r="T1630">
            <v>42500</v>
          </cell>
          <cell r="U1630">
            <v>43500</v>
          </cell>
          <cell r="V1630">
            <v>44500</v>
          </cell>
          <cell r="W1630">
            <v>46800</v>
          </cell>
        </row>
        <row r="1631">
          <cell r="A1631">
            <v>45897</v>
          </cell>
          <cell r="B1631">
            <v>43800</v>
          </cell>
          <cell r="C1631">
            <v>45500</v>
          </cell>
          <cell r="D1631">
            <v>42500</v>
          </cell>
          <cell r="E1631">
            <v>39100</v>
          </cell>
          <cell r="F1631">
            <v>44100</v>
          </cell>
          <cell r="G1631" t="str">
            <v>-</v>
          </cell>
          <cell r="H1631">
            <v>41500</v>
          </cell>
          <cell r="I1631">
            <v>42100</v>
          </cell>
          <cell r="J1631">
            <v>43500</v>
          </cell>
          <cell r="K1631" t="str">
            <v>-</v>
          </cell>
          <cell r="L1631">
            <v>44500</v>
          </cell>
          <cell r="M1631">
            <v>44800</v>
          </cell>
          <cell r="N1631">
            <v>41400</v>
          </cell>
          <cell r="O1631">
            <v>41900</v>
          </cell>
          <cell r="P1631">
            <v>39500</v>
          </cell>
          <cell r="Q1631">
            <v>39500</v>
          </cell>
          <cell r="R1631">
            <v>39800</v>
          </cell>
          <cell r="S1631">
            <v>41200</v>
          </cell>
          <cell r="T1631">
            <v>42700</v>
          </cell>
          <cell r="U1631">
            <v>43500</v>
          </cell>
          <cell r="V1631">
            <v>44500</v>
          </cell>
          <cell r="W1631">
            <v>46800</v>
          </cell>
        </row>
        <row r="1632">
          <cell r="A1632">
            <v>45898</v>
          </cell>
          <cell r="B1632">
            <v>43600</v>
          </cell>
          <cell r="C1632">
            <v>45500</v>
          </cell>
          <cell r="D1632">
            <v>42400</v>
          </cell>
          <cell r="E1632">
            <v>39000</v>
          </cell>
          <cell r="F1632">
            <v>44100</v>
          </cell>
          <cell r="G1632" t="str">
            <v>-</v>
          </cell>
          <cell r="H1632">
            <v>41500</v>
          </cell>
          <cell r="I1632">
            <v>42000</v>
          </cell>
          <cell r="J1632">
            <v>43300</v>
          </cell>
          <cell r="K1632" t="str">
            <v>-</v>
          </cell>
          <cell r="L1632">
            <v>44400</v>
          </cell>
          <cell r="M1632">
            <v>44800</v>
          </cell>
          <cell r="N1632">
            <v>41200</v>
          </cell>
          <cell r="O1632">
            <v>41800</v>
          </cell>
          <cell r="P1632">
            <v>39300</v>
          </cell>
          <cell r="Q1632">
            <v>39500</v>
          </cell>
          <cell r="R1632">
            <v>39700</v>
          </cell>
          <cell r="S1632">
            <v>41100</v>
          </cell>
          <cell r="T1632">
            <v>42700</v>
          </cell>
          <cell r="U1632">
            <v>43500</v>
          </cell>
          <cell r="V1632">
            <v>44500</v>
          </cell>
          <cell r="W1632">
            <v>46800</v>
          </cell>
        </row>
        <row r="1633">
          <cell r="A1633">
            <v>45899</v>
          </cell>
          <cell r="B1633">
            <v>43600</v>
          </cell>
          <cell r="C1633">
            <v>45500</v>
          </cell>
          <cell r="D1633">
            <v>42100</v>
          </cell>
          <cell r="E1633">
            <v>39000</v>
          </cell>
          <cell r="F1633">
            <v>44100</v>
          </cell>
          <cell r="G1633" t="str">
            <v>-</v>
          </cell>
          <cell r="H1633">
            <v>41500</v>
          </cell>
          <cell r="I1633">
            <v>41900</v>
          </cell>
          <cell r="J1633">
            <v>43300</v>
          </cell>
          <cell r="K1633" t="str">
            <v>-</v>
          </cell>
          <cell r="L1633">
            <v>44300</v>
          </cell>
          <cell r="M1633">
            <v>44800</v>
          </cell>
          <cell r="N1633">
            <v>41000</v>
          </cell>
          <cell r="O1633">
            <v>41800</v>
          </cell>
          <cell r="P1633">
            <v>39200</v>
          </cell>
          <cell r="Q1633">
            <v>39500</v>
          </cell>
          <cell r="R1633">
            <v>39700</v>
          </cell>
          <cell r="S1633">
            <v>41100</v>
          </cell>
          <cell r="T1633">
            <v>42700</v>
          </cell>
          <cell r="U1633">
            <v>43500</v>
          </cell>
          <cell r="V1633">
            <v>44500</v>
          </cell>
          <cell r="W1633">
            <v>46800</v>
          </cell>
        </row>
        <row r="1634">
          <cell r="A1634">
            <v>45900</v>
          </cell>
          <cell r="B1634" t="str">
            <v>H</v>
          </cell>
          <cell r="C1634" t="str">
            <v>H</v>
          </cell>
          <cell r="D1634" t="str">
            <v>H</v>
          </cell>
          <cell r="E1634" t="str">
            <v>H</v>
          </cell>
          <cell r="F1634" t="str">
            <v>H</v>
          </cell>
          <cell r="G1634" t="str">
            <v>H</v>
          </cell>
          <cell r="H1634" t="str">
            <v>H</v>
          </cell>
          <cell r="I1634" t="str">
            <v>H</v>
          </cell>
          <cell r="J1634" t="str">
            <v>H</v>
          </cell>
          <cell r="K1634" t="str">
            <v>H</v>
          </cell>
          <cell r="L1634" t="str">
            <v>H</v>
          </cell>
          <cell r="M1634" t="str">
            <v>H</v>
          </cell>
          <cell r="N1634" t="str">
            <v>H</v>
          </cell>
          <cell r="O1634" t="str">
            <v>H</v>
          </cell>
          <cell r="P1634" t="str">
            <v>H</v>
          </cell>
          <cell r="Q1634" t="str">
            <v>H</v>
          </cell>
          <cell r="R1634" t="str">
            <v>H</v>
          </cell>
          <cell r="S1634" t="str">
            <v>H</v>
          </cell>
          <cell r="T1634" t="str">
            <v>H</v>
          </cell>
          <cell r="U1634" t="str">
            <v>H</v>
          </cell>
          <cell r="V1634" t="str">
            <v>H</v>
          </cell>
          <cell r="W1634" t="str">
            <v>H</v>
          </cell>
        </row>
        <row r="1635">
          <cell r="A1635">
            <v>45901</v>
          </cell>
          <cell r="B1635">
            <v>43500</v>
          </cell>
          <cell r="C1635">
            <v>45500</v>
          </cell>
          <cell r="D1635">
            <v>42100</v>
          </cell>
          <cell r="E1635">
            <v>38900</v>
          </cell>
          <cell r="F1635">
            <v>44100</v>
          </cell>
          <cell r="G1635" t="str">
            <v>-</v>
          </cell>
          <cell r="H1635">
            <v>41500</v>
          </cell>
          <cell r="I1635">
            <v>41800</v>
          </cell>
          <cell r="J1635">
            <v>43300</v>
          </cell>
          <cell r="K1635" t="str">
            <v>-</v>
          </cell>
          <cell r="L1635">
            <v>44100</v>
          </cell>
          <cell r="M1635">
            <v>44800</v>
          </cell>
          <cell r="N1635">
            <v>40700</v>
          </cell>
          <cell r="O1635">
            <v>41800</v>
          </cell>
          <cell r="P1635">
            <v>39300</v>
          </cell>
          <cell r="Q1635">
            <v>39600</v>
          </cell>
          <cell r="R1635">
            <v>39700</v>
          </cell>
          <cell r="S1635">
            <v>41000</v>
          </cell>
          <cell r="T1635">
            <v>42700</v>
          </cell>
          <cell r="U1635">
            <v>43500</v>
          </cell>
          <cell r="V1635">
            <v>44500</v>
          </cell>
          <cell r="W1635">
            <v>46800</v>
          </cell>
        </row>
        <row r="1636">
          <cell r="A1636">
            <v>45902</v>
          </cell>
          <cell r="B1636">
            <v>43400</v>
          </cell>
          <cell r="C1636">
            <v>45500</v>
          </cell>
          <cell r="D1636">
            <v>41900</v>
          </cell>
          <cell r="E1636">
            <v>38800</v>
          </cell>
          <cell r="F1636">
            <v>43600</v>
          </cell>
          <cell r="G1636" t="str">
            <v>-</v>
          </cell>
          <cell r="H1636">
            <v>41500</v>
          </cell>
          <cell r="I1636">
            <v>41500</v>
          </cell>
          <cell r="J1636">
            <v>43300</v>
          </cell>
          <cell r="K1636" t="str">
            <v>-</v>
          </cell>
          <cell r="L1636">
            <v>43900</v>
          </cell>
          <cell r="M1636">
            <v>44800</v>
          </cell>
          <cell r="N1636">
            <v>40700</v>
          </cell>
          <cell r="O1636">
            <v>41700</v>
          </cell>
          <cell r="P1636">
            <v>39000</v>
          </cell>
          <cell r="Q1636">
            <v>39400</v>
          </cell>
          <cell r="R1636">
            <v>39700</v>
          </cell>
          <cell r="S1636">
            <v>40900</v>
          </cell>
          <cell r="T1636">
            <v>42700</v>
          </cell>
          <cell r="U1636">
            <v>43500</v>
          </cell>
          <cell r="V1636">
            <v>44300</v>
          </cell>
          <cell r="W1636">
            <v>46800</v>
          </cell>
        </row>
        <row r="1637">
          <cell r="A1637">
            <v>45903</v>
          </cell>
          <cell r="B1637">
            <v>43200</v>
          </cell>
          <cell r="C1637">
            <v>45300</v>
          </cell>
          <cell r="D1637">
            <v>41500</v>
          </cell>
          <cell r="E1637">
            <v>38700</v>
          </cell>
          <cell r="F1637">
            <v>43600</v>
          </cell>
          <cell r="G1637" t="str">
            <v>-</v>
          </cell>
          <cell r="H1637">
            <v>41000</v>
          </cell>
          <cell r="I1637">
            <v>41300</v>
          </cell>
          <cell r="J1637">
            <v>43300</v>
          </cell>
          <cell r="K1637" t="str">
            <v>-</v>
          </cell>
          <cell r="L1637">
            <v>43700</v>
          </cell>
          <cell r="M1637">
            <v>44500</v>
          </cell>
          <cell r="N1637">
            <v>40600</v>
          </cell>
          <cell r="O1637">
            <v>41700</v>
          </cell>
          <cell r="P1637">
            <v>39000</v>
          </cell>
          <cell r="Q1637">
            <v>39300</v>
          </cell>
          <cell r="R1637">
            <v>39500</v>
          </cell>
          <cell r="S1637">
            <v>40800</v>
          </cell>
          <cell r="T1637">
            <v>42300</v>
          </cell>
          <cell r="U1637">
            <v>43500</v>
          </cell>
          <cell r="V1637">
            <v>44300</v>
          </cell>
          <cell r="W1637">
            <v>46800</v>
          </cell>
        </row>
        <row r="1638">
          <cell r="A1638">
            <v>45904</v>
          </cell>
          <cell r="B1638">
            <v>43400</v>
          </cell>
          <cell r="C1638">
            <v>45500</v>
          </cell>
          <cell r="D1638">
            <v>41500</v>
          </cell>
          <cell r="E1638">
            <v>39100</v>
          </cell>
          <cell r="F1638">
            <v>43900</v>
          </cell>
          <cell r="G1638" t="str">
            <v>-</v>
          </cell>
          <cell r="H1638">
            <v>41500</v>
          </cell>
          <cell r="I1638">
            <v>41600</v>
          </cell>
          <cell r="J1638">
            <v>43600</v>
          </cell>
          <cell r="K1638" t="str">
            <v>-</v>
          </cell>
          <cell r="L1638">
            <v>43800</v>
          </cell>
          <cell r="M1638">
            <v>44500</v>
          </cell>
          <cell r="N1638">
            <v>40600</v>
          </cell>
          <cell r="O1638">
            <v>41900</v>
          </cell>
          <cell r="P1638">
            <v>39300</v>
          </cell>
          <cell r="Q1638">
            <v>39400</v>
          </cell>
          <cell r="R1638">
            <v>39700</v>
          </cell>
          <cell r="S1638">
            <v>41200</v>
          </cell>
          <cell r="T1638">
            <v>42500</v>
          </cell>
          <cell r="U1638">
            <v>43500</v>
          </cell>
          <cell r="V1638">
            <v>44300</v>
          </cell>
          <cell r="W1638">
            <v>46800</v>
          </cell>
        </row>
        <row r="1639">
          <cell r="A1639">
            <v>45905</v>
          </cell>
          <cell r="B1639">
            <v>43500</v>
          </cell>
          <cell r="C1639">
            <v>45500</v>
          </cell>
          <cell r="D1639">
            <v>42000</v>
          </cell>
          <cell r="E1639">
            <v>39100</v>
          </cell>
          <cell r="F1639">
            <v>44000</v>
          </cell>
          <cell r="G1639" t="str">
            <v>-</v>
          </cell>
          <cell r="H1639">
            <v>41500</v>
          </cell>
          <cell r="I1639">
            <v>42000</v>
          </cell>
          <cell r="J1639">
            <v>43900</v>
          </cell>
          <cell r="K1639" t="str">
            <v>-</v>
          </cell>
          <cell r="L1639">
            <v>43600</v>
          </cell>
          <cell r="M1639">
            <v>44500</v>
          </cell>
          <cell r="N1639">
            <v>41000</v>
          </cell>
          <cell r="O1639">
            <v>41900</v>
          </cell>
          <cell r="P1639">
            <v>39400</v>
          </cell>
          <cell r="Q1639">
            <v>39500</v>
          </cell>
          <cell r="R1639">
            <v>39700</v>
          </cell>
          <cell r="S1639">
            <v>41200</v>
          </cell>
          <cell r="T1639">
            <v>42500</v>
          </cell>
          <cell r="U1639">
            <v>43500</v>
          </cell>
          <cell r="V1639">
            <v>44500</v>
          </cell>
          <cell r="W1639">
            <v>46800</v>
          </cell>
        </row>
        <row r="1640">
          <cell r="A1640">
            <v>45906</v>
          </cell>
          <cell r="B1640">
            <v>43500</v>
          </cell>
          <cell r="C1640">
            <v>45500</v>
          </cell>
          <cell r="D1640">
            <v>42000</v>
          </cell>
          <cell r="E1640">
            <v>39300</v>
          </cell>
          <cell r="F1640">
            <v>44000</v>
          </cell>
          <cell r="G1640" t="str">
            <v>-</v>
          </cell>
          <cell r="H1640">
            <v>41500</v>
          </cell>
          <cell r="I1640">
            <v>42200</v>
          </cell>
          <cell r="J1640">
            <v>43900</v>
          </cell>
          <cell r="K1640" t="str">
            <v>-</v>
          </cell>
          <cell r="L1640">
            <v>44000</v>
          </cell>
          <cell r="M1640">
            <v>44500</v>
          </cell>
          <cell r="N1640">
            <v>41800</v>
          </cell>
          <cell r="O1640">
            <v>42300</v>
          </cell>
          <cell r="P1640">
            <v>39800</v>
          </cell>
          <cell r="Q1640">
            <v>39700</v>
          </cell>
          <cell r="R1640">
            <v>39700</v>
          </cell>
          <cell r="S1640">
            <v>41500</v>
          </cell>
          <cell r="T1640">
            <v>42700</v>
          </cell>
          <cell r="U1640">
            <v>43500</v>
          </cell>
          <cell r="V1640">
            <v>44500</v>
          </cell>
          <cell r="W1640">
            <v>46800</v>
          </cell>
        </row>
        <row r="1641">
          <cell r="A1641">
            <v>45907</v>
          </cell>
          <cell r="B1641" t="str">
            <v>H</v>
          </cell>
          <cell r="C1641" t="str">
            <v>H</v>
          </cell>
          <cell r="D1641" t="str">
            <v>H</v>
          </cell>
          <cell r="E1641" t="str">
            <v>H</v>
          </cell>
          <cell r="F1641" t="str">
            <v>H</v>
          </cell>
          <cell r="G1641" t="str">
            <v>H</v>
          </cell>
          <cell r="H1641" t="str">
            <v>H</v>
          </cell>
          <cell r="I1641" t="str">
            <v>H</v>
          </cell>
          <cell r="J1641" t="str">
            <v>H</v>
          </cell>
          <cell r="K1641" t="str">
            <v>H</v>
          </cell>
          <cell r="L1641" t="str">
            <v>H</v>
          </cell>
          <cell r="M1641" t="str">
            <v>H</v>
          </cell>
          <cell r="N1641" t="str">
            <v>H</v>
          </cell>
          <cell r="O1641" t="str">
            <v>H</v>
          </cell>
          <cell r="P1641" t="str">
            <v>H</v>
          </cell>
          <cell r="Q1641" t="str">
            <v>H</v>
          </cell>
          <cell r="R1641" t="str">
            <v>H</v>
          </cell>
          <cell r="S1641" t="str">
            <v>H</v>
          </cell>
          <cell r="T1641" t="str">
            <v>H</v>
          </cell>
          <cell r="U1641" t="str">
            <v>H</v>
          </cell>
          <cell r="V1641" t="str">
            <v>H</v>
          </cell>
          <cell r="W1641" t="str">
            <v>H</v>
          </cell>
        </row>
        <row r="1642">
          <cell r="A1642">
            <v>45908</v>
          </cell>
          <cell r="B1642">
            <v>43800</v>
          </cell>
          <cell r="C1642">
            <v>45500</v>
          </cell>
          <cell r="D1642">
            <v>42800</v>
          </cell>
          <cell r="E1642">
            <v>39550</v>
          </cell>
          <cell r="F1642">
            <v>44500</v>
          </cell>
          <cell r="G1642" t="str">
            <v>-</v>
          </cell>
          <cell r="H1642">
            <v>42500</v>
          </cell>
          <cell r="I1642">
            <v>42700</v>
          </cell>
          <cell r="J1642">
            <v>44200</v>
          </cell>
          <cell r="K1642" t="str">
            <v>-</v>
          </cell>
          <cell r="L1642">
            <v>44200</v>
          </cell>
          <cell r="M1642">
            <v>44300</v>
          </cell>
          <cell r="N1642">
            <v>42000</v>
          </cell>
          <cell r="O1642">
            <v>42900</v>
          </cell>
          <cell r="P1642">
            <v>40300</v>
          </cell>
          <cell r="Q1642">
            <v>40000</v>
          </cell>
          <cell r="R1642">
            <v>39900</v>
          </cell>
          <cell r="S1642">
            <v>41800</v>
          </cell>
          <cell r="T1642">
            <v>42800</v>
          </cell>
          <cell r="U1642">
            <v>44000</v>
          </cell>
          <cell r="V1642">
            <v>44800</v>
          </cell>
          <cell r="W1642">
            <v>47200</v>
          </cell>
        </row>
        <row r="1643">
          <cell r="A1643">
            <v>45909</v>
          </cell>
          <cell r="B1643">
            <v>43800</v>
          </cell>
          <cell r="C1643">
            <v>45000</v>
          </cell>
          <cell r="D1643">
            <v>43500</v>
          </cell>
          <cell r="E1643">
            <v>39450</v>
          </cell>
          <cell r="F1643">
            <v>45100</v>
          </cell>
          <cell r="G1643" t="str">
            <v>-</v>
          </cell>
          <cell r="H1643">
            <v>42500</v>
          </cell>
          <cell r="I1643">
            <v>42400</v>
          </cell>
          <cell r="J1643">
            <v>44500</v>
          </cell>
          <cell r="K1643" t="str">
            <v>-</v>
          </cell>
          <cell r="L1643">
            <v>44400</v>
          </cell>
          <cell r="M1643">
            <v>44300</v>
          </cell>
          <cell r="N1643">
            <v>42800</v>
          </cell>
          <cell r="O1643">
            <v>43500</v>
          </cell>
          <cell r="P1643">
            <v>40300</v>
          </cell>
          <cell r="Q1643">
            <v>40200</v>
          </cell>
          <cell r="R1643">
            <v>40100</v>
          </cell>
          <cell r="S1643">
            <v>41700</v>
          </cell>
          <cell r="T1643">
            <v>43200</v>
          </cell>
          <cell r="U1643">
            <v>44000</v>
          </cell>
          <cell r="V1643">
            <v>44800</v>
          </cell>
          <cell r="W1643">
            <v>47200</v>
          </cell>
        </row>
        <row r="1644">
          <cell r="A1644">
            <v>45910</v>
          </cell>
          <cell r="B1644">
            <v>43800</v>
          </cell>
          <cell r="C1644">
            <v>45000</v>
          </cell>
          <cell r="D1644">
            <v>43200</v>
          </cell>
          <cell r="E1644">
            <v>39300</v>
          </cell>
          <cell r="F1644">
            <v>45100</v>
          </cell>
          <cell r="G1644" t="str">
            <v>-</v>
          </cell>
          <cell r="H1644">
            <v>42500</v>
          </cell>
          <cell r="I1644">
            <v>42200</v>
          </cell>
          <cell r="J1644">
            <v>44500</v>
          </cell>
          <cell r="K1644" t="str">
            <v>-</v>
          </cell>
          <cell r="L1644">
            <v>44400</v>
          </cell>
          <cell r="M1644">
            <v>44300</v>
          </cell>
          <cell r="N1644">
            <v>42200</v>
          </cell>
          <cell r="O1644">
            <v>43500</v>
          </cell>
          <cell r="P1644">
            <v>39800</v>
          </cell>
          <cell r="Q1644">
            <v>39900</v>
          </cell>
          <cell r="R1644">
            <v>40100</v>
          </cell>
          <cell r="S1644">
            <v>41500</v>
          </cell>
          <cell r="T1644">
            <v>43100</v>
          </cell>
          <cell r="U1644">
            <v>44000</v>
          </cell>
          <cell r="V1644">
            <v>44800</v>
          </cell>
          <cell r="W1644">
            <v>47200</v>
          </cell>
        </row>
        <row r="1645">
          <cell r="A1645">
            <v>45911</v>
          </cell>
          <cell r="B1645">
            <v>43600</v>
          </cell>
          <cell r="C1645">
            <v>44800</v>
          </cell>
          <cell r="D1645">
            <v>42800</v>
          </cell>
          <cell r="E1645">
            <v>39200</v>
          </cell>
          <cell r="F1645">
            <v>45100</v>
          </cell>
          <cell r="G1645" t="str">
            <v>-</v>
          </cell>
          <cell r="H1645">
            <v>41500</v>
          </cell>
          <cell r="I1645">
            <v>42000</v>
          </cell>
          <cell r="J1645">
            <v>44000</v>
          </cell>
          <cell r="K1645" t="str">
            <v>-</v>
          </cell>
          <cell r="L1645">
            <v>44200</v>
          </cell>
          <cell r="M1645">
            <v>44100</v>
          </cell>
          <cell r="N1645">
            <v>41900</v>
          </cell>
          <cell r="O1645">
            <v>43300</v>
          </cell>
          <cell r="P1645">
            <v>39600</v>
          </cell>
          <cell r="Q1645">
            <v>39700</v>
          </cell>
          <cell r="R1645">
            <v>39900</v>
          </cell>
          <cell r="S1645">
            <v>41300</v>
          </cell>
          <cell r="T1645">
            <v>43000</v>
          </cell>
          <cell r="U1645">
            <v>43500</v>
          </cell>
          <cell r="V1645">
            <v>44800</v>
          </cell>
          <cell r="W1645">
            <v>47200</v>
          </cell>
        </row>
        <row r="1646">
          <cell r="A1646">
            <v>45912</v>
          </cell>
          <cell r="B1646">
            <v>43500</v>
          </cell>
          <cell r="C1646">
            <v>44700</v>
          </cell>
          <cell r="D1646">
            <v>42500</v>
          </cell>
          <cell r="E1646">
            <v>39200</v>
          </cell>
          <cell r="F1646">
            <v>45100</v>
          </cell>
          <cell r="G1646" t="str">
            <v>-</v>
          </cell>
          <cell r="H1646">
            <v>41500</v>
          </cell>
          <cell r="I1646">
            <v>42000</v>
          </cell>
          <cell r="J1646">
            <v>44000</v>
          </cell>
          <cell r="K1646" t="str">
            <v>-</v>
          </cell>
          <cell r="L1646">
            <v>44100</v>
          </cell>
          <cell r="M1646">
            <v>44100</v>
          </cell>
          <cell r="N1646">
            <v>41800</v>
          </cell>
          <cell r="O1646">
            <v>43300</v>
          </cell>
          <cell r="P1646">
            <v>39600</v>
          </cell>
          <cell r="Q1646">
            <v>39700</v>
          </cell>
          <cell r="R1646">
            <v>39900</v>
          </cell>
          <cell r="S1646">
            <v>41300</v>
          </cell>
          <cell r="T1646">
            <v>43000</v>
          </cell>
          <cell r="U1646">
            <v>43500</v>
          </cell>
          <cell r="V1646">
            <v>44800</v>
          </cell>
          <cell r="W1646">
            <v>47200</v>
          </cell>
        </row>
        <row r="1647">
          <cell r="A1647">
            <v>45913</v>
          </cell>
          <cell r="B1647">
            <v>43500</v>
          </cell>
          <cell r="C1647">
            <v>44500</v>
          </cell>
          <cell r="D1647">
            <v>42400</v>
          </cell>
          <cell r="E1647">
            <v>39200</v>
          </cell>
          <cell r="F1647">
            <v>44800</v>
          </cell>
          <cell r="G1647" t="str">
            <v>-</v>
          </cell>
          <cell r="H1647">
            <v>41500</v>
          </cell>
          <cell r="I1647">
            <v>42200</v>
          </cell>
          <cell r="J1647">
            <v>44000</v>
          </cell>
          <cell r="K1647" t="str">
            <v>-</v>
          </cell>
          <cell r="L1647">
            <v>44100</v>
          </cell>
          <cell r="M1647">
            <v>44100</v>
          </cell>
          <cell r="N1647">
            <v>41800</v>
          </cell>
          <cell r="O1647">
            <v>43500</v>
          </cell>
          <cell r="P1647">
            <v>39700</v>
          </cell>
          <cell r="Q1647">
            <v>39700</v>
          </cell>
          <cell r="R1647">
            <v>39900</v>
          </cell>
          <cell r="S1647">
            <v>41300</v>
          </cell>
          <cell r="T1647">
            <v>43000</v>
          </cell>
          <cell r="U1647">
            <v>43500</v>
          </cell>
          <cell r="V1647">
            <v>44800</v>
          </cell>
          <cell r="W1647">
            <v>47200</v>
          </cell>
        </row>
        <row r="1648">
          <cell r="A1648">
            <v>45914</v>
          </cell>
          <cell r="B1648" t="str">
            <v>H</v>
          </cell>
          <cell r="C1648" t="str">
            <v>H</v>
          </cell>
          <cell r="D1648" t="str">
            <v>H</v>
          </cell>
          <cell r="E1648" t="str">
            <v>H</v>
          </cell>
          <cell r="F1648" t="str">
            <v>H</v>
          </cell>
          <cell r="G1648" t="str">
            <v>H</v>
          </cell>
          <cell r="H1648" t="str">
            <v>H</v>
          </cell>
          <cell r="I1648" t="str">
            <v>H</v>
          </cell>
          <cell r="J1648" t="str">
            <v>H</v>
          </cell>
          <cell r="K1648" t="str">
            <v>H</v>
          </cell>
          <cell r="L1648" t="str">
            <v>H</v>
          </cell>
          <cell r="M1648" t="str">
            <v>H</v>
          </cell>
          <cell r="N1648" t="str">
            <v>H</v>
          </cell>
          <cell r="O1648" t="str">
            <v>H</v>
          </cell>
          <cell r="P1648" t="str">
            <v>H</v>
          </cell>
          <cell r="Q1648" t="str">
            <v>H</v>
          </cell>
          <cell r="R1648" t="str">
            <v>H</v>
          </cell>
          <cell r="S1648" t="str">
            <v>H</v>
          </cell>
          <cell r="T1648" t="str">
            <v>H</v>
          </cell>
          <cell r="U1648" t="str">
            <v>H</v>
          </cell>
          <cell r="V1648" t="str">
            <v>H</v>
          </cell>
          <cell r="W1648" t="str">
            <v>H</v>
          </cell>
        </row>
        <row r="1649">
          <cell r="A1649">
            <v>45915</v>
          </cell>
          <cell r="B1649">
            <v>43500</v>
          </cell>
          <cell r="C1649">
            <v>44500</v>
          </cell>
          <cell r="D1649">
            <v>42400</v>
          </cell>
          <cell r="E1649">
            <v>38900</v>
          </cell>
          <cell r="F1649">
            <v>44500</v>
          </cell>
          <cell r="G1649" t="str">
            <v>-</v>
          </cell>
          <cell r="H1649">
            <v>41500</v>
          </cell>
          <cell r="I1649">
            <v>42200</v>
          </cell>
          <cell r="J1649">
            <v>43800</v>
          </cell>
          <cell r="K1649" t="str">
            <v>-</v>
          </cell>
          <cell r="L1649">
            <v>44100</v>
          </cell>
          <cell r="M1649">
            <v>44300</v>
          </cell>
          <cell r="N1649">
            <v>41600</v>
          </cell>
          <cell r="O1649">
            <v>43500</v>
          </cell>
          <cell r="P1649">
            <v>39400</v>
          </cell>
          <cell r="Q1649">
            <v>39600</v>
          </cell>
          <cell r="R1649">
            <v>39700</v>
          </cell>
          <cell r="S1649">
            <v>41000</v>
          </cell>
          <cell r="T1649">
            <v>42900</v>
          </cell>
          <cell r="U1649">
            <v>43500</v>
          </cell>
          <cell r="V1649">
            <v>44800</v>
          </cell>
          <cell r="W1649">
            <v>47200</v>
          </cell>
        </row>
        <row r="1650">
          <cell r="A1650">
            <v>45916</v>
          </cell>
          <cell r="B1650">
            <v>43300</v>
          </cell>
          <cell r="C1650">
            <v>44500</v>
          </cell>
          <cell r="D1650">
            <v>42200</v>
          </cell>
          <cell r="E1650">
            <v>38800</v>
          </cell>
          <cell r="F1650">
            <v>44000</v>
          </cell>
          <cell r="G1650" t="str">
            <v>-</v>
          </cell>
          <cell r="H1650">
            <v>41500</v>
          </cell>
          <cell r="I1650">
            <v>42000</v>
          </cell>
          <cell r="J1650">
            <v>43800</v>
          </cell>
          <cell r="K1650" t="str">
            <v>-</v>
          </cell>
          <cell r="L1650">
            <v>44000</v>
          </cell>
          <cell r="M1650">
            <v>44400</v>
          </cell>
          <cell r="N1650">
            <v>41100</v>
          </cell>
          <cell r="O1650">
            <v>43300</v>
          </cell>
          <cell r="P1650">
            <v>39100</v>
          </cell>
          <cell r="Q1650">
            <v>39400</v>
          </cell>
          <cell r="R1650">
            <v>39400</v>
          </cell>
          <cell r="S1650">
            <v>40900</v>
          </cell>
          <cell r="T1650">
            <v>42700</v>
          </cell>
          <cell r="U1650">
            <v>43000</v>
          </cell>
          <cell r="V1650">
            <v>44500</v>
          </cell>
          <cell r="W1650">
            <v>47200</v>
          </cell>
        </row>
        <row r="1651">
          <cell r="A1651">
            <v>45917</v>
          </cell>
          <cell r="B1651">
            <v>43200</v>
          </cell>
          <cell r="C1651">
            <v>44500</v>
          </cell>
          <cell r="D1651">
            <v>41900</v>
          </cell>
          <cell r="E1651">
            <v>38700</v>
          </cell>
          <cell r="F1651">
            <v>44000</v>
          </cell>
          <cell r="G1651" t="str">
            <v>-</v>
          </cell>
          <cell r="H1651">
            <v>41500</v>
          </cell>
          <cell r="I1651">
            <v>42000</v>
          </cell>
          <cell r="J1651">
            <v>43700</v>
          </cell>
          <cell r="K1651" t="str">
            <v>-</v>
          </cell>
          <cell r="L1651">
            <v>43700</v>
          </cell>
          <cell r="M1651">
            <v>44400</v>
          </cell>
          <cell r="N1651">
            <v>41000</v>
          </cell>
          <cell r="O1651">
            <v>43300</v>
          </cell>
          <cell r="P1651">
            <v>39100</v>
          </cell>
          <cell r="Q1651">
            <v>39400</v>
          </cell>
          <cell r="R1651">
            <v>39400</v>
          </cell>
          <cell r="S1651">
            <v>40800</v>
          </cell>
          <cell r="T1651">
            <v>42700</v>
          </cell>
          <cell r="U1651">
            <v>43000</v>
          </cell>
          <cell r="V1651">
            <v>44500</v>
          </cell>
          <cell r="W1651">
            <v>47200</v>
          </cell>
        </row>
        <row r="1652">
          <cell r="A1652">
            <v>45918</v>
          </cell>
          <cell r="B1652">
            <v>43300</v>
          </cell>
          <cell r="C1652">
            <v>44500</v>
          </cell>
          <cell r="D1652">
            <v>41900</v>
          </cell>
          <cell r="E1652">
            <v>38900</v>
          </cell>
          <cell r="F1652">
            <v>44200</v>
          </cell>
          <cell r="G1652" t="str">
            <v>-</v>
          </cell>
          <cell r="H1652">
            <v>41500</v>
          </cell>
          <cell r="I1652">
            <v>42200</v>
          </cell>
          <cell r="J1652">
            <v>43700</v>
          </cell>
          <cell r="K1652" t="str">
            <v>-</v>
          </cell>
          <cell r="L1652">
            <v>43800</v>
          </cell>
          <cell r="M1652">
            <v>44400</v>
          </cell>
          <cell r="N1652">
            <v>41000</v>
          </cell>
          <cell r="O1652">
            <v>43600</v>
          </cell>
          <cell r="P1652">
            <v>39500</v>
          </cell>
          <cell r="Q1652">
            <v>39800</v>
          </cell>
          <cell r="R1652">
            <v>39400</v>
          </cell>
          <cell r="S1652">
            <v>41000</v>
          </cell>
          <cell r="T1652">
            <v>43000</v>
          </cell>
          <cell r="U1652">
            <v>43000</v>
          </cell>
          <cell r="V1652">
            <v>44500</v>
          </cell>
          <cell r="W1652">
            <v>47200</v>
          </cell>
        </row>
        <row r="1653">
          <cell r="A1653">
            <v>45919</v>
          </cell>
          <cell r="B1653">
            <v>43500</v>
          </cell>
          <cell r="C1653">
            <v>44500</v>
          </cell>
          <cell r="D1653">
            <v>42200</v>
          </cell>
          <cell r="E1653">
            <v>38900</v>
          </cell>
          <cell r="F1653">
            <v>44200</v>
          </cell>
          <cell r="G1653" t="str">
            <v>-</v>
          </cell>
          <cell r="H1653">
            <v>41500</v>
          </cell>
          <cell r="I1653">
            <v>42250</v>
          </cell>
          <cell r="J1653">
            <v>44000</v>
          </cell>
          <cell r="K1653" t="str">
            <v>-</v>
          </cell>
          <cell r="L1653">
            <v>44000</v>
          </cell>
          <cell r="M1653">
            <v>44400</v>
          </cell>
          <cell r="N1653">
            <v>41200</v>
          </cell>
          <cell r="O1653">
            <v>43900</v>
          </cell>
          <cell r="P1653">
            <v>39300</v>
          </cell>
          <cell r="Q1653">
            <v>39600</v>
          </cell>
          <cell r="R1653">
            <v>39500</v>
          </cell>
          <cell r="S1653">
            <v>41000</v>
          </cell>
          <cell r="T1653">
            <v>43000</v>
          </cell>
          <cell r="U1653">
            <v>43500</v>
          </cell>
          <cell r="V1653">
            <v>44500</v>
          </cell>
          <cell r="W1653">
            <v>47200</v>
          </cell>
        </row>
        <row r="1654">
          <cell r="A1654">
            <v>45920</v>
          </cell>
          <cell r="B1654">
            <v>43500</v>
          </cell>
          <cell r="C1654">
            <v>44500</v>
          </cell>
          <cell r="D1654">
            <v>42200</v>
          </cell>
          <cell r="E1654">
            <v>38900</v>
          </cell>
          <cell r="F1654">
            <v>44200</v>
          </cell>
          <cell r="G1654" t="str">
            <v>-</v>
          </cell>
          <cell r="H1654">
            <v>41500</v>
          </cell>
          <cell r="I1654">
            <v>42100</v>
          </cell>
          <cell r="J1654">
            <v>44000</v>
          </cell>
          <cell r="K1654" t="str">
            <v>-</v>
          </cell>
          <cell r="L1654">
            <v>44100</v>
          </cell>
          <cell r="M1654">
            <v>44400</v>
          </cell>
          <cell r="N1654">
            <v>41100</v>
          </cell>
          <cell r="O1654">
            <v>44000</v>
          </cell>
          <cell r="P1654">
            <v>39300</v>
          </cell>
          <cell r="Q1654">
            <v>39600</v>
          </cell>
          <cell r="R1654">
            <v>39500</v>
          </cell>
          <cell r="S1654">
            <v>41000</v>
          </cell>
          <cell r="T1654">
            <v>43000</v>
          </cell>
          <cell r="U1654">
            <v>43500</v>
          </cell>
          <cell r="V1654">
            <v>44500</v>
          </cell>
          <cell r="W1654">
            <v>47200</v>
          </cell>
        </row>
        <row r="1655">
          <cell r="A1655">
            <v>45921</v>
          </cell>
          <cell r="B1655" t="str">
            <v>H</v>
          </cell>
          <cell r="C1655" t="str">
            <v>H</v>
          </cell>
          <cell r="D1655" t="str">
            <v>H</v>
          </cell>
          <cell r="E1655" t="str">
            <v>H</v>
          </cell>
          <cell r="F1655" t="str">
            <v>H</v>
          </cell>
          <cell r="G1655" t="str">
            <v>H</v>
          </cell>
          <cell r="H1655" t="str">
            <v>H</v>
          </cell>
          <cell r="I1655" t="str">
            <v>H</v>
          </cell>
          <cell r="J1655" t="str">
            <v>H</v>
          </cell>
          <cell r="K1655" t="str">
            <v>H</v>
          </cell>
          <cell r="L1655" t="str">
            <v>H</v>
          </cell>
          <cell r="M1655" t="str">
            <v>H</v>
          </cell>
          <cell r="N1655" t="str">
            <v>H</v>
          </cell>
          <cell r="O1655" t="str">
            <v>H</v>
          </cell>
          <cell r="P1655" t="str">
            <v>H</v>
          </cell>
          <cell r="Q1655" t="str">
            <v>H</v>
          </cell>
          <cell r="R1655" t="str">
            <v>H</v>
          </cell>
          <cell r="S1655" t="str">
            <v>H</v>
          </cell>
          <cell r="T1655" t="str">
            <v>H</v>
          </cell>
          <cell r="U1655" t="str">
            <v>H</v>
          </cell>
          <cell r="V1655" t="str">
            <v>H</v>
          </cell>
          <cell r="W1655" t="str">
            <v>H</v>
          </cell>
        </row>
        <row r="1656">
          <cell r="A1656">
            <v>45922</v>
          </cell>
          <cell r="B1656">
            <v>43300</v>
          </cell>
          <cell r="C1656">
            <v>44500</v>
          </cell>
          <cell r="D1656">
            <v>42500</v>
          </cell>
          <cell r="E1656">
            <v>39000</v>
          </cell>
          <cell r="F1656">
            <v>44200</v>
          </cell>
          <cell r="G1656" t="str">
            <v>-</v>
          </cell>
          <cell r="H1656">
            <v>41500</v>
          </cell>
          <cell r="I1656">
            <v>42300</v>
          </cell>
          <cell r="J1656">
            <v>44000</v>
          </cell>
          <cell r="K1656" t="str">
            <v>-</v>
          </cell>
          <cell r="L1656">
            <v>44200</v>
          </cell>
          <cell r="M1656">
            <v>44000</v>
          </cell>
          <cell r="N1656">
            <v>41000</v>
          </cell>
          <cell r="O1656">
            <v>44000</v>
          </cell>
          <cell r="P1656">
            <v>39300</v>
          </cell>
          <cell r="Q1656">
            <v>39600</v>
          </cell>
          <cell r="R1656">
            <v>39500</v>
          </cell>
          <cell r="S1656">
            <v>41100</v>
          </cell>
          <cell r="T1656">
            <v>43000</v>
          </cell>
          <cell r="U1656">
            <v>43500</v>
          </cell>
          <cell r="V1656">
            <v>44500</v>
          </cell>
          <cell r="W1656">
            <v>46800</v>
          </cell>
        </row>
        <row r="1657">
          <cell r="A1657">
            <v>45923</v>
          </cell>
          <cell r="B1657">
            <v>43500</v>
          </cell>
          <cell r="C1657">
            <v>44500</v>
          </cell>
          <cell r="D1657">
            <v>42700</v>
          </cell>
          <cell r="E1657">
            <v>38900</v>
          </cell>
          <cell r="F1657">
            <v>44600</v>
          </cell>
          <cell r="G1657" t="str">
            <v>-</v>
          </cell>
          <cell r="H1657">
            <v>41500</v>
          </cell>
          <cell r="I1657">
            <v>42400</v>
          </cell>
          <cell r="J1657">
            <v>43800</v>
          </cell>
          <cell r="K1657" t="str">
            <v>-</v>
          </cell>
          <cell r="L1657">
            <v>44300</v>
          </cell>
          <cell r="M1657">
            <v>44000</v>
          </cell>
          <cell r="N1657">
            <v>41400</v>
          </cell>
          <cell r="O1657">
            <v>44500</v>
          </cell>
          <cell r="P1657">
            <v>39400</v>
          </cell>
          <cell r="Q1657">
            <v>39900</v>
          </cell>
          <cell r="R1657">
            <v>39600</v>
          </cell>
          <cell r="S1657">
            <v>41000</v>
          </cell>
          <cell r="T1657">
            <v>43200</v>
          </cell>
          <cell r="U1657">
            <v>43500</v>
          </cell>
          <cell r="V1657">
            <v>44500</v>
          </cell>
          <cell r="W1657">
            <v>46800</v>
          </cell>
        </row>
        <row r="1658">
          <cell r="A1658">
            <v>45924</v>
          </cell>
          <cell r="B1658">
            <v>43500</v>
          </cell>
          <cell r="C1658">
            <v>44500</v>
          </cell>
          <cell r="D1658">
            <v>42600</v>
          </cell>
          <cell r="E1658">
            <v>38700</v>
          </cell>
          <cell r="F1658">
            <v>44600</v>
          </cell>
          <cell r="G1658" t="str">
            <v>-</v>
          </cell>
          <cell r="H1658">
            <v>41000</v>
          </cell>
          <cell r="I1658">
            <v>42200</v>
          </cell>
          <cell r="J1658">
            <v>43300</v>
          </cell>
          <cell r="K1658" t="str">
            <v>-</v>
          </cell>
          <cell r="L1658">
            <v>44200</v>
          </cell>
          <cell r="M1658">
            <v>44000</v>
          </cell>
          <cell r="N1658">
            <v>41700</v>
          </cell>
          <cell r="O1658">
            <v>44200</v>
          </cell>
          <cell r="P1658">
            <v>39300</v>
          </cell>
          <cell r="Q1658">
            <v>39800</v>
          </cell>
          <cell r="R1658">
            <v>39600</v>
          </cell>
          <cell r="S1658">
            <v>40800</v>
          </cell>
          <cell r="T1658">
            <v>43200</v>
          </cell>
          <cell r="U1658">
            <v>43500</v>
          </cell>
          <cell r="V1658">
            <v>44500</v>
          </cell>
          <cell r="W1658">
            <v>46800</v>
          </cell>
        </row>
        <row r="1659">
          <cell r="A1659">
            <v>45925</v>
          </cell>
          <cell r="B1659">
            <v>43500</v>
          </cell>
          <cell r="C1659">
            <v>44200</v>
          </cell>
          <cell r="D1659">
            <v>42600</v>
          </cell>
          <cell r="E1659">
            <v>38800</v>
          </cell>
          <cell r="F1659">
            <v>44600</v>
          </cell>
          <cell r="G1659" t="str">
            <v>-</v>
          </cell>
          <cell r="H1659">
            <v>41000</v>
          </cell>
          <cell r="I1659">
            <v>42200</v>
          </cell>
          <cell r="J1659">
            <v>43100</v>
          </cell>
          <cell r="K1659" t="str">
            <v>-</v>
          </cell>
          <cell r="L1659">
            <v>44200</v>
          </cell>
          <cell r="M1659">
            <v>43700</v>
          </cell>
          <cell r="N1659">
            <v>41800</v>
          </cell>
          <cell r="O1659">
            <v>44200</v>
          </cell>
          <cell r="P1659">
            <v>39200</v>
          </cell>
          <cell r="Q1659">
            <v>39800</v>
          </cell>
          <cell r="R1659">
            <v>39600</v>
          </cell>
          <cell r="S1659">
            <v>40900</v>
          </cell>
          <cell r="T1659">
            <v>43200</v>
          </cell>
          <cell r="U1659">
            <v>43500</v>
          </cell>
          <cell r="V1659">
            <v>44500</v>
          </cell>
          <cell r="W1659">
            <v>46800</v>
          </cell>
        </row>
        <row r="1660">
          <cell r="A1660">
            <v>45926</v>
          </cell>
          <cell r="B1660">
            <v>43500</v>
          </cell>
          <cell r="C1660">
            <v>44200</v>
          </cell>
          <cell r="D1660">
            <v>42600</v>
          </cell>
          <cell r="E1660">
            <v>38800</v>
          </cell>
          <cell r="F1660">
            <v>44600</v>
          </cell>
          <cell r="G1660" t="str">
            <v>-</v>
          </cell>
          <cell r="H1660">
            <v>41000</v>
          </cell>
          <cell r="I1660">
            <v>42000</v>
          </cell>
          <cell r="J1660">
            <v>43100</v>
          </cell>
          <cell r="K1660" t="str">
            <v>-</v>
          </cell>
          <cell r="L1660">
            <v>44100</v>
          </cell>
          <cell r="M1660">
            <v>43500</v>
          </cell>
          <cell r="N1660">
            <v>41600</v>
          </cell>
          <cell r="O1660">
            <v>44200</v>
          </cell>
          <cell r="P1660">
            <v>39000</v>
          </cell>
          <cell r="Q1660">
            <v>39700</v>
          </cell>
          <cell r="R1660">
            <v>39400</v>
          </cell>
          <cell r="S1660">
            <v>40900</v>
          </cell>
          <cell r="T1660">
            <v>43200</v>
          </cell>
          <cell r="U1660">
            <v>43500</v>
          </cell>
          <cell r="V1660">
            <v>44500</v>
          </cell>
          <cell r="W1660">
            <v>46800</v>
          </cell>
        </row>
        <row r="1661">
          <cell r="A1661">
            <v>45927</v>
          </cell>
          <cell r="B1661">
            <v>43500</v>
          </cell>
          <cell r="C1661">
            <v>44200</v>
          </cell>
          <cell r="D1661">
            <v>42800</v>
          </cell>
          <cell r="E1661">
            <v>38800</v>
          </cell>
          <cell r="F1661">
            <v>44000</v>
          </cell>
          <cell r="G1661" t="str">
            <v>-</v>
          </cell>
          <cell r="H1661">
            <v>41000</v>
          </cell>
          <cell r="I1661">
            <v>42000</v>
          </cell>
          <cell r="J1661">
            <v>43000</v>
          </cell>
          <cell r="K1661" t="str">
            <v>-</v>
          </cell>
          <cell r="L1661">
            <v>44300</v>
          </cell>
          <cell r="M1661">
            <v>43300</v>
          </cell>
          <cell r="N1661">
            <v>41600</v>
          </cell>
          <cell r="O1661">
            <v>44000</v>
          </cell>
          <cell r="P1661">
            <v>39100</v>
          </cell>
          <cell r="Q1661">
            <v>39600</v>
          </cell>
          <cell r="R1661">
            <v>39400</v>
          </cell>
          <cell r="S1661">
            <v>40900</v>
          </cell>
          <cell r="T1661">
            <v>43000</v>
          </cell>
          <cell r="U1661">
            <v>43500</v>
          </cell>
          <cell r="V1661">
            <v>44500</v>
          </cell>
          <cell r="W1661">
            <v>46800</v>
          </cell>
        </row>
        <row r="1662">
          <cell r="A1662">
            <v>45928</v>
          </cell>
          <cell r="B1662" t="str">
            <v>H</v>
          </cell>
          <cell r="C1662" t="str">
            <v>H</v>
          </cell>
          <cell r="D1662" t="str">
            <v>H</v>
          </cell>
          <cell r="E1662" t="str">
            <v>H</v>
          </cell>
          <cell r="F1662" t="str">
            <v>H</v>
          </cell>
          <cell r="G1662" t="str">
            <v>H</v>
          </cell>
          <cell r="H1662" t="str">
            <v>H</v>
          </cell>
          <cell r="I1662" t="str">
            <v>H</v>
          </cell>
          <cell r="J1662" t="str">
            <v>H</v>
          </cell>
          <cell r="K1662" t="str">
            <v>H</v>
          </cell>
          <cell r="L1662" t="str">
            <v>H</v>
          </cell>
          <cell r="M1662" t="str">
            <v>H</v>
          </cell>
          <cell r="N1662" t="str">
            <v>H</v>
          </cell>
          <cell r="O1662" t="str">
            <v>H</v>
          </cell>
          <cell r="P1662" t="str">
            <v>H</v>
          </cell>
          <cell r="Q1662" t="str">
            <v>H</v>
          </cell>
          <cell r="R1662" t="str">
            <v>H</v>
          </cell>
          <cell r="S1662" t="str">
            <v>H</v>
          </cell>
          <cell r="T1662" t="str">
            <v>H</v>
          </cell>
          <cell r="U1662" t="str">
            <v>H</v>
          </cell>
          <cell r="V1662" t="str">
            <v>H</v>
          </cell>
          <cell r="W1662" t="str">
            <v>H</v>
          </cell>
        </row>
        <row r="1663">
          <cell r="A1663">
            <v>45929</v>
          </cell>
          <cell r="B1663">
            <v>43200</v>
          </cell>
          <cell r="C1663">
            <v>44200</v>
          </cell>
          <cell r="D1663">
            <v>42800</v>
          </cell>
          <cell r="E1663" t="str">
            <v>-</v>
          </cell>
          <cell r="F1663">
            <v>44000</v>
          </cell>
          <cell r="G1663" t="str">
            <v>-</v>
          </cell>
          <cell r="H1663">
            <v>41000</v>
          </cell>
          <cell r="I1663">
            <v>41800</v>
          </cell>
          <cell r="J1663">
            <v>43000</v>
          </cell>
          <cell r="K1663" t="str">
            <v>-</v>
          </cell>
          <cell r="L1663">
            <v>44300</v>
          </cell>
          <cell r="M1663">
            <v>43000</v>
          </cell>
          <cell r="N1663">
            <v>41600</v>
          </cell>
          <cell r="O1663">
            <v>43900</v>
          </cell>
          <cell r="P1663">
            <v>38900</v>
          </cell>
          <cell r="Q1663">
            <v>39400</v>
          </cell>
          <cell r="R1663">
            <v>39400</v>
          </cell>
          <cell r="S1663" t="str">
            <v>-</v>
          </cell>
          <cell r="T1663">
            <v>42800</v>
          </cell>
          <cell r="U1663">
            <v>43500</v>
          </cell>
          <cell r="V1663">
            <v>44500</v>
          </cell>
          <cell r="W1663">
            <v>46800</v>
          </cell>
        </row>
        <row r="1664">
          <cell r="A1664">
            <v>45930</v>
          </cell>
          <cell r="B1664">
            <v>43000</v>
          </cell>
          <cell r="C1664">
            <v>44000</v>
          </cell>
          <cell r="D1664">
            <v>42300</v>
          </cell>
          <cell r="E1664" t="str">
            <v>-</v>
          </cell>
          <cell r="F1664">
            <v>43500</v>
          </cell>
          <cell r="G1664" t="str">
            <v>-</v>
          </cell>
          <cell r="H1664">
            <v>40500</v>
          </cell>
          <cell r="I1664">
            <v>41800</v>
          </cell>
          <cell r="J1664">
            <v>43000</v>
          </cell>
          <cell r="K1664" t="str">
            <v>-</v>
          </cell>
          <cell r="L1664">
            <v>44100</v>
          </cell>
          <cell r="M1664">
            <v>43000</v>
          </cell>
          <cell r="N1664">
            <v>41400</v>
          </cell>
          <cell r="O1664">
            <v>43900</v>
          </cell>
          <cell r="P1664">
            <v>38700</v>
          </cell>
          <cell r="Q1664">
            <v>39300</v>
          </cell>
          <cell r="R1664">
            <v>39400</v>
          </cell>
          <cell r="S1664" t="str">
            <v>-</v>
          </cell>
          <cell r="T1664">
            <v>42800</v>
          </cell>
          <cell r="U1664">
            <v>43500</v>
          </cell>
          <cell r="V1664">
            <v>44500</v>
          </cell>
          <cell r="W1664">
            <v>46800</v>
          </cell>
        </row>
        <row r="1665">
          <cell r="A1665">
            <v>45931</v>
          </cell>
          <cell r="B1665">
            <v>43000</v>
          </cell>
          <cell r="C1665" t="str">
            <v>-</v>
          </cell>
          <cell r="D1665">
            <v>42300</v>
          </cell>
          <cell r="E1665" t="str">
            <v>-</v>
          </cell>
          <cell r="F1665">
            <v>43500</v>
          </cell>
          <cell r="G1665" t="str">
            <v>-</v>
          </cell>
          <cell r="H1665">
            <v>40500</v>
          </cell>
          <cell r="I1665">
            <v>41600</v>
          </cell>
          <cell r="J1665">
            <v>43100</v>
          </cell>
          <cell r="K1665" t="str">
            <v>-</v>
          </cell>
          <cell r="L1665">
            <v>44100</v>
          </cell>
          <cell r="M1665">
            <v>43000</v>
          </cell>
          <cell r="N1665">
            <v>41300</v>
          </cell>
          <cell r="O1665">
            <v>43900</v>
          </cell>
          <cell r="P1665">
            <v>38700</v>
          </cell>
          <cell r="Q1665">
            <v>39300</v>
          </cell>
          <cell r="R1665">
            <v>39400</v>
          </cell>
          <cell r="S1665" t="str">
            <v>-</v>
          </cell>
          <cell r="T1665">
            <v>42800</v>
          </cell>
          <cell r="U1665">
            <v>43500</v>
          </cell>
          <cell r="V1665">
            <v>44400</v>
          </cell>
          <cell r="W1665">
            <v>46700</v>
          </cell>
        </row>
        <row r="1666">
          <cell r="A1666">
            <v>45932</v>
          </cell>
          <cell r="B1666" t="str">
            <v>H</v>
          </cell>
          <cell r="C1666" t="str">
            <v>H</v>
          </cell>
          <cell r="D1666" t="str">
            <v>H</v>
          </cell>
          <cell r="E1666" t="str">
            <v>H</v>
          </cell>
          <cell r="F1666" t="str">
            <v>H</v>
          </cell>
          <cell r="G1666" t="str">
            <v>H</v>
          </cell>
          <cell r="H1666" t="str">
            <v>H</v>
          </cell>
          <cell r="I1666" t="str">
            <v>H</v>
          </cell>
          <cell r="J1666" t="str">
            <v>H</v>
          </cell>
          <cell r="K1666" t="str">
            <v>H</v>
          </cell>
          <cell r="L1666" t="str">
            <v>H</v>
          </cell>
          <cell r="M1666" t="str">
            <v>H</v>
          </cell>
          <cell r="N1666" t="str">
            <v>H</v>
          </cell>
          <cell r="O1666" t="str">
            <v>H</v>
          </cell>
          <cell r="P1666" t="str">
            <v>H</v>
          </cell>
          <cell r="Q1666" t="str">
            <v>H</v>
          </cell>
          <cell r="R1666" t="str">
            <v>H</v>
          </cell>
          <cell r="S1666" t="str">
            <v>H</v>
          </cell>
          <cell r="T1666" t="str">
            <v>H</v>
          </cell>
          <cell r="U1666" t="str">
            <v>H</v>
          </cell>
          <cell r="V1666" t="str">
            <v>H</v>
          </cell>
          <cell r="W1666" t="str">
            <v>H</v>
          </cell>
        </row>
        <row r="1667">
          <cell r="A1667">
            <v>45933</v>
          </cell>
          <cell r="B1667">
            <v>42800</v>
          </cell>
          <cell r="C1667">
            <v>44000</v>
          </cell>
          <cell r="D1667">
            <v>42700</v>
          </cell>
          <cell r="E1667">
            <v>38800</v>
          </cell>
          <cell r="F1667">
            <v>43500</v>
          </cell>
          <cell r="G1667" t="str">
            <v>-</v>
          </cell>
          <cell r="H1667">
            <v>40500</v>
          </cell>
          <cell r="I1667">
            <v>41800</v>
          </cell>
          <cell r="J1667">
            <v>43100</v>
          </cell>
          <cell r="K1667" t="str">
            <v>-</v>
          </cell>
          <cell r="L1667">
            <v>44100</v>
          </cell>
          <cell r="M1667">
            <v>43000</v>
          </cell>
          <cell r="N1667">
            <v>41400</v>
          </cell>
          <cell r="O1667">
            <v>43800</v>
          </cell>
          <cell r="P1667">
            <v>38600</v>
          </cell>
          <cell r="Q1667">
            <v>39200</v>
          </cell>
          <cell r="R1667">
            <v>39400</v>
          </cell>
          <cell r="S1667">
            <v>40900</v>
          </cell>
          <cell r="T1667">
            <v>42600</v>
          </cell>
          <cell r="U1667">
            <v>43500</v>
          </cell>
          <cell r="V1667">
            <v>44300</v>
          </cell>
          <cell r="W1667">
            <v>46700</v>
          </cell>
        </row>
        <row r="1668">
          <cell r="A1668">
            <v>45934</v>
          </cell>
          <cell r="B1668">
            <v>42700</v>
          </cell>
          <cell r="C1668">
            <v>44000</v>
          </cell>
          <cell r="D1668">
            <v>42300</v>
          </cell>
          <cell r="E1668">
            <v>38700</v>
          </cell>
          <cell r="F1668">
            <v>43500</v>
          </cell>
          <cell r="G1668" t="str">
            <v>-</v>
          </cell>
          <cell r="H1668">
            <v>40500</v>
          </cell>
          <cell r="I1668">
            <v>41600</v>
          </cell>
          <cell r="J1668">
            <v>43000</v>
          </cell>
          <cell r="K1668" t="str">
            <v>-</v>
          </cell>
          <cell r="L1668">
            <v>44000</v>
          </cell>
          <cell r="M1668">
            <v>43000</v>
          </cell>
          <cell r="N1668">
            <v>41200</v>
          </cell>
          <cell r="O1668">
            <v>43500</v>
          </cell>
          <cell r="P1668">
            <v>38600</v>
          </cell>
          <cell r="Q1668">
            <v>39100</v>
          </cell>
          <cell r="R1668">
            <v>39400</v>
          </cell>
          <cell r="S1668">
            <v>40800</v>
          </cell>
          <cell r="T1668">
            <v>42300</v>
          </cell>
          <cell r="U1668">
            <v>43500</v>
          </cell>
          <cell r="V1668">
            <v>44300</v>
          </cell>
          <cell r="W1668">
            <v>46700</v>
          </cell>
        </row>
        <row r="1669">
          <cell r="A1669">
            <v>45935</v>
          </cell>
          <cell r="B1669" t="str">
            <v>H</v>
          </cell>
          <cell r="C1669" t="str">
            <v>H</v>
          </cell>
          <cell r="D1669" t="str">
            <v>H</v>
          </cell>
          <cell r="E1669" t="str">
            <v>H</v>
          </cell>
          <cell r="F1669" t="str">
            <v>H</v>
          </cell>
          <cell r="G1669" t="str">
            <v>H</v>
          </cell>
          <cell r="H1669" t="str">
            <v>H</v>
          </cell>
          <cell r="I1669" t="str">
            <v>H</v>
          </cell>
          <cell r="J1669" t="str">
            <v>H</v>
          </cell>
          <cell r="K1669" t="str">
            <v>H</v>
          </cell>
          <cell r="L1669" t="str">
            <v>H</v>
          </cell>
          <cell r="M1669" t="str">
            <v>H</v>
          </cell>
          <cell r="N1669" t="str">
            <v>H</v>
          </cell>
          <cell r="O1669" t="str">
            <v>H</v>
          </cell>
          <cell r="P1669" t="str">
            <v>H</v>
          </cell>
          <cell r="Q1669" t="str">
            <v>H</v>
          </cell>
          <cell r="R1669" t="str">
            <v>H</v>
          </cell>
          <cell r="S1669" t="str">
            <v>H</v>
          </cell>
          <cell r="T1669" t="str">
            <v>H</v>
          </cell>
          <cell r="U1669" t="str">
            <v>H</v>
          </cell>
          <cell r="V1669" t="str">
            <v>H</v>
          </cell>
          <cell r="W1669" t="str">
            <v>H</v>
          </cell>
        </row>
        <row r="1670">
          <cell r="A1670">
            <v>45936</v>
          </cell>
          <cell r="B1670">
            <v>42600</v>
          </cell>
          <cell r="C1670">
            <v>44000</v>
          </cell>
          <cell r="D1670">
            <v>42000</v>
          </cell>
          <cell r="E1670">
            <v>38500</v>
          </cell>
          <cell r="F1670">
            <v>43200</v>
          </cell>
          <cell r="G1670" t="str">
            <v>-</v>
          </cell>
          <cell r="H1670">
            <v>40300</v>
          </cell>
          <cell r="I1670">
            <v>41500</v>
          </cell>
          <cell r="J1670">
            <v>43000</v>
          </cell>
          <cell r="K1670" t="str">
            <v>-</v>
          </cell>
          <cell r="L1670">
            <v>43900</v>
          </cell>
          <cell r="M1670">
            <v>43000</v>
          </cell>
          <cell r="N1670">
            <v>41000</v>
          </cell>
          <cell r="O1670">
            <v>43500</v>
          </cell>
          <cell r="P1670">
            <v>38400</v>
          </cell>
          <cell r="Q1670">
            <v>38800</v>
          </cell>
          <cell r="R1670">
            <v>39200</v>
          </cell>
          <cell r="S1670">
            <v>40600</v>
          </cell>
          <cell r="T1670">
            <v>42000</v>
          </cell>
          <cell r="U1670">
            <v>43000</v>
          </cell>
          <cell r="V1670">
            <v>44200</v>
          </cell>
          <cell r="W1670">
            <v>46700</v>
          </cell>
        </row>
        <row r="1671">
          <cell r="A1671">
            <v>45937</v>
          </cell>
          <cell r="B1671">
            <v>42400</v>
          </cell>
          <cell r="C1671">
            <v>44000</v>
          </cell>
          <cell r="D1671">
            <v>41600</v>
          </cell>
          <cell r="E1671">
            <v>38400</v>
          </cell>
          <cell r="F1671">
            <v>43200</v>
          </cell>
          <cell r="G1671" t="str">
            <v>-</v>
          </cell>
          <cell r="H1671">
            <v>40200</v>
          </cell>
          <cell r="I1671">
            <v>41300</v>
          </cell>
          <cell r="J1671">
            <v>42800</v>
          </cell>
          <cell r="K1671" t="str">
            <v>-</v>
          </cell>
          <cell r="L1671">
            <v>43700</v>
          </cell>
          <cell r="M1671">
            <v>42700</v>
          </cell>
          <cell r="N1671">
            <v>40600</v>
          </cell>
          <cell r="O1671">
            <v>43500</v>
          </cell>
          <cell r="P1671">
            <v>38200</v>
          </cell>
          <cell r="Q1671">
            <v>38500</v>
          </cell>
          <cell r="R1671">
            <v>39000</v>
          </cell>
          <cell r="S1671">
            <v>40500</v>
          </cell>
          <cell r="T1671">
            <v>41900</v>
          </cell>
          <cell r="U1671">
            <v>43000</v>
          </cell>
          <cell r="V1671">
            <v>44000</v>
          </cell>
          <cell r="W1671">
            <v>46700</v>
          </cell>
        </row>
        <row r="1672">
          <cell r="A1672">
            <v>45938</v>
          </cell>
          <cell r="B1672">
            <v>42400</v>
          </cell>
          <cell r="C1672">
            <v>43800</v>
          </cell>
          <cell r="D1672">
            <v>41600</v>
          </cell>
          <cell r="E1672">
            <v>38300</v>
          </cell>
          <cell r="F1672">
            <v>43200</v>
          </cell>
          <cell r="G1672" t="str">
            <v>-</v>
          </cell>
          <cell r="H1672">
            <v>40200</v>
          </cell>
          <cell r="I1672">
            <v>41200</v>
          </cell>
          <cell r="J1672">
            <v>42700</v>
          </cell>
          <cell r="K1672" t="str">
            <v>-</v>
          </cell>
          <cell r="L1672">
            <v>43500</v>
          </cell>
          <cell r="M1672">
            <v>42500</v>
          </cell>
          <cell r="N1672">
            <v>40300</v>
          </cell>
          <cell r="O1672">
            <v>43300</v>
          </cell>
          <cell r="P1672">
            <v>38100</v>
          </cell>
          <cell r="Q1672">
            <v>38500</v>
          </cell>
          <cell r="R1672">
            <v>38800</v>
          </cell>
          <cell r="S1672">
            <v>40400</v>
          </cell>
          <cell r="T1672">
            <v>41800</v>
          </cell>
          <cell r="U1672">
            <v>42700</v>
          </cell>
          <cell r="V1672">
            <v>44000</v>
          </cell>
          <cell r="W1672">
            <v>46700</v>
          </cell>
        </row>
        <row r="1673">
          <cell r="A1673">
            <v>45938</v>
          </cell>
          <cell r="B1673">
            <v>42400</v>
          </cell>
          <cell r="C1673">
            <v>43800</v>
          </cell>
          <cell r="D1673">
            <v>41600</v>
          </cell>
          <cell r="E1673">
            <v>38300</v>
          </cell>
          <cell r="F1673">
            <v>43200</v>
          </cell>
          <cell r="G1673" t="str">
            <v>-</v>
          </cell>
          <cell r="H1673">
            <v>40200</v>
          </cell>
          <cell r="I1673">
            <v>41200</v>
          </cell>
          <cell r="J1673">
            <v>42700</v>
          </cell>
          <cell r="K1673" t="str">
            <v>-</v>
          </cell>
          <cell r="L1673">
            <v>43500</v>
          </cell>
          <cell r="M1673">
            <v>42500</v>
          </cell>
          <cell r="N1673">
            <v>40300</v>
          </cell>
          <cell r="O1673">
            <v>43300</v>
          </cell>
          <cell r="P1673">
            <v>38100</v>
          </cell>
          <cell r="Q1673">
            <v>38500</v>
          </cell>
          <cell r="R1673">
            <v>38800</v>
          </cell>
          <cell r="S1673">
            <v>40400</v>
          </cell>
          <cell r="T1673">
            <v>41800</v>
          </cell>
          <cell r="U1673">
            <v>42700</v>
          </cell>
          <cell r="V1673">
            <v>44000</v>
          </cell>
          <cell r="W1673">
            <v>46700</v>
          </cell>
        </row>
        <row r="1674">
          <cell r="A1674">
            <v>45939</v>
          </cell>
          <cell r="B1674">
            <v>42300</v>
          </cell>
          <cell r="C1674">
            <v>43800</v>
          </cell>
          <cell r="D1674">
            <v>41400</v>
          </cell>
          <cell r="E1674">
            <v>38400</v>
          </cell>
          <cell r="F1674">
            <v>43200</v>
          </cell>
          <cell r="G1674" t="str">
            <v>-</v>
          </cell>
          <cell r="H1674">
            <v>40200</v>
          </cell>
          <cell r="I1674">
            <v>41100</v>
          </cell>
          <cell r="J1674">
            <v>42700</v>
          </cell>
          <cell r="K1674" t="str">
            <v>-</v>
          </cell>
          <cell r="L1674">
            <v>43500</v>
          </cell>
          <cell r="M1674">
            <v>42500</v>
          </cell>
          <cell r="N1674">
            <v>40200</v>
          </cell>
          <cell r="O1674">
            <v>43300</v>
          </cell>
          <cell r="P1674">
            <v>38000</v>
          </cell>
          <cell r="Q1674">
            <v>38400</v>
          </cell>
          <cell r="R1674">
            <v>38700</v>
          </cell>
          <cell r="S1674">
            <v>40500</v>
          </cell>
          <cell r="T1674">
            <v>41600</v>
          </cell>
          <cell r="U1674">
            <v>42500</v>
          </cell>
          <cell r="V1674">
            <v>44000</v>
          </cell>
          <cell r="W1674">
            <v>46700</v>
          </cell>
        </row>
        <row r="1675">
          <cell r="A1675">
            <v>45940</v>
          </cell>
          <cell r="B1675">
            <v>42400</v>
          </cell>
          <cell r="C1675">
            <v>43800</v>
          </cell>
          <cell r="D1675">
            <v>41700</v>
          </cell>
          <cell r="E1675">
            <v>38500</v>
          </cell>
          <cell r="F1675">
            <v>43200</v>
          </cell>
          <cell r="G1675" t="str">
            <v>-</v>
          </cell>
          <cell r="H1675">
            <v>40200</v>
          </cell>
          <cell r="I1675">
            <v>41200</v>
          </cell>
          <cell r="J1675">
            <v>42700</v>
          </cell>
          <cell r="K1675" t="str">
            <v>-</v>
          </cell>
          <cell r="L1675">
            <v>43800</v>
          </cell>
          <cell r="M1675">
            <v>42500</v>
          </cell>
          <cell r="N1675">
            <v>40500</v>
          </cell>
          <cell r="O1675">
            <v>43300</v>
          </cell>
          <cell r="P1675">
            <v>38100</v>
          </cell>
          <cell r="Q1675">
            <v>38600</v>
          </cell>
          <cell r="R1675">
            <v>38800</v>
          </cell>
          <cell r="S1675">
            <v>40600</v>
          </cell>
          <cell r="T1675">
            <v>41800</v>
          </cell>
          <cell r="U1675">
            <v>42700</v>
          </cell>
          <cell r="V1675">
            <v>43500</v>
          </cell>
          <cell r="W1675">
            <v>46700</v>
          </cell>
        </row>
        <row r="1676">
          <cell r="A1676">
            <v>45941</v>
          </cell>
          <cell r="B1676">
            <v>42400</v>
          </cell>
          <cell r="C1676">
            <v>43800</v>
          </cell>
          <cell r="D1676">
            <v>41700</v>
          </cell>
          <cell r="E1676">
            <v>38400</v>
          </cell>
          <cell r="F1676">
            <v>43200</v>
          </cell>
          <cell r="G1676" t="str">
            <v>-</v>
          </cell>
          <cell r="H1676">
            <v>40200</v>
          </cell>
          <cell r="I1676">
            <v>41200</v>
          </cell>
          <cell r="J1676">
            <v>42700</v>
          </cell>
          <cell r="K1676" t="str">
            <v>-</v>
          </cell>
          <cell r="L1676">
            <v>43800</v>
          </cell>
          <cell r="M1676">
            <v>42500</v>
          </cell>
          <cell r="N1676">
            <v>40500</v>
          </cell>
          <cell r="O1676">
            <v>43300</v>
          </cell>
          <cell r="P1676">
            <v>38100</v>
          </cell>
          <cell r="Q1676">
            <v>38500</v>
          </cell>
          <cell r="R1676">
            <v>38800</v>
          </cell>
          <cell r="S1676">
            <v>40500</v>
          </cell>
          <cell r="T1676">
            <v>41800</v>
          </cell>
          <cell r="U1676">
            <v>42500</v>
          </cell>
          <cell r="V1676">
            <v>43500</v>
          </cell>
          <cell r="W1676">
            <v>46600</v>
          </cell>
        </row>
        <row r="1677">
          <cell r="A1677">
            <v>45942</v>
          </cell>
          <cell r="B1677" t="str">
            <v>H</v>
          </cell>
          <cell r="C1677" t="str">
            <v>H</v>
          </cell>
          <cell r="D1677" t="str">
            <v>H</v>
          </cell>
          <cell r="E1677" t="str">
            <v>H</v>
          </cell>
          <cell r="F1677" t="str">
            <v>H</v>
          </cell>
          <cell r="G1677" t="str">
            <v>H</v>
          </cell>
          <cell r="H1677" t="str">
            <v>H</v>
          </cell>
          <cell r="I1677" t="str">
            <v>H</v>
          </cell>
          <cell r="J1677" t="str">
            <v>H</v>
          </cell>
          <cell r="K1677" t="str">
            <v>H</v>
          </cell>
          <cell r="L1677" t="str">
            <v>H</v>
          </cell>
          <cell r="M1677" t="str">
            <v>H</v>
          </cell>
          <cell r="N1677" t="str">
            <v>H</v>
          </cell>
          <cell r="O1677" t="str">
            <v>H</v>
          </cell>
          <cell r="P1677" t="str">
            <v>H</v>
          </cell>
          <cell r="Q1677" t="str">
            <v>H</v>
          </cell>
          <cell r="R1677" t="str">
            <v>H</v>
          </cell>
          <cell r="S1677" t="str">
            <v>H</v>
          </cell>
          <cell r="T1677" t="str">
            <v>H</v>
          </cell>
          <cell r="U1677" t="str">
            <v>H</v>
          </cell>
          <cell r="V1677" t="str">
            <v>H</v>
          </cell>
          <cell r="W1677" t="str">
            <v>H</v>
          </cell>
        </row>
        <row r="1678">
          <cell r="A1678">
            <v>45943</v>
          </cell>
          <cell r="B1678">
            <v>42300</v>
          </cell>
          <cell r="C1678">
            <v>43800</v>
          </cell>
          <cell r="D1678">
            <v>41200</v>
          </cell>
          <cell r="E1678">
            <v>38200</v>
          </cell>
          <cell r="F1678">
            <v>43200</v>
          </cell>
          <cell r="G1678" t="str">
            <v>-</v>
          </cell>
          <cell r="H1678">
            <v>40000</v>
          </cell>
          <cell r="I1678">
            <v>41000</v>
          </cell>
          <cell r="J1678">
            <v>42700</v>
          </cell>
          <cell r="K1678" t="str">
            <v>-</v>
          </cell>
          <cell r="L1678">
            <v>43700</v>
          </cell>
          <cell r="M1678">
            <v>42500</v>
          </cell>
          <cell r="N1678">
            <v>40000</v>
          </cell>
          <cell r="O1678">
            <v>43300</v>
          </cell>
          <cell r="P1678">
            <v>37800</v>
          </cell>
          <cell r="Q1678">
            <v>38200</v>
          </cell>
          <cell r="R1678">
            <v>38500</v>
          </cell>
          <cell r="S1678">
            <v>40300</v>
          </cell>
          <cell r="T1678">
            <v>41600</v>
          </cell>
          <cell r="U1678">
            <v>42500</v>
          </cell>
          <cell r="V1678">
            <v>43500</v>
          </cell>
          <cell r="W1678">
            <v>46600</v>
          </cell>
        </row>
        <row r="1679">
          <cell r="A1679">
            <v>45944</v>
          </cell>
          <cell r="B1679">
            <v>42200</v>
          </cell>
          <cell r="C1679">
            <v>43500</v>
          </cell>
          <cell r="D1679">
            <v>41200</v>
          </cell>
          <cell r="E1679">
            <v>38000</v>
          </cell>
          <cell r="F1679">
            <v>43800</v>
          </cell>
          <cell r="G1679" t="str">
            <v>-</v>
          </cell>
          <cell r="H1679">
            <v>39800</v>
          </cell>
          <cell r="I1679">
            <v>40900</v>
          </cell>
          <cell r="J1679">
            <v>42700</v>
          </cell>
          <cell r="K1679" t="str">
            <v>-</v>
          </cell>
          <cell r="L1679">
            <v>43500</v>
          </cell>
          <cell r="M1679">
            <v>42500</v>
          </cell>
          <cell r="N1679">
            <v>39800</v>
          </cell>
          <cell r="O1679">
            <v>43200</v>
          </cell>
          <cell r="P1679">
            <v>37700</v>
          </cell>
          <cell r="Q1679">
            <v>38000</v>
          </cell>
          <cell r="R1679">
            <v>38300</v>
          </cell>
          <cell r="S1679">
            <v>40100</v>
          </cell>
          <cell r="T1679">
            <v>41500</v>
          </cell>
          <cell r="U1679">
            <v>42500</v>
          </cell>
          <cell r="V1679">
            <v>43400</v>
          </cell>
          <cell r="W1679">
            <v>46600</v>
          </cell>
        </row>
        <row r="1680">
          <cell r="A1680">
            <v>45945</v>
          </cell>
          <cell r="B1680">
            <v>42200</v>
          </cell>
          <cell r="C1680">
            <v>43500</v>
          </cell>
          <cell r="D1680">
            <v>41200</v>
          </cell>
          <cell r="E1680">
            <v>37900</v>
          </cell>
          <cell r="F1680">
            <v>43800</v>
          </cell>
          <cell r="G1680" t="str">
            <v>-</v>
          </cell>
          <cell r="H1680">
            <v>39800</v>
          </cell>
          <cell r="I1680">
            <v>40500</v>
          </cell>
          <cell r="J1680">
            <v>42500</v>
          </cell>
          <cell r="K1680" t="str">
            <v>-</v>
          </cell>
          <cell r="L1680">
            <v>43400</v>
          </cell>
          <cell r="M1680">
            <v>42500</v>
          </cell>
          <cell r="N1680">
            <v>39800</v>
          </cell>
          <cell r="O1680">
            <v>43000</v>
          </cell>
          <cell r="P1680">
            <v>37500</v>
          </cell>
          <cell r="Q1680">
            <v>37900</v>
          </cell>
          <cell r="R1680">
            <v>38200</v>
          </cell>
          <cell r="S1680">
            <v>40000</v>
          </cell>
          <cell r="T1680">
            <v>41500</v>
          </cell>
          <cell r="U1680">
            <v>42500</v>
          </cell>
          <cell r="V1680">
            <v>43400</v>
          </cell>
          <cell r="W1680">
            <v>46600</v>
          </cell>
        </row>
        <row r="1681">
          <cell r="A1681">
            <v>45946</v>
          </cell>
          <cell r="B1681">
            <v>42200</v>
          </cell>
          <cell r="C1681">
            <v>43500</v>
          </cell>
          <cell r="D1681">
            <v>41000</v>
          </cell>
          <cell r="E1681">
            <v>37700</v>
          </cell>
          <cell r="F1681">
            <v>43800</v>
          </cell>
          <cell r="G1681" t="str">
            <v>-</v>
          </cell>
          <cell r="H1681">
            <v>39700</v>
          </cell>
          <cell r="I1681">
            <v>40400</v>
          </cell>
          <cell r="J1681">
            <v>42300</v>
          </cell>
          <cell r="K1681" t="str">
            <v>-</v>
          </cell>
          <cell r="L1681">
            <v>43200</v>
          </cell>
          <cell r="M1681">
            <v>42200</v>
          </cell>
          <cell r="N1681">
            <v>39800</v>
          </cell>
          <cell r="O1681">
            <v>42800</v>
          </cell>
          <cell r="P1681">
            <v>37300</v>
          </cell>
          <cell r="Q1681">
            <v>37800</v>
          </cell>
          <cell r="R1681">
            <v>38200</v>
          </cell>
          <cell r="S1681">
            <v>39800</v>
          </cell>
          <cell r="T1681">
            <v>41500</v>
          </cell>
          <cell r="U1681">
            <v>42500</v>
          </cell>
          <cell r="V1681">
            <v>43400</v>
          </cell>
          <cell r="W1681">
            <v>46600</v>
          </cell>
        </row>
        <row r="1682">
          <cell r="A1682">
            <v>45947</v>
          </cell>
          <cell r="B1682">
            <v>42100</v>
          </cell>
          <cell r="C1682">
            <v>43500</v>
          </cell>
          <cell r="D1682">
            <v>40900</v>
          </cell>
          <cell r="E1682">
            <v>37700</v>
          </cell>
          <cell r="F1682">
            <v>43800</v>
          </cell>
          <cell r="G1682" t="str">
            <v>-</v>
          </cell>
          <cell r="H1682">
            <v>39700</v>
          </cell>
          <cell r="I1682">
            <v>40300</v>
          </cell>
          <cell r="J1682">
            <v>42300</v>
          </cell>
          <cell r="K1682" t="str">
            <v>-</v>
          </cell>
          <cell r="L1682">
            <v>43200</v>
          </cell>
          <cell r="M1682">
            <v>42200</v>
          </cell>
          <cell r="N1682">
            <v>39900</v>
          </cell>
          <cell r="O1682">
            <v>42800</v>
          </cell>
          <cell r="P1682">
            <v>37200</v>
          </cell>
          <cell r="Q1682">
            <v>37800</v>
          </cell>
          <cell r="R1682">
            <v>38200</v>
          </cell>
          <cell r="S1682">
            <v>39800</v>
          </cell>
          <cell r="T1682">
            <v>41500</v>
          </cell>
          <cell r="U1682">
            <v>42500</v>
          </cell>
          <cell r="V1682">
            <v>43300</v>
          </cell>
          <cell r="W1682">
            <v>46500</v>
          </cell>
        </row>
        <row r="1683">
          <cell r="A1683">
            <v>45948</v>
          </cell>
          <cell r="B1683">
            <v>42100</v>
          </cell>
          <cell r="C1683">
            <v>43500</v>
          </cell>
          <cell r="D1683">
            <v>40700</v>
          </cell>
          <cell r="E1683">
            <v>37700</v>
          </cell>
          <cell r="F1683">
            <v>43800</v>
          </cell>
          <cell r="G1683" t="str">
            <v>-</v>
          </cell>
          <cell r="H1683">
            <v>39700</v>
          </cell>
          <cell r="I1683">
            <v>40300</v>
          </cell>
          <cell r="J1683">
            <v>42300</v>
          </cell>
          <cell r="K1683" t="str">
            <v>-</v>
          </cell>
          <cell r="L1683">
            <v>43200</v>
          </cell>
          <cell r="M1683">
            <v>42200</v>
          </cell>
          <cell r="N1683">
            <v>39800</v>
          </cell>
          <cell r="O1683">
            <v>42800</v>
          </cell>
          <cell r="P1683">
            <v>37200</v>
          </cell>
          <cell r="Q1683">
            <v>37800</v>
          </cell>
          <cell r="R1683">
            <v>38000</v>
          </cell>
          <cell r="S1683">
            <v>39800</v>
          </cell>
          <cell r="T1683">
            <v>41000</v>
          </cell>
          <cell r="U1683">
            <v>42500</v>
          </cell>
          <cell r="V1683">
            <v>43300</v>
          </cell>
          <cell r="W1683">
            <v>46500</v>
          </cell>
        </row>
        <row r="1684">
          <cell r="A1684">
            <v>45949</v>
          </cell>
          <cell r="B1684" t="str">
            <v>H</v>
          </cell>
          <cell r="C1684" t="str">
            <v>H</v>
          </cell>
          <cell r="D1684" t="str">
            <v>H</v>
          </cell>
          <cell r="E1684" t="str">
            <v>H</v>
          </cell>
          <cell r="F1684" t="str">
            <v>H</v>
          </cell>
          <cell r="G1684" t="str">
            <v>H</v>
          </cell>
          <cell r="H1684" t="str">
            <v>H</v>
          </cell>
          <cell r="I1684" t="str">
            <v>H</v>
          </cell>
          <cell r="J1684" t="str">
            <v>H</v>
          </cell>
          <cell r="K1684" t="str">
            <v>H</v>
          </cell>
          <cell r="L1684" t="str">
            <v>H</v>
          </cell>
          <cell r="M1684" t="str">
            <v>H</v>
          </cell>
          <cell r="N1684" t="str">
            <v>H</v>
          </cell>
          <cell r="O1684" t="str">
            <v>H</v>
          </cell>
          <cell r="P1684" t="str">
            <v>H</v>
          </cell>
          <cell r="Q1684" t="str">
            <v>H</v>
          </cell>
          <cell r="R1684" t="str">
            <v>H</v>
          </cell>
          <cell r="S1684" t="str">
            <v>H</v>
          </cell>
          <cell r="T1684" t="str">
            <v>H</v>
          </cell>
          <cell r="U1684" t="str">
            <v>H</v>
          </cell>
          <cell r="V1684" t="str">
            <v>H</v>
          </cell>
          <cell r="W1684" t="str">
            <v>H</v>
          </cell>
        </row>
        <row r="1685">
          <cell r="A1685">
            <v>45950</v>
          </cell>
          <cell r="B1685" t="str">
            <v>H</v>
          </cell>
          <cell r="C1685" t="str">
            <v>H</v>
          </cell>
          <cell r="D1685" t="str">
            <v>H</v>
          </cell>
          <cell r="E1685" t="str">
            <v>H</v>
          </cell>
          <cell r="F1685" t="str">
            <v>H</v>
          </cell>
          <cell r="G1685" t="str">
            <v>H</v>
          </cell>
          <cell r="H1685" t="str">
            <v>H</v>
          </cell>
          <cell r="I1685" t="str">
            <v>H</v>
          </cell>
          <cell r="J1685" t="str">
            <v>H</v>
          </cell>
          <cell r="K1685" t="str">
            <v>H</v>
          </cell>
          <cell r="L1685" t="str">
            <v>H</v>
          </cell>
          <cell r="M1685" t="str">
            <v>H</v>
          </cell>
          <cell r="N1685" t="str">
            <v>H</v>
          </cell>
          <cell r="O1685" t="str">
            <v>H</v>
          </cell>
          <cell r="P1685" t="str">
            <v>H</v>
          </cell>
          <cell r="Q1685" t="str">
            <v>H</v>
          </cell>
          <cell r="R1685" t="str">
            <v>H</v>
          </cell>
          <cell r="S1685" t="str">
            <v>H</v>
          </cell>
          <cell r="T1685" t="str">
            <v>H</v>
          </cell>
          <cell r="U1685" t="str">
            <v>H</v>
          </cell>
          <cell r="V1685" t="str">
            <v>H</v>
          </cell>
          <cell r="W1685" t="str">
            <v>H</v>
          </cell>
        </row>
        <row r="1686">
          <cell r="A1686">
            <v>45951</v>
          </cell>
          <cell r="B1686" t="str">
            <v>H</v>
          </cell>
          <cell r="C1686" t="str">
            <v>H</v>
          </cell>
          <cell r="D1686" t="str">
            <v>H</v>
          </cell>
          <cell r="E1686" t="str">
            <v>H</v>
          </cell>
          <cell r="F1686" t="str">
            <v>H</v>
          </cell>
          <cell r="G1686" t="str">
            <v>H</v>
          </cell>
          <cell r="H1686" t="str">
            <v>H</v>
          </cell>
          <cell r="I1686" t="str">
            <v>H</v>
          </cell>
          <cell r="J1686" t="str">
            <v>H</v>
          </cell>
          <cell r="K1686" t="str">
            <v>H</v>
          </cell>
          <cell r="L1686" t="str">
            <v>H</v>
          </cell>
          <cell r="M1686" t="str">
            <v>H</v>
          </cell>
          <cell r="N1686" t="str">
            <v>H</v>
          </cell>
          <cell r="O1686" t="str">
            <v>H</v>
          </cell>
          <cell r="P1686" t="str">
            <v>H</v>
          </cell>
          <cell r="Q1686" t="str">
            <v>H</v>
          </cell>
          <cell r="R1686" t="str">
            <v>H</v>
          </cell>
          <cell r="S1686" t="str">
            <v>H</v>
          </cell>
          <cell r="T1686" t="str">
            <v>H</v>
          </cell>
          <cell r="U1686" t="str">
            <v>H</v>
          </cell>
          <cell r="V1686" t="str">
            <v>H</v>
          </cell>
          <cell r="W1686" t="str">
            <v>H</v>
          </cell>
        </row>
        <row r="1687">
          <cell r="A1687">
            <v>45952</v>
          </cell>
          <cell r="B1687" t="str">
            <v>H</v>
          </cell>
          <cell r="C1687" t="str">
            <v>H</v>
          </cell>
          <cell r="D1687" t="str">
            <v>H</v>
          </cell>
          <cell r="E1687" t="str">
            <v>H</v>
          </cell>
          <cell r="F1687" t="str">
            <v>H</v>
          </cell>
          <cell r="G1687" t="str">
            <v>H</v>
          </cell>
          <cell r="H1687" t="str">
            <v>H</v>
          </cell>
          <cell r="I1687" t="str">
            <v>H</v>
          </cell>
          <cell r="J1687" t="str">
            <v>H</v>
          </cell>
          <cell r="K1687" t="str">
            <v>H</v>
          </cell>
          <cell r="L1687" t="str">
            <v>H</v>
          </cell>
          <cell r="M1687" t="str">
            <v>H</v>
          </cell>
          <cell r="N1687" t="str">
            <v>H</v>
          </cell>
          <cell r="O1687" t="str">
            <v>H</v>
          </cell>
          <cell r="P1687" t="str">
            <v>H</v>
          </cell>
          <cell r="Q1687" t="str">
            <v>H</v>
          </cell>
          <cell r="R1687" t="str">
            <v>H</v>
          </cell>
          <cell r="S1687" t="str">
            <v>H</v>
          </cell>
          <cell r="T1687" t="str">
            <v>H</v>
          </cell>
          <cell r="U1687" t="str">
            <v>H</v>
          </cell>
          <cell r="V1687" t="str">
            <v>H</v>
          </cell>
          <cell r="W1687" t="str">
            <v>H</v>
          </cell>
        </row>
        <row r="1688">
          <cell r="A1688">
            <v>45953</v>
          </cell>
          <cell r="B1688" t="str">
            <v>-</v>
          </cell>
          <cell r="C1688">
            <v>43500</v>
          </cell>
          <cell r="D1688">
            <v>40300</v>
          </cell>
          <cell r="E1688">
            <v>37500</v>
          </cell>
          <cell r="F1688">
            <v>43800</v>
          </cell>
          <cell r="G1688" t="str">
            <v>-</v>
          </cell>
          <cell r="H1688">
            <v>39500</v>
          </cell>
          <cell r="I1688">
            <v>40100</v>
          </cell>
          <cell r="J1688">
            <v>42300</v>
          </cell>
          <cell r="K1688" t="str">
            <v>-</v>
          </cell>
          <cell r="L1688">
            <v>42900</v>
          </cell>
          <cell r="M1688">
            <v>41800</v>
          </cell>
          <cell r="N1688">
            <v>39200</v>
          </cell>
          <cell r="O1688">
            <v>42800</v>
          </cell>
          <cell r="P1688">
            <v>36800</v>
          </cell>
          <cell r="Q1688">
            <v>37500</v>
          </cell>
          <cell r="R1688">
            <v>37400</v>
          </cell>
          <cell r="S1688">
            <v>39600</v>
          </cell>
          <cell r="T1688">
            <v>40900</v>
          </cell>
          <cell r="U1688">
            <v>42500</v>
          </cell>
          <cell r="V1688">
            <v>43300</v>
          </cell>
          <cell r="W1688">
            <v>46500</v>
          </cell>
        </row>
        <row r="1689">
          <cell r="A1689">
            <v>45954</v>
          </cell>
          <cell r="B1689">
            <v>41900</v>
          </cell>
          <cell r="C1689">
            <v>43300</v>
          </cell>
          <cell r="D1689">
            <v>40100</v>
          </cell>
          <cell r="E1689">
            <v>37400</v>
          </cell>
          <cell r="F1689">
            <v>43600</v>
          </cell>
          <cell r="G1689" t="str">
            <v>-</v>
          </cell>
          <cell r="H1689">
            <v>39300</v>
          </cell>
          <cell r="I1689">
            <v>40100</v>
          </cell>
          <cell r="J1689">
            <v>42000</v>
          </cell>
          <cell r="K1689" t="str">
            <v>-</v>
          </cell>
          <cell r="L1689">
            <v>42700</v>
          </cell>
          <cell r="M1689">
            <v>41500</v>
          </cell>
          <cell r="N1689">
            <v>39100</v>
          </cell>
          <cell r="O1689">
            <v>42300</v>
          </cell>
          <cell r="P1689">
            <v>37000</v>
          </cell>
          <cell r="Q1689">
            <v>37400</v>
          </cell>
          <cell r="R1689">
            <v>37200</v>
          </cell>
          <cell r="S1689">
            <v>39500</v>
          </cell>
          <cell r="T1689">
            <v>40900</v>
          </cell>
          <cell r="U1689">
            <v>42500</v>
          </cell>
          <cell r="V1689">
            <v>43200</v>
          </cell>
          <cell r="W1689">
            <v>46500</v>
          </cell>
        </row>
        <row r="1690">
          <cell r="A1690">
            <v>45955</v>
          </cell>
          <cell r="B1690">
            <v>41900</v>
          </cell>
          <cell r="C1690">
            <v>43000</v>
          </cell>
          <cell r="D1690">
            <v>40200</v>
          </cell>
          <cell r="E1690">
            <v>37500</v>
          </cell>
          <cell r="F1690">
            <v>43600</v>
          </cell>
          <cell r="G1690" t="str">
            <v>-</v>
          </cell>
          <cell r="H1690">
            <v>39000</v>
          </cell>
          <cell r="I1690">
            <v>40300</v>
          </cell>
          <cell r="J1690">
            <v>41800</v>
          </cell>
          <cell r="K1690" t="str">
            <v>-</v>
          </cell>
          <cell r="L1690">
            <v>42700</v>
          </cell>
          <cell r="M1690">
            <v>41300</v>
          </cell>
          <cell r="N1690">
            <v>39400</v>
          </cell>
          <cell r="O1690">
            <v>42300</v>
          </cell>
          <cell r="P1690">
            <v>37000</v>
          </cell>
          <cell r="Q1690">
            <v>37400</v>
          </cell>
          <cell r="R1690">
            <v>37200</v>
          </cell>
          <cell r="S1690">
            <v>39600</v>
          </cell>
          <cell r="T1690">
            <v>40900</v>
          </cell>
          <cell r="U1690">
            <v>43000</v>
          </cell>
          <cell r="V1690">
            <v>43100</v>
          </cell>
          <cell r="W1690">
            <v>46500</v>
          </cell>
        </row>
        <row r="1691">
          <cell r="A1691">
            <v>45956</v>
          </cell>
          <cell r="B1691" t="str">
            <v>H</v>
          </cell>
          <cell r="C1691" t="str">
            <v>H</v>
          </cell>
          <cell r="D1691" t="str">
            <v>H</v>
          </cell>
          <cell r="E1691" t="str">
            <v>H</v>
          </cell>
          <cell r="F1691" t="str">
            <v>H</v>
          </cell>
          <cell r="G1691" t="str">
            <v>H</v>
          </cell>
          <cell r="H1691" t="str">
            <v>H</v>
          </cell>
          <cell r="I1691" t="str">
            <v>H</v>
          </cell>
          <cell r="J1691" t="str">
            <v>H</v>
          </cell>
          <cell r="K1691" t="str">
            <v>H</v>
          </cell>
          <cell r="L1691" t="str">
            <v>H</v>
          </cell>
          <cell r="M1691" t="str">
            <v>H</v>
          </cell>
          <cell r="N1691" t="str">
            <v>H</v>
          </cell>
          <cell r="O1691" t="str">
            <v>H</v>
          </cell>
          <cell r="P1691" t="str">
            <v>H</v>
          </cell>
          <cell r="Q1691" t="str">
            <v>H</v>
          </cell>
          <cell r="R1691" t="str">
            <v>H</v>
          </cell>
          <cell r="S1691" t="str">
            <v>H</v>
          </cell>
          <cell r="T1691" t="str">
            <v>H</v>
          </cell>
          <cell r="U1691" t="str">
            <v>H</v>
          </cell>
          <cell r="V1691" t="str">
            <v>H</v>
          </cell>
          <cell r="W1691" t="str">
            <v>H</v>
          </cell>
        </row>
        <row r="1692">
          <cell r="A1692">
            <v>45957</v>
          </cell>
          <cell r="B1692">
            <v>41900</v>
          </cell>
          <cell r="C1692">
            <v>42700</v>
          </cell>
          <cell r="D1692">
            <v>40300</v>
          </cell>
          <cell r="E1692">
            <v>37400</v>
          </cell>
          <cell r="F1692">
            <v>43600</v>
          </cell>
          <cell r="G1692" t="str">
            <v>-</v>
          </cell>
          <cell r="H1692">
            <v>38800</v>
          </cell>
          <cell r="I1692">
            <v>40100</v>
          </cell>
          <cell r="J1692">
            <v>42000</v>
          </cell>
          <cell r="K1692" t="str">
            <v>-</v>
          </cell>
          <cell r="L1692">
            <v>42700</v>
          </cell>
          <cell r="M1692">
            <v>41300</v>
          </cell>
          <cell r="N1692">
            <v>39400</v>
          </cell>
          <cell r="O1692">
            <v>42300</v>
          </cell>
          <cell r="P1692">
            <v>36800</v>
          </cell>
          <cell r="Q1692">
            <v>37300</v>
          </cell>
          <cell r="R1692">
            <v>37200</v>
          </cell>
          <cell r="S1692">
            <v>39500</v>
          </cell>
          <cell r="T1692">
            <v>40800</v>
          </cell>
          <cell r="U1692">
            <v>43000</v>
          </cell>
          <cell r="V1692">
            <v>43000</v>
          </cell>
          <cell r="W1692">
            <v>46000</v>
          </cell>
        </row>
        <row r="1693">
          <cell r="A1693">
            <v>45958</v>
          </cell>
          <cell r="B1693">
            <v>41900</v>
          </cell>
          <cell r="C1693">
            <v>42700</v>
          </cell>
          <cell r="D1693">
            <v>40200</v>
          </cell>
          <cell r="E1693">
            <v>37300</v>
          </cell>
          <cell r="F1693">
            <v>43600</v>
          </cell>
          <cell r="G1693" t="str">
            <v>-</v>
          </cell>
          <cell r="H1693">
            <v>38800</v>
          </cell>
          <cell r="I1693">
            <v>39900</v>
          </cell>
          <cell r="J1693">
            <v>42000</v>
          </cell>
          <cell r="K1693" t="str">
            <v>-</v>
          </cell>
          <cell r="L1693">
            <v>42500</v>
          </cell>
          <cell r="M1693">
            <v>41300</v>
          </cell>
          <cell r="N1693">
            <v>39300</v>
          </cell>
          <cell r="O1693">
            <v>42200</v>
          </cell>
          <cell r="P1693">
            <v>36700</v>
          </cell>
          <cell r="Q1693">
            <v>37200</v>
          </cell>
          <cell r="R1693">
            <v>37200</v>
          </cell>
          <cell r="S1693">
            <v>39400</v>
          </cell>
          <cell r="T1693">
            <v>40800</v>
          </cell>
          <cell r="U1693">
            <v>43000</v>
          </cell>
          <cell r="V1693">
            <v>42500</v>
          </cell>
          <cell r="W1693">
            <v>45200</v>
          </cell>
        </row>
        <row r="1694">
          <cell r="A1694">
            <v>45959</v>
          </cell>
          <cell r="B1694">
            <v>42000</v>
          </cell>
          <cell r="C1694">
            <v>42700</v>
          </cell>
          <cell r="D1694">
            <v>40100</v>
          </cell>
          <cell r="E1694">
            <v>37600</v>
          </cell>
          <cell r="F1694">
            <v>43600</v>
          </cell>
          <cell r="G1694" t="str">
            <v>-</v>
          </cell>
          <cell r="H1694">
            <v>38800</v>
          </cell>
          <cell r="I1694">
            <v>40100</v>
          </cell>
          <cell r="J1694">
            <v>42100</v>
          </cell>
          <cell r="K1694" t="str">
            <v>-</v>
          </cell>
          <cell r="L1694">
            <v>42600</v>
          </cell>
          <cell r="M1694">
            <v>41300</v>
          </cell>
          <cell r="N1694">
            <v>39800</v>
          </cell>
          <cell r="O1694">
            <v>42300</v>
          </cell>
          <cell r="P1694">
            <v>37100</v>
          </cell>
          <cell r="Q1694">
            <v>37400</v>
          </cell>
          <cell r="R1694">
            <v>37300</v>
          </cell>
          <cell r="S1694">
            <v>39700</v>
          </cell>
          <cell r="T1694">
            <v>40800</v>
          </cell>
          <cell r="U1694">
            <v>42500</v>
          </cell>
          <cell r="V1694">
            <v>42500</v>
          </cell>
          <cell r="W1694">
            <v>45200</v>
          </cell>
        </row>
        <row r="1695">
          <cell r="A1695">
            <v>45960</v>
          </cell>
          <cell r="B1695">
            <v>42000</v>
          </cell>
          <cell r="C1695">
            <v>43000</v>
          </cell>
          <cell r="D1695">
            <v>40600</v>
          </cell>
          <cell r="E1695">
            <v>37700</v>
          </cell>
          <cell r="F1695">
            <v>43600</v>
          </cell>
          <cell r="G1695" t="str">
            <v>-</v>
          </cell>
          <cell r="H1695">
            <v>39000</v>
          </cell>
          <cell r="I1695">
            <v>40300</v>
          </cell>
          <cell r="J1695">
            <v>42400</v>
          </cell>
          <cell r="K1695" t="str">
            <v>-</v>
          </cell>
          <cell r="L1695">
            <v>42900</v>
          </cell>
          <cell r="M1695">
            <v>41800</v>
          </cell>
          <cell r="N1695">
            <v>40200</v>
          </cell>
          <cell r="O1695">
            <v>42300</v>
          </cell>
          <cell r="P1695">
            <v>37500</v>
          </cell>
          <cell r="Q1695">
            <v>37500</v>
          </cell>
          <cell r="R1695">
            <v>37500</v>
          </cell>
          <cell r="S1695">
            <v>39800</v>
          </cell>
          <cell r="T1695">
            <v>40800</v>
          </cell>
          <cell r="U1695">
            <v>42500</v>
          </cell>
          <cell r="V1695">
            <v>42500</v>
          </cell>
          <cell r="W1695">
            <v>45200</v>
          </cell>
        </row>
        <row r="1696">
          <cell r="A1696">
            <v>45961</v>
          </cell>
          <cell r="B1696">
            <v>42300</v>
          </cell>
          <cell r="C1696">
            <v>43200</v>
          </cell>
          <cell r="D1696">
            <v>41500</v>
          </cell>
          <cell r="E1696">
            <v>38000</v>
          </cell>
          <cell r="F1696">
            <v>43700</v>
          </cell>
          <cell r="G1696" t="str">
            <v>-</v>
          </cell>
          <cell r="H1696">
            <v>39200</v>
          </cell>
          <cell r="I1696">
            <v>40700</v>
          </cell>
          <cell r="J1696">
            <v>42900</v>
          </cell>
          <cell r="K1696" t="str">
            <v>-</v>
          </cell>
          <cell r="L1696">
            <v>43000</v>
          </cell>
          <cell r="M1696">
            <v>42300</v>
          </cell>
          <cell r="N1696">
            <v>40800</v>
          </cell>
          <cell r="O1696">
            <v>42600</v>
          </cell>
          <cell r="P1696">
            <v>38300</v>
          </cell>
          <cell r="Q1696">
            <v>38200</v>
          </cell>
          <cell r="R1696">
            <v>38400</v>
          </cell>
          <cell r="S1696">
            <v>40100</v>
          </cell>
          <cell r="T1696">
            <v>41600</v>
          </cell>
          <cell r="U1696">
            <v>42500</v>
          </cell>
          <cell r="V1696">
            <v>42500</v>
          </cell>
          <cell r="W1696">
            <v>45200</v>
          </cell>
        </row>
        <row r="1697">
          <cell r="A1697">
            <v>45962</v>
          </cell>
          <cell r="B1697">
            <v>42300</v>
          </cell>
          <cell r="C1697">
            <v>43300</v>
          </cell>
          <cell r="D1697">
            <v>41500</v>
          </cell>
          <cell r="E1697">
            <v>38000</v>
          </cell>
          <cell r="F1697">
            <v>43700</v>
          </cell>
          <cell r="G1697" t="str">
            <v>-</v>
          </cell>
          <cell r="H1697">
            <v>39500</v>
          </cell>
          <cell r="I1697">
            <v>40900</v>
          </cell>
          <cell r="J1697">
            <v>42900</v>
          </cell>
          <cell r="K1697" t="str">
            <v>-</v>
          </cell>
          <cell r="L1697">
            <v>43300</v>
          </cell>
          <cell r="M1697">
            <v>42600</v>
          </cell>
          <cell r="N1697">
            <v>40900</v>
          </cell>
          <cell r="O1697">
            <v>42700</v>
          </cell>
          <cell r="P1697">
            <v>38500</v>
          </cell>
          <cell r="Q1697">
            <v>38500</v>
          </cell>
          <cell r="R1697">
            <v>38400</v>
          </cell>
          <cell r="S1697">
            <v>40100</v>
          </cell>
          <cell r="T1697">
            <v>41800</v>
          </cell>
          <cell r="U1697">
            <v>42500</v>
          </cell>
          <cell r="V1697">
            <v>42500</v>
          </cell>
          <cell r="W1697">
            <v>45200</v>
          </cell>
        </row>
        <row r="1698">
          <cell r="A1698">
            <v>45963</v>
          </cell>
          <cell r="B1698" t="str">
            <v>H</v>
          </cell>
          <cell r="C1698" t="str">
            <v>H</v>
          </cell>
          <cell r="D1698" t="str">
            <v>H</v>
          </cell>
          <cell r="E1698" t="str">
            <v>H</v>
          </cell>
          <cell r="F1698" t="str">
            <v>H</v>
          </cell>
          <cell r="G1698" t="str">
            <v>H</v>
          </cell>
          <cell r="H1698" t="str">
            <v>H</v>
          </cell>
          <cell r="I1698" t="str">
            <v>H</v>
          </cell>
          <cell r="J1698" t="str">
            <v>H</v>
          </cell>
          <cell r="K1698" t="str">
            <v>H</v>
          </cell>
          <cell r="L1698" t="str">
            <v>H</v>
          </cell>
          <cell r="M1698" t="str">
            <v>H</v>
          </cell>
          <cell r="N1698" t="str">
            <v>H</v>
          </cell>
          <cell r="O1698" t="str">
            <v>H</v>
          </cell>
          <cell r="P1698" t="str">
            <v>H</v>
          </cell>
          <cell r="Q1698" t="str">
            <v>H</v>
          </cell>
          <cell r="R1698" t="str">
            <v>H</v>
          </cell>
          <cell r="S1698" t="str">
            <v>H</v>
          </cell>
          <cell r="T1698" t="str">
            <v>H</v>
          </cell>
          <cell r="U1698" t="str">
            <v>H</v>
          </cell>
          <cell r="V1698" t="str">
            <v>H</v>
          </cell>
          <cell r="W1698" t="str">
            <v>H</v>
          </cell>
        </row>
        <row r="1699">
          <cell r="A1699">
            <v>45964</v>
          </cell>
          <cell r="B1699">
            <v>42300</v>
          </cell>
          <cell r="C1699">
            <v>43300</v>
          </cell>
          <cell r="D1699">
            <v>41200</v>
          </cell>
          <cell r="E1699">
            <v>37800</v>
          </cell>
          <cell r="F1699">
            <v>43700</v>
          </cell>
          <cell r="G1699" t="str">
            <v>-</v>
          </cell>
          <cell r="H1699">
            <v>39500</v>
          </cell>
          <cell r="I1699">
            <v>40700</v>
          </cell>
          <cell r="J1699">
            <v>42600</v>
          </cell>
          <cell r="K1699" t="str">
            <v>-</v>
          </cell>
          <cell r="L1699">
            <v>43100</v>
          </cell>
          <cell r="M1699">
            <v>42700</v>
          </cell>
          <cell r="N1699">
            <v>40500</v>
          </cell>
          <cell r="O1699">
            <v>42700</v>
          </cell>
          <cell r="P1699">
            <v>38000</v>
          </cell>
          <cell r="Q1699">
            <v>38200</v>
          </cell>
          <cell r="R1699">
            <v>38200</v>
          </cell>
          <cell r="S1699">
            <v>39900</v>
          </cell>
          <cell r="T1699">
            <v>41500</v>
          </cell>
          <cell r="U1699">
            <v>42500</v>
          </cell>
          <cell r="V1699">
            <v>42500</v>
          </cell>
          <cell r="W1699">
            <v>45200</v>
          </cell>
        </row>
        <row r="1700">
          <cell r="A1700">
            <v>45965</v>
          </cell>
          <cell r="B1700">
            <v>42300</v>
          </cell>
          <cell r="C1700">
            <v>43300</v>
          </cell>
          <cell r="D1700">
            <v>41400</v>
          </cell>
          <cell r="E1700">
            <v>38000</v>
          </cell>
          <cell r="F1700">
            <v>43700</v>
          </cell>
          <cell r="G1700" t="str">
            <v>-</v>
          </cell>
          <cell r="H1700">
            <v>39500</v>
          </cell>
          <cell r="I1700">
            <v>40800</v>
          </cell>
          <cell r="J1700">
            <v>42500</v>
          </cell>
          <cell r="K1700" t="str">
            <v>-</v>
          </cell>
          <cell r="L1700">
            <v>43300</v>
          </cell>
          <cell r="M1700">
            <v>42900</v>
          </cell>
          <cell r="N1700">
            <v>40600</v>
          </cell>
          <cell r="O1700">
            <v>42700</v>
          </cell>
          <cell r="P1700">
            <v>37800</v>
          </cell>
          <cell r="Q1700">
            <v>38200</v>
          </cell>
          <cell r="R1700">
            <v>38200</v>
          </cell>
          <cell r="S1700">
            <v>40100</v>
          </cell>
          <cell r="T1700">
            <v>41500</v>
          </cell>
          <cell r="U1700">
            <v>42500</v>
          </cell>
          <cell r="V1700">
            <v>42600</v>
          </cell>
          <cell r="W1700">
            <v>45200</v>
          </cell>
        </row>
        <row r="1701">
          <cell r="A1701">
            <v>45966</v>
          </cell>
          <cell r="B1701">
            <v>42300</v>
          </cell>
          <cell r="C1701">
            <v>43200</v>
          </cell>
          <cell r="D1701">
            <v>41400</v>
          </cell>
          <cell r="E1701">
            <v>37800</v>
          </cell>
          <cell r="F1701">
            <v>43700</v>
          </cell>
          <cell r="G1701" t="str">
            <v>-</v>
          </cell>
          <cell r="H1701">
            <v>39500</v>
          </cell>
          <cell r="I1701">
            <v>40700</v>
          </cell>
          <cell r="J1701">
            <v>42500</v>
          </cell>
          <cell r="K1701" t="str">
            <v>-</v>
          </cell>
          <cell r="L1701">
            <v>43300</v>
          </cell>
          <cell r="M1701">
            <v>43000</v>
          </cell>
          <cell r="N1701">
            <v>40700</v>
          </cell>
          <cell r="O1701">
            <v>42700</v>
          </cell>
          <cell r="P1701">
            <v>37600</v>
          </cell>
          <cell r="Q1701">
            <v>38000</v>
          </cell>
          <cell r="R1701">
            <v>38200</v>
          </cell>
          <cell r="S1701">
            <v>39900</v>
          </cell>
          <cell r="T1701">
            <v>41400</v>
          </cell>
          <cell r="U1701">
            <v>42500</v>
          </cell>
          <cell r="V1701">
            <v>42600</v>
          </cell>
          <cell r="W1701">
            <v>45200</v>
          </cell>
        </row>
        <row r="1702">
          <cell r="A1702">
            <v>45967</v>
          </cell>
          <cell r="B1702">
            <v>42200</v>
          </cell>
          <cell r="C1702">
            <v>43000</v>
          </cell>
          <cell r="D1702">
            <v>41400</v>
          </cell>
          <cell r="E1702">
            <v>37800</v>
          </cell>
          <cell r="F1702">
            <v>43300</v>
          </cell>
          <cell r="G1702" t="str">
            <v>-</v>
          </cell>
          <cell r="H1702">
            <v>39500</v>
          </cell>
          <cell r="I1702">
            <v>40800</v>
          </cell>
          <cell r="J1702">
            <v>42500</v>
          </cell>
          <cell r="K1702" t="str">
            <v>-</v>
          </cell>
          <cell r="L1702">
            <v>43200</v>
          </cell>
          <cell r="M1702">
            <v>43000</v>
          </cell>
          <cell r="N1702">
            <v>40700</v>
          </cell>
          <cell r="O1702">
            <v>42700</v>
          </cell>
          <cell r="P1702">
            <v>37400</v>
          </cell>
          <cell r="Q1702">
            <v>37800</v>
          </cell>
          <cell r="R1702">
            <v>38200</v>
          </cell>
          <cell r="S1702">
            <v>39900</v>
          </cell>
          <cell r="T1702">
            <v>41300</v>
          </cell>
          <cell r="U1702">
            <v>42500</v>
          </cell>
          <cell r="V1702">
            <v>42600</v>
          </cell>
          <cell r="W1702">
            <v>45200</v>
          </cell>
        </row>
        <row r="1703">
          <cell r="A1703">
            <v>45968</v>
          </cell>
          <cell r="B1703">
            <v>42000</v>
          </cell>
          <cell r="C1703">
            <v>43000</v>
          </cell>
          <cell r="D1703">
            <v>41300</v>
          </cell>
          <cell r="E1703">
            <v>37800</v>
          </cell>
          <cell r="F1703">
            <v>43300</v>
          </cell>
          <cell r="G1703" t="str">
            <v>-</v>
          </cell>
          <cell r="H1703">
            <v>39700</v>
          </cell>
          <cell r="I1703">
            <v>40700</v>
          </cell>
          <cell r="J1703">
            <v>42200</v>
          </cell>
          <cell r="K1703" t="str">
            <v>-</v>
          </cell>
          <cell r="L1703">
            <v>43200</v>
          </cell>
          <cell r="M1703">
            <v>43000</v>
          </cell>
          <cell r="N1703">
            <v>40500</v>
          </cell>
          <cell r="O1703">
            <v>42600</v>
          </cell>
          <cell r="P1703">
            <v>37300</v>
          </cell>
          <cell r="Q1703">
            <v>37600</v>
          </cell>
          <cell r="R1703">
            <v>38000</v>
          </cell>
          <cell r="S1703">
            <v>39900</v>
          </cell>
          <cell r="T1703">
            <v>41200</v>
          </cell>
          <cell r="U1703">
            <v>42500</v>
          </cell>
          <cell r="V1703">
            <v>42200</v>
          </cell>
          <cell r="W1703">
            <v>45100</v>
          </cell>
        </row>
        <row r="1704">
          <cell r="A1704">
            <v>45969</v>
          </cell>
          <cell r="B1704">
            <v>42000</v>
          </cell>
          <cell r="C1704">
            <v>43000</v>
          </cell>
          <cell r="D1704">
            <v>41200</v>
          </cell>
          <cell r="E1704">
            <v>37700</v>
          </cell>
          <cell r="F1704">
            <v>43000</v>
          </cell>
          <cell r="G1704" t="str">
            <v>-</v>
          </cell>
          <cell r="H1704">
            <v>39700</v>
          </cell>
          <cell r="I1704">
            <v>40500</v>
          </cell>
          <cell r="J1704">
            <v>42200</v>
          </cell>
          <cell r="K1704" t="str">
            <v>-</v>
          </cell>
          <cell r="L1704">
            <v>43100</v>
          </cell>
          <cell r="M1704">
            <v>43000</v>
          </cell>
          <cell r="N1704">
            <v>40400</v>
          </cell>
          <cell r="O1704">
            <v>42500</v>
          </cell>
          <cell r="P1704">
            <v>37200</v>
          </cell>
          <cell r="Q1704">
            <v>37600</v>
          </cell>
          <cell r="R1704">
            <v>38000</v>
          </cell>
          <cell r="S1704">
            <v>39800</v>
          </cell>
          <cell r="T1704">
            <v>41200</v>
          </cell>
          <cell r="U1704">
            <v>42500</v>
          </cell>
          <cell r="V1704">
            <v>42200</v>
          </cell>
          <cell r="W1704">
            <v>45100</v>
          </cell>
        </row>
        <row r="1705">
          <cell r="A1705">
            <v>45970</v>
          </cell>
          <cell r="B1705" t="str">
            <v>H</v>
          </cell>
          <cell r="C1705" t="str">
            <v>H</v>
          </cell>
          <cell r="D1705" t="str">
            <v>H</v>
          </cell>
          <cell r="E1705" t="str">
            <v>H</v>
          </cell>
          <cell r="F1705" t="str">
            <v>H</v>
          </cell>
          <cell r="G1705" t="str">
            <v>H</v>
          </cell>
          <cell r="H1705" t="str">
            <v>H</v>
          </cell>
          <cell r="I1705" t="str">
            <v>H</v>
          </cell>
          <cell r="J1705" t="str">
            <v>H</v>
          </cell>
          <cell r="K1705" t="str">
            <v>H</v>
          </cell>
          <cell r="L1705" t="str">
            <v>H</v>
          </cell>
          <cell r="M1705" t="str">
            <v>H</v>
          </cell>
          <cell r="N1705" t="str">
            <v>H</v>
          </cell>
          <cell r="O1705" t="str">
            <v>H</v>
          </cell>
          <cell r="P1705" t="str">
            <v>H</v>
          </cell>
          <cell r="Q1705" t="str">
            <v>H</v>
          </cell>
          <cell r="R1705" t="str">
            <v>H</v>
          </cell>
          <cell r="S1705" t="str">
            <v>H</v>
          </cell>
          <cell r="T1705" t="str">
            <v>H</v>
          </cell>
          <cell r="U1705" t="str">
            <v>H</v>
          </cell>
          <cell r="V1705" t="str">
            <v>H</v>
          </cell>
          <cell r="W1705" t="str">
            <v>H</v>
          </cell>
        </row>
        <row r="1706">
          <cell r="A1706">
            <v>45971</v>
          </cell>
          <cell r="B1706">
            <v>41900</v>
          </cell>
          <cell r="C1706">
            <v>43000</v>
          </cell>
          <cell r="D1706">
            <v>41000</v>
          </cell>
          <cell r="E1706">
            <v>37800</v>
          </cell>
          <cell r="F1706">
            <v>43000</v>
          </cell>
          <cell r="G1706" t="str">
            <v>-</v>
          </cell>
          <cell r="H1706">
            <v>39500</v>
          </cell>
          <cell r="I1706">
            <v>40500</v>
          </cell>
          <cell r="J1706">
            <v>42200</v>
          </cell>
          <cell r="K1706" t="str">
            <v>-</v>
          </cell>
          <cell r="L1706">
            <v>43100</v>
          </cell>
          <cell r="M1706">
            <v>42700</v>
          </cell>
          <cell r="N1706">
            <v>40400</v>
          </cell>
          <cell r="O1706">
            <v>42500</v>
          </cell>
          <cell r="P1706">
            <v>37000</v>
          </cell>
          <cell r="Q1706">
            <v>37600</v>
          </cell>
          <cell r="R1706">
            <v>37800</v>
          </cell>
          <cell r="S1706">
            <v>39900</v>
          </cell>
          <cell r="T1706">
            <v>41100</v>
          </cell>
          <cell r="U1706">
            <v>42500</v>
          </cell>
          <cell r="V1706">
            <v>42200</v>
          </cell>
          <cell r="W1706">
            <v>44800</v>
          </cell>
        </row>
        <row r="1707">
          <cell r="A1707">
            <v>45972</v>
          </cell>
          <cell r="B1707">
            <v>41900</v>
          </cell>
          <cell r="C1707">
            <v>43000</v>
          </cell>
          <cell r="D1707">
            <v>41500</v>
          </cell>
          <cell r="E1707">
            <v>38100</v>
          </cell>
          <cell r="F1707">
            <v>43000</v>
          </cell>
          <cell r="G1707" t="str">
            <v>-</v>
          </cell>
          <cell r="H1707">
            <v>40000</v>
          </cell>
          <cell r="I1707">
            <v>40600</v>
          </cell>
          <cell r="J1707">
            <v>42200</v>
          </cell>
          <cell r="K1707" t="str">
            <v>-</v>
          </cell>
          <cell r="L1707">
            <v>43400</v>
          </cell>
          <cell r="M1707">
            <v>42500</v>
          </cell>
          <cell r="N1707">
            <v>40500</v>
          </cell>
          <cell r="O1707">
            <v>42700</v>
          </cell>
          <cell r="P1707">
            <v>37400</v>
          </cell>
          <cell r="Q1707">
            <v>37800</v>
          </cell>
          <cell r="R1707">
            <v>38000</v>
          </cell>
          <cell r="S1707">
            <v>40200</v>
          </cell>
          <cell r="T1707">
            <v>41400</v>
          </cell>
          <cell r="U1707">
            <v>42500</v>
          </cell>
          <cell r="V1707">
            <v>42200</v>
          </cell>
          <cell r="W1707">
            <v>44800</v>
          </cell>
        </row>
        <row r="1708">
          <cell r="A1708">
            <v>45973</v>
          </cell>
          <cell r="B1708">
            <v>41900</v>
          </cell>
          <cell r="C1708">
            <v>43000</v>
          </cell>
          <cell r="D1708">
            <v>41400</v>
          </cell>
          <cell r="E1708">
            <v>38000</v>
          </cell>
          <cell r="F1708">
            <v>43000</v>
          </cell>
          <cell r="G1708" t="str">
            <v>-</v>
          </cell>
          <cell r="H1708">
            <v>39800</v>
          </cell>
          <cell r="I1708">
            <v>40600</v>
          </cell>
          <cell r="J1708">
            <v>42200</v>
          </cell>
          <cell r="K1708" t="str">
            <v>-</v>
          </cell>
          <cell r="L1708">
            <v>43500</v>
          </cell>
          <cell r="M1708">
            <v>42500</v>
          </cell>
          <cell r="N1708">
            <v>40500</v>
          </cell>
          <cell r="O1708">
            <v>42700</v>
          </cell>
          <cell r="P1708">
            <v>37100</v>
          </cell>
          <cell r="Q1708">
            <v>37700</v>
          </cell>
          <cell r="R1708">
            <v>38000</v>
          </cell>
          <cell r="S1708">
            <v>40100</v>
          </cell>
          <cell r="T1708">
            <v>41400</v>
          </cell>
          <cell r="U1708">
            <v>42500</v>
          </cell>
          <cell r="V1708">
            <v>42200</v>
          </cell>
          <cell r="W1708">
            <v>44800</v>
          </cell>
        </row>
        <row r="1709">
          <cell r="A1709">
            <v>45974</v>
          </cell>
          <cell r="B1709">
            <v>42200</v>
          </cell>
          <cell r="C1709">
            <v>42800</v>
          </cell>
          <cell r="D1709">
            <v>41600</v>
          </cell>
          <cell r="E1709">
            <v>38100</v>
          </cell>
          <cell r="F1709">
            <v>43000</v>
          </cell>
          <cell r="G1709" t="str">
            <v>-</v>
          </cell>
          <cell r="H1709">
            <v>39800</v>
          </cell>
          <cell r="I1709">
            <v>40900</v>
          </cell>
          <cell r="J1709">
            <v>42200</v>
          </cell>
          <cell r="K1709" t="str">
            <v>-</v>
          </cell>
          <cell r="L1709">
            <v>43600</v>
          </cell>
          <cell r="M1709">
            <v>42100</v>
          </cell>
          <cell r="N1709">
            <v>40800</v>
          </cell>
          <cell r="O1709">
            <v>42700</v>
          </cell>
          <cell r="P1709">
            <v>37800</v>
          </cell>
          <cell r="Q1709">
            <v>38000</v>
          </cell>
          <cell r="R1709">
            <v>38200</v>
          </cell>
          <cell r="S1709">
            <v>40200</v>
          </cell>
          <cell r="T1709">
            <v>41400</v>
          </cell>
          <cell r="U1709">
            <v>42500</v>
          </cell>
          <cell r="V1709">
            <v>42100</v>
          </cell>
          <cell r="W1709">
            <v>44800</v>
          </cell>
        </row>
        <row r="1710">
          <cell r="A1710">
            <v>45975</v>
          </cell>
          <cell r="B1710">
            <v>42300</v>
          </cell>
          <cell r="C1710">
            <v>42800</v>
          </cell>
          <cell r="D1710">
            <v>41800</v>
          </cell>
          <cell r="E1710">
            <v>38000</v>
          </cell>
          <cell r="F1710">
            <v>43300</v>
          </cell>
          <cell r="G1710" t="str">
            <v>-</v>
          </cell>
          <cell r="H1710">
            <v>40000</v>
          </cell>
          <cell r="I1710">
            <v>41000</v>
          </cell>
          <cell r="J1710">
            <v>42200</v>
          </cell>
          <cell r="K1710" t="str">
            <v>-</v>
          </cell>
          <cell r="L1710">
            <v>43700</v>
          </cell>
          <cell r="M1710">
            <v>42500</v>
          </cell>
          <cell r="N1710">
            <v>41000</v>
          </cell>
          <cell r="O1710">
            <v>42700</v>
          </cell>
          <cell r="P1710">
            <v>37900</v>
          </cell>
          <cell r="Q1710">
            <v>38100</v>
          </cell>
          <cell r="R1710">
            <v>38400</v>
          </cell>
          <cell r="S1710">
            <v>40100</v>
          </cell>
          <cell r="T1710">
            <v>41700</v>
          </cell>
          <cell r="U1710">
            <v>42500</v>
          </cell>
          <cell r="V1710">
            <v>42000</v>
          </cell>
          <cell r="W1710">
            <v>44800</v>
          </cell>
        </row>
        <row r="1711">
          <cell r="A1711">
            <v>45976</v>
          </cell>
          <cell r="B1711">
            <v>42400</v>
          </cell>
          <cell r="C1711">
            <v>42800</v>
          </cell>
          <cell r="D1711">
            <v>41800</v>
          </cell>
          <cell r="E1711">
            <v>38500</v>
          </cell>
          <cell r="F1711">
            <v>43300</v>
          </cell>
          <cell r="G1711" t="str">
            <v>-</v>
          </cell>
          <cell r="H1711">
            <v>40300</v>
          </cell>
          <cell r="I1711">
            <v>41250</v>
          </cell>
          <cell r="J1711">
            <v>42500</v>
          </cell>
          <cell r="K1711" t="str">
            <v>-</v>
          </cell>
          <cell r="L1711">
            <v>44000</v>
          </cell>
          <cell r="M1711">
            <v>42600</v>
          </cell>
          <cell r="N1711">
            <v>41400</v>
          </cell>
          <cell r="O1711">
            <v>43000</v>
          </cell>
          <cell r="P1711">
            <v>38400</v>
          </cell>
          <cell r="Q1711">
            <v>38400</v>
          </cell>
          <cell r="R1711">
            <v>38500</v>
          </cell>
          <cell r="S1711">
            <v>40600</v>
          </cell>
          <cell r="T1711">
            <v>42000</v>
          </cell>
          <cell r="U1711">
            <v>42500</v>
          </cell>
          <cell r="V1711">
            <v>42000</v>
          </cell>
          <cell r="W1711">
            <v>44800</v>
          </cell>
        </row>
        <row r="1712">
          <cell r="A1712">
            <v>45977</v>
          </cell>
          <cell r="B1712" t="str">
            <v>H</v>
          </cell>
          <cell r="C1712" t="str">
            <v>H</v>
          </cell>
          <cell r="D1712" t="str">
            <v>H</v>
          </cell>
          <cell r="E1712" t="str">
            <v>H</v>
          </cell>
          <cell r="F1712" t="str">
            <v>H</v>
          </cell>
          <cell r="G1712" t="str">
            <v>H</v>
          </cell>
          <cell r="H1712" t="str">
            <v>H</v>
          </cell>
          <cell r="I1712" t="str">
            <v>H</v>
          </cell>
          <cell r="J1712" t="str">
            <v>H</v>
          </cell>
          <cell r="K1712" t="str">
            <v>H</v>
          </cell>
          <cell r="L1712" t="str">
            <v>H</v>
          </cell>
          <cell r="M1712" t="str">
            <v>H</v>
          </cell>
          <cell r="N1712" t="str">
            <v>H</v>
          </cell>
          <cell r="O1712" t="str">
            <v>H</v>
          </cell>
          <cell r="P1712" t="str">
            <v>H</v>
          </cell>
          <cell r="Q1712" t="str">
            <v>H</v>
          </cell>
          <cell r="R1712" t="str">
            <v>H</v>
          </cell>
          <cell r="S1712" t="str">
            <v>H</v>
          </cell>
          <cell r="T1712" t="str">
            <v>H</v>
          </cell>
          <cell r="U1712" t="str">
            <v>H</v>
          </cell>
          <cell r="V1712" t="str">
            <v>H</v>
          </cell>
          <cell r="W1712" t="str">
            <v>H</v>
          </cell>
        </row>
        <row r="1713">
          <cell r="A1713">
            <v>45978</v>
          </cell>
          <cell r="B1713">
            <v>42500</v>
          </cell>
          <cell r="C1713">
            <v>43000</v>
          </cell>
          <cell r="D1713">
            <v>42300</v>
          </cell>
          <cell r="E1713">
            <v>38600</v>
          </cell>
          <cell r="F1713">
            <v>43800</v>
          </cell>
          <cell r="G1713" t="str">
            <v>-</v>
          </cell>
          <cell r="H1713">
            <v>40300</v>
          </cell>
          <cell r="I1713">
            <v>41600</v>
          </cell>
          <cell r="J1713">
            <v>42500</v>
          </cell>
          <cell r="K1713" t="str">
            <v>-</v>
          </cell>
          <cell r="L1713">
            <v>44100</v>
          </cell>
          <cell r="M1713">
            <v>42600</v>
          </cell>
          <cell r="N1713">
            <v>41700</v>
          </cell>
          <cell r="O1713">
            <v>43000</v>
          </cell>
          <cell r="P1713">
            <v>38400</v>
          </cell>
          <cell r="Q1713">
            <v>38500</v>
          </cell>
          <cell r="R1713">
            <v>38800</v>
          </cell>
          <cell r="S1713">
            <v>40700</v>
          </cell>
          <cell r="T1713">
            <v>42100</v>
          </cell>
          <cell r="U1713">
            <v>43000</v>
          </cell>
          <cell r="V1713">
            <v>42000</v>
          </cell>
          <cell r="W1713">
            <v>44900</v>
          </cell>
        </row>
        <row r="1714">
          <cell r="A1714">
            <v>45979</v>
          </cell>
          <cell r="B1714">
            <v>42500</v>
          </cell>
          <cell r="C1714">
            <v>43000</v>
          </cell>
          <cell r="D1714">
            <v>42100</v>
          </cell>
          <cell r="E1714">
            <v>38600</v>
          </cell>
          <cell r="F1714">
            <v>43800</v>
          </cell>
          <cell r="G1714" t="str">
            <v>-</v>
          </cell>
          <cell r="H1714">
            <v>40300</v>
          </cell>
          <cell r="I1714">
            <v>41500</v>
          </cell>
          <cell r="J1714">
            <v>42500</v>
          </cell>
          <cell r="K1714" t="str">
            <v>-</v>
          </cell>
          <cell r="L1714">
            <v>44200</v>
          </cell>
          <cell r="M1714">
            <v>42700</v>
          </cell>
          <cell r="N1714">
            <v>41900</v>
          </cell>
          <cell r="O1714">
            <v>43000</v>
          </cell>
          <cell r="P1714">
            <v>38200</v>
          </cell>
          <cell r="Q1714">
            <v>38500</v>
          </cell>
          <cell r="R1714">
            <v>38700</v>
          </cell>
          <cell r="S1714">
            <v>40600</v>
          </cell>
          <cell r="T1714">
            <v>42000</v>
          </cell>
          <cell r="U1714">
            <v>43000</v>
          </cell>
          <cell r="V1714">
            <v>42000</v>
          </cell>
          <cell r="W1714">
            <v>44900</v>
          </cell>
        </row>
        <row r="1715">
          <cell r="A1715">
            <v>45980</v>
          </cell>
          <cell r="B1715">
            <v>42500</v>
          </cell>
          <cell r="C1715">
            <v>43000</v>
          </cell>
          <cell r="D1715">
            <v>42000</v>
          </cell>
          <cell r="E1715">
            <v>38500</v>
          </cell>
          <cell r="F1715">
            <v>43800</v>
          </cell>
          <cell r="G1715" t="str">
            <v>-</v>
          </cell>
          <cell r="H1715">
            <v>40300</v>
          </cell>
          <cell r="I1715">
            <v>41500</v>
          </cell>
          <cell r="J1715">
            <v>42500</v>
          </cell>
          <cell r="K1715" t="str">
            <v>-</v>
          </cell>
          <cell r="L1715">
            <v>44000</v>
          </cell>
          <cell r="M1715">
            <v>42700</v>
          </cell>
          <cell r="N1715">
            <v>41500</v>
          </cell>
          <cell r="O1715">
            <v>43000</v>
          </cell>
          <cell r="P1715">
            <v>38000</v>
          </cell>
          <cell r="Q1715">
            <v>38400</v>
          </cell>
          <cell r="R1715">
            <v>38700</v>
          </cell>
          <cell r="S1715">
            <v>40600</v>
          </cell>
          <cell r="T1715">
            <v>41900</v>
          </cell>
          <cell r="U1715">
            <v>43000</v>
          </cell>
          <cell r="V1715">
            <v>42400</v>
          </cell>
          <cell r="W1715">
            <v>44900</v>
          </cell>
        </row>
        <row r="1716">
          <cell r="A1716">
            <v>45981</v>
          </cell>
          <cell r="B1716">
            <v>42500</v>
          </cell>
          <cell r="C1716">
            <v>43200</v>
          </cell>
          <cell r="D1716">
            <v>42100</v>
          </cell>
          <cell r="E1716">
            <v>38900</v>
          </cell>
          <cell r="F1716">
            <v>43800</v>
          </cell>
          <cell r="G1716" t="str">
            <v>-</v>
          </cell>
          <cell r="H1716">
            <v>41000</v>
          </cell>
          <cell r="I1716">
            <v>41700</v>
          </cell>
          <cell r="J1716">
            <v>42500</v>
          </cell>
          <cell r="K1716" t="str">
            <v>-</v>
          </cell>
          <cell r="L1716">
            <v>44400</v>
          </cell>
          <cell r="M1716">
            <v>42700</v>
          </cell>
          <cell r="N1716">
            <v>41900</v>
          </cell>
          <cell r="O1716">
            <v>43300</v>
          </cell>
          <cell r="P1716">
            <v>38000</v>
          </cell>
          <cell r="Q1716">
            <v>38400</v>
          </cell>
          <cell r="R1716">
            <v>38700</v>
          </cell>
          <cell r="S1716">
            <v>40800</v>
          </cell>
          <cell r="T1716">
            <v>41800</v>
          </cell>
          <cell r="U1716">
            <v>43000</v>
          </cell>
          <cell r="V1716">
            <v>42400</v>
          </cell>
          <cell r="W1716">
            <v>44900</v>
          </cell>
        </row>
        <row r="1717">
          <cell r="A1717">
            <v>45982</v>
          </cell>
          <cell r="B1717">
            <v>42700</v>
          </cell>
          <cell r="C1717">
            <v>43200</v>
          </cell>
          <cell r="D1717">
            <v>42100</v>
          </cell>
          <cell r="E1717">
            <v>38800</v>
          </cell>
          <cell r="F1717">
            <v>43800</v>
          </cell>
          <cell r="G1717" t="str">
            <v>-</v>
          </cell>
          <cell r="H1717">
            <v>41200</v>
          </cell>
          <cell r="I1717">
            <v>41500</v>
          </cell>
          <cell r="J1717">
            <v>42500</v>
          </cell>
          <cell r="K1717" t="str">
            <v>-</v>
          </cell>
          <cell r="L1717">
            <v>44400</v>
          </cell>
          <cell r="M1717">
            <v>42700</v>
          </cell>
          <cell r="N1717">
            <v>41700</v>
          </cell>
          <cell r="O1717">
            <v>43400</v>
          </cell>
          <cell r="P1717">
            <v>38000</v>
          </cell>
          <cell r="Q1717">
            <v>38400</v>
          </cell>
          <cell r="R1717">
            <v>38700</v>
          </cell>
          <cell r="S1717">
            <v>40900</v>
          </cell>
          <cell r="T1717">
            <v>41800</v>
          </cell>
          <cell r="U1717">
            <v>43000</v>
          </cell>
          <cell r="V1717">
            <v>42400</v>
          </cell>
          <cell r="W1717">
            <v>44900</v>
          </cell>
        </row>
        <row r="1718">
          <cell r="A1718">
            <v>45983</v>
          </cell>
          <cell r="B1718">
            <v>42700</v>
          </cell>
          <cell r="C1718">
            <v>43200</v>
          </cell>
          <cell r="D1718">
            <v>42200</v>
          </cell>
          <cell r="E1718">
            <v>38800</v>
          </cell>
          <cell r="F1718">
            <v>43800</v>
          </cell>
          <cell r="G1718" t="str">
            <v>-</v>
          </cell>
          <cell r="H1718">
            <v>41200</v>
          </cell>
          <cell r="I1718">
            <v>41400</v>
          </cell>
          <cell r="J1718">
            <v>42500</v>
          </cell>
          <cell r="K1718" t="str">
            <v>-</v>
          </cell>
          <cell r="L1718">
            <v>44400</v>
          </cell>
          <cell r="M1718">
            <v>42700</v>
          </cell>
          <cell r="N1718">
            <v>41600</v>
          </cell>
          <cell r="O1718">
            <v>43400</v>
          </cell>
          <cell r="P1718">
            <v>38000</v>
          </cell>
          <cell r="Q1718">
            <v>38300</v>
          </cell>
          <cell r="R1718">
            <v>38500</v>
          </cell>
          <cell r="S1718">
            <v>40900</v>
          </cell>
          <cell r="T1718">
            <v>41800</v>
          </cell>
          <cell r="U1718">
            <v>43000</v>
          </cell>
          <cell r="V1718">
            <v>42400</v>
          </cell>
          <cell r="W1718">
            <v>44900</v>
          </cell>
        </row>
        <row r="1719">
          <cell r="A1719">
            <v>45984</v>
          </cell>
          <cell r="B1719" t="str">
            <v>H</v>
          </cell>
          <cell r="C1719" t="str">
            <v>H</v>
          </cell>
          <cell r="D1719" t="str">
            <v>H</v>
          </cell>
          <cell r="E1719" t="str">
            <v>H</v>
          </cell>
          <cell r="F1719" t="str">
            <v>H</v>
          </cell>
          <cell r="G1719" t="str">
            <v>H</v>
          </cell>
          <cell r="H1719" t="str">
            <v>H</v>
          </cell>
          <cell r="I1719" t="str">
            <v>H</v>
          </cell>
          <cell r="J1719" t="str">
            <v>H</v>
          </cell>
          <cell r="K1719" t="str">
            <v>H</v>
          </cell>
          <cell r="L1719" t="str">
            <v>H</v>
          </cell>
          <cell r="M1719" t="str">
            <v>H</v>
          </cell>
          <cell r="N1719" t="str">
            <v>H</v>
          </cell>
          <cell r="O1719" t="str">
            <v>H</v>
          </cell>
          <cell r="P1719" t="str">
            <v>H</v>
          </cell>
          <cell r="Q1719" t="str">
            <v>H</v>
          </cell>
          <cell r="R1719" t="str">
            <v>H</v>
          </cell>
          <cell r="S1719" t="str">
            <v>H</v>
          </cell>
          <cell r="T1719" t="str">
            <v>H</v>
          </cell>
          <cell r="U1719" t="str">
            <v>H</v>
          </cell>
          <cell r="V1719" t="str">
            <v>H</v>
          </cell>
          <cell r="W1719" t="str">
            <v>H</v>
          </cell>
        </row>
        <row r="1720">
          <cell r="A1720">
            <v>45985</v>
          </cell>
          <cell r="B1720">
            <v>42800</v>
          </cell>
          <cell r="C1720">
            <v>43000</v>
          </cell>
          <cell r="D1720">
            <v>42000</v>
          </cell>
          <cell r="E1720">
            <v>38800</v>
          </cell>
          <cell r="F1720">
            <v>43800</v>
          </cell>
          <cell r="G1720" t="str">
            <v>-</v>
          </cell>
          <cell r="H1720">
            <v>41000</v>
          </cell>
          <cell r="I1720">
            <v>41400</v>
          </cell>
          <cell r="J1720">
            <v>42500</v>
          </cell>
          <cell r="K1720" t="str">
            <v>-</v>
          </cell>
          <cell r="L1720">
            <v>44300</v>
          </cell>
          <cell r="M1720">
            <v>42700</v>
          </cell>
          <cell r="N1720">
            <v>41300</v>
          </cell>
          <cell r="O1720">
            <v>43400</v>
          </cell>
          <cell r="P1720">
            <v>38000</v>
          </cell>
          <cell r="Q1720">
            <v>38500</v>
          </cell>
          <cell r="R1720">
            <v>38500</v>
          </cell>
          <cell r="S1720">
            <v>40900</v>
          </cell>
          <cell r="T1720">
            <v>42000</v>
          </cell>
          <cell r="U1720">
            <v>43000</v>
          </cell>
          <cell r="V1720">
            <v>42400</v>
          </cell>
          <cell r="W1720">
            <v>44900</v>
          </cell>
        </row>
        <row r="1721">
          <cell r="A1721">
            <v>45986</v>
          </cell>
          <cell r="B1721">
            <v>42800</v>
          </cell>
          <cell r="C1721">
            <v>43000</v>
          </cell>
          <cell r="D1721">
            <v>41900</v>
          </cell>
          <cell r="E1721">
            <v>38800</v>
          </cell>
          <cell r="F1721">
            <v>43800</v>
          </cell>
          <cell r="G1721" t="str">
            <v>-</v>
          </cell>
          <cell r="H1721">
            <v>40800</v>
          </cell>
          <cell r="I1721">
            <v>41600</v>
          </cell>
          <cell r="J1721">
            <v>42600</v>
          </cell>
          <cell r="K1721" t="str">
            <v>-</v>
          </cell>
          <cell r="L1721">
            <v>44300</v>
          </cell>
          <cell r="M1721">
            <v>42700</v>
          </cell>
          <cell r="N1721">
            <v>41200</v>
          </cell>
          <cell r="O1721">
            <v>43400</v>
          </cell>
          <cell r="P1721">
            <v>37800</v>
          </cell>
          <cell r="Q1721">
            <v>38400</v>
          </cell>
          <cell r="R1721">
            <v>38500</v>
          </cell>
          <cell r="S1721">
            <v>40900</v>
          </cell>
          <cell r="T1721">
            <v>41900</v>
          </cell>
          <cell r="U1721">
            <v>43000</v>
          </cell>
          <cell r="V1721">
            <v>42400</v>
          </cell>
          <cell r="W1721">
            <v>44900</v>
          </cell>
        </row>
        <row r="1722">
          <cell r="A1722">
            <v>45987</v>
          </cell>
          <cell r="B1722">
            <v>43200</v>
          </cell>
          <cell r="C1722">
            <v>43000</v>
          </cell>
          <cell r="D1722">
            <v>42250</v>
          </cell>
          <cell r="E1722">
            <v>39100</v>
          </cell>
          <cell r="F1722">
            <v>43800</v>
          </cell>
          <cell r="G1722" t="str">
            <v>-</v>
          </cell>
          <cell r="H1722">
            <v>41000</v>
          </cell>
          <cell r="I1722">
            <v>42000</v>
          </cell>
          <cell r="J1722">
            <v>42700</v>
          </cell>
          <cell r="K1722" t="str">
            <v>-</v>
          </cell>
          <cell r="L1722">
            <v>44500</v>
          </cell>
          <cell r="M1722">
            <v>42700</v>
          </cell>
          <cell r="N1722">
            <v>41500</v>
          </cell>
          <cell r="O1722">
            <v>43500</v>
          </cell>
          <cell r="P1722">
            <v>38000</v>
          </cell>
          <cell r="Q1722">
            <v>38700</v>
          </cell>
          <cell r="R1722">
            <v>38700</v>
          </cell>
          <cell r="S1722">
            <v>41200</v>
          </cell>
          <cell r="T1722">
            <v>42200</v>
          </cell>
          <cell r="U1722">
            <v>43500</v>
          </cell>
          <cell r="V1722">
            <v>42400</v>
          </cell>
          <cell r="W1722">
            <v>45000</v>
          </cell>
        </row>
        <row r="1723">
          <cell r="A1723">
            <v>45988</v>
          </cell>
          <cell r="B1723">
            <v>43400</v>
          </cell>
          <cell r="C1723">
            <v>43000</v>
          </cell>
          <cell r="D1723">
            <v>42600</v>
          </cell>
          <cell r="E1723">
            <v>39200</v>
          </cell>
          <cell r="F1723">
            <v>44200</v>
          </cell>
          <cell r="G1723" t="str">
            <v>-</v>
          </cell>
          <cell r="H1723">
            <v>41500</v>
          </cell>
          <cell r="I1723">
            <v>42100</v>
          </cell>
          <cell r="J1723">
            <v>42800</v>
          </cell>
          <cell r="K1723" t="str">
            <v>-</v>
          </cell>
          <cell r="L1723">
            <v>45000</v>
          </cell>
          <cell r="M1723">
            <v>42800</v>
          </cell>
          <cell r="N1723">
            <v>42100</v>
          </cell>
          <cell r="O1723">
            <v>43500</v>
          </cell>
          <cell r="P1723">
            <v>38300</v>
          </cell>
          <cell r="Q1723">
            <v>39000</v>
          </cell>
          <cell r="R1723">
            <v>39000</v>
          </cell>
          <cell r="S1723">
            <v>41300</v>
          </cell>
          <cell r="T1723">
            <v>42600</v>
          </cell>
          <cell r="U1723">
            <v>43500</v>
          </cell>
          <cell r="V1723">
            <v>42500</v>
          </cell>
          <cell r="W1723">
            <v>45600</v>
          </cell>
        </row>
        <row r="1724">
          <cell r="A1724">
            <v>45989</v>
          </cell>
          <cell r="B1724">
            <v>43400</v>
          </cell>
          <cell r="C1724">
            <v>43000</v>
          </cell>
          <cell r="D1724">
            <v>42400</v>
          </cell>
          <cell r="E1724">
            <v>39100</v>
          </cell>
          <cell r="F1724">
            <v>44200</v>
          </cell>
          <cell r="G1724" t="str">
            <v>-</v>
          </cell>
          <cell r="H1724">
            <v>41500</v>
          </cell>
          <cell r="I1724">
            <v>42100</v>
          </cell>
          <cell r="J1724">
            <v>42800</v>
          </cell>
          <cell r="K1724" t="str">
            <v>-</v>
          </cell>
          <cell r="L1724">
            <v>44800</v>
          </cell>
          <cell r="M1724">
            <v>42800</v>
          </cell>
          <cell r="N1724">
            <v>42000</v>
          </cell>
          <cell r="O1724">
            <v>43300</v>
          </cell>
          <cell r="P1724">
            <v>38200</v>
          </cell>
          <cell r="Q1724">
            <v>38900</v>
          </cell>
          <cell r="R1724">
            <v>39000</v>
          </cell>
          <cell r="S1724">
            <v>41200</v>
          </cell>
          <cell r="T1724">
            <v>42600</v>
          </cell>
          <cell r="U1724">
            <v>43500</v>
          </cell>
          <cell r="V1724">
            <v>42600</v>
          </cell>
          <cell r="W1724">
            <v>45600</v>
          </cell>
        </row>
        <row r="1725">
          <cell r="A1725">
            <v>45990</v>
          </cell>
          <cell r="B1725">
            <v>43400</v>
          </cell>
          <cell r="C1725">
            <v>43000</v>
          </cell>
          <cell r="D1725">
            <v>42400</v>
          </cell>
          <cell r="E1725">
            <v>39100</v>
          </cell>
          <cell r="F1725">
            <v>44200</v>
          </cell>
          <cell r="G1725" t="str">
            <v>-</v>
          </cell>
          <cell r="H1725">
            <v>41500</v>
          </cell>
          <cell r="I1725">
            <v>42300</v>
          </cell>
          <cell r="J1725">
            <v>42800</v>
          </cell>
          <cell r="K1725" t="str">
            <v>-</v>
          </cell>
          <cell r="L1725">
            <v>44800</v>
          </cell>
          <cell r="M1725">
            <v>42800</v>
          </cell>
          <cell r="N1725">
            <v>41800</v>
          </cell>
          <cell r="O1725">
            <v>43300</v>
          </cell>
          <cell r="P1725">
            <v>38200</v>
          </cell>
          <cell r="Q1725">
            <v>38700</v>
          </cell>
          <cell r="R1725">
            <v>39000</v>
          </cell>
          <cell r="S1725">
            <v>41200</v>
          </cell>
          <cell r="T1725">
            <v>42500</v>
          </cell>
          <cell r="U1725">
            <v>43500</v>
          </cell>
          <cell r="V1725">
            <v>42600</v>
          </cell>
          <cell r="W1725">
            <v>45600</v>
          </cell>
        </row>
        <row r="1726">
          <cell r="A1726">
            <v>45991</v>
          </cell>
          <cell r="B1726" t="str">
            <v>H</v>
          </cell>
          <cell r="C1726" t="str">
            <v>H</v>
          </cell>
          <cell r="D1726" t="str">
            <v>H</v>
          </cell>
          <cell r="E1726" t="str">
            <v>H</v>
          </cell>
          <cell r="F1726" t="str">
            <v>H</v>
          </cell>
          <cell r="G1726" t="str">
            <v>H</v>
          </cell>
          <cell r="H1726" t="str">
            <v>H</v>
          </cell>
          <cell r="I1726" t="str">
            <v>H</v>
          </cell>
          <cell r="J1726" t="str">
            <v>H</v>
          </cell>
          <cell r="K1726" t="str">
            <v>H</v>
          </cell>
          <cell r="L1726" t="str">
            <v>H</v>
          </cell>
          <cell r="M1726" t="str">
            <v>H</v>
          </cell>
          <cell r="N1726" t="str">
            <v>H</v>
          </cell>
          <cell r="O1726" t="str">
            <v>H</v>
          </cell>
          <cell r="P1726" t="str">
            <v>H</v>
          </cell>
          <cell r="Q1726" t="str">
            <v>H</v>
          </cell>
          <cell r="R1726" t="str">
            <v>H</v>
          </cell>
          <cell r="S1726" t="str">
            <v>H</v>
          </cell>
          <cell r="T1726" t="str">
            <v>H</v>
          </cell>
          <cell r="U1726" t="str">
            <v>H</v>
          </cell>
          <cell r="V1726" t="str">
            <v>H</v>
          </cell>
          <cell r="W1726" t="str">
            <v>H</v>
          </cell>
        </row>
        <row r="1727">
          <cell r="A1727">
            <v>45992</v>
          </cell>
          <cell r="B1727">
            <v>43700</v>
          </cell>
          <cell r="C1727">
            <v>43000</v>
          </cell>
          <cell r="D1727">
            <v>43200</v>
          </cell>
          <cell r="E1727">
            <v>39500</v>
          </cell>
          <cell r="F1727">
            <v>44200</v>
          </cell>
          <cell r="G1727" t="str">
            <v>-</v>
          </cell>
          <cell r="H1727">
            <v>41300</v>
          </cell>
          <cell r="I1727">
            <v>42500</v>
          </cell>
          <cell r="J1727">
            <v>43000</v>
          </cell>
          <cell r="K1727" t="str">
            <v>-</v>
          </cell>
          <cell r="L1727">
            <v>45000</v>
          </cell>
          <cell r="M1727">
            <v>43100</v>
          </cell>
          <cell r="N1727">
            <v>42400</v>
          </cell>
          <cell r="O1727">
            <v>43400</v>
          </cell>
          <cell r="P1727">
            <v>38500</v>
          </cell>
          <cell r="Q1727">
            <v>39000</v>
          </cell>
          <cell r="R1727">
            <v>39000</v>
          </cell>
          <cell r="S1727">
            <v>41600</v>
          </cell>
          <cell r="T1727">
            <v>42700</v>
          </cell>
          <cell r="U1727">
            <v>43500</v>
          </cell>
          <cell r="V1727">
            <v>42800</v>
          </cell>
          <cell r="W1727">
            <v>45600</v>
          </cell>
        </row>
        <row r="1728">
          <cell r="A1728">
            <v>45993</v>
          </cell>
          <cell r="B1728">
            <v>44000</v>
          </cell>
          <cell r="C1728">
            <v>43000</v>
          </cell>
          <cell r="D1728">
            <v>43200</v>
          </cell>
          <cell r="E1728">
            <v>39500</v>
          </cell>
          <cell r="F1728">
            <v>44500</v>
          </cell>
          <cell r="G1728" t="str">
            <v>-</v>
          </cell>
          <cell r="H1728">
            <v>41500</v>
          </cell>
          <cell r="I1728">
            <v>42600</v>
          </cell>
          <cell r="J1728">
            <v>43000</v>
          </cell>
          <cell r="K1728" t="str">
            <v>-</v>
          </cell>
          <cell r="L1728">
            <v>45200</v>
          </cell>
          <cell r="M1728">
            <v>43400</v>
          </cell>
          <cell r="N1728">
            <v>42600</v>
          </cell>
          <cell r="O1728">
            <v>43300</v>
          </cell>
          <cell r="P1728">
            <v>38500</v>
          </cell>
          <cell r="Q1728">
            <v>39300</v>
          </cell>
          <cell r="R1728">
            <v>39000</v>
          </cell>
          <cell r="S1728">
            <v>41600</v>
          </cell>
          <cell r="T1728">
            <v>43200</v>
          </cell>
          <cell r="U1728">
            <v>44000</v>
          </cell>
          <cell r="V1728">
            <v>43000</v>
          </cell>
          <cell r="W1728">
            <v>46000</v>
          </cell>
        </row>
        <row r="1729">
          <cell r="A1729">
            <v>45994</v>
          </cell>
          <cell r="B1729">
            <v>44200</v>
          </cell>
          <cell r="C1729">
            <v>43000</v>
          </cell>
          <cell r="D1729">
            <v>43200</v>
          </cell>
          <cell r="E1729">
            <v>39600</v>
          </cell>
          <cell r="F1729">
            <v>44500</v>
          </cell>
          <cell r="G1729" t="str">
            <v>-</v>
          </cell>
          <cell r="H1729">
            <v>41500</v>
          </cell>
          <cell r="I1729">
            <v>42700</v>
          </cell>
          <cell r="J1729">
            <v>43200</v>
          </cell>
          <cell r="K1729" t="str">
            <v>-</v>
          </cell>
          <cell r="L1729">
            <v>45200</v>
          </cell>
          <cell r="M1729">
            <v>43700</v>
          </cell>
          <cell r="N1729">
            <v>42400</v>
          </cell>
          <cell r="O1729">
            <v>43300</v>
          </cell>
          <cell r="P1729">
            <v>38900</v>
          </cell>
          <cell r="Q1729">
            <v>39300</v>
          </cell>
          <cell r="R1729">
            <v>39300</v>
          </cell>
          <cell r="S1729">
            <v>41700</v>
          </cell>
          <cell r="T1729">
            <v>43200</v>
          </cell>
          <cell r="U1729">
            <v>44600</v>
          </cell>
          <cell r="V1729">
            <v>43000</v>
          </cell>
          <cell r="W1729">
            <v>46000</v>
          </cell>
        </row>
        <row r="1730">
          <cell r="A1730">
            <v>45995</v>
          </cell>
          <cell r="B1730">
            <v>44400</v>
          </cell>
          <cell r="C1730">
            <v>43000</v>
          </cell>
          <cell r="D1730">
            <v>43300</v>
          </cell>
          <cell r="E1730">
            <v>39800</v>
          </cell>
          <cell r="F1730">
            <v>44500</v>
          </cell>
          <cell r="G1730" t="str">
            <v>-</v>
          </cell>
          <cell r="H1730">
            <v>41800</v>
          </cell>
          <cell r="I1730">
            <v>43000</v>
          </cell>
          <cell r="J1730">
            <v>43200</v>
          </cell>
          <cell r="K1730" t="str">
            <v>-</v>
          </cell>
          <cell r="L1730">
            <v>45300</v>
          </cell>
          <cell r="M1730">
            <v>43900</v>
          </cell>
          <cell r="N1730">
            <v>42900</v>
          </cell>
          <cell r="O1730">
            <v>43400</v>
          </cell>
          <cell r="P1730">
            <v>39200</v>
          </cell>
          <cell r="Q1730">
            <v>39500</v>
          </cell>
          <cell r="R1730">
            <v>39300</v>
          </cell>
          <cell r="S1730">
            <v>41800</v>
          </cell>
          <cell r="T1730">
            <v>43400</v>
          </cell>
          <cell r="U1730">
            <v>44600</v>
          </cell>
          <cell r="V1730">
            <v>43300</v>
          </cell>
          <cell r="W1730">
            <v>46600</v>
          </cell>
        </row>
        <row r="1731">
          <cell r="A1731">
            <v>45996</v>
          </cell>
          <cell r="B1731">
            <v>44700</v>
          </cell>
          <cell r="C1731">
            <v>43200</v>
          </cell>
          <cell r="D1731">
            <v>43300</v>
          </cell>
          <cell r="E1731">
            <v>39600</v>
          </cell>
          <cell r="F1731">
            <v>45000</v>
          </cell>
          <cell r="G1731" t="str">
            <v>-</v>
          </cell>
          <cell r="H1731">
            <v>42000</v>
          </cell>
          <cell r="I1731">
            <v>43000</v>
          </cell>
          <cell r="J1731">
            <v>43500</v>
          </cell>
          <cell r="K1731" t="str">
            <v>-</v>
          </cell>
          <cell r="L1731">
            <v>45300</v>
          </cell>
          <cell r="M1731">
            <v>44100</v>
          </cell>
          <cell r="N1731">
            <v>42800</v>
          </cell>
          <cell r="O1731">
            <v>43300</v>
          </cell>
          <cell r="P1731">
            <v>38900</v>
          </cell>
          <cell r="Q1731">
            <v>39500</v>
          </cell>
          <cell r="R1731">
            <v>39500</v>
          </cell>
          <cell r="S1731">
            <v>41600</v>
          </cell>
          <cell r="T1731">
            <v>43400</v>
          </cell>
          <cell r="U1731">
            <v>45400</v>
          </cell>
          <cell r="V1731">
            <v>43400</v>
          </cell>
          <cell r="W1731">
            <v>46600</v>
          </cell>
        </row>
        <row r="1732">
          <cell r="A1732">
            <v>45997</v>
          </cell>
          <cell r="B1732">
            <v>44700</v>
          </cell>
          <cell r="C1732">
            <v>43000</v>
          </cell>
          <cell r="D1732">
            <v>43200</v>
          </cell>
          <cell r="E1732">
            <v>39500</v>
          </cell>
          <cell r="F1732">
            <v>45000</v>
          </cell>
          <cell r="G1732" t="str">
            <v>-</v>
          </cell>
          <cell r="H1732">
            <v>41800</v>
          </cell>
          <cell r="I1732">
            <v>42700</v>
          </cell>
          <cell r="J1732">
            <v>43500</v>
          </cell>
          <cell r="K1732" t="str">
            <v>-</v>
          </cell>
          <cell r="L1732">
            <v>45200</v>
          </cell>
          <cell r="M1732">
            <v>44300</v>
          </cell>
          <cell r="N1732">
            <v>42600</v>
          </cell>
          <cell r="O1732">
            <v>43300</v>
          </cell>
          <cell r="P1732">
            <v>38900</v>
          </cell>
          <cell r="Q1732">
            <v>39500</v>
          </cell>
          <cell r="R1732">
            <v>39400</v>
          </cell>
          <cell r="S1732">
            <v>41600</v>
          </cell>
          <cell r="T1732">
            <v>43400</v>
          </cell>
          <cell r="U1732">
            <v>45400</v>
          </cell>
          <cell r="V1732">
            <v>43500</v>
          </cell>
          <cell r="W1732">
            <v>46600</v>
          </cell>
        </row>
        <row r="1733">
          <cell r="A1733">
            <v>45998</v>
          </cell>
          <cell r="B1733" t="str">
            <v>H</v>
          </cell>
          <cell r="C1733" t="str">
            <v>H</v>
          </cell>
          <cell r="D1733" t="str">
            <v>H</v>
          </cell>
          <cell r="E1733" t="str">
            <v>H</v>
          </cell>
          <cell r="F1733" t="str">
            <v>H</v>
          </cell>
          <cell r="G1733" t="str">
            <v>H</v>
          </cell>
          <cell r="H1733" t="str">
            <v>H</v>
          </cell>
          <cell r="I1733" t="str">
            <v>H</v>
          </cell>
          <cell r="J1733" t="str">
            <v>H</v>
          </cell>
          <cell r="K1733" t="str">
            <v>H</v>
          </cell>
          <cell r="L1733" t="str">
            <v>H</v>
          </cell>
          <cell r="M1733" t="str">
            <v>H</v>
          </cell>
          <cell r="N1733" t="str">
            <v>H</v>
          </cell>
          <cell r="O1733" t="str">
            <v>H</v>
          </cell>
          <cell r="P1733" t="str">
            <v>H</v>
          </cell>
          <cell r="Q1733" t="str">
            <v>H</v>
          </cell>
          <cell r="R1733" t="str">
            <v>H</v>
          </cell>
          <cell r="S1733" t="str">
            <v>H</v>
          </cell>
          <cell r="T1733" t="str">
            <v>H</v>
          </cell>
          <cell r="U1733" t="str">
            <v>H</v>
          </cell>
          <cell r="V1733" t="str">
            <v>H</v>
          </cell>
          <cell r="W1733" t="str">
            <v>H</v>
          </cell>
        </row>
        <row r="1734">
          <cell r="A1734">
            <v>45999</v>
          </cell>
          <cell r="B1734">
            <v>44500</v>
          </cell>
          <cell r="C1734">
            <v>43000</v>
          </cell>
          <cell r="D1734">
            <v>42900</v>
          </cell>
          <cell r="E1734">
            <v>39400</v>
          </cell>
          <cell r="F1734">
            <v>45000</v>
          </cell>
          <cell r="G1734" t="str">
            <v>-</v>
          </cell>
          <cell r="H1734">
            <v>41500</v>
          </cell>
          <cell r="I1734">
            <v>42500</v>
          </cell>
          <cell r="J1734">
            <v>43500</v>
          </cell>
          <cell r="K1734" t="str">
            <v>-</v>
          </cell>
          <cell r="L1734">
            <v>45000</v>
          </cell>
          <cell r="M1734">
            <v>44300</v>
          </cell>
          <cell r="N1734">
            <v>42000</v>
          </cell>
          <cell r="O1734">
            <v>43300</v>
          </cell>
          <cell r="P1734">
            <v>38800</v>
          </cell>
          <cell r="Q1734">
            <v>39300</v>
          </cell>
          <cell r="R1734">
            <v>39100</v>
          </cell>
          <cell r="S1734">
            <v>41500</v>
          </cell>
          <cell r="T1734">
            <v>42900</v>
          </cell>
          <cell r="U1734">
            <v>45000</v>
          </cell>
          <cell r="V1734">
            <v>43500</v>
          </cell>
          <cell r="W1734">
            <v>46600</v>
          </cell>
        </row>
        <row r="1735">
          <cell r="A1735">
            <v>46000</v>
          </cell>
          <cell r="B1735">
            <v>44500</v>
          </cell>
          <cell r="C1735">
            <v>43000</v>
          </cell>
          <cell r="D1735">
            <v>42900</v>
          </cell>
          <cell r="E1735">
            <v>39200</v>
          </cell>
          <cell r="F1735">
            <v>45000</v>
          </cell>
          <cell r="G1735" t="str">
            <v>-</v>
          </cell>
          <cell r="H1735">
            <v>41500</v>
          </cell>
          <cell r="I1735">
            <v>42500</v>
          </cell>
          <cell r="J1735">
            <v>43300</v>
          </cell>
          <cell r="K1735" t="str">
            <v>-</v>
          </cell>
          <cell r="L1735">
            <v>44900</v>
          </cell>
          <cell r="M1735">
            <v>44400</v>
          </cell>
          <cell r="N1735">
            <v>41900</v>
          </cell>
          <cell r="O1735">
            <v>43200</v>
          </cell>
          <cell r="P1735">
            <v>38800</v>
          </cell>
          <cell r="Q1735">
            <v>39100</v>
          </cell>
          <cell r="R1735">
            <v>39000</v>
          </cell>
          <cell r="S1735">
            <v>41300</v>
          </cell>
          <cell r="T1735">
            <v>42700</v>
          </cell>
          <cell r="U1735">
            <v>44900</v>
          </cell>
          <cell r="V1735">
            <v>43300</v>
          </cell>
          <cell r="W1735">
            <v>46600</v>
          </cell>
        </row>
        <row r="1736">
          <cell r="A1736">
            <v>46001</v>
          </cell>
          <cell r="B1736">
            <v>44500</v>
          </cell>
          <cell r="C1736">
            <v>43000</v>
          </cell>
          <cell r="D1736">
            <v>43000</v>
          </cell>
          <cell r="E1736">
            <v>39200</v>
          </cell>
          <cell r="F1736">
            <v>44600</v>
          </cell>
          <cell r="G1736" t="str">
            <v>-</v>
          </cell>
          <cell r="H1736">
            <v>41300</v>
          </cell>
          <cell r="I1736">
            <v>42500</v>
          </cell>
          <cell r="J1736">
            <v>43300</v>
          </cell>
          <cell r="K1736" t="str">
            <v>-</v>
          </cell>
          <cell r="L1736">
            <v>44900</v>
          </cell>
          <cell r="M1736">
            <v>44500</v>
          </cell>
          <cell r="N1736">
            <v>41900</v>
          </cell>
          <cell r="O1736">
            <v>43200</v>
          </cell>
          <cell r="P1736">
            <v>38800</v>
          </cell>
          <cell r="Q1736">
            <v>39200</v>
          </cell>
          <cell r="R1736">
            <v>39000</v>
          </cell>
          <cell r="S1736">
            <v>41300</v>
          </cell>
          <cell r="T1736">
            <v>42700</v>
          </cell>
          <cell r="U1736">
            <v>44900</v>
          </cell>
          <cell r="V1736">
            <v>43300</v>
          </cell>
          <cell r="W1736">
            <v>46600</v>
          </cell>
        </row>
        <row r="1737">
          <cell r="A1737">
            <v>46002</v>
          </cell>
          <cell r="B1737">
            <v>44500</v>
          </cell>
          <cell r="C1737">
            <v>43000</v>
          </cell>
          <cell r="D1737">
            <v>43000</v>
          </cell>
          <cell r="E1737">
            <v>39100</v>
          </cell>
          <cell r="F1737">
            <v>44600</v>
          </cell>
          <cell r="G1737" t="str">
            <v>-</v>
          </cell>
          <cell r="H1737">
            <v>41200</v>
          </cell>
          <cell r="I1737">
            <v>42500</v>
          </cell>
          <cell r="J1737">
            <v>43500</v>
          </cell>
          <cell r="K1737" t="str">
            <v>-</v>
          </cell>
          <cell r="L1737">
            <v>44800</v>
          </cell>
          <cell r="M1737">
            <v>44600</v>
          </cell>
          <cell r="N1737">
            <v>41800</v>
          </cell>
          <cell r="O1737">
            <v>43100</v>
          </cell>
          <cell r="P1737">
            <v>38700</v>
          </cell>
          <cell r="Q1737">
            <v>39100</v>
          </cell>
          <cell r="R1737">
            <v>39000</v>
          </cell>
          <cell r="S1737">
            <v>41200</v>
          </cell>
          <cell r="T1737">
            <v>42700</v>
          </cell>
          <cell r="U1737">
            <v>44800</v>
          </cell>
          <cell r="V1737">
            <v>43300</v>
          </cell>
          <cell r="W1737">
            <v>46600</v>
          </cell>
        </row>
        <row r="1738">
          <cell r="A1738">
            <v>46003</v>
          </cell>
          <cell r="B1738">
            <v>44500</v>
          </cell>
          <cell r="C1738">
            <v>43000</v>
          </cell>
          <cell r="D1738">
            <v>42800</v>
          </cell>
          <cell r="E1738">
            <v>38900</v>
          </cell>
          <cell r="F1738">
            <v>44600</v>
          </cell>
          <cell r="G1738" t="str">
            <v>-</v>
          </cell>
          <cell r="H1738">
            <v>41000</v>
          </cell>
          <cell r="I1738">
            <v>42100</v>
          </cell>
          <cell r="J1738">
            <v>43500</v>
          </cell>
          <cell r="K1738" t="str">
            <v>-</v>
          </cell>
          <cell r="L1738">
            <v>44600</v>
          </cell>
          <cell r="M1738">
            <v>44600</v>
          </cell>
          <cell r="N1738">
            <v>41800</v>
          </cell>
          <cell r="O1738">
            <v>43000</v>
          </cell>
          <cell r="P1738">
            <v>38600</v>
          </cell>
          <cell r="Q1738">
            <v>39000</v>
          </cell>
          <cell r="R1738">
            <v>39000</v>
          </cell>
          <cell r="S1738">
            <v>41000</v>
          </cell>
          <cell r="T1738">
            <v>42400</v>
          </cell>
          <cell r="U1738">
            <v>44800</v>
          </cell>
          <cell r="V1738">
            <v>43300</v>
          </cell>
          <cell r="W1738">
            <v>46600</v>
          </cell>
        </row>
        <row r="1739">
          <cell r="A1739">
            <v>46004</v>
          </cell>
          <cell r="B1739">
            <v>44500</v>
          </cell>
          <cell r="C1739">
            <v>43000</v>
          </cell>
          <cell r="D1739">
            <v>42200</v>
          </cell>
          <cell r="E1739">
            <v>38900</v>
          </cell>
          <cell r="F1739">
            <v>44200</v>
          </cell>
          <cell r="G1739" t="str">
            <v>-</v>
          </cell>
          <cell r="H1739">
            <v>41000</v>
          </cell>
          <cell r="I1739">
            <v>42100</v>
          </cell>
          <cell r="J1739">
            <v>43500</v>
          </cell>
          <cell r="K1739" t="str">
            <v>-</v>
          </cell>
          <cell r="L1739">
            <v>44300</v>
          </cell>
          <cell r="M1739">
            <v>44600</v>
          </cell>
          <cell r="N1739">
            <v>41600</v>
          </cell>
          <cell r="O1739">
            <v>43000</v>
          </cell>
          <cell r="P1739">
            <v>38300</v>
          </cell>
          <cell r="Q1739">
            <v>38900</v>
          </cell>
          <cell r="R1739">
            <v>38800</v>
          </cell>
          <cell r="S1739">
            <v>41000</v>
          </cell>
          <cell r="T1739">
            <v>42400</v>
          </cell>
          <cell r="U1739">
            <v>44700</v>
          </cell>
          <cell r="V1739">
            <v>43300</v>
          </cell>
          <cell r="W1739">
            <v>46600</v>
          </cell>
        </row>
        <row r="1740">
          <cell r="A1740">
            <v>46005</v>
          </cell>
          <cell r="B1740" t="str">
            <v>H</v>
          </cell>
          <cell r="C1740" t="str">
            <v>H</v>
          </cell>
          <cell r="D1740" t="str">
            <v>H</v>
          </cell>
          <cell r="E1740" t="str">
            <v>H</v>
          </cell>
          <cell r="F1740" t="str">
            <v>H</v>
          </cell>
          <cell r="G1740" t="str">
            <v>H</v>
          </cell>
          <cell r="H1740" t="str">
            <v>H</v>
          </cell>
          <cell r="I1740" t="str">
            <v>H</v>
          </cell>
          <cell r="J1740" t="str">
            <v>H</v>
          </cell>
          <cell r="K1740" t="str">
            <v>H</v>
          </cell>
          <cell r="L1740" t="str">
            <v>H</v>
          </cell>
          <cell r="M1740" t="str">
            <v>H</v>
          </cell>
          <cell r="N1740" t="str">
            <v>H</v>
          </cell>
          <cell r="O1740" t="str">
            <v>H</v>
          </cell>
          <cell r="P1740" t="str">
            <v>H</v>
          </cell>
          <cell r="Q1740" t="str">
            <v>H</v>
          </cell>
          <cell r="R1740" t="str">
            <v>H</v>
          </cell>
          <cell r="S1740" t="str">
            <v>H</v>
          </cell>
          <cell r="T1740" t="str">
            <v>H</v>
          </cell>
          <cell r="U1740" t="str">
            <v>H</v>
          </cell>
          <cell r="V1740" t="str">
            <v>H</v>
          </cell>
          <cell r="W1740" t="str">
            <v>H</v>
          </cell>
        </row>
        <row r="1741">
          <cell r="A1741">
            <v>46006</v>
          </cell>
          <cell r="B1741">
            <v>44500</v>
          </cell>
          <cell r="C1741">
            <v>42800</v>
          </cell>
          <cell r="D1741">
            <v>42100</v>
          </cell>
          <cell r="E1741">
            <v>38950</v>
          </cell>
          <cell r="F1741">
            <v>44300</v>
          </cell>
          <cell r="G1741" t="str">
            <v>-</v>
          </cell>
          <cell r="H1741">
            <v>41000</v>
          </cell>
          <cell r="I1741">
            <v>42200</v>
          </cell>
          <cell r="J1741">
            <v>43500</v>
          </cell>
          <cell r="K1741" t="str">
            <v>-</v>
          </cell>
          <cell r="L1741">
            <v>44300</v>
          </cell>
          <cell r="M1741">
            <v>44700</v>
          </cell>
          <cell r="N1741">
            <v>41350</v>
          </cell>
          <cell r="O1741">
            <v>43000</v>
          </cell>
          <cell r="P1741">
            <v>38700</v>
          </cell>
          <cell r="Q1741">
            <v>39000</v>
          </cell>
          <cell r="R1741">
            <v>38900</v>
          </cell>
          <cell r="S1741">
            <v>41000</v>
          </cell>
          <cell r="T1741">
            <v>42600</v>
          </cell>
          <cell r="U1741">
            <v>44800</v>
          </cell>
          <cell r="V1741">
            <v>43300</v>
          </cell>
          <cell r="W1741">
            <v>46600</v>
          </cell>
        </row>
        <row r="1742">
          <cell r="A1742">
            <v>46007</v>
          </cell>
          <cell r="B1742">
            <v>44800</v>
          </cell>
          <cell r="C1742">
            <v>42800</v>
          </cell>
          <cell r="D1742">
            <v>42300</v>
          </cell>
          <cell r="E1742">
            <v>39100</v>
          </cell>
          <cell r="F1742">
            <v>44700</v>
          </cell>
          <cell r="G1742" t="str">
            <v>-</v>
          </cell>
          <cell r="H1742">
            <v>41000</v>
          </cell>
          <cell r="I1742">
            <v>42400</v>
          </cell>
          <cell r="J1742">
            <v>44000</v>
          </cell>
          <cell r="K1742" t="str">
            <v>-</v>
          </cell>
          <cell r="L1742">
            <v>44400</v>
          </cell>
          <cell r="M1742">
            <v>44800</v>
          </cell>
          <cell r="N1742">
            <v>41600</v>
          </cell>
          <cell r="O1742">
            <v>43100</v>
          </cell>
          <cell r="P1742">
            <v>39100</v>
          </cell>
          <cell r="Q1742">
            <v>39500</v>
          </cell>
          <cell r="R1742">
            <v>39400</v>
          </cell>
          <cell r="S1742">
            <v>41100</v>
          </cell>
          <cell r="T1742">
            <v>43100</v>
          </cell>
          <cell r="U1742">
            <v>45000</v>
          </cell>
          <cell r="V1742">
            <v>43300</v>
          </cell>
          <cell r="W1742">
            <v>46600</v>
          </cell>
        </row>
        <row r="1743">
          <cell r="A1743">
            <v>46008</v>
          </cell>
          <cell r="B1743">
            <v>45000</v>
          </cell>
          <cell r="C1743">
            <v>43000</v>
          </cell>
          <cell r="D1743">
            <v>42500</v>
          </cell>
          <cell r="E1743">
            <v>39200</v>
          </cell>
          <cell r="F1743">
            <v>45100</v>
          </cell>
          <cell r="G1743" t="str">
            <v>-</v>
          </cell>
          <cell r="H1743">
            <v>41000</v>
          </cell>
          <cell r="I1743">
            <v>42600</v>
          </cell>
          <cell r="J1743">
            <v>44000</v>
          </cell>
          <cell r="K1743" t="str">
            <v>-</v>
          </cell>
          <cell r="L1743">
            <v>44500</v>
          </cell>
          <cell r="M1743">
            <v>45000</v>
          </cell>
          <cell r="N1743">
            <v>42000</v>
          </cell>
          <cell r="O1743">
            <v>43200</v>
          </cell>
          <cell r="P1743">
            <v>39200</v>
          </cell>
          <cell r="Q1743">
            <v>39700</v>
          </cell>
          <cell r="R1743">
            <v>39800</v>
          </cell>
          <cell r="S1743">
            <v>41300</v>
          </cell>
          <cell r="T1743">
            <v>43400</v>
          </cell>
          <cell r="U1743">
            <v>45500</v>
          </cell>
          <cell r="V1743">
            <v>43000</v>
          </cell>
          <cell r="W1743">
            <v>46600</v>
          </cell>
        </row>
        <row r="1744">
          <cell r="A1744">
            <v>46009</v>
          </cell>
          <cell r="B1744">
            <v>44900</v>
          </cell>
          <cell r="C1744">
            <v>43000</v>
          </cell>
          <cell r="D1744">
            <v>42500</v>
          </cell>
          <cell r="E1744">
            <v>39200</v>
          </cell>
          <cell r="F1744">
            <v>45200</v>
          </cell>
          <cell r="G1744" t="str">
            <v>-</v>
          </cell>
          <cell r="H1744">
            <v>41500</v>
          </cell>
          <cell r="I1744">
            <v>42500</v>
          </cell>
          <cell r="J1744">
            <v>44200</v>
          </cell>
          <cell r="K1744" t="str">
            <v>-</v>
          </cell>
          <cell r="L1744">
            <v>44500</v>
          </cell>
          <cell r="M1744">
            <v>45200</v>
          </cell>
          <cell r="N1744">
            <v>41850</v>
          </cell>
          <cell r="O1744">
            <v>43100</v>
          </cell>
          <cell r="P1744">
            <v>38800</v>
          </cell>
          <cell r="Q1744">
            <v>39600</v>
          </cell>
          <cell r="R1744">
            <v>39800</v>
          </cell>
          <cell r="S1744">
            <v>41300</v>
          </cell>
          <cell r="T1744">
            <v>43400</v>
          </cell>
          <cell r="U1744">
            <v>45500</v>
          </cell>
          <cell r="V1744">
            <v>43200</v>
          </cell>
          <cell r="W1744">
            <v>46600</v>
          </cell>
        </row>
        <row r="1745">
          <cell r="A1745">
            <v>46010</v>
          </cell>
          <cell r="B1745">
            <v>45100</v>
          </cell>
          <cell r="C1745">
            <v>43300</v>
          </cell>
          <cell r="D1745">
            <v>43200</v>
          </cell>
          <cell r="E1745">
            <v>39500</v>
          </cell>
          <cell r="F1745">
            <v>45500</v>
          </cell>
          <cell r="G1745" t="str">
            <v>-</v>
          </cell>
          <cell r="H1745">
            <v>42000</v>
          </cell>
          <cell r="I1745">
            <v>43000</v>
          </cell>
          <cell r="J1745">
            <v>45000</v>
          </cell>
          <cell r="K1745" t="str">
            <v>-</v>
          </cell>
          <cell r="L1745">
            <v>44700</v>
          </cell>
          <cell r="M1745">
            <v>45300</v>
          </cell>
          <cell r="N1745">
            <v>42600</v>
          </cell>
          <cell r="O1745">
            <v>43300</v>
          </cell>
          <cell r="P1745">
            <v>39600</v>
          </cell>
          <cell r="Q1745">
            <v>40000</v>
          </cell>
          <cell r="R1745">
            <v>40000</v>
          </cell>
          <cell r="S1745">
            <v>41600</v>
          </cell>
          <cell r="T1745">
            <v>43700</v>
          </cell>
          <cell r="U1745">
            <v>46000</v>
          </cell>
          <cell r="V1745">
            <v>43500</v>
          </cell>
          <cell r="W1745">
            <v>46700</v>
          </cell>
        </row>
        <row r="1746">
          <cell r="A1746">
            <v>46011</v>
          </cell>
          <cell r="B1746">
            <v>45300</v>
          </cell>
          <cell r="C1746">
            <v>43500</v>
          </cell>
          <cell r="D1746">
            <v>43200</v>
          </cell>
          <cell r="E1746">
            <v>39400</v>
          </cell>
          <cell r="F1746">
            <v>45800</v>
          </cell>
          <cell r="G1746" t="str">
            <v>-</v>
          </cell>
          <cell r="H1746">
            <v>41700</v>
          </cell>
          <cell r="I1746">
            <v>43000</v>
          </cell>
          <cell r="J1746">
            <v>45000</v>
          </cell>
          <cell r="K1746" t="str">
            <v>-</v>
          </cell>
          <cell r="L1746">
            <v>44800</v>
          </cell>
          <cell r="M1746">
            <v>45300</v>
          </cell>
          <cell r="N1746">
            <v>42600</v>
          </cell>
          <cell r="O1746">
            <v>43200</v>
          </cell>
          <cell r="P1746">
            <v>39600</v>
          </cell>
          <cell r="Q1746">
            <v>40000</v>
          </cell>
          <cell r="R1746">
            <v>40000</v>
          </cell>
          <cell r="S1746">
            <v>41500</v>
          </cell>
          <cell r="T1746">
            <v>43700</v>
          </cell>
          <cell r="U1746">
            <v>46000</v>
          </cell>
          <cell r="V1746">
            <v>43500</v>
          </cell>
          <cell r="W1746">
            <v>46900</v>
          </cell>
        </row>
        <row r="1747">
          <cell r="A1747">
            <v>46012</v>
          </cell>
          <cell r="B1747" t="str">
            <v>H</v>
          </cell>
          <cell r="C1747" t="str">
            <v>H</v>
          </cell>
          <cell r="D1747" t="str">
            <v>H</v>
          </cell>
          <cell r="E1747" t="str">
            <v>H</v>
          </cell>
          <cell r="F1747" t="str">
            <v>H</v>
          </cell>
          <cell r="G1747" t="str">
            <v>H</v>
          </cell>
          <cell r="H1747" t="str">
            <v>H</v>
          </cell>
          <cell r="I1747" t="str">
            <v>H</v>
          </cell>
          <cell r="J1747" t="str">
            <v>H</v>
          </cell>
          <cell r="K1747" t="str">
            <v>H</v>
          </cell>
          <cell r="L1747" t="str">
            <v>H</v>
          </cell>
          <cell r="M1747" t="str">
            <v>H</v>
          </cell>
          <cell r="N1747" t="str">
            <v>H</v>
          </cell>
          <cell r="O1747" t="str">
            <v>H</v>
          </cell>
          <cell r="P1747" t="str">
            <v>H</v>
          </cell>
          <cell r="Q1747" t="str">
            <v>H</v>
          </cell>
          <cell r="R1747" t="str">
            <v>H</v>
          </cell>
          <cell r="S1747" t="str">
            <v>H</v>
          </cell>
          <cell r="T1747" t="str">
            <v>H</v>
          </cell>
          <cell r="U1747" t="str">
            <v>H</v>
          </cell>
          <cell r="V1747" t="str">
            <v>H</v>
          </cell>
          <cell r="W1747" t="str">
            <v>H</v>
          </cell>
        </row>
        <row r="1748">
          <cell r="A1748">
            <v>46013</v>
          </cell>
          <cell r="B1748">
            <v>46000</v>
          </cell>
          <cell r="C1748">
            <v>43800</v>
          </cell>
          <cell r="D1748">
            <v>43350</v>
          </cell>
          <cell r="E1748">
            <v>39800</v>
          </cell>
          <cell r="F1748">
            <v>45800</v>
          </cell>
          <cell r="G1748" t="str">
            <v>-</v>
          </cell>
          <cell r="H1748">
            <v>42300</v>
          </cell>
          <cell r="I1748">
            <v>43200</v>
          </cell>
          <cell r="J1748">
            <v>45300</v>
          </cell>
          <cell r="K1748" t="str">
            <v>-</v>
          </cell>
          <cell r="L1748">
            <v>45000</v>
          </cell>
          <cell r="M1748">
            <v>45300</v>
          </cell>
          <cell r="N1748">
            <v>42700</v>
          </cell>
          <cell r="O1748">
            <v>43500</v>
          </cell>
          <cell r="P1748">
            <v>40400</v>
          </cell>
          <cell r="Q1748">
            <v>40700</v>
          </cell>
          <cell r="R1748">
            <v>40300</v>
          </cell>
          <cell r="S1748">
            <v>41900</v>
          </cell>
          <cell r="T1748">
            <v>44100</v>
          </cell>
          <cell r="U1748">
            <v>46000</v>
          </cell>
          <cell r="V1748">
            <v>43900</v>
          </cell>
          <cell r="W1748">
            <v>47000</v>
          </cell>
        </row>
        <row r="1749">
          <cell r="A1749">
            <v>46014</v>
          </cell>
          <cell r="B1749">
            <v>46400</v>
          </cell>
          <cell r="C1749">
            <v>43800</v>
          </cell>
          <cell r="D1749">
            <v>43400</v>
          </cell>
          <cell r="E1749">
            <v>39800</v>
          </cell>
          <cell r="F1749">
            <v>46500</v>
          </cell>
          <cell r="G1749" t="str">
            <v>-</v>
          </cell>
          <cell r="H1749">
            <v>42500</v>
          </cell>
          <cell r="I1749">
            <v>43000</v>
          </cell>
          <cell r="J1749">
            <v>45600</v>
          </cell>
          <cell r="K1749" t="str">
            <v>-</v>
          </cell>
          <cell r="L1749">
            <v>45300</v>
          </cell>
          <cell r="M1749">
            <v>45500</v>
          </cell>
          <cell r="N1749">
            <v>43000</v>
          </cell>
          <cell r="O1749">
            <v>43500</v>
          </cell>
          <cell r="P1749">
            <v>40400</v>
          </cell>
          <cell r="Q1749">
            <v>41000</v>
          </cell>
          <cell r="R1749">
            <v>40700</v>
          </cell>
          <cell r="S1749">
            <v>41900</v>
          </cell>
          <cell r="T1749">
            <v>44400</v>
          </cell>
          <cell r="U1749">
            <v>47000</v>
          </cell>
          <cell r="V1749">
            <v>44500</v>
          </cell>
          <cell r="W1749">
            <v>47500</v>
          </cell>
        </row>
        <row r="1750">
          <cell r="A1750">
            <v>46015</v>
          </cell>
          <cell r="B1750">
            <v>46400</v>
          </cell>
          <cell r="C1750">
            <v>44000</v>
          </cell>
          <cell r="D1750">
            <v>43500</v>
          </cell>
          <cell r="E1750">
            <v>39800</v>
          </cell>
          <cell r="F1750">
            <v>46500</v>
          </cell>
          <cell r="G1750" t="str">
            <v>-</v>
          </cell>
          <cell r="H1750">
            <v>42500</v>
          </cell>
          <cell r="I1750">
            <v>43000</v>
          </cell>
          <cell r="J1750">
            <v>45600</v>
          </cell>
          <cell r="K1750" t="str">
            <v>-</v>
          </cell>
          <cell r="L1750">
            <v>45300</v>
          </cell>
          <cell r="M1750">
            <v>45500</v>
          </cell>
          <cell r="N1750">
            <v>42900</v>
          </cell>
          <cell r="O1750">
            <v>43500</v>
          </cell>
          <cell r="P1750">
            <v>40400</v>
          </cell>
          <cell r="Q1750">
            <v>41000</v>
          </cell>
          <cell r="R1750">
            <v>40700</v>
          </cell>
          <cell r="S1750">
            <v>41900</v>
          </cell>
          <cell r="T1750">
            <v>44500</v>
          </cell>
          <cell r="U1750">
            <v>47000</v>
          </cell>
          <cell r="V1750">
            <v>44800</v>
          </cell>
          <cell r="W1750">
            <v>47500</v>
          </cell>
        </row>
        <row r="1751">
          <cell r="A1751">
            <v>46016</v>
          </cell>
          <cell r="B1751" t="str">
            <v>H</v>
          </cell>
          <cell r="C1751" t="str">
            <v>H</v>
          </cell>
          <cell r="D1751" t="str">
            <v>H</v>
          </cell>
          <cell r="E1751" t="str">
            <v>H</v>
          </cell>
          <cell r="F1751" t="str">
            <v>H</v>
          </cell>
          <cell r="G1751" t="str">
            <v>H</v>
          </cell>
          <cell r="H1751" t="str">
            <v>H</v>
          </cell>
          <cell r="I1751" t="str">
            <v>H</v>
          </cell>
          <cell r="J1751" t="str">
            <v>H</v>
          </cell>
          <cell r="K1751" t="str">
            <v>H</v>
          </cell>
          <cell r="L1751" t="str">
            <v>H</v>
          </cell>
          <cell r="M1751" t="str">
            <v>H</v>
          </cell>
          <cell r="N1751" t="str">
            <v>H</v>
          </cell>
          <cell r="O1751" t="str">
            <v>H</v>
          </cell>
          <cell r="P1751" t="str">
            <v>H</v>
          </cell>
          <cell r="Q1751" t="str">
            <v>H</v>
          </cell>
          <cell r="R1751" t="str">
            <v>H</v>
          </cell>
          <cell r="S1751" t="str">
            <v>H</v>
          </cell>
          <cell r="T1751" t="str">
            <v>H</v>
          </cell>
          <cell r="U1751" t="str">
            <v>H</v>
          </cell>
          <cell r="V1751" t="str">
            <v>H</v>
          </cell>
          <cell r="W1751" t="str">
            <v>H</v>
          </cell>
        </row>
        <row r="1752">
          <cell r="A1752">
            <v>46017</v>
          </cell>
          <cell r="B1752">
            <v>46400</v>
          </cell>
          <cell r="C1752">
            <v>44000</v>
          </cell>
          <cell r="D1752">
            <v>43650</v>
          </cell>
          <cell r="E1752">
            <v>40000</v>
          </cell>
          <cell r="F1752">
            <v>46700</v>
          </cell>
          <cell r="G1752" t="str">
            <v>-</v>
          </cell>
          <cell r="H1752">
            <v>42500</v>
          </cell>
          <cell r="I1752">
            <v>43200</v>
          </cell>
          <cell r="J1752">
            <v>45700</v>
          </cell>
          <cell r="K1752" t="str">
            <v>-</v>
          </cell>
          <cell r="L1752">
            <v>45500</v>
          </cell>
          <cell r="M1752">
            <v>45600</v>
          </cell>
          <cell r="N1752">
            <v>43150</v>
          </cell>
          <cell r="O1752">
            <v>43500</v>
          </cell>
          <cell r="P1752">
            <v>40200</v>
          </cell>
          <cell r="Q1752">
            <v>40700</v>
          </cell>
          <cell r="R1752">
            <v>40700</v>
          </cell>
          <cell r="S1752">
            <v>42100</v>
          </cell>
          <cell r="T1752">
            <v>44500</v>
          </cell>
          <cell r="U1752">
            <v>47000</v>
          </cell>
          <cell r="V1752">
            <v>44800</v>
          </cell>
          <cell r="W1752">
            <v>47500</v>
          </cell>
        </row>
        <row r="1753">
          <cell r="A1753">
            <v>46018</v>
          </cell>
          <cell r="B1753">
            <v>46400</v>
          </cell>
          <cell r="C1753">
            <v>44000</v>
          </cell>
          <cell r="D1753">
            <v>43700</v>
          </cell>
          <cell r="E1753">
            <v>40000</v>
          </cell>
          <cell r="F1753">
            <v>46700</v>
          </cell>
          <cell r="G1753" t="str">
            <v>-</v>
          </cell>
          <cell r="H1753">
            <v>42500</v>
          </cell>
          <cell r="I1753">
            <v>43400</v>
          </cell>
          <cell r="J1753">
            <v>45700</v>
          </cell>
          <cell r="K1753" t="str">
            <v>-</v>
          </cell>
          <cell r="L1753">
            <v>45600</v>
          </cell>
          <cell r="M1753">
            <v>45700</v>
          </cell>
          <cell r="N1753">
            <v>43200</v>
          </cell>
          <cell r="O1753">
            <v>43500</v>
          </cell>
          <cell r="P1753">
            <v>40200</v>
          </cell>
          <cell r="Q1753">
            <v>40600</v>
          </cell>
          <cell r="R1753">
            <v>40700</v>
          </cell>
          <cell r="S1753">
            <v>42100</v>
          </cell>
          <cell r="T1753">
            <v>44500</v>
          </cell>
          <cell r="U1753">
            <v>47000</v>
          </cell>
          <cell r="V1753">
            <v>44800</v>
          </cell>
          <cell r="W1753">
            <v>47500</v>
          </cell>
        </row>
        <row r="1754">
          <cell r="A1754">
            <v>46019</v>
          </cell>
          <cell r="B1754" t="str">
            <v>H</v>
          </cell>
          <cell r="C1754" t="str">
            <v>H</v>
          </cell>
          <cell r="D1754" t="str">
            <v>H</v>
          </cell>
          <cell r="E1754" t="str">
            <v>H</v>
          </cell>
          <cell r="F1754" t="str">
            <v>H</v>
          </cell>
          <cell r="G1754" t="str">
            <v>H</v>
          </cell>
          <cell r="H1754" t="str">
            <v>H</v>
          </cell>
          <cell r="I1754" t="str">
            <v>H</v>
          </cell>
          <cell r="J1754" t="str">
            <v>H</v>
          </cell>
          <cell r="K1754" t="str">
            <v>H</v>
          </cell>
          <cell r="L1754" t="str">
            <v>H</v>
          </cell>
          <cell r="M1754" t="str">
            <v>H</v>
          </cell>
          <cell r="N1754" t="str">
            <v>H</v>
          </cell>
          <cell r="O1754" t="str">
            <v>H</v>
          </cell>
          <cell r="P1754" t="str">
            <v>H</v>
          </cell>
          <cell r="Q1754" t="str">
            <v>H</v>
          </cell>
          <cell r="R1754" t="str">
            <v>H</v>
          </cell>
          <cell r="S1754" t="str">
            <v>H</v>
          </cell>
          <cell r="T1754" t="str">
            <v>H</v>
          </cell>
          <cell r="U1754" t="str">
            <v>H</v>
          </cell>
          <cell r="V1754" t="str">
            <v>H</v>
          </cell>
          <cell r="W1754" t="str">
            <v>H</v>
          </cell>
        </row>
        <row r="1755">
          <cell r="A1755">
            <v>46020</v>
          </cell>
          <cell r="B1755">
            <v>47500</v>
          </cell>
          <cell r="C1755">
            <v>45000</v>
          </cell>
          <cell r="D1755">
            <v>44700</v>
          </cell>
          <cell r="E1755">
            <v>41800</v>
          </cell>
          <cell r="F1755">
            <v>48900</v>
          </cell>
          <cell r="G1755" t="str">
            <v>-</v>
          </cell>
          <cell r="H1755">
            <v>43500</v>
          </cell>
          <cell r="I1755">
            <v>44500</v>
          </cell>
          <cell r="J1755">
            <v>49500</v>
          </cell>
          <cell r="K1755" t="str">
            <v>-</v>
          </cell>
          <cell r="L1755">
            <v>46500</v>
          </cell>
          <cell r="M1755">
            <v>46700</v>
          </cell>
          <cell r="N1755">
            <v>44500</v>
          </cell>
          <cell r="O1755">
            <v>45000</v>
          </cell>
          <cell r="P1755">
            <v>42500</v>
          </cell>
          <cell r="Q1755">
            <v>42600</v>
          </cell>
          <cell r="R1755">
            <v>41800</v>
          </cell>
          <cell r="S1755">
            <v>43900</v>
          </cell>
          <cell r="T1755">
            <v>45800</v>
          </cell>
          <cell r="U1755">
            <v>49500</v>
          </cell>
          <cell r="V1755">
            <v>45500</v>
          </cell>
          <cell r="W1755">
            <v>48400</v>
          </cell>
        </row>
        <row r="1756">
          <cell r="A1756">
            <v>46021</v>
          </cell>
          <cell r="B1756">
            <v>47900</v>
          </cell>
          <cell r="C1756">
            <v>45000</v>
          </cell>
          <cell r="D1756">
            <v>45000</v>
          </cell>
          <cell r="E1756">
            <v>41200</v>
          </cell>
          <cell r="F1756">
            <v>48900</v>
          </cell>
          <cell r="G1756" t="str">
            <v>-</v>
          </cell>
          <cell r="H1756">
            <v>43500</v>
          </cell>
          <cell r="I1756">
            <v>44900</v>
          </cell>
          <cell r="J1756">
            <v>49500</v>
          </cell>
          <cell r="K1756" t="str">
            <v>-</v>
          </cell>
          <cell r="L1756">
            <v>46800</v>
          </cell>
          <cell r="M1756">
            <v>47400</v>
          </cell>
          <cell r="N1756">
            <v>44600</v>
          </cell>
          <cell r="O1756">
            <v>45000</v>
          </cell>
          <cell r="P1756">
            <v>42000</v>
          </cell>
          <cell r="Q1756">
            <v>42500</v>
          </cell>
          <cell r="R1756">
            <v>41800</v>
          </cell>
          <cell r="S1756">
            <v>43300</v>
          </cell>
          <cell r="T1756">
            <v>46000</v>
          </cell>
          <cell r="U1756">
            <v>49500</v>
          </cell>
          <cell r="V1756">
            <v>45700</v>
          </cell>
          <cell r="W1756">
            <v>48400</v>
          </cell>
        </row>
        <row r="1757">
          <cell r="A1757">
            <v>46022</v>
          </cell>
          <cell r="B1757">
            <v>47900</v>
          </cell>
          <cell r="C1757">
            <v>45000</v>
          </cell>
          <cell r="D1757">
            <v>45300</v>
          </cell>
          <cell r="E1757">
            <v>41100</v>
          </cell>
          <cell r="F1757">
            <v>48900</v>
          </cell>
          <cell r="G1757" t="str">
            <v>-</v>
          </cell>
          <cell r="H1757">
            <v>43500</v>
          </cell>
          <cell r="I1757">
            <v>45000</v>
          </cell>
          <cell r="J1757">
            <v>49500</v>
          </cell>
          <cell r="K1757" t="str">
            <v>-</v>
          </cell>
          <cell r="L1757">
            <v>46800</v>
          </cell>
          <cell r="M1757">
            <v>47600</v>
          </cell>
          <cell r="N1757">
            <v>44750</v>
          </cell>
          <cell r="O1757">
            <v>45000</v>
          </cell>
          <cell r="P1757">
            <v>42300</v>
          </cell>
          <cell r="Q1757">
            <v>42800</v>
          </cell>
          <cell r="R1757">
            <v>41800</v>
          </cell>
          <cell r="S1757">
            <v>43200</v>
          </cell>
          <cell r="T1757">
            <v>46300</v>
          </cell>
          <cell r="U1757">
            <v>49500</v>
          </cell>
          <cell r="V1757">
            <v>45800</v>
          </cell>
          <cell r="W1757">
            <v>48400</v>
          </cell>
        </row>
        <row r="1758">
          <cell r="A1758">
            <v>46023</v>
          </cell>
          <cell r="B1758">
            <v>48400</v>
          </cell>
          <cell r="C1758">
            <v>45000</v>
          </cell>
          <cell r="D1758">
            <v>46000</v>
          </cell>
          <cell r="E1758">
            <v>41900</v>
          </cell>
          <cell r="F1758">
            <v>49200</v>
          </cell>
          <cell r="G1758" t="str">
            <v>-</v>
          </cell>
          <cell r="H1758">
            <v>44500</v>
          </cell>
          <cell r="I1758">
            <v>45400</v>
          </cell>
          <cell r="J1758">
            <v>49600</v>
          </cell>
          <cell r="K1758" t="str">
            <v>-</v>
          </cell>
          <cell r="L1758">
            <v>47300</v>
          </cell>
          <cell r="M1758">
            <v>48200</v>
          </cell>
          <cell r="N1758">
            <v>45500</v>
          </cell>
          <cell r="O1758">
            <v>46000</v>
          </cell>
          <cell r="P1758">
            <v>43700</v>
          </cell>
          <cell r="Q1758">
            <v>43800</v>
          </cell>
          <cell r="R1758">
            <v>42500</v>
          </cell>
          <cell r="S1758">
            <v>44000</v>
          </cell>
          <cell r="T1758">
            <v>47200</v>
          </cell>
          <cell r="U1758">
            <v>51000</v>
          </cell>
          <cell r="V1758">
            <v>46000</v>
          </cell>
          <cell r="W1758">
            <v>49200</v>
          </cell>
        </row>
        <row r="1759">
          <cell r="A1759">
            <v>46024</v>
          </cell>
          <cell r="B1759">
            <v>50000</v>
          </cell>
          <cell r="C1759">
            <v>45500</v>
          </cell>
          <cell r="D1759">
            <v>47500</v>
          </cell>
          <cell r="E1759">
            <v>42500</v>
          </cell>
          <cell r="F1759">
            <v>49500</v>
          </cell>
          <cell r="G1759" t="str">
            <v>-</v>
          </cell>
          <cell r="H1759">
            <v>45000</v>
          </cell>
          <cell r="I1759">
            <v>46100</v>
          </cell>
          <cell r="J1759">
            <v>50000</v>
          </cell>
          <cell r="K1759" t="str">
            <v>-</v>
          </cell>
          <cell r="L1759">
            <v>48000</v>
          </cell>
          <cell r="M1759">
            <v>48800</v>
          </cell>
          <cell r="N1759">
            <v>46450</v>
          </cell>
          <cell r="O1759">
            <v>46800</v>
          </cell>
          <cell r="P1759">
            <v>44300</v>
          </cell>
          <cell r="Q1759">
            <v>44600</v>
          </cell>
          <cell r="R1759">
            <v>43400</v>
          </cell>
          <cell r="S1759">
            <v>44600</v>
          </cell>
          <cell r="T1759">
            <v>47800</v>
          </cell>
          <cell r="U1759">
            <v>51000</v>
          </cell>
          <cell r="V1759">
            <v>46900</v>
          </cell>
          <cell r="W1759">
            <v>49400</v>
          </cell>
        </row>
        <row r="1760">
          <cell r="A1760">
            <v>46025</v>
          </cell>
          <cell r="B1760">
            <v>50400</v>
          </cell>
          <cell r="C1760">
            <v>45500</v>
          </cell>
          <cell r="D1760">
            <v>47500</v>
          </cell>
          <cell r="E1760">
            <v>42500</v>
          </cell>
          <cell r="F1760">
            <v>49800</v>
          </cell>
          <cell r="G1760" t="str">
            <v>-</v>
          </cell>
          <cell r="H1760">
            <v>45500</v>
          </cell>
          <cell r="I1760">
            <v>46500</v>
          </cell>
          <cell r="J1760">
            <v>50000</v>
          </cell>
          <cell r="K1760" t="str">
            <v>-</v>
          </cell>
          <cell r="L1760">
            <v>48200</v>
          </cell>
          <cell r="M1760">
            <v>49000</v>
          </cell>
          <cell r="N1760">
            <v>46800</v>
          </cell>
          <cell r="O1760">
            <v>46800</v>
          </cell>
          <cell r="P1760">
            <v>44500</v>
          </cell>
          <cell r="Q1760">
            <v>44500</v>
          </cell>
          <cell r="R1760">
            <v>43700</v>
          </cell>
          <cell r="S1760">
            <v>44600</v>
          </cell>
          <cell r="T1760">
            <v>47800</v>
          </cell>
          <cell r="U1760">
            <v>51000</v>
          </cell>
          <cell r="V1760">
            <v>47400</v>
          </cell>
          <cell r="W1760">
            <v>49400</v>
          </cell>
        </row>
        <row r="1761">
          <cell r="A1761">
            <v>46026</v>
          </cell>
          <cell r="B1761" t="str">
            <v>H</v>
          </cell>
          <cell r="C1761" t="str">
            <v>H</v>
          </cell>
          <cell r="D1761" t="str">
            <v>H</v>
          </cell>
          <cell r="E1761" t="str">
            <v>H</v>
          </cell>
          <cell r="F1761" t="str">
            <v>H</v>
          </cell>
          <cell r="G1761" t="str">
            <v>H</v>
          </cell>
          <cell r="H1761" t="str">
            <v>H</v>
          </cell>
          <cell r="I1761" t="str">
            <v>H</v>
          </cell>
          <cell r="J1761" t="str">
            <v>H</v>
          </cell>
          <cell r="K1761" t="str">
            <v>H</v>
          </cell>
          <cell r="L1761" t="str">
            <v>H</v>
          </cell>
          <cell r="M1761" t="str">
            <v>H</v>
          </cell>
          <cell r="N1761" t="str">
            <v>H</v>
          </cell>
          <cell r="O1761" t="str">
            <v>H</v>
          </cell>
          <cell r="P1761" t="str">
            <v>H</v>
          </cell>
          <cell r="Q1761" t="str">
            <v>H</v>
          </cell>
          <cell r="R1761" t="str">
            <v>H</v>
          </cell>
          <cell r="S1761" t="str">
            <v>H</v>
          </cell>
          <cell r="T1761" t="str">
            <v>H</v>
          </cell>
          <cell r="U1761" t="str">
            <v>H</v>
          </cell>
          <cell r="V1761" t="str">
            <v>H</v>
          </cell>
          <cell r="W1761" t="str">
            <v>H</v>
          </cell>
        </row>
        <row r="1762">
          <cell r="A1762">
            <v>46027</v>
          </cell>
          <cell r="B1762">
            <v>50400</v>
          </cell>
          <cell r="C1762">
            <v>45700</v>
          </cell>
          <cell r="D1762">
            <v>47100</v>
          </cell>
          <cell r="E1762">
            <v>42000</v>
          </cell>
          <cell r="F1762">
            <v>49300</v>
          </cell>
          <cell r="G1762" t="str">
            <v>-</v>
          </cell>
          <cell r="H1762">
            <v>44500</v>
          </cell>
          <cell r="I1762">
            <v>46100</v>
          </cell>
          <cell r="J1762">
            <v>49600</v>
          </cell>
          <cell r="K1762" t="str">
            <v>-</v>
          </cell>
          <cell r="L1762">
            <v>47800</v>
          </cell>
          <cell r="M1762">
            <v>49000</v>
          </cell>
          <cell r="N1762">
            <v>45900</v>
          </cell>
          <cell r="O1762">
            <v>46500</v>
          </cell>
          <cell r="P1762">
            <v>43500</v>
          </cell>
          <cell r="Q1762">
            <v>44100</v>
          </cell>
          <cell r="R1762">
            <v>43300</v>
          </cell>
          <cell r="S1762">
            <v>44100</v>
          </cell>
          <cell r="T1762">
            <v>47600</v>
          </cell>
          <cell r="U1762">
            <v>50800</v>
          </cell>
          <cell r="V1762">
            <v>47400</v>
          </cell>
          <cell r="W1762">
            <v>49400</v>
          </cell>
        </row>
        <row r="1763">
          <cell r="A1763">
            <v>46028</v>
          </cell>
          <cell r="B1763">
            <v>50100</v>
          </cell>
          <cell r="C1763">
            <v>45500</v>
          </cell>
          <cell r="D1763">
            <v>46800</v>
          </cell>
          <cell r="E1763">
            <v>41900</v>
          </cell>
          <cell r="F1763">
            <v>49000</v>
          </cell>
          <cell r="G1763" t="str">
            <v>-</v>
          </cell>
          <cell r="H1763">
            <v>44500</v>
          </cell>
          <cell r="I1763">
            <v>45700</v>
          </cell>
          <cell r="J1763">
            <v>49600</v>
          </cell>
          <cell r="K1763" t="str">
            <v>-</v>
          </cell>
          <cell r="L1763">
            <v>47500</v>
          </cell>
          <cell r="M1763">
            <v>49000</v>
          </cell>
          <cell r="N1763">
            <v>45500</v>
          </cell>
          <cell r="O1763">
            <v>46500</v>
          </cell>
          <cell r="P1763">
            <v>43000</v>
          </cell>
          <cell r="Q1763">
            <v>43800</v>
          </cell>
          <cell r="R1763">
            <v>42800</v>
          </cell>
          <cell r="S1763">
            <v>44000</v>
          </cell>
          <cell r="T1763">
            <v>47100</v>
          </cell>
          <cell r="U1763">
            <v>50800</v>
          </cell>
          <cell r="V1763">
            <v>47000</v>
          </cell>
          <cell r="W1763">
            <v>49500</v>
          </cell>
        </row>
        <row r="1764">
          <cell r="A1764">
            <v>46029</v>
          </cell>
          <cell r="B1764">
            <v>49300</v>
          </cell>
          <cell r="C1764">
            <v>45000</v>
          </cell>
          <cell r="D1764">
            <v>46800</v>
          </cell>
          <cell r="E1764">
            <v>41800</v>
          </cell>
          <cell r="F1764">
            <v>49000</v>
          </cell>
          <cell r="G1764" t="str">
            <v>-</v>
          </cell>
          <cell r="H1764">
            <v>44500</v>
          </cell>
          <cell r="I1764">
            <v>45200</v>
          </cell>
          <cell r="J1764">
            <v>49600</v>
          </cell>
          <cell r="K1764" t="str">
            <v>-</v>
          </cell>
          <cell r="L1764">
            <v>47300</v>
          </cell>
          <cell r="M1764">
            <v>48800</v>
          </cell>
          <cell r="N1764">
            <v>45350</v>
          </cell>
          <cell r="O1764">
            <v>46500</v>
          </cell>
          <cell r="P1764">
            <v>42600</v>
          </cell>
          <cell r="Q1764">
            <v>43600</v>
          </cell>
          <cell r="R1764">
            <v>42600</v>
          </cell>
          <cell r="S1764">
            <v>43900</v>
          </cell>
          <cell r="T1764">
            <v>46800</v>
          </cell>
          <cell r="U1764">
            <v>49800</v>
          </cell>
          <cell r="V1764">
            <v>46900</v>
          </cell>
          <cell r="W1764">
            <v>49500</v>
          </cell>
        </row>
        <row r="1765">
          <cell r="A1765">
            <v>46030</v>
          </cell>
          <cell r="B1765">
            <v>48700</v>
          </cell>
          <cell r="C1765">
            <v>45000</v>
          </cell>
          <cell r="D1765">
            <v>46400</v>
          </cell>
          <cell r="E1765">
            <v>41600</v>
          </cell>
          <cell r="F1765">
            <v>48800</v>
          </cell>
          <cell r="G1765" t="str">
            <v>-</v>
          </cell>
          <cell r="H1765">
            <v>44500</v>
          </cell>
          <cell r="I1765">
            <v>45000</v>
          </cell>
          <cell r="J1765">
            <v>49300</v>
          </cell>
          <cell r="K1765" t="str">
            <v>-</v>
          </cell>
          <cell r="L1765">
            <v>47000</v>
          </cell>
          <cell r="M1765">
            <v>48200</v>
          </cell>
          <cell r="N1765">
            <v>45000</v>
          </cell>
          <cell r="O1765">
            <v>46200</v>
          </cell>
          <cell r="P1765">
            <v>42300</v>
          </cell>
          <cell r="Q1765">
            <v>43000</v>
          </cell>
          <cell r="R1765">
            <v>42400</v>
          </cell>
          <cell r="S1765">
            <v>43700</v>
          </cell>
          <cell r="T1765">
            <v>46400</v>
          </cell>
          <cell r="U1765">
            <v>49800</v>
          </cell>
          <cell r="V1765">
            <v>46800</v>
          </cell>
          <cell r="W1765">
            <v>49500</v>
          </cell>
        </row>
        <row r="1766">
          <cell r="A1766">
            <v>46031</v>
          </cell>
          <cell r="B1766">
            <v>48200</v>
          </cell>
          <cell r="C1766">
            <v>45000</v>
          </cell>
          <cell r="D1766">
            <v>46400</v>
          </cell>
          <cell r="E1766">
            <v>41600</v>
          </cell>
          <cell r="F1766">
            <v>48500</v>
          </cell>
          <cell r="G1766" t="str">
            <v>-</v>
          </cell>
          <cell r="H1766">
            <v>44500</v>
          </cell>
          <cell r="I1766">
            <v>45000</v>
          </cell>
          <cell r="J1766">
            <v>49000</v>
          </cell>
          <cell r="K1766" t="str">
            <v>-</v>
          </cell>
          <cell r="L1766">
            <v>47000</v>
          </cell>
          <cell r="M1766">
            <v>47900</v>
          </cell>
          <cell r="N1766">
            <v>45200</v>
          </cell>
          <cell r="O1766">
            <v>46200</v>
          </cell>
          <cell r="P1766">
            <v>42300</v>
          </cell>
          <cell r="Q1766">
            <v>42900</v>
          </cell>
          <cell r="R1766">
            <v>42500</v>
          </cell>
          <cell r="S1766">
            <v>43700</v>
          </cell>
          <cell r="T1766">
            <v>46100</v>
          </cell>
          <cell r="U1766">
            <v>49800</v>
          </cell>
          <cell r="V1766">
            <v>46800</v>
          </cell>
          <cell r="W1766">
            <v>49500</v>
          </cell>
        </row>
        <row r="1767">
          <cell r="A1767">
            <v>46032</v>
          </cell>
          <cell r="B1767">
            <v>48300</v>
          </cell>
          <cell r="C1767">
            <v>45000</v>
          </cell>
          <cell r="D1767">
            <v>46300</v>
          </cell>
          <cell r="E1767">
            <v>41600</v>
          </cell>
          <cell r="F1767">
            <v>48500</v>
          </cell>
          <cell r="G1767" t="str">
            <v>-</v>
          </cell>
          <cell r="H1767">
            <v>44500</v>
          </cell>
          <cell r="I1767">
            <v>45100</v>
          </cell>
          <cell r="J1767">
            <v>49000</v>
          </cell>
          <cell r="K1767" t="str">
            <v>-</v>
          </cell>
          <cell r="L1767">
            <v>47200</v>
          </cell>
          <cell r="M1767">
            <v>48300</v>
          </cell>
          <cell r="N1767">
            <v>45000</v>
          </cell>
          <cell r="O1767">
            <v>46200</v>
          </cell>
          <cell r="P1767">
            <v>42300</v>
          </cell>
          <cell r="Q1767">
            <v>43000</v>
          </cell>
          <cell r="R1767">
            <v>42500</v>
          </cell>
          <cell r="S1767">
            <v>43700</v>
          </cell>
          <cell r="T1767">
            <v>46500</v>
          </cell>
          <cell r="U1767">
            <v>49800</v>
          </cell>
          <cell r="V1767">
            <v>46800</v>
          </cell>
          <cell r="W1767">
            <v>49500</v>
          </cell>
        </row>
        <row r="1768">
          <cell r="A1768">
            <v>46033</v>
          </cell>
          <cell r="B1768" t="str">
            <v>H</v>
          </cell>
          <cell r="C1768" t="str">
            <v>H</v>
          </cell>
          <cell r="D1768" t="str">
            <v>H</v>
          </cell>
          <cell r="E1768" t="str">
            <v>H</v>
          </cell>
          <cell r="F1768" t="str">
            <v>H</v>
          </cell>
          <cell r="G1768" t="str">
            <v>H</v>
          </cell>
          <cell r="H1768" t="str">
            <v>H</v>
          </cell>
          <cell r="I1768" t="str">
            <v>H</v>
          </cell>
          <cell r="J1768" t="str">
            <v>H</v>
          </cell>
          <cell r="K1768" t="str">
            <v>H</v>
          </cell>
          <cell r="L1768" t="str">
            <v>H</v>
          </cell>
          <cell r="M1768" t="str">
            <v>H</v>
          </cell>
          <cell r="N1768" t="str">
            <v>H</v>
          </cell>
          <cell r="O1768" t="str">
            <v>H</v>
          </cell>
          <cell r="P1768" t="str">
            <v>H</v>
          </cell>
          <cell r="Q1768" t="str">
            <v>H</v>
          </cell>
          <cell r="R1768" t="str">
            <v>H</v>
          </cell>
          <cell r="S1768" t="str">
            <v>H</v>
          </cell>
          <cell r="T1768" t="str">
            <v>H</v>
          </cell>
          <cell r="U1768" t="str">
            <v>H</v>
          </cell>
          <cell r="V1768" t="str">
            <v>H</v>
          </cell>
          <cell r="W1768" t="str">
            <v>H</v>
          </cell>
        </row>
        <row r="1769">
          <cell r="A1769">
            <v>46034</v>
          </cell>
          <cell r="B1769">
            <v>48300</v>
          </cell>
          <cell r="C1769">
            <v>45000</v>
          </cell>
          <cell r="D1769">
            <v>46000</v>
          </cell>
          <cell r="E1769">
            <v>41800</v>
          </cell>
          <cell r="F1769">
            <v>48500</v>
          </cell>
          <cell r="G1769" t="str">
            <v>-</v>
          </cell>
          <cell r="H1769">
            <v>44500</v>
          </cell>
          <cell r="I1769">
            <v>44900</v>
          </cell>
          <cell r="J1769">
            <v>48800</v>
          </cell>
          <cell r="K1769" t="str">
            <v>-</v>
          </cell>
          <cell r="L1769">
            <v>47200</v>
          </cell>
          <cell r="M1769">
            <v>48300</v>
          </cell>
          <cell r="N1769">
            <v>44800</v>
          </cell>
          <cell r="O1769">
            <v>46200</v>
          </cell>
          <cell r="P1769">
            <v>42200</v>
          </cell>
          <cell r="Q1769">
            <v>43000</v>
          </cell>
          <cell r="R1769">
            <v>42500</v>
          </cell>
          <cell r="S1769">
            <v>43900</v>
          </cell>
          <cell r="T1769">
            <v>46500</v>
          </cell>
          <cell r="U1769">
            <v>49500</v>
          </cell>
          <cell r="V1769">
            <v>46500</v>
          </cell>
          <cell r="W1769">
            <v>49500</v>
          </cell>
        </row>
        <row r="1770">
          <cell r="A1770">
            <v>46035</v>
          </cell>
          <cell r="B1770">
            <v>48200</v>
          </cell>
          <cell r="C1770">
            <v>44700</v>
          </cell>
          <cell r="D1770">
            <v>45800</v>
          </cell>
          <cell r="E1770">
            <v>41900</v>
          </cell>
          <cell r="F1770">
            <v>48000</v>
          </cell>
          <cell r="G1770" t="str">
            <v>-</v>
          </cell>
          <cell r="H1770">
            <v>44500</v>
          </cell>
          <cell r="I1770">
            <v>44800</v>
          </cell>
          <cell r="J1770">
            <v>48500</v>
          </cell>
          <cell r="K1770" t="str">
            <v>-</v>
          </cell>
          <cell r="L1770">
            <v>47100</v>
          </cell>
          <cell r="M1770">
            <v>48500</v>
          </cell>
          <cell r="N1770">
            <v>44500</v>
          </cell>
          <cell r="O1770">
            <v>46200</v>
          </cell>
          <cell r="P1770">
            <v>42100</v>
          </cell>
          <cell r="Q1770">
            <v>42600</v>
          </cell>
          <cell r="R1770">
            <v>42300</v>
          </cell>
          <cell r="S1770">
            <v>44000</v>
          </cell>
          <cell r="T1770">
            <v>46500</v>
          </cell>
          <cell r="U1770">
            <v>49500</v>
          </cell>
          <cell r="V1770">
            <v>46500</v>
          </cell>
          <cell r="W1770">
            <v>49500</v>
          </cell>
        </row>
        <row r="1771">
          <cell r="A1771">
            <v>46036</v>
          </cell>
          <cell r="B1771" t="str">
            <v>-</v>
          </cell>
          <cell r="C1771" t="str">
            <v>-</v>
          </cell>
          <cell r="D1771">
            <v>46900</v>
          </cell>
          <cell r="E1771">
            <v>42500</v>
          </cell>
          <cell r="F1771">
            <v>48000</v>
          </cell>
          <cell r="G1771" t="str">
            <v>-</v>
          </cell>
          <cell r="H1771">
            <v>45500</v>
          </cell>
          <cell r="I1771">
            <v>45500</v>
          </cell>
          <cell r="J1771">
            <v>49200</v>
          </cell>
          <cell r="K1771" t="str">
            <v>-</v>
          </cell>
          <cell r="L1771">
            <v>47400</v>
          </cell>
          <cell r="M1771">
            <v>49100</v>
          </cell>
          <cell r="N1771">
            <v>46100</v>
          </cell>
          <cell r="O1771">
            <v>47000</v>
          </cell>
          <cell r="P1771">
            <v>43200</v>
          </cell>
          <cell r="Q1771">
            <v>43500</v>
          </cell>
          <cell r="R1771">
            <v>42600</v>
          </cell>
          <cell r="S1771">
            <v>44600</v>
          </cell>
          <cell r="T1771">
            <v>46800</v>
          </cell>
          <cell r="U1771">
            <v>49500</v>
          </cell>
          <cell r="V1771">
            <v>46500</v>
          </cell>
          <cell r="W1771">
            <v>50200</v>
          </cell>
        </row>
        <row r="1772">
          <cell r="A1772">
            <v>46037</v>
          </cell>
          <cell r="B1772">
            <v>49600</v>
          </cell>
          <cell r="C1772" t="str">
            <v>-</v>
          </cell>
          <cell r="D1772">
            <v>48100</v>
          </cell>
          <cell r="E1772">
            <v>43100</v>
          </cell>
          <cell r="F1772">
            <v>48800</v>
          </cell>
          <cell r="G1772" t="str">
            <v>-</v>
          </cell>
          <cell r="H1772" t="str">
            <v>-</v>
          </cell>
          <cell r="I1772">
            <v>46400</v>
          </cell>
          <cell r="J1772">
            <v>49500</v>
          </cell>
          <cell r="K1772" t="str">
            <v>-</v>
          </cell>
          <cell r="L1772">
            <v>48100</v>
          </cell>
          <cell r="M1772" t="str">
            <v>-</v>
          </cell>
          <cell r="N1772">
            <v>47200</v>
          </cell>
          <cell r="O1772">
            <v>47800</v>
          </cell>
          <cell r="P1772">
            <v>43800</v>
          </cell>
          <cell r="Q1772">
            <v>43800</v>
          </cell>
          <cell r="R1772">
            <v>43600</v>
          </cell>
          <cell r="S1772">
            <v>45200</v>
          </cell>
          <cell r="T1772">
            <v>47200</v>
          </cell>
          <cell r="U1772">
            <v>53000</v>
          </cell>
          <cell r="V1772">
            <v>46500</v>
          </cell>
          <cell r="W1772">
            <v>50200</v>
          </cell>
        </row>
        <row r="1773">
          <cell r="A1773">
            <v>46038</v>
          </cell>
          <cell r="B1773">
            <v>50100</v>
          </cell>
          <cell r="C1773" t="str">
            <v>-</v>
          </cell>
          <cell r="D1773">
            <v>48000</v>
          </cell>
          <cell r="E1773">
            <v>43300</v>
          </cell>
          <cell r="F1773">
            <v>49200</v>
          </cell>
          <cell r="G1773" t="str">
            <v>-</v>
          </cell>
          <cell r="H1773" t="str">
            <v>-</v>
          </cell>
          <cell r="I1773">
            <v>47000</v>
          </cell>
          <cell r="J1773">
            <v>49700</v>
          </cell>
          <cell r="K1773" t="str">
            <v>-</v>
          </cell>
          <cell r="L1773">
            <v>48100</v>
          </cell>
          <cell r="M1773">
            <v>49800</v>
          </cell>
          <cell r="N1773">
            <v>47550</v>
          </cell>
          <cell r="O1773">
            <v>48000</v>
          </cell>
          <cell r="P1773">
            <v>43700</v>
          </cell>
          <cell r="Q1773">
            <v>43900</v>
          </cell>
          <cell r="R1773">
            <v>44000</v>
          </cell>
          <cell r="S1773">
            <v>45400</v>
          </cell>
          <cell r="T1773">
            <v>47500</v>
          </cell>
          <cell r="U1773">
            <v>53000</v>
          </cell>
          <cell r="V1773">
            <v>46900</v>
          </cell>
          <cell r="W1773">
            <v>50500</v>
          </cell>
        </row>
        <row r="1774">
          <cell r="A1774">
            <v>46039</v>
          </cell>
          <cell r="B1774">
            <v>50400</v>
          </cell>
          <cell r="C1774" t="str">
            <v>-</v>
          </cell>
          <cell r="D1774">
            <v>48550</v>
          </cell>
          <cell r="E1774">
            <v>43700</v>
          </cell>
          <cell r="F1774">
            <v>49800</v>
          </cell>
          <cell r="G1774" t="str">
            <v>-</v>
          </cell>
          <cell r="H1774">
            <v>46300</v>
          </cell>
          <cell r="I1774">
            <v>47300</v>
          </cell>
          <cell r="J1774">
            <v>50300</v>
          </cell>
          <cell r="K1774" t="str">
            <v>-</v>
          </cell>
          <cell r="L1774">
            <v>48500</v>
          </cell>
          <cell r="M1774">
            <v>50000</v>
          </cell>
          <cell r="N1774">
            <v>48100</v>
          </cell>
          <cell r="O1774">
            <v>48300</v>
          </cell>
          <cell r="P1774">
            <v>44200</v>
          </cell>
          <cell r="Q1774">
            <v>44400</v>
          </cell>
          <cell r="R1774">
            <v>44000</v>
          </cell>
          <cell r="S1774">
            <v>45800</v>
          </cell>
          <cell r="T1774">
            <v>48100</v>
          </cell>
          <cell r="U1774">
            <v>53000</v>
          </cell>
          <cell r="V1774">
            <v>46900</v>
          </cell>
          <cell r="W1774">
            <v>50500</v>
          </cell>
        </row>
        <row r="1775">
          <cell r="A1775">
            <v>46040</v>
          </cell>
          <cell r="B1775" t="str">
            <v>H</v>
          </cell>
          <cell r="C1775" t="str">
            <v>H</v>
          </cell>
          <cell r="D1775" t="str">
            <v>H</v>
          </cell>
          <cell r="E1775" t="str">
            <v>H</v>
          </cell>
          <cell r="F1775" t="str">
            <v>H</v>
          </cell>
          <cell r="G1775" t="str">
            <v>H</v>
          </cell>
          <cell r="H1775" t="str">
            <v>H</v>
          </cell>
          <cell r="I1775" t="str">
            <v>H</v>
          </cell>
          <cell r="J1775" t="str">
            <v>H</v>
          </cell>
          <cell r="K1775" t="str">
            <v>H</v>
          </cell>
          <cell r="L1775" t="str">
            <v>H</v>
          </cell>
          <cell r="M1775" t="str">
            <v>H</v>
          </cell>
          <cell r="N1775" t="str">
            <v>H</v>
          </cell>
          <cell r="O1775" t="str">
            <v>H</v>
          </cell>
          <cell r="P1775" t="str">
            <v>H</v>
          </cell>
          <cell r="Q1775" t="str">
            <v>H</v>
          </cell>
          <cell r="R1775" t="str">
            <v>H</v>
          </cell>
          <cell r="S1775" t="str">
            <v>H</v>
          </cell>
          <cell r="T1775" t="str">
            <v>H</v>
          </cell>
          <cell r="U1775" t="str">
            <v>H</v>
          </cell>
          <cell r="V1775" t="str">
            <v>H</v>
          </cell>
          <cell r="W1775" t="str">
            <v>H</v>
          </cell>
        </row>
        <row r="1776">
          <cell r="A1776">
            <v>46041</v>
          </cell>
          <cell r="B1776">
            <v>50400</v>
          </cell>
          <cell r="C1776">
            <v>47300</v>
          </cell>
          <cell r="D1776">
            <v>48800</v>
          </cell>
          <cell r="E1776">
            <v>44150</v>
          </cell>
          <cell r="F1776">
            <v>50200</v>
          </cell>
          <cell r="G1776" t="str">
            <v>-</v>
          </cell>
          <cell r="H1776">
            <v>46500</v>
          </cell>
          <cell r="I1776">
            <v>47200</v>
          </cell>
          <cell r="J1776">
            <v>50200</v>
          </cell>
          <cell r="K1776" t="str">
            <v>-</v>
          </cell>
          <cell r="L1776">
            <v>49000</v>
          </cell>
          <cell r="M1776">
            <v>50300</v>
          </cell>
          <cell r="N1776">
            <v>48400</v>
          </cell>
          <cell r="O1776">
            <v>48600</v>
          </cell>
          <cell r="P1776">
            <v>44700</v>
          </cell>
          <cell r="Q1776">
            <v>44700</v>
          </cell>
          <cell r="R1776">
            <v>44700</v>
          </cell>
          <cell r="S1776">
            <v>46200</v>
          </cell>
          <cell r="T1776">
            <v>48700</v>
          </cell>
          <cell r="U1776">
            <v>53000</v>
          </cell>
          <cell r="V1776">
            <v>47700</v>
          </cell>
          <cell r="W1776">
            <v>50700</v>
          </cell>
        </row>
        <row r="1777">
          <cell r="A1777">
            <v>46042</v>
          </cell>
          <cell r="B1777">
            <v>50100</v>
          </cell>
          <cell r="C1777">
            <v>47300</v>
          </cell>
          <cell r="D1777">
            <v>48000</v>
          </cell>
          <cell r="E1777">
            <v>44000</v>
          </cell>
          <cell r="F1777">
            <v>50200</v>
          </cell>
          <cell r="G1777" t="str">
            <v>-</v>
          </cell>
          <cell r="H1777">
            <v>46000</v>
          </cell>
          <cell r="I1777">
            <v>46800</v>
          </cell>
          <cell r="J1777">
            <v>50000</v>
          </cell>
          <cell r="K1777" t="str">
            <v>-</v>
          </cell>
          <cell r="L1777">
            <v>48800</v>
          </cell>
          <cell r="M1777">
            <v>50300</v>
          </cell>
          <cell r="N1777">
            <v>47800</v>
          </cell>
          <cell r="O1777">
            <v>48000</v>
          </cell>
          <cell r="P1777">
            <v>44000</v>
          </cell>
          <cell r="Q1777">
            <v>44300</v>
          </cell>
          <cell r="R1777">
            <v>44000</v>
          </cell>
          <cell r="S1777">
            <v>46100</v>
          </cell>
          <cell r="T1777">
            <v>48300</v>
          </cell>
          <cell r="U1777">
            <v>53000</v>
          </cell>
          <cell r="V1777">
            <v>47700</v>
          </cell>
          <cell r="W1777">
            <v>50700</v>
          </cell>
        </row>
        <row r="1778">
          <cell r="A1778">
            <v>46043</v>
          </cell>
          <cell r="B1778">
            <v>49900</v>
          </cell>
          <cell r="C1778">
            <v>47300</v>
          </cell>
          <cell r="D1778">
            <v>48000</v>
          </cell>
          <cell r="E1778">
            <v>44000</v>
          </cell>
          <cell r="F1778">
            <v>50200</v>
          </cell>
          <cell r="G1778" t="str">
            <v>-</v>
          </cell>
          <cell r="H1778">
            <v>46000</v>
          </cell>
          <cell r="I1778">
            <v>46500</v>
          </cell>
          <cell r="J1778">
            <v>49800</v>
          </cell>
          <cell r="K1778" t="str">
            <v>-</v>
          </cell>
          <cell r="L1778">
            <v>48800</v>
          </cell>
          <cell r="M1778">
            <v>49900</v>
          </cell>
          <cell r="N1778">
            <v>47800</v>
          </cell>
          <cell r="O1778">
            <v>47700</v>
          </cell>
          <cell r="P1778">
            <v>43800</v>
          </cell>
          <cell r="Q1778">
            <v>44000</v>
          </cell>
          <cell r="R1778">
            <v>43800</v>
          </cell>
          <cell r="S1778">
            <v>46100</v>
          </cell>
          <cell r="T1778">
            <v>48000</v>
          </cell>
          <cell r="U1778">
            <v>51500</v>
          </cell>
          <cell r="V1778">
            <v>47700</v>
          </cell>
          <cell r="W1778">
            <v>50700</v>
          </cell>
        </row>
        <row r="1779">
          <cell r="A1779">
            <v>46044</v>
          </cell>
          <cell r="B1779">
            <v>49600</v>
          </cell>
          <cell r="C1779">
            <v>47000</v>
          </cell>
          <cell r="D1779">
            <v>48000</v>
          </cell>
          <cell r="E1779">
            <v>43900</v>
          </cell>
          <cell r="F1779">
            <v>50000</v>
          </cell>
          <cell r="G1779" t="str">
            <v>-</v>
          </cell>
          <cell r="H1779">
            <v>45800</v>
          </cell>
          <cell r="I1779">
            <v>46700</v>
          </cell>
          <cell r="J1779">
            <v>49500</v>
          </cell>
          <cell r="K1779" t="str">
            <v>-</v>
          </cell>
          <cell r="L1779">
            <v>48800</v>
          </cell>
          <cell r="M1779">
            <v>49800</v>
          </cell>
          <cell r="N1779">
            <v>47800</v>
          </cell>
          <cell r="O1779">
            <v>47500</v>
          </cell>
          <cell r="P1779">
            <v>43500</v>
          </cell>
          <cell r="Q1779">
            <v>43900</v>
          </cell>
          <cell r="R1779">
            <v>43800</v>
          </cell>
          <cell r="S1779">
            <v>46000</v>
          </cell>
          <cell r="T1779">
            <v>47700</v>
          </cell>
          <cell r="U1779">
            <v>51500</v>
          </cell>
          <cell r="V1779">
            <v>47700</v>
          </cell>
          <cell r="W1779">
            <v>50700</v>
          </cell>
        </row>
        <row r="1780">
          <cell r="A1780">
            <v>46045</v>
          </cell>
          <cell r="B1780">
            <v>49700</v>
          </cell>
          <cell r="C1780">
            <v>47200</v>
          </cell>
          <cell r="D1780">
            <v>48150</v>
          </cell>
          <cell r="E1780">
            <v>44300</v>
          </cell>
          <cell r="F1780">
            <v>49800</v>
          </cell>
          <cell r="G1780" t="str">
            <v>-</v>
          </cell>
          <cell r="H1780">
            <v>46000</v>
          </cell>
          <cell r="I1780">
            <v>47100</v>
          </cell>
          <cell r="J1780">
            <v>49600</v>
          </cell>
          <cell r="K1780" t="str">
            <v>-</v>
          </cell>
          <cell r="L1780">
            <v>49300</v>
          </cell>
          <cell r="M1780">
            <v>50100</v>
          </cell>
          <cell r="N1780">
            <v>48200</v>
          </cell>
          <cell r="O1780">
            <v>47600</v>
          </cell>
          <cell r="P1780">
            <v>43600</v>
          </cell>
          <cell r="Q1780">
            <v>43900</v>
          </cell>
          <cell r="R1780">
            <v>44000</v>
          </cell>
          <cell r="S1780">
            <v>46400</v>
          </cell>
          <cell r="T1780">
            <v>47700</v>
          </cell>
          <cell r="U1780">
            <v>51500</v>
          </cell>
          <cell r="V1780">
            <v>47700</v>
          </cell>
          <cell r="W1780">
            <v>50700</v>
          </cell>
        </row>
        <row r="1781">
          <cell r="A1781">
            <v>46046</v>
          </cell>
          <cell r="B1781">
            <v>49700</v>
          </cell>
          <cell r="C1781">
            <v>47300</v>
          </cell>
          <cell r="D1781">
            <v>48650</v>
          </cell>
          <cell r="E1781">
            <v>44300</v>
          </cell>
          <cell r="F1781">
            <v>49900</v>
          </cell>
          <cell r="G1781" t="str">
            <v>-</v>
          </cell>
          <cell r="H1781">
            <v>46800</v>
          </cell>
          <cell r="I1781">
            <v>47200</v>
          </cell>
          <cell r="J1781">
            <v>49600</v>
          </cell>
          <cell r="K1781" t="str">
            <v>-</v>
          </cell>
          <cell r="L1781">
            <v>49400</v>
          </cell>
          <cell r="M1781">
            <v>50200</v>
          </cell>
          <cell r="N1781">
            <v>48400</v>
          </cell>
          <cell r="O1781">
            <v>47600</v>
          </cell>
          <cell r="P1781">
            <v>43700</v>
          </cell>
          <cell r="Q1781">
            <v>43900</v>
          </cell>
          <cell r="R1781">
            <v>44500</v>
          </cell>
          <cell r="S1781">
            <v>46400</v>
          </cell>
          <cell r="T1781">
            <v>48300</v>
          </cell>
          <cell r="U1781">
            <v>52500</v>
          </cell>
          <cell r="V1781">
            <v>47700</v>
          </cell>
          <cell r="W1781">
            <v>50700</v>
          </cell>
        </row>
        <row r="1782">
          <cell r="A1782">
            <v>46047</v>
          </cell>
          <cell r="B1782" t="str">
            <v>H</v>
          </cell>
          <cell r="C1782" t="str">
            <v>H</v>
          </cell>
          <cell r="D1782" t="str">
            <v>H</v>
          </cell>
          <cell r="E1782" t="str">
            <v>H</v>
          </cell>
          <cell r="F1782" t="str">
            <v>H</v>
          </cell>
          <cell r="G1782" t="str">
            <v>H</v>
          </cell>
          <cell r="H1782" t="str">
            <v>H</v>
          </cell>
          <cell r="I1782" t="str">
            <v>H</v>
          </cell>
          <cell r="J1782" t="str">
            <v>H</v>
          </cell>
          <cell r="K1782" t="str">
            <v>H</v>
          </cell>
          <cell r="L1782" t="str">
            <v>H</v>
          </cell>
          <cell r="M1782" t="str">
            <v>H</v>
          </cell>
          <cell r="N1782" t="str">
            <v>H</v>
          </cell>
          <cell r="O1782" t="str">
            <v>H</v>
          </cell>
          <cell r="P1782" t="str">
            <v>H</v>
          </cell>
          <cell r="Q1782" t="str">
            <v>H</v>
          </cell>
          <cell r="R1782" t="str">
            <v>H</v>
          </cell>
          <cell r="S1782" t="str">
            <v>H</v>
          </cell>
          <cell r="T1782" t="str">
            <v>H</v>
          </cell>
          <cell r="U1782" t="str">
            <v>H</v>
          </cell>
          <cell r="V1782" t="str">
            <v>H</v>
          </cell>
          <cell r="W1782" t="str">
            <v>H</v>
          </cell>
        </row>
        <row r="1783">
          <cell r="A1783">
            <v>46048</v>
          </cell>
          <cell r="B1783" t="str">
            <v>H</v>
          </cell>
          <cell r="C1783" t="str">
            <v>H</v>
          </cell>
          <cell r="D1783" t="str">
            <v>H</v>
          </cell>
          <cell r="E1783" t="str">
            <v>H</v>
          </cell>
          <cell r="F1783" t="str">
            <v>H</v>
          </cell>
          <cell r="G1783" t="str">
            <v>H</v>
          </cell>
          <cell r="H1783" t="str">
            <v>H</v>
          </cell>
          <cell r="I1783" t="str">
            <v>H</v>
          </cell>
          <cell r="J1783" t="str">
            <v>H</v>
          </cell>
          <cell r="K1783" t="str">
            <v>H</v>
          </cell>
          <cell r="L1783" t="str">
            <v>H</v>
          </cell>
          <cell r="M1783" t="str">
            <v>H</v>
          </cell>
          <cell r="N1783" t="str">
            <v>H</v>
          </cell>
          <cell r="O1783" t="str">
            <v>H</v>
          </cell>
          <cell r="P1783" t="str">
            <v>H</v>
          </cell>
          <cell r="Q1783" t="str">
            <v>H</v>
          </cell>
          <cell r="R1783" t="str">
            <v>H</v>
          </cell>
          <cell r="S1783" t="str">
            <v>H</v>
          </cell>
          <cell r="T1783" t="str">
            <v>H</v>
          </cell>
          <cell r="U1783" t="str">
            <v>H</v>
          </cell>
          <cell r="V1783" t="str">
            <v>H</v>
          </cell>
          <cell r="W1783" t="str">
            <v>H</v>
          </cell>
        </row>
        <row r="1784">
          <cell r="A1784">
            <v>46049</v>
          </cell>
          <cell r="B1784">
            <v>49100</v>
          </cell>
          <cell r="C1784">
            <v>47500</v>
          </cell>
          <cell r="D1784">
            <v>48250</v>
          </cell>
          <cell r="E1784">
            <v>44100</v>
          </cell>
          <cell r="F1784">
            <v>49800</v>
          </cell>
          <cell r="G1784" t="str">
            <v>-</v>
          </cell>
          <cell r="H1784">
            <v>46500</v>
          </cell>
          <cell r="I1784">
            <v>46400</v>
          </cell>
          <cell r="J1784">
            <v>49600</v>
          </cell>
          <cell r="K1784" t="str">
            <v>-</v>
          </cell>
          <cell r="L1784">
            <v>49200</v>
          </cell>
          <cell r="M1784">
            <v>50300</v>
          </cell>
          <cell r="N1784">
            <v>47850</v>
          </cell>
          <cell r="O1784">
            <v>47300</v>
          </cell>
          <cell r="P1784">
            <v>43500</v>
          </cell>
          <cell r="Q1784">
            <v>43800</v>
          </cell>
          <cell r="R1784">
            <v>44200</v>
          </cell>
          <cell r="S1784">
            <v>46200</v>
          </cell>
          <cell r="T1784">
            <v>48000</v>
          </cell>
          <cell r="U1784">
            <v>52500</v>
          </cell>
          <cell r="V1784">
            <v>47700</v>
          </cell>
          <cell r="W1784">
            <v>50700</v>
          </cell>
        </row>
        <row r="1785">
          <cell r="A1785">
            <v>46050</v>
          </cell>
          <cell r="B1785">
            <v>48700</v>
          </cell>
          <cell r="C1785">
            <v>47500</v>
          </cell>
          <cell r="D1785">
            <v>48000</v>
          </cell>
          <cell r="E1785">
            <v>44000</v>
          </cell>
          <cell r="F1785">
            <v>49300</v>
          </cell>
          <cell r="G1785" t="str">
            <v>-</v>
          </cell>
          <cell r="H1785">
            <v>46000</v>
          </cell>
          <cell r="I1785">
            <v>46300</v>
          </cell>
          <cell r="J1785">
            <v>49300</v>
          </cell>
          <cell r="K1785" t="str">
            <v>-</v>
          </cell>
          <cell r="L1785">
            <v>49000</v>
          </cell>
          <cell r="M1785">
            <v>50300</v>
          </cell>
          <cell r="N1785">
            <v>47400</v>
          </cell>
          <cell r="O1785">
            <v>47000</v>
          </cell>
          <cell r="P1785">
            <v>43200</v>
          </cell>
          <cell r="Q1785">
            <v>43700</v>
          </cell>
          <cell r="R1785">
            <v>44200</v>
          </cell>
          <cell r="S1785">
            <v>46100</v>
          </cell>
          <cell r="T1785">
            <v>47600</v>
          </cell>
          <cell r="U1785">
            <v>51500</v>
          </cell>
          <cell r="V1785">
            <v>47700</v>
          </cell>
          <cell r="W1785">
            <v>50700</v>
          </cell>
        </row>
        <row r="1786">
          <cell r="A1786">
            <v>46051</v>
          </cell>
          <cell r="B1786">
            <v>48700</v>
          </cell>
          <cell r="C1786">
            <v>47500</v>
          </cell>
          <cell r="D1786">
            <v>48500</v>
          </cell>
          <cell r="E1786">
            <v>44200</v>
          </cell>
          <cell r="F1786">
            <v>49500</v>
          </cell>
          <cell r="G1786" t="str">
            <v>-</v>
          </cell>
          <cell r="H1786">
            <v>47000</v>
          </cell>
          <cell r="I1786">
            <v>46800</v>
          </cell>
          <cell r="J1786">
            <v>49100</v>
          </cell>
          <cell r="K1786" t="str">
            <v>-</v>
          </cell>
          <cell r="L1786">
            <v>49300</v>
          </cell>
          <cell r="M1786">
            <v>50500</v>
          </cell>
          <cell r="N1786">
            <v>47900</v>
          </cell>
          <cell r="O1786">
            <v>47000</v>
          </cell>
          <cell r="P1786">
            <v>43600</v>
          </cell>
          <cell r="Q1786">
            <v>44000</v>
          </cell>
          <cell r="R1786">
            <v>44200</v>
          </cell>
          <cell r="S1786">
            <v>46300</v>
          </cell>
          <cell r="T1786">
            <v>48100</v>
          </cell>
          <cell r="U1786">
            <v>52000</v>
          </cell>
          <cell r="V1786">
            <v>47700</v>
          </cell>
          <cell r="W1786">
            <v>51000</v>
          </cell>
        </row>
        <row r="1787">
          <cell r="A1787">
            <v>46052</v>
          </cell>
          <cell r="B1787">
            <v>48700</v>
          </cell>
          <cell r="C1787">
            <v>47800</v>
          </cell>
          <cell r="D1787">
            <v>48300</v>
          </cell>
          <cell r="E1787">
            <v>44300</v>
          </cell>
          <cell r="F1787">
            <v>49700</v>
          </cell>
          <cell r="G1787" t="str">
            <v>-</v>
          </cell>
          <cell r="H1787">
            <v>46700</v>
          </cell>
          <cell r="I1787">
            <v>46700</v>
          </cell>
          <cell r="J1787">
            <v>49000</v>
          </cell>
          <cell r="K1787" t="str">
            <v>-</v>
          </cell>
          <cell r="L1787">
            <v>49200</v>
          </cell>
          <cell r="M1787">
            <v>50700</v>
          </cell>
          <cell r="N1787">
            <v>47600</v>
          </cell>
          <cell r="O1787">
            <v>46800</v>
          </cell>
          <cell r="P1787">
            <v>43700</v>
          </cell>
          <cell r="Q1787">
            <v>44200</v>
          </cell>
          <cell r="R1787">
            <v>44200</v>
          </cell>
          <cell r="S1787">
            <v>46400</v>
          </cell>
          <cell r="T1787">
            <v>48200</v>
          </cell>
          <cell r="U1787">
            <v>52000</v>
          </cell>
          <cell r="V1787">
            <v>47700</v>
          </cell>
          <cell r="W1787">
            <v>51300</v>
          </cell>
        </row>
        <row r="1788">
          <cell r="A1788">
            <v>46053</v>
          </cell>
          <cell r="B1788">
            <v>48700</v>
          </cell>
          <cell r="C1788">
            <v>47500</v>
          </cell>
          <cell r="D1788">
            <v>48100</v>
          </cell>
          <cell r="E1788">
            <v>44100</v>
          </cell>
          <cell r="F1788">
            <v>49700</v>
          </cell>
          <cell r="G1788" t="str">
            <v>-</v>
          </cell>
          <cell r="H1788">
            <v>46500</v>
          </cell>
          <cell r="I1788">
            <v>46500</v>
          </cell>
          <cell r="J1788">
            <v>48900</v>
          </cell>
          <cell r="K1788" t="str">
            <v>-</v>
          </cell>
          <cell r="L1788">
            <v>49100</v>
          </cell>
          <cell r="M1788">
            <v>50800</v>
          </cell>
          <cell r="N1788">
            <v>47500</v>
          </cell>
          <cell r="O1788">
            <v>46500</v>
          </cell>
          <cell r="P1788">
            <v>43600</v>
          </cell>
          <cell r="Q1788">
            <v>44000</v>
          </cell>
          <cell r="R1788">
            <v>44200</v>
          </cell>
          <cell r="S1788">
            <v>46200</v>
          </cell>
          <cell r="T1788">
            <v>48100</v>
          </cell>
          <cell r="U1788">
            <v>52000</v>
          </cell>
          <cell r="V1788">
            <v>47700</v>
          </cell>
          <cell r="W1788">
            <v>51300</v>
          </cell>
        </row>
        <row r="1789">
          <cell r="A1789">
            <v>46054</v>
          </cell>
          <cell r="B1789" t="str">
            <v>H</v>
          </cell>
          <cell r="C1789" t="str">
            <v>H</v>
          </cell>
          <cell r="D1789" t="str">
            <v>H</v>
          </cell>
          <cell r="E1789" t="str">
            <v>H</v>
          </cell>
          <cell r="F1789" t="str">
            <v>H</v>
          </cell>
          <cell r="G1789" t="str">
            <v>H</v>
          </cell>
          <cell r="H1789" t="str">
            <v>H</v>
          </cell>
          <cell r="I1789" t="str">
            <v>H</v>
          </cell>
          <cell r="J1789" t="str">
            <v>H</v>
          </cell>
          <cell r="K1789" t="str">
            <v>H</v>
          </cell>
          <cell r="L1789" t="str">
            <v>H</v>
          </cell>
          <cell r="M1789" t="str">
            <v>H</v>
          </cell>
          <cell r="N1789" t="str">
            <v>H</v>
          </cell>
          <cell r="O1789" t="str">
            <v>H</v>
          </cell>
          <cell r="P1789" t="str">
            <v>H</v>
          </cell>
          <cell r="Q1789" t="str">
            <v>H</v>
          </cell>
          <cell r="R1789" t="str">
            <v>H</v>
          </cell>
          <cell r="S1789" t="str">
            <v>H</v>
          </cell>
          <cell r="T1789" t="str">
            <v>H</v>
          </cell>
          <cell r="U1789" t="str">
            <v>H</v>
          </cell>
          <cell r="V1789" t="str">
            <v>H</v>
          </cell>
          <cell r="W1789" t="str">
            <v>H</v>
          </cell>
        </row>
        <row r="1790">
          <cell r="A1790">
            <v>46055</v>
          </cell>
          <cell r="B1790">
            <v>48400</v>
          </cell>
          <cell r="C1790">
            <v>47500</v>
          </cell>
          <cell r="D1790">
            <v>48000</v>
          </cell>
          <cell r="E1790">
            <v>44200</v>
          </cell>
          <cell r="F1790">
            <v>49700</v>
          </cell>
          <cell r="G1790" t="str">
            <v>-</v>
          </cell>
          <cell r="H1790">
            <v>46500</v>
          </cell>
          <cell r="I1790">
            <v>46400</v>
          </cell>
          <cell r="J1790">
            <v>48800</v>
          </cell>
          <cell r="K1790" t="str">
            <v>-</v>
          </cell>
          <cell r="L1790">
            <v>49100</v>
          </cell>
          <cell r="M1790">
            <v>50800</v>
          </cell>
          <cell r="N1790">
            <v>47600</v>
          </cell>
          <cell r="O1790">
            <v>46500</v>
          </cell>
          <cell r="P1790">
            <v>43500</v>
          </cell>
          <cell r="Q1790">
            <v>43900</v>
          </cell>
          <cell r="R1790">
            <v>44200</v>
          </cell>
          <cell r="S1790">
            <v>46300</v>
          </cell>
          <cell r="T1790">
            <v>48000</v>
          </cell>
          <cell r="U1790">
            <v>52000</v>
          </cell>
          <cell r="V1790">
            <v>48000</v>
          </cell>
          <cell r="W1790">
            <v>51300</v>
          </cell>
        </row>
        <row r="1791">
          <cell r="A1791">
            <v>46056</v>
          </cell>
          <cell r="B1791">
            <v>48800</v>
          </cell>
          <cell r="C1791">
            <v>48000</v>
          </cell>
          <cell r="D1791">
            <v>47700</v>
          </cell>
          <cell r="E1791">
            <v>44400</v>
          </cell>
          <cell r="F1791">
            <v>49500</v>
          </cell>
          <cell r="G1791" t="str">
            <v>-</v>
          </cell>
          <cell r="H1791">
            <v>46800</v>
          </cell>
          <cell r="I1791">
            <v>47000</v>
          </cell>
          <cell r="J1791">
            <v>48800</v>
          </cell>
          <cell r="K1791" t="str">
            <v>-</v>
          </cell>
          <cell r="L1791">
            <v>49400</v>
          </cell>
          <cell r="M1791">
            <v>50300</v>
          </cell>
          <cell r="N1791">
            <v>47600</v>
          </cell>
          <cell r="O1791">
            <v>46500</v>
          </cell>
          <cell r="P1791">
            <v>44100</v>
          </cell>
          <cell r="Q1791">
            <v>44000</v>
          </cell>
          <cell r="R1791">
            <v>44200</v>
          </cell>
          <cell r="S1791">
            <v>46500</v>
          </cell>
          <cell r="T1791">
            <v>47800</v>
          </cell>
          <cell r="U1791">
            <v>52000</v>
          </cell>
          <cell r="V1791">
            <v>48000</v>
          </cell>
          <cell r="W1791">
            <v>51300</v>
          </cell>
        </row>
        <row r="1792">
          <cell r="A1792">
            <v>46057</v>
          </cell>
          <cell r="B1792">
            <v>49000</v>
          </cell>
          <cell r="C1792">
            <v>48000</v>
          </cell>
          <cell r="D1792">
            <v>48650</v>
          </cell>
          <cell r="E1792">
            <v>44900</v>
          </cell>
          <cell r="F1792">
            <v>49600</v>
          </cell>
          <cell r="G1792" t="str">
            <v>-</v>
          </cell>
          <cell r="H1792">
            <v>47000</v>
          </cell>
          <cell r="I1792">
            <v>47300</v>
          </cell>
          <cell r="J1792">
            <v>49100</v>
          </cell>
          <cell r="K1792" t="str">
            <v>-</v>
          </cell>
          <cell r="L1792">
            <v>49800</v>
          </cell>
          <cell r="M1792">
            <v>50300</v>
          </cell>
          <cell r="N1792">
            <v>48200</v>
          </cell>
          <cell r="O1792">
            <v>46600</v>
          </cell>
          <cell r="P1792">
            <v>44200</v>
          </cell>
          <cell r="Q1792">
            <v>44700</v>
          </cell>
          <cell r="R1792">
            <v>44700</v>
          </cell>
          <cell r="S1792">
            <v>47000</v>
          </cell>
          <cell r="T1792">
            <v>48300</v>
          </cell>
          <cell r="U1792">
            <v>52000</v>
          </cell>
          <cell r="V1792">
            <v>48000</v>
          </cell>
          <cell r="W1792">
            <v>51300</v>
          </cell>
        </row>
        <row r="1793">
          <cell r="A1793">
            <v>46058</v>
          </cell>
          <cell r="B1793">
            <v>49000</v>
          </cell>
          <cell r="C1793">
            <v>48500</v>
          </cell>
          <cell r="D1793">
            <v>48500</v>
          </cell>
          <cell r="E1793">
            <v>44900</v>
          </cell>
          <cell r="F1793">
            <v>50000</v>
          </cell>
          <cell r="G1793" t="str">
            <v>-</v>
          </cell>
          <cell r="H1793">
            <v>47500</v>
          </cell>
          <cell r="I1793">
            <v>47300</v>
          </cell>
          <cell r="J1793">
            <v>49300</v>
          </cell>
          <cell r="K1793" t="str">
            <v>-</v>
          </cell>
          <cell r="L1793">
            <v>49600</v>
          </cell>
          <cell r="M1793">
            <v>50300</v>
          </cell>
          <cell r="N1793">
            <v>48200</v>
          </cell>
          <cell r="O1793">
            <v>46600</v>
          </cell>
          <cell r="P1793">
            <v>44200</v>
          </cell>
          <cell r="Q1793">
            <v>44500</v>
          </cell>
          <cell r="R1793">
            <v>44700</v>
          </cell>
          <cell r="S1793">
            <v>47000</v>
          </cell>
          <cell r="T1793">
            <v>48300</v>
          </cell>
          <cell r="U1793">
            <v>52000</v>
          </cell>
          <cell r="V1793">
            <v>48300</v>
          </cell>
          <cell r="W1793">
            <v>51300</v>
          </cell>
        </row>
        <row r="1794">
          <cell r="A1794">
            <v>46059</v>
          </cell>
          <cell r="B1794">
            <v>49000</v>
          </cell>
          <cell r="C1794">
            <v>48500</v>
          </cell>
          <cell r="D1794">
            <v>48500</v>
          </cell>
          <cell r="E1794">
            <v>45000</v>
          </cell>
          <cell r="F1794">
            <v>50000</v>
          </cell>
          <cell r="G1794" t="str">
            <v>-</v>
          </cell>
          <cell r="H1794">
            <v>47500</v>
          </cell>
          <cell r="I1794">
            <v>47300</v>
          </cell>
          <cell r="J1794">
            <v>49100</v>
          </cell>
          <cell r="K1794" t="str">
            <v>-</v>
          </cell>
          <cell r="L1794">
            <v>49600</v>
          </cell>
          <cell r="M1794">
            <v>49600</v>
          </cell>
          <cell r="N1794">
            <v>48000</v>
          </cell>
          <cell r="O1794">
            <v>46600</v>
          </cell>
          <cell r="P1794">
            <v>44300</v>
          </cell>
          <cell r="Q1794">
            <v>44500</v>
          </cell>
          <cell r="R1794">
            <v>44700</v>
          </cell>
          <cell r="S1794">
            <v>47100</v>
          </cell>
          <cell r="T1794">
            <v>48100</v>
          </cell>
          <cell r="U1794">
            <v>52000</v>
          </cell>
          <cell r="V1794">
            <v>48300</v>
          </cell>
          <cell r="W1794">
            <v>51300</v>
          </cell>
        </row>
        <row r="1795">
          <cell r="A1795">
            <v>46060</v>
          </cell>
          <cell r="B1795">
            <v>49000</v>
          </cell>
          <cell r="C1795">
            <v>48700</v>
          </cell>
          <cell r="D1795">
            <v>48900</v>
          </cell>
          <cell r="E1795">
            <v>45300</v>
          </cell>
          <cell r="F1795">
            <v>50000</v>
          </cell>
          <cell r="G1795" t="str">
            <v>-</v>
          </cell>
          <cell r="H1795">
            <v>48000</v>
          </cell>
          <cell r="I1795">
            <v>47500</v>
          </cell>
          <cell r="J1795">
            <v>49300</v>
          </cell>
          <cell r="K1795" t="str">
            <v>-</v>
          </cell>
          <cell r="L1795">
            <v>49900</v>
          </cell>
          <cell r="M1795">
            <v>49600</v>
          </cell>
          <cell r="N1795">
            <v>48800</v>
          </cell>
          <cell r="O1795">
            <v>46700</v>
          </cell>
          <cell r="P1795">
            <v>45200</v>
          </cell>
          <cell r="Q1795">
            <v>45300</v>
          </cell>
          <cell r="R1795">
            <v>45000</v>
          </cell>
          <cell r="S1795">
            <v>47400</v>
          </cell>
          <cell r="T1795">
            <v>49100</v>
          </cell>
          <cell r="U1795">
            <v>53000</v>
          </cell>
          <cell r="V1795">
            <v>48600</v>
          </cell>
          <cell r="W1795">
            <v>51300</v>
          </cell>
        </row>
        <row r="1796">
          <cell r="A1796">
            <v>46061</v>
          </cell>
          <cell r="B1796" t="str">
            <v>H</v>
          </cell>
          <cell r="C1796" t="str">
            <v>H</v>
          </cell>
          <cell r="D1796" t="str">
            <v>H</v>
          </cell>
          <cell r="E1796" t="str">
            <v>H</v>
          </cell>
          <cell r="F1796" t="str">
            <v>H</v>
          </cell>
          <cell r="G1796" t="str">
            <v>H</v>
          </cell>
          <cell r="H1796" t="str">
            <v>H</v>
          </cell>
          <cell r="I1796" t="str">
            <v>H</v>
          </cell>
          <cell r="J1796" t="str">
            <v>H</v>
          </cell>
          <cell r="K1796" t="str">
            <v>H</v>
          </cell>
          <cell r="L1796" t="str">
            <v>H</v>
          </cell>
          <cell r="M1796" t="str">
            <v>H</v>
          </cell>
          <cell r="N1796" t="str">
            <v>H</v>
          </cell>
          <cell r="O1796" t="str">
            <v>H</v>
          </cell>
          <cell r="P1796" t="str">
            <v>H</v>
          </cell>
          <cell r="Q1796" t="str">
            <v>H</v>
          </cell>
          <cell r="R1796" t="str">
            <v>H</v>
          </cell>
          <cell r="S1796" t="str">
            <v>H</v>
          </cell>
          <cell r="T1796" t="str">
            <v>H</v>
          </cell>
          <cell r="U1796" t="str">
            <v>H</v>
          </cell>
          <cell r="V1796" t="str">
            <v>H</v>
          </cell>
          <cell r="W1796" t="str">
            <v>H</v>
          </cell>
        </row>
        <row r="1797">
          <cell r="A1797">
            <v>46062</v>
          </cell>
          <cell r="B1797">
            <v>49400</v>
          </cell>
          <cell r="C1797">
            <v>49000</v>
          </cell>
          <cell r="D1797">
            <v>49200</v>
          </cell>
          <cell r="E1797">
            <v>45700</v>
          </cell>
          <cell r="F1797">
            <v>50200</v>
          </cell>
          <cell r="G1797" t="str">
            <v>-</v>
          </cell>
          <cell r="H1797">
            <v>49000</v>
          </cell>
          <cell r="I1797">
            <v>47500</v>
          </cell>
          <cell r="J1797">
            <v>49700</v>
          </cell>
          <cell r="K1797" t="str">
            <v>-</v>
          </cell>
          <cell r="L1797">
            <v>50000</v>
          </cell>
          <cell r="M1797">
            <v>50000</v>
          </cell>
          <cell r="N1797">
            <v>48800</v>
          </cell>
          <cell r="O1797">
            <v>46700</v>
          </cell>
          <cell r="P1797">
            <v>45000</v>
          </cell>
          <cell r="Q1797">
            <v>45200</v>
          </cell>
          <cell r="R1797">
            <v>45500</v>
          </cell>
          <cell r="S1797">
            <v>47800</v>
          </cell>
          <cell r="T1797">
            <v>49100</v>
          </cell>
          <cell r="U1797">
            <v>53000</v>
          </cell>
          <cell r="V1797">
            <v>49500</v>
          </cell>
          <cell r="W1797">
            <v>52800</v>
          </cell>
        </row>
        <row r="1798">
          <cell r="A1798">
            <v>46063</v>
          </cell>
          <cell r="B1798">
            <v>49400</v>
          </cell>
          <cell r="C1798">
            <v>49500</v>
          </cell>
          <cell r="D1798">
            <v>49500</v>
          </cell>
          <cell r="E1798">
            <v>46000</v>
          </cell>
          <cell r="F1798">
            <v>50200</v>
          </cell>
          <cell r="G1798" t="str">
            <v>-</v>
          </cell>
          <cell r="H1798">
            <v>49000</v>
          </cell>
          <cell r="I1798">
            <v>47600</v>
          </cell>
          <cell r="J1798">
            <v>49800</v>
          </cell>
          <cell r="K1798" t="str">
            <v>-</v>
          </cell>
          <cell r="L1798">
            <v>50000</v>
          </cell>
          <cell r="M1798">
            <v>50200</v>
          </cell>
          <cell r="N1798">
            <v>48750</v>
          </cell>
          <cell r="O1798">
            <v>46800</v>
          </cell>
          <cell r="P1798">
            <v>45300</v>
          </cell>
          <cell r="Q1798">
            <v>45700</v>
          </cell>
          <cell r="R1798">
            <v>45500</v>
          </cell>
          <cell r="S1798">
            <v>48100</v>
          </cell>
          <cell r="T1798">
            <v>49400</v>
          </cell>
          <cell r="U1798">
            <v>53000</v>
          </cell>
          <cell r="V1798">
            <v>49500</v>
          </cell>
          <cell r="W1798">
            <v>52800</v>
          </cell>
        </row>
        <row r="1799">
          <cell r="A1799">
            <v>46064</v>
          </cell>
          <cell r="B1799">
            <v>49300</v>
          </cell>
          <cell r="C1799">
            <v>49500</v>
          </cell>
          <cell r="D1799">
            <v>49050</v>
          </cell>
          <cell r="E1799">
            <v>45900</v>
          </cell>
          <cell r="F1799">
            <v>50200</v>
          </cell>
          <cell r="G1799" t="str">
            <v>-</v>
          </cell>
          <cell r="H1799">
            <v>49000</v>
          </cell>
          <cell r="I1799">
            <v>47500</v>
          </cell>
          <cell r="J1799">
            <v>49500</v>
          </cell>
          <cell r="K1799" t="str">
            <v>-</v>
          </cell>
          <cell r="L1799">
            <v>49900</v>
          </cell>
          <cell r="M1799">
            <v>50200</v>
          </cell>
          <cell r="N1799">
            <v>48400</v>
          </cell>
          <cell r="O1799">
            <v>46800</v>
          </cell>
          <cell r="P1799">
            <v>45200</v>
          </cell>
          <cell r="Q1799">
            <v>45300</v>
          </cell>
          <cell r="R1799">
            <v>45500</v>
          </cell>
          <cell r="S1799">
            <v>48000</v>
          </cell>
          <cell r="T1799">
            <v>49400</v>
          </cell>
          <cell r="U1799">
            <v>53000</v>
          </cell>
          <cell r="V1799">
            <v>49500</v>
          </cell>
          <cell r="W1799">
            <v>52800</v>
          </cell>
        </row>
        <row r="1800">
          <cell r="A1800">
            <v>46065</v>
          </cell>
          <cell r="B1800">
            <v>49200</v>
          </cell>
          <cell r="C1800">
            <v>49500</v>
          </cell>
          <cell r="D1800">
            <v>48800</v>
          </cell>
          <cell r="E1800">
            <v>45700</v>
          </cell>
          <cell r="F1800">
            <v>49700</v>
          </cell>
          <cell r="G1800" t="str">
            <v>-</v>
          </cell>
          <cell r="H1800">
            <v>48500</v>
          </cell>
          <cell r="I1800">
            <v>47200</v>
          </cell>
          <cell r="J1800">
            <v>49300</v>
          </cell>
          <cell r="K1800" t="str">
            <v>-</v>
          </cell>
          <cell r="L1800">
            <v>49700</v>
          </cell>
          <cell r="M1800">
            <v>49600</v>
          </cell>
          <cell r="N1800">
            <v>48000</v>
          </cell>
          <cell r="O1800">
            <v>46800</v>
          </cell>
          <cell r="P1800">
            <v>44700</v>
          </cell>
          <cell r="Q1800">
            <v>45200</v>
          </cell>
          <cell r="R1800">
            <v>45500</v>
          </cell>
          <cell r="S1800">
            <v>47800</v>
          </cell>
          <cell r="T1800">
            <v>48900</v>
          </cell>
          <cell r="U1800">
            <v>52000</v>
          </cell>
          <cell r="V1800">
            <v>49500</v>
          </cell>
          <cell r="W1800">
            <v>52800</v>
          </cell>
        </row>
        <row r="1801">
          <cell r="A1801">
            <v>46066</v>
          </cell>
          <cell r="B1801">
            <v>49100</v>
          </cell>
          <cell r="C1801">
            <v>49200</v>
          </cell>
          <cell r="D1801">
            <v>48500</v>
          </cell>
          <cell r="E1801">
            <v>45500</v>
          </cell>
          <cell r="F1801">
            <v>50000</v>
          </cell>
          <cell r="G1801" t="str">
            <v>-</v>
          </cell>
          <cell r="H1801">
            <v>48500</v>
          </cell>
          <cell r="I1801">
            <v>47000</v>
          </cell>
          <cell r="J1801">
            <v>49300</v>
          </cell>
          <cell r="K1801" t="str">
            <v>-</v>
          </cell>
          <cell r="L1801">
            <v>49700</v>
          </cell>
          <cell r="M1801">
            <v>50000</v>
          </cell>
          <cell r="N1801">
            <v>47800</v>
          </cell>
          <cell r="O1801">
            <v>46800</v>
          </cell>
          <cell r="P1801">
            <v>44500</v>
          </cell>
          <cell r="Q1801">
            <v>45000</v>
          </cell>
          <cell r="R1801">
            <v>45000</v>
          </cell>
          <cell r="S1801">
            <v>47600</v>
          </cell>
          <cell r="T1801">
            <v>48700</v>
          </cell>
          <cell r="U1801">
            <v>52000</v>
          </cell>
          <cell r="V1801">
            <v>49500</v>
          </cell>
          <cell r="W1801">
            <v>52800</v>
          </cell>
        </row>
        <row r="1802">
          <cell r="A1802">
            <v>46067</v>
          </cell>
          <cell r="B1802">
            <v>49100</v>
          </cell>
          <cell r="C1802">
            <v>49500</v>
          </cell>
          <cell r="D1802">
            <v>48500</v>
          </cell>
          <cell r="E1802">
            <v>45700</v>
          </cell>
          <cell r="F1802">
            <v>50000</v>
          </cell>
          <cell r="G1802" t="str">
            <v>-</v>
          </cell>
          <cell r="H1802">
            <v>49000</v>
          </cell>
          <cell r="I1802">
            <v>47100</v>
          </cell>
          <cell r="J1802">
            <v>49300</v>
          </cell>
          <cell r="K1802" t="str">
            <v>-</v>
          </cell>
          <cell r="L1802">
            <v>49900</v>
          </cell>
          <cell r="M1802">
            <v>50000</v>
          </cell>
          <cell r="N1802">
            <v>48350</v>
          </cell>
          <cell r="O1802">
            <v>47000</v>
          </cell>
          <cell r="P1802">
            <v>44700</v>
          </cell>
          <cell r="Q1802">
            <v>45200</v>
          </cell>
          <cell r="R1802">
            <v>45000</v>
          </cell>
          <cell r="S1802">
            <v>47800</v>
          </cell>
          <cell r="T1802">
            <v>48700</v>
          </cell>
          <cell r="U1802">
            <v>52000</v>
          </cell>
          <cell r="V1802">
            <v>49500</v>
          </cell>
          <cell r="W1802">
            <v>52800</v>
          </cell>
        </row>
        <row r="1803">
          <cell r="A1803">
            <v>46068</v>
          </cell>
          <cell r="B1803" t="str">
            <v>H</v>
          </cell>
          <cell r="C1803" t="str">
            <v>H</v>
          </cell>
          <cell r="D1803" t="str">
            <v>H</v>
          </cell>
          <cell r="E1803" t="str">
            <v>H</v>
          </cell>
          <cell r="F1803" t="str">
            <v>H</v>
          </cell>
          <cell r="G1803" t="str">
            <v>H</v>
          </cell>
          <cell r="H1803" t="str">
            <v>H</v>
          </cell>
          <cell r="I1803" t="str">
            <v>H</v>
          </cell>
          <cell r="J1803" t="str">
            <v>H</v>
          </cell>
          <cell r="K1803" t="str">
            <v>H</v>
          </cell>
          <cell r="L1803" t="str">
            <v>H</v>
          </cell>
          <cell r="M1803" t="str">
            <v>H</v>
          </cell>
          <cell r="N1803" t="str">
            <v>H</v>
          </cell>
          <cell r="O1803" t="str">
            <v>H</v>
          </cell>
          <cell r="P1803" t="str">
            <v>H</v>
          </cell>
          <cell r="Q1803" t="str">
            <v>H</v>
          </cell>
          <cell r="R1803" t="str">
            <v>H</v>
          </cell>
          <cell r="S1803" t="str">
            <v>H</v>
          </cell>
          <cell r="T1803" t="str">
            <v>H</v>
          </cell>
          <cell r="U1803" t="str">
            <v>H</v>
          </cell>
          <cell r="V1803" t="str">
            <v>H</v>
          </cell>
          <cell r="W1803" t="str">
            <v>H</v>
          </cell>
        </row>
        <row r="1804">
          <cell r="A1804">
            <v>46069</v>
          </cell>
          <cell r="B1804">
            <v>49100</v>
          </cell>
          <cell r="C1804">
            <v>49500</v>
          </cell>
          <cell r="D1804">
            <v>48350</v>
          </cell>
          <cell r="E1804">
            <v>45500</v>
          </cell>
          <cell r="F1804">
            <v>50000</v>
          </cell>
          <cell r="G1804" t="str">
            <v>-</v>
          </cell>
          <cell r="H1804">
            <v>48500</v>
          </cell>
          <cell r="I1804">
            <v>47200</v>
          </cell>
          <cell r="J1804">
            <v>48800</v>
          </cell>
          <cell r="K1804" t="str">
            <v>-</v>
          </cell>
          <cell r="L1804">
            <v>49600</v>
          </cell>
          <cell r="M1804">
            <v>50000</v>
          </cell>
          <cell r="N1804">
            <v>47950</v>
          </cell>
          <cell r="O1804">
            <v>46900</v>
          </cell>
          <cell r="P1804">
            <v>44600</v>
          </cell>
          <cell r="Q1804">
            <v>44900</v>
          </cell>
          <cell r="R1804">
            <v>44800</v>
          </cell>
          <cell r="S1804">
            <v>47600</v>
          </cell>
          <cell r="T1804">
            <v>48700</v>
          </cell>
          <cell r="U1804">
            <v>52000</v>
          </cell>
          <cell r="V1804">
            <v>49400</v>
          </cell>
          <cell r="W1804">
            <v>52800</v>
          </cell>
        </row>
        <row r="1805">
          <cell r="A1805">
            <v>46070</v>
          </cell>
          <cell r="B1805">
            <v>48900</v>
          </cell>
          <cell r="C1805">
            <v>49000</v>
          </cell>
          <cell r="D1805">
            <v>47750</v>
          </cell>
          <cell r="E1805">
            <v>45400</v>
          </cell>
          <cell r="F1805">
            <v>50000</v>
          </cell>
          <cell r="G1805" t="str">
            <v>-</v>
          </cell>
          <cell r="H1805">
            <v>48000</v>
          </cell>
          <cell r="I1805">
            <v>47100</v>
          </cell>
          <cell r="J1805">
            <v>48800</v>
          </cell>
          <cell r="K1805" t="str">
            <v>-</v>
          </cell>
          <cell r="L1805">
            <v>49300</v>
          </cell>
          <cell r="M1805">
            <v>49600</v>
          </cell>
          <cell r="N1805">
            <v>47700</v>
          </cell>
          <cell r="O1805">
            <v>46800</v>
          </cell>
          <cell r="P1805">
            <v>44300</v>
          </cell>
          <cell r="Q1805">
            <v>44800</v>
          </cell>
          <cell r="R1805">
            <v>44800</v>
          </cell>
          <cell r="S1805">
            <v>47500</v>
          </cell>
          <cell r="T1805">
            <v>48300</v>
          </cell>
          <cell r="U1805">
            <v>52000</v>
          </cell>
          <cell r="V1805">
            <v>49400</v>
          </cell>
          <cell r="W1805">
            <v>52800</v>
          </cell>
        </row>
        <row r="1806">
          <cell r="A1806">
            <v>46071</v>
          </cell>
          <cell r="B1806">
            <v>48700</v>
          </cell>
          <cell r="C1806">
            <v>49000</v>
          </cell>
          <cell r="D1806">
            <v>48000</v>
          </cell>
          <cell r="E1806">
            <v>45400</v>
          </cell>
          <cell r="F1806">
            <v>50000</v>
          </cell>
          <cell r="G1806" t="str">
            <v>-</v>
          </cell>
          <cell r="H1806">
            <v>48000</v>
          </cell>
          <cell r="I1806">
            <v>46900</v>
          </cell>
          <cell r="J1806">
            <v>48800</v>
          </cell>
          <cell r="K1806" t="str">
            <v>-</v>
          </cell>
          <cell r="L1806">
            <v>49100</v>
          </cell>
          <cell r="M1806">
            <v>49600</v>
          </cell>
          <cell r="N1806">
            <v>47900</v>
          </cell>
          <cell r="O1806">
            <v>46800</v>
          </cell>
          <cell r="P1806">
            <v>44200</v>
          </cell>
          <cell r="Q1806">
            <v>44700</v>
          </cell>
          <cell r="R1806">
            <v>44800</v>
          </cell>
          <cell r="S1806">
            <v>47500</v>
          </cell>
          <cell r="T1806">
            <v>48300</v>
          </cell>
          <cell r="U1806">
            <v>52000</v>
          </cell>
          <cell r="V1806">
            <v>49400</v>
          </cell>
          <cell r="W1806">
            <v>52600</v>
          </cell>
        </row>
        <row r="1807">
          <cell r="A1807">
            <v>46072</v>
          </cell>
          <cell r="B1807">
            <v>48400</v>
          </cell>
          <cell r="C1807">
            <v>48700</v>
          </cell>
          <cell r="D1807">
            <v>47500</v>
          </cell>
          <cell r="E1807">
            <v>45200</v>
          </cell>
          <cell r="F1807">
            <v>50000</v>
          </cell>
          <cell r="G1807" t="str">
            <v>-</v>
          </cell>
          <cell r="H1807">
            <v>47700</v>
          </cell>
          <cell r="I1807">
            <v>46500</v>
          </cell>
          <cell r="J1807">
            <v>48700</v>
          </cell>
          <cell r="K1807" t="str">
            <v>-</v>
          </cell>
          <cell r="L1807">
            <v>48700</v>
          </cell>
          <cell r="M1807">
            <v>49400</v>
          </cell>
          <cell r="N1807">
            <v>47300</v>
          </cell>
          <cell r="O1807">
            <v>46400</v>
          </cell>
          <cell r="P1807">
            <v>43800</v>
          </cell>
          <cell r="Q1807">
            <v>44400</v>
          </cell>
          <cell r="R1807">
            <v>44600</v>
          </cell>
          <cell r="S1807">
            <v>47400</v>
          </cell>
          <cell r="T1807">
            <v>47900</v>
          </cell>
          <cell r="U1807">
            <v>52000</v>
          </cell>
          <cell r="V1807">
            <v>49100</v>
          </cell>
          <cell r="W1807">
            <v>52200</v>
          </cell>
        </row>
        <row r="1808">
          <cell r="A1808">
            <v>46073</v>
          </cell>
          <cell r="B1808">
            <v>48200</v>
          </cell>
          <cell r="C1808">
            <v>48300</v>
          </cell>
          <cell r="D1808">
            <v>47500</v>
          </cell>
          <cell r="E1808">
            <v>45100</v>
          </cell>
          <cell r="F1808">
            <v>50000</v>
          </cell>
          <cell r="G1808" t="str">
            <v>-</v>
          </cell>
          <cell r="H1808">
            <v>47700</v>
          </cell>
          <cell r="I1808">
            <v>46500</v>
          </cell>
          <cell r="J1808">
            <v>48700</v>
          </cell>
          <cell r="K1808" t="str">
            <v>-</v>
          </cell>
          <cell r="L1808">
            <v>48500</v>
          </cell>
          <cell r="M1808">
            <v>49400</v>
          </cell>
          <cell r="N1808">
            <v>47100</v>
          </cell>
          <cell r="O1808">
            <v>46200</v>
          </cell>
          <cell r="P1808">
            <v>43800</v>
          </cell>
          <cell r="Q1808">
            <v>44200</v>
          </cell>
          <cell r="R1808">
            <v>44200</v>
          </cell>
          <cell r="S1808">
            <v>47200</v>
          </cell>
          <cell r="T1808">
            <v>47900</v>
          </cell>
          <cell r="U1808">
            <v>52000</v>
          </cell>
          <cell r="V1808">
            <v>49000</v>
          </cell>
          <cell r="W1808">
            <v>52200</v>
          </cell>
        </row>
        <row r="1809">
          <cell r="A1809">
            <v>46074</v>
          </cell>
          <cell r="B1809">
            <v>48000</v>
          </cell>
          <cell r="C1809">
            <v>48500</v>
          </cell>
          <cell r="D1809">
            <v>48400</v>
          </cell>
          <cell r="E1809">
            <v>45300</v>
          </cell>
          <cell r="F1809">
            <v>50000</v>
          </cell>
          <cell r="G1809" t="str">
            <v>-</v>
          </cell>
          <cell r="H1809">
            <v>48000</v>
          </cell>
          <cell r="I1809">
            <v>46800</v>
          </cell>
          <cell r="J1809">
            <v>48800</v>
          </cell>
          <cell r="K1809" t="str">
            <v>-</v>
          </cell>
          <cell r="L1809">
            <v>48800</v>
          </cell>
          <cell r="M1809">
            <v>49400</v>
          </cell>
          <cell r="N1809">
            <v>47700</v>
          </cell>
          <cell r="O1809">
            <v>46300</v>
          </cell>
          <cell r="P1809">
            <v>44200</v>
          </cell>
          <cell r="Q1809">
            <v>44400</v>
          </cell>
          <cell r="R1809">
            <v>44500</v>
          </cell>
          <cell r="S1809">
            <v>47400</v>
          </cell>
          <cell r="T1809">
            <v>48200</v>
          </cell>
          <cell r="U1809">
            <v>52000</v>
          </cell>
          <cell r="V1809">
            <v>49000</v>
          </cell>
          <cell r="W1809">
            <v>52200</v>
          </cell>
        </row>
        <row r="1810">
          <cell r="A1810">
            <v>46075</v>
          </cell>
          <cell r="B1810" t="str">
            <v>H</v>
          </cell>
          <cell r="C1810" t="str">
            <v>H</v>
          </cell>
          <cell r="D1810" t="str">
            <v>H</v>
          </cell>
          <cell r="E1810" t="str">
            <v>H</v>
          </cell>
          <cell r="F1810" t="str">
            <v>H</v>
          </cell>
          <cell r="G1810" t="str">
            <v>H</v>
          </cell>
          <cell r="H1810" t="str">
            <v>H</v>
          </cell>
          <cell r="I1810" t="str">
            <v>H</v>
          </cell>
          <cell r="J1810" t="str">
            <v>H</v>
          </cell>
          <cell r="K1810" t="str">
            <v>H</v>
          </cell>
          <cell r="L1810" t="str">
            <v>H</v>
          </cell>
          <cell r="M1810" t="str">
            <v>H</v>
          </cell>
          <cell r="N1810" t="str">
            <v>H</v>
          </cell>
          <cell r="O1810" t="str">
            <v>H</v>
          </cell>
          <cell r="P1810" t="str">
            <v>H</v>
          </cell>
          <cell r="Q1810" t="str">
            <v>H</v>
          </cell>
          <cell r="R1810" t="str">
            <v>H</v>
          </cell>
          <cell r="S1810" t="str">
            <v>H</v>
          </cell>
          <cell r="T1810" t="str">
            <v>H</v>
          </cell>
          <cell r="U1810" t="str">
            <v>H</v>
          </cell>
          <cell r="V1810" t="str">
            <v>H</v>
          </cell>
          <cell r="W1810" t="str">
            <v>H</v>
          </cell>
        </row>
        <row r="1811">
          <cell r="A1811">
            <v>46076</v>
          </cell>
          <cell r="B1811">
            <v>48000</v>
          </cell>
          <cell r="C1811">
            <v>48500</v>
          </cell>
          <cell r="D1811">
            <v>47950</v>
          </cell>
          <cell r="E1811">
            <v>45300</v>
          </cell>
          <cell r="F1811">
            <v>50000</v>
          </cell>
          <cell r="G1811" t="str">
            <v>-</v>
          </cell>
          <cell r="H1811">
            <v>48000</v>
          </cell>
          <cell r="I1811">
            <v>46800</v>
          </cell>
          <cell r="J1811">
            <v>48800</v>
          </cell>
          <cell r="K1811" t="str">
            <v>-</v>
          </cell>
          <cell r="L1811">
            <v>48500</v>
          </cell>
          <cell r="M1811">
            <v>49400</v>
          </cell>
          <cell r="N1811">
            <v>47200</v>
          </cell>
          <cell r="O1811">
            <v>46200</v>
          </cell>
          <cell r="P1811">
            <v>43600</v>
          </cell>
          <cell r="Q1811">
            <v>44300</v>
          </cell>
          <cell r="R1811">
            <v>44000</v>
          </cell>
          <cell r="S1811">
            <v>47400</v>
          </cell>
          <cell r="T1811">
            <v>48200</v>
          </cell>
          <cell r="U1811">
            <v>52000</v>
          </cell>
          <cell r="V1811">
            <v>48900</v>
          </cell>
          <cell r="W1811">
            <v>52100</v>
          </cell>
        </row>
        <row r="1812">
          <cell r="A1812">
            <v>46077</v>
          </cell>
          <cell r="B1812">
            <v>47800</v>
          </cell>
          <cell r="C1812">
            <v>48300</v>
          </cell>
          <cell r="D1812">
            <v>47600</v>
          </cell>
          <cell r="E1812">
            <v>45000</v>
          </cell>
          <cell r="F1812">
            <v>50000</v>
          </cell>
          <cell r="G1812" t="str">
            <v>-</v>
          </cell>
          <cell r="H1812">
            <v>48000</v>
          </cell>
          <cell r="I1812">
            <v>46600</v>
          </cell>
          <cell r="J1812">
            <v>48600</v>
          </cell>
          <cell r="K1812" t="str">
            <v>-</v>
          </cell>
          <cell r="L1812">
            <v>48100</v>
          </cell>
          <cell r="M1812">
            <v>49400</v>
          </cell>
          <cell r="N1812">
            <v>47000</v>
          </cell>
          <cell r="O1812">
            <v>46000</v>
          </cell>
          <cell r="P1812">
            <v>43500</v>
          </cell>
          <cell r="Q1812">
            <v>43700</v>
          </cell>
          <cell r="R1812">
            <v>44000</v>
          </cell>
          <cell r="S1812">
            <v>47100</v>
          </cell>
          <cell r="T1812">
            <v>47700</v>
          </cell>
          <cell r="U1812">
            <v>51000</v>
          </cell>
          <cell r="V1812">
            <v>48900</v>
          </cell>
          <cell r="W1812">
            <v>52100</v>
          </cell>
        </row>
        <row r="1813">
          <cell r="A1813">
            <v>46078</v>
          </cell>
          <cell r="B1813">
            <v>47700</v>
          </cell>
          <cell r="C1813">
            <v>48200</v>
          </cell>
          <cell r="D1813">
            <v>47900</v>
          </cell>
          <cell r="E1813">
            <v>44900</v>
          </cell>
          <cell r="F1813">
            <v>49900</v>
          </cell>
          <cell r="G1813" t="str">
            <v>-</v>
          </cell>
          <cell r="H1813">
            <v>47300</v>
          </cell>
          <cell r="I1813">
            <v>46400</v>
          </cell>
          <cell r="J1813">
            <v>48600</v>
          </cell>
          <cell r="K1813" t="str">
            <v>-</v>
          </cell>
          <cell r="L1813">
            <v>48000</v>
          </cell>
          <cell r="M1813">
            <v>49200</v>
          </cell>
          <cell r="N1813">
            <v>46850</v>
          </cell>
          <cell r="O1813">
            <v>46000</v>
          </cell>
          <cell r="P1813">
            <v>43300</v>
          </cell>
          <cell r="Q1813">
            <v>43700</v>
          </cell>
          <cell r="R1813">
            <v>44000</v>
          </cell>
          <cell r="S1813">
            <v>47000</v>
          </cell>
          <cell r="T1813">
            <v>47600</v>
          </cell>
          <cell r="U1813">
            <v>51000</v>
          </cell>
          <cell r="V1813">
            <v>48800</v>
          </cell>
          <cell r="W1813">
            <v>52100</v>
          </cell>
        </row>
        <row r="1814">
          <cell r="A1814">
            <v>46079</v>
          </cell>
          <cell r="B1814">
            <v>47600</v>
          </cell>
          <cell r="C1814">
            <v>48200</v>
          </cell>
          <cell r="D1814">
            <v>48000</v>
          </cell>
          <cell r="E1814">
            <v>45100</v>
          </cell>
          <cell r="F1814">
            <v>49900</v>
          </cell>
          <cell r="G1814" t="str">
            <v>-</v>
          </cell>
          <cell r="H1814">
            <v>47300</v>
          </cell>
          <cell r="I1814">
            <v>46400</v>
          </cell>
          <cell r="J1814">
            <v>48300</v>
          </cell>
          <cell r="K1814" t="str">
            <v>-</v>
          </cell>
          <cell r="L1814">
            <v>48000</v>
          </cell>
          <cell r="M1814">
            <v>49200</v>
          </cell>
          <cell r="N1814">
            <v>47100</v>
          </cell>
          <cell r="O1814">
            <v>46000</v>
          </cell>
          <cell r="P1814">
            <v>43500</v>
          </cell>
          <cell r="Q1814">
            <v>43800</v>
          </cell>
          <cell r="R1814">
            <v>44000</v>
          </cell>
          <cell r="S1814">
            <v>47200</v>
          </cell>
          <cell r="T1814">
            <v>47800</v>
          </cell>
          <cell r="U1814">
            <v>51000</v>
          </cell>
          <cell r="V1814">
            <v>48800</v>
          </cell>
          <cell r="W1814">
            <v>52100</v>
          </cell>
        </row>
        <row r="1815">
          <cell r="A1815">
            <v>46080</v>
          </cell>
          <cell r="B1815">
            <v>47500</v>
          </cell>
          <cell r="C1815">
            <v>48000</v>
          </cell>
          <cell r="D1815">
            <v>48000</v>
          </cell>
          <cell r="E1815">
            <v>44900</v>
          </cell>
          <cell r="F1815">
            <v>49900</v>
          </cell>
          <cell r="G1815" t="str">
            <v>-</v>
          </cell>
          <cell r="H1815">
            <v>47000</v>
          </cell>
          <cell r="I1815">
            <v>46300</v>
          </cell>
          <cell r="J1815">
            <v>48200</v>
          </cell>
          <cell r="K1815" t="str">
            <v>-</v>
          </cell>
          <cell r="L1815">
            <v>47900</v>
          </cell>
          <cell r="M1815">
            <v>49200</v>
          </cell>
          <cell r="N1815">
            <v>46900</v>
          </cell>
          <cell r="O1815">
            <v>45900</v>
          </cell>
          <cell r="P1815">
            <v>43300</v>
          </cell>
          <cell r="Q1815">
            <v>43600</v>
          </cell>
          <cell r="R1815">
            <v>43800</v>
          </cell>
          <cell r="S1815">
            <v>47000</v>
          </cell>
          <cell r="T1815">
            <v>47700</v>
          </cell>
          <cell r="U1815">
            <v>51000</v>
          </cell>
          <cell r="V1815">
            <v>48600</v>
          </cell>
          <cell r="W1815">
            <v>52100</v>
          </cell>
        </row>
        <row r="1816">
          <cell r="A1816">
            <v>46081</v>
          </cell>
          <cell r="B1816">
            <v>47500</v>
          </cell>
          <cell r="C1816">
            <v>48000</v>
          </cell>
          <cell r="D1816">
            <v>47850</v>
          </cell>
          <cell r="E1816">
            <v>44900</v>
          </cell>
          <cell r="F1816">
            <v>49900</v>
          </cell>
          <cell r="G1816" t="str">
            <v>-</v>
          </cell>
          <cell r="H1816">
            <v>47000</v>
          </cell>
          <cell r="I1816">
            <v>46200</v>
          </cell>
          <cell r="J1816">
            <v>48200</v>
          </cell>
          <cell r="K1816" t="str">
            <v>-</v>
          </cell>
          <cell r="L1816">
            <v>47600</v>
          </cell>
          <cell r="M1816">
            <v>48800</v>
          </cell>
          <cell r="N1816">
            <v>46800</v>
          </cell>
          <cell r="O1816">
            <v>45900</v>
          </cell>
          <cell r="P1816">
            <v>43000</v>
          </cell>
          <cell r="Q1816">
            <v>43600</v>
          </cell>
          <cell r="R1816">
            <v>43800</v>
          </cell>
          <cell r="S1816">
            <v>47000</v>
          </cell>
          <cell r="T1816">
            <v>47700</v>
          </cell>
          <cell r="U1816">
            <v>51000</v>
          </cell>
          <cell r="V1816">
            <v>48600</v>
          </cell>
          <cell r="W1816">
            <v>52100</v>
          </cell>
        </row>
        <row r="1817">
          <cell r="A1817">
            <v>46082</v>
          </cell>
          <cell r="B1817" t="str">
            <v>H</v>
          </cell>
          <cell r="C1817" t="str">
            <v>H</v>
          </cell>
          <cell r="D1817" t="str">
            <v>H</v>
          </cell>
          <cell r="E1817" t="str">
            <v>H</v>
          </cell>
          <cell r="F1817" t="str">
            <v>H</v>
          </cell>
          <cell r="G1817" t="str">
            <v>H</v>
          </cell>
          <cell r="H1817" t="str">
            <v>H</v>
          </cell>
          <cell r="I1817" t="str">
            <v>H</v>
          </cell>
          <cell r="J1817" t="str">
            <v>H</v>
          </cell>
          <cell r="K1817" t="str">
            <v>H</v>
          </cell>
          <cell r="L1817" t="str">
            <v>H</v>
          </cell>
          <cell r="M1817" t="str">
            <v>H</v>
          </cell>
          <cell r="N1817" t="str">
            <v>H</v>
          </cell>
          <cell r="O1817" t="str">
            <v>H</v>
          </cell>
          <cell r="P1817" t="str">
            <v>H</v>
          </cell>
          <cell r="Q1817" t="str">
            <v>H</v>
          </cell>
          <cell r="R1817" t="str">
            <v>H</v>
          </cell>
          <cell r="S1817" t="str">
            <v>H</v>
          </cell>
          <cell r="T1817" t="str">
            <v>H</v>
          </cell>
          <cell r="U1817" t="str">
            <v>H</v>
          </cell>
          <cell r="V1817" t="str">
            <v>H</v>
          </cell>
          <cell r="W1817" t="str">
            <v>H</v>
          </cell>
        </row>
        <row r="1818">
          <cell r="A1818">
            <v>46083</v>
          </cell>
          <cell r="B1818">
            <v>48700</v>
          </cell>
          <cell r="C1818">
            <v>49000</v>
          </cell>
          <cell r="D1818">
            <v>49500</v>
          </cell>
          <cell r="E1818">
            <v>46100</v>
          </cell>
          <cell r="F1818">
            <v>51000</v>
          </cell>
          <cell r="G1818" t="str">
            <v>-</v>
          </cell>
          <cell r="H1818">
            <v>49000</v>
          </cell>
          <cell r="I1818">
            <v>47400</v>
          </cell>
          <cell r="J1818">
            <v>49800</v>
          </cell>
          <cell r="K1818" t="str">
            <v>-</v>
          </cell>
          <cell r="L1818">
            <v>48600</v>
          </cell>
          <cell r="M1818">
            <v>50200</v>
          </cell>
          <cell r="N1818">
            <v>48500</v>
          </cell>
          <cell r="O1818">
            <v>46700</v>
          </cell>
          <cell r="P1818">
            <v>45300</v>
          </cell>
          <cell r="Q1818">
            <v>45600</v>
          </cell>
          <cell r="R1818">
            <v>45700</v>
          </cell>
          <cell r="S1818">
            <v>48200</v>
          </cell>
          <cell r="T1818">
            <v>48900</v>
          </cell>
          <cell r="U1818">
            <v>53000</v>
          </cell>
          <cell r="V1818">
            <v>49400</v>
          </cell>
          <cell r="W1818">
            <v>52400</v>
          </cell>
        </row>
        <row r="1819">
          <cell r="A1819">
            <v>46084</v>
          </cell>
          <cell r="B1819">
            <v>48700</v>
          </cell>
          <cell r="C1819">
            <v>49000</v>
          </cell>
          <cell r="D1819">
            <v>49350</v>
          </cell>
          <cell r="E1819">
            <v>46000</v>
          </cell>
          <cell r="F1819">
            <v>51500</v>
          </cell>
          <cell r="G1819" t="str">
            <v>-</v>
          </cell>
          <cell r="H1819">
            <v>49000</v>
          </cell>
          <cell r="I1819" t="str">
            <v>-</v>
          </cell>
          <cell r="J1819" t="str">
            <v>-</v>
          </cell>
          <cell r="K1819" t="str">
            <v>-</v>
          </cell>
          <cell r="L1819">
            <v>48500</v>
          </cell>
          <cell r="M1819" t="str">
            <v>-</v>
          </cell>
          <cell r="N1819">
            <v>48400</v>
          </cell>
          <cell r="O1819">
            <v>46700</v>
          </cell>
          <cell r="P1819">
            <v>45300</v>
          </cell>
          <cell r="Q1819">
            <v>45300</v>
          </cell>
          <cell r="R1819">
            <v>45700</v>
          </cell>
          <cell r="S1819">
            <v>48100</v>
          </cell>
          <cell r="T1819">
            <v>48900</v>
          </cell>
          <cell r="U1819">
            <v>53000</v>
          </cell>
          <cell r="V1819">
            <v>50300</v>
          </cell>
          <cell r="W1819">
            <v>52400</v>
          </cell>
        </row>
        <row r="1820">
          <cell r="A1820">
            <v>46085</v>
          </cell>
          <cell r="B1820" t="str">
            <v>H</v>
          </cell>
          <cell r="C1820" t="str">
            <v>H</v>
          </cell>
          <cell r="D1820" t="str">
            <v>H</v>
          </cell>
          <cell r="E1820" t="str">
            <v>H</v>
          </cell>
          <cell r="F1820" t="str">
            <v>H</v>
          </cell>
          <cell r="G1820" t="str">
            <v>H</v>
          </cell>
          <cell r="H1820" t="str">
            <v>H</v>
          </cell>
          <cell r="I1820" t="str">
            <v>H</v>
          </cell>
          <cell r="J1820" t="str">
            <v>H</v>
          </cell>
          <cell r="K1820" t="str">
            <v>H</v>
          </cell>
          <cell r="L1820" t="str">
            <v>H</v>
          </cell>
          <cell r="M1820" t="str">
            <v>H</v>
          </cell>
          <cell r="N1820" t="str">
            <v>H</v>
          </cell>
          <cell r="O1820" t="str">
            <v>H</v>
          </cell>
          <cell r="P1820" t="str">
            <v>H</v>
          </cell>
          <cell r="Q1820" t="str">
            <v>H</v>
          </cell>
          <cell r="R1820" t="str">
            <v>H</v>
          </cell>
          <cell r="S1820" t="str">
            <v>H</v>
          </cell>
          <cell r="T1820" t="str">
            <v>H</v>
          </cell>
          <cell r="U1820" t="str">
            <v>H</v>
          </cell>
          <cell r="V1820" t="str">
            <v>H</v>
          </cell>
          <cell r="W1820" t="str">
            <v>H</v>
          </cell>
        </row>
        <row r="1821">
          <cell r="A1821">
            <v>46086</v>
          </cell>
          <cell r="B1821">
            <v>49100</v>
          </cell>
          <cell r="C1821">
            <v>49500</v>
          </cell>
          <cell r="D1821">
            <v>50550</v>
          </cell>
          <cell r="E1821">
            <v>46300</v>
          </cell>
          <cell r="F1821">
            <v>52600</v>
          </cell>
          <cell r="G1821" t="str">
            <v>-</v>
          </cell>
          <cell r="H1821">
            <v>49500</v>
          </cell>
          <cell r="I1821">
            <v>47600</v>
          </cell>
          <cell r="J1821">
            <v>50600</v>
          </cell>
          <cell r="K1821" t="str">
            <v>-</v>
          </cell>
          <cell r="L1821">
            <v>48800</v>
          </cell>
          <cell r="M1821">
            <v>50700</v>
          </cell>
          <cell r="N1821">
            <v>49400</v>
          </cell>
          <cell r="O1821">
            <v>46700</v>
          </cell>
          <cell r="P1821">
            <v>46000</v>
          </cell>
          <cell r="Q1821">
            <v>46000</v>
          </cell>
          <cell r="R1821">
            <v>45700</v>
          </cell>
          <cell r="S1821">
            <v>48400</v>
          </cell>
          <cell r="T1821">
            <v>48900</v>
          </cell>
          <cell r="U1821">
            <v>53000</v>
          </cell>
          <cell r="V1821">
            <v>51500</v>
          </cell>
          <cell r="W1821">
            <v>52900</v>
          </cell>
        </row>
        <row r="1822">
          <cell r="A1822">
            <v>46087</v>
          </cell>
          <cell r="B1822">
            <v>49400</v>
          </cell>
          <cell r="C1822">
            <v>49500</v>
          </cell>
          <cell r="D1822">
            <v>50550</v>
          </cell>
          <cell r="E1822">
            <v>46800</v>
          </cell>
          <cell r="F1822">
            <v>53000</v>
          </cell>
          <cell r="G1822" t="str">
            <v>-</v>
          </cell>
          <cell r="H1822">
            <v>49500</v>
          </cell>
          <cell r="I1822">
            <v>47800</v>
          </cell>
          <cell r="J1822">
            <v>50800</v>
          </cell>
          <cell r="K1822" t="str">
            <v>-</v>
          </cell>
          <cell r="L1822">
            <v>49100</v>
          </cell>
          <cell r="M1822">
            <v>50500</v>
          </cell>
          <cell r="N1822">
            <v>49500</v>
          </cell>
          <cell r="O1822">
            <v>47200</v>
          </cell>
          <cell r="P1822">
            <v>46000</v>
          </cell>
          <cell r="Q1822">
            <v>46300</v>
          </cell>
          <cell r="R1822">
            <v>45700</v>
          </cell>
          <cell r="S1822">
            <v>48900</v>
          </cell>
          <cell r="T1822">
            <v>49800</v>
          </cell>
          <cell r="U1822">
            <v>53000</v>
          </cell>
          <cell r="V1822">
            <v>51500</v>
          </cell>
          <cell r="W1822">
            <v>54000</v>
          </cell>
        </row>
        <row r="1823">
          <cell r="A1823">
            <v>46088</v>
          </cell>
          <cell r="B1823">
            <v>49400</v>
          </cell>
          <cell r="C1823">
            <v>49500</v>
          </cell>
          <cell r="D1823">
            <v>50400</v>
          </cell>
          <cell r="E1823">
            <v>46800</v>
          </cell>
          <cell r="F1823">
            <v>53200</v>
          </cell>
          <cell r="G1823" t="str">
            <v>-</v>
          </cell>
          <cell r="H1823">
            <v>49500</v>
          </cell>
          <cell r="I1823">
            <v>47800</v>
          </cell>
          <cell r="J1823">
            <v>50700</v>
          </cell>
          <cell r="K1823" t="str">
            <v>-</v>
          </cell>
          <cell r="L1823">
            <v>49000</v>
          </cell>
          <cell r="M1823">
            <v>50500</v>
          </cell>
          <cell r="N1823">
            <v>49400</v>
          </cell>
          <cell r="O1823">
            <v>47200</v>
          </cell>
          <cell r="P1823">
            <v>46000</v>
          </cell>
          <cell r="Q1823">
            <v>46000</v>
          </cell>
          <cell r="R1823">
            <v>45700</v>
          </cell>
          <cell r="S1823">
            <v>48900</v>
          </cell>
          <cell r="T1823">
            <v>49800</v>
          </cell>
          <cell r="U1823">
            <v>53000</v>
          </cell>
          <cell r="V1823">
            <v>51500</v>
          </cell>
          <cell r="W1823">
            <v>54000</v>
          </cell>
        </row>
        <row r="1824">
          <cell r="A1824">
            <v>46089</v>
          </cell>
          <cell r="B1824" t="str">
            <v>H</v>
          </cell>
          <cell r="C1824" t="str">
            <v>H</v>
          </cell>
          <cell r="D1824" t="str">
            <v>H</v>
          </cell>
          <cell r="E1824" t="str">
            <v>H</v>
          </cell>
          <cell r="F1824" t="str">
            <v>H</v>
          </cell>
          <cell r="G1824" t="str">
            <v>H</v>
          </cell>
          <cell r="H1824" t="str">
            <v>H</v>
          </cell>
          <cell r="I1824" t="str">
            <v>H</v>
          </cell>
          <cell r="J1824" t="str">
            <v>H</v>
          </cell>
          <cell r="K1824" t="str">
            <v>H</v>
          </cell>
          <cell r="L1824" t="str">
            <v>H</v>
          </cell>
          <cell r="M1824" t="str">
            <v>H</v>
          </cell>
          <cell r="N1824" t="str">
            <v>H</v>
          </cell>
          <cell r="O1824" t="str">
            <v>H</v>
          </cell>
          <cell r="P1824" t="str">
            <v>H</v>
          </cell>
          <cell r="Q1824" t="str">
            <v>H</v>
          </cell>
          <cell r="R1824" t="str">
            <v>H</v>
          </cell>
          <cell r="S1824" t="str">
            <v>H</v>
          </cell>
          <cell r="T1824" t="str">
            <v>H</v>
          </cell>
          <cell r="U1824" t="str">
            <v>H</v>
          </cell>
          <cell r="V1824" t="str">
            <v>H</v>
          </cell>
          <cell r="W1824" t="str">
            <v>H</v>
          </cell>
        </row>
        <row r="1825">
          <cell r="A1825">
            <v>46090</v>
          </cell>
          <cell r="B1825">
            <v>49800</v>
          </cell>
          <cell r="C1825">
            <v>49800</v>
          </cell>
          <cell r="D1825">
            <v>50950</v>
          </cell>
          <cell r="E1825">
            <v>47000</v>
          </cell>
          <cell r="F1825">
            <v>53200</v>
          </cell>
          <cell r="G1825" t="str">
            <v>-</v>
          </cell>
          <cell r="H1825">
            <v>50000</v>
          </cell>
          <cell r="I1825">
            <v>48100</v>
          </cell>
          <cell r="J1825">
            <v>51500</v>
          </cell>
          <cell r="K1825" t="str">
            <v>-</v>
          </cell>
          <cell r="L1825">
            <v>49400</v>
          </cell>
          <cell r="M1825">
            <v>50800</v>
          </cell>
          <cell r="N1825">
            <v>49950</v>
          </cell>
          <cell r="O1825">
            <v>47300</v>
          </cell>
          <cell r="P1825">
            <v>46100</v>
          </cell>
          <cell r="Q1825">
            <v>46500</v>
          </cell>
          <cell r="R1825">
            <v>46000</v>
          </cell>
          <cell r="S1825">
            <v>49000</v>
          </cell>
          <cell r="T1825">
            <v>50300</v>
          </cell>
          <cell r="U1825">
            <v>54000</v>
          </cell>
          <cell r="V1825">
            <v>51500</v>
          </cell>
          <cell r="W1825">
            <v>54000</v>
          </cell>
        </row>
        <row r="1826">
          <cell r="A1826">
            <v>46091</v>
          </cell>
          <cell r="B1826">
            <v>50200</v>
          </cell>
          <cell r="C1826">
            <v>49800</v>
          </cell>
          <cell r="D1826">
            <v>51500</v>
          </cell>
          <cell r="E1826">
            <v>47100</v>
          </cell>
          <cell r="F1826">
            <v>53200</v>
          </cell>
          <cell r="G1826" t="str">
            <v>-</v>
          </cell>
          <cell r="H1826">
            <v>50000</v>
          </cell>
          <cell r="I1826">
            <v>49300</v>
          </cell>
          <cell r="J1826">
            <v>51600</v>
          </cell>
          <cell r="K1826" t="str">
            <v>-</v>
          </cell>
          <cell r="L1826">
            <v>49600</v>
          </cell>
          <cell r="M1826">
            <v>51500</v>
          </cell>
          <cell r="N1826">
            <v>50400</v>
          </cell>
          <cell r="O1826">
            <v>47400</v>
          </cell>
          <cell r="P1826">
            <v>46200</v>
          </cell>
          <cell r="Q1826">
            <v>46400</v>
          </cell>
          <cell r="R1826">
            <v>46300</v>
          </cell>
          <cell r="S1826">
            <v>49100</v>
          </cell>
          <cell r="T1826">
            <v>50400</v>
          </cell>
          <cell r="U1826">
            <v>54000</v>
          </cell>
          <cell r="V1826">
            <v>51800</v>
          </cell>
          <cell r="W1826">
            <v>54200</v>
          </cell>
        </row>
        <row r="1827">
          <cell r="A1827">
            <v>46092</v>
          </cell>
          <cell r="B1827">
            <v>50200</v>
          </cell>
          <cell r="C1827">
            <v>50000</v>
          </cell>
          <cell r="D1827">
            <v>51400</v>
          </cell>
          <cell r="E1827">
            <v>47000</v>
          </cell>
          <cell r="F1827">
            <v>53200</v>
          </cell>
          <cell r="G1827" t="str">
            <v>-</v>
          </cell>
          <cell r="H1827">
            <v>49500</v>
          </cell>
          <cell r="I1827">
            <v>49300</v>
          </cell>
          <cell r="J1827">
            <v>51400</v>
          </cell>
          <cell r="K1827" t="str">
            <v>-</v>
          </cell>
          <cell r="L1827">
            <v>49500</v>
          </cell>
          <cell r="M1827">
            <v>51500</v>
          </cell>
          <cell r="N1827">
            <v>50000</v>
          </cell>
          <cell r="O1827">
            <v>47400</v>
          </cell>
          <cell r="P1827">
            <v>45600</v>
          </cell>
          <cell r="Q1827">
            <v>46000</v>
          </cell>
          <cell r="R1827">
            <v>46300</v>
          </cell>
          <cell r="S1827">
            <v>49000</v>
          </cell>
          <cell r="T1827">
            <v>50200</v>
          </cell>
          <cell r="U1827">
            <v>53500</v>
          </cell>
          <cell r="V1827">
            <v>51800</v>
          </cell>
          <cell r="W1827">
            <v>54200</v>
          </cell>
        </row>
        <row r="1828">
          <cell r="A1828">
            <v>46093</v>
          </cell>
          <cell r="B1828">
            <v>50200</v>
          </cell>
          <cell r="C1828">
            <v>50000</v>
          </cell>
          <cell r="D1828">
            <v>51400</v>
          </cell>
          <cell r="E1828">
            <v>47200</v>
          </cell>
          <cell r="F1828">
            <v>53200</v>
          </cell>
          <cell r="G1828" t="str">
            <v>-</v>
          </cell>
          <cell r="H1828">
            <v>50000</v>
          </cell>
          <cell r="I1828">
            <v>49400</v>
          </cell>
          <cell r="J1828">
            <v>51500</v>
          </cell>
          <cell r="K1828" t="str">
            <v>-</v>
          </cell>
          <cell r="L1828">
            <v>49500</v>
          </cell>
          <cell r="M1828">
            <v>51500</v>
          </cell>
          <cell r="N1828">
            <v>50000</v>
          </cell>
          <cell r="O1828">
            <v>47500</v>
          </cell>
          <cell r="P1828">
            <v>46000</v>
          </cell>
          <cell r="Q1828">
            <v>46400</v>
          </cell>
          <cell r="R1828">
            <v>46300</v>
          </cell>
          <cell r="S1828">
            <v>49100</v>
          </cell>
          <cell r="T1828">
            <v>50500</v>
          </cell>
          <cell r="U1828">
            <v>53500</v>
          </cell>
          <cell r="V1828">
            <v>51800</v>
          </cell>
          <cell r="W1828">
            <v>54200</v>
          </cell>
        </row>
        <row r="1829">
          <cell r="A1829">
            <v>46094</v>
          </cell>
          <cell r="B1829">
            <v>50200</v>
          </cell>
          <cell r="C1829">
            <v>50000</v>
          </cell>
          <cell r="D1829">
            <v>51400</v>
          </cell>
          <cell r="E1829">
            <v>47000</v>
          </cell>
          <cell r="F1829">
            <v>53800</v>
          </cell>
          <cell r="G1829" t="str">
            <v>-</v>
          </cell>
          <cell r="H1829">
            <v>50000</v>
          </cell>
          <cell r="I1829">
            <v>49400</v>
          </cell>
          <cell r="J1829">
            <v>51500</v>
          </cell>
          <cell r="K1829" t="str">
            <v>-</v>
          </cell>
          <cell r="L1829">
            <v>49500</v>
          </cell>
          <cell r="M1829">
            <v>51500</v>
          </cell>
          <cell r="N1829">
            <v>49800</v>
          </cell>
          <cell r="O1829">
            <v>47300</v>
          </cell>
          <cell r="P1829">
            <v>45500</v>
          </cell>
          <cell r="Q1829">
            <v>46000</v>
          </cell>
          <cell r="R1829">
            <v>46000</v>
          </cell>
          <cell r="S1829">
            <v>48900</v>
          </cell>
          <cell r="T1829">
            <v>50400</v>
          </cell>
          <cell r="U1829">
            <v>53500</v>
          </cell>
          <cell r="V1829">
            <v>52000</v>
          </cell>
          <cell r="W1829">
            <v>54200</v>
          </cell>
        </row>
        <row r="1830">
          <cell r="A1830">
            <v>46095</v>
          </cell>
          <cell r="B1830">
            <v>50200</v>
          </cell>
          <cell r="C1830">
            <v>50000</v>
          </cell>
          <cell r="D1830">
            <v>51400</v>
          </cell>
          <cell r="E1830">
            <v>46800</v>
          </cell>
          <cell r="F1830">
            <v>54000</v>
          </cell>
          <cell r="G1830" t="str">
            <v>-</v>
          </cell>
          <cell r="H1830">
            <v>49500</v>
          </cell>
          <cell r="I1830">
            <v>49400</v>
          </cell>
          <cell r="J1830">
            <v>51500</v>
          </cell>
          <cell r="K1830" t="str">
            <v>-</v>
          </cell>
          <cell r="L1830">
            <v>49200</v>
          </cell>
          <cell r="M1830">
            <v>51500</v>
          </cell>
          <cell r="N1830">
            <v>49800</v>
          </cell>
          <cell r="O1830">
            <v>47200</v>
          </cell>
          <cell r="P1830">
            <v>45300</v>
          </cell>
          <cell r="Q1830">
            <v>45800</v>
          </cell>
          <cell r="R1830">
            <v>46000</v>
          </cell>
          <cell r="S1830">
            <v>48700</v>
          </cell>
          <cell r="T1830">
            <v>49900</v>
          </cell>
          <cell r="U1830">
            <v>53500</v>
          </cell>
          <cell r="V1830">
            <v>52000</v>
          </cell>
          <cell r="W1830">
            <v>54200</v>
          </cell>
        </row>
        <row r="1831">
          <cell r="A1831">
            <v>46096</v>
          </cell>
          <cell r="B1831" t="str">
            <v>H</v>
          </cell>
          <cell r="C1831" t="str">
            <v>H</v>
          </cell>
          <cell r="D1831" t="str">
            <v>H</v>
          </cell>
          <cell r="E1831" t="str">
            <v>H</v>
          </cell>
          <cell r="F1831" t="str">
            <v>H</v>
          </cell>
          <cell r="G1831" t="str">
            <v>H</v>
          </cell>
          <cell r="H1831" t="str">
            <v>H</v>
          </cell>
          <cell r="I1831" t="str">
            <v>H</v>
          </cell>
          <cell r="J1831" t="str">
            <v>H</v>
          </cell>
          <cell r="K1831" t="str">
            <v>H</v>
          </cell>
          <cell r="L1831" t="str">
            <v>H</v>
          </cell>
          <cell r="M1831" t="str">
            <v>H</v>
          </cell>
          <cell r="N1831" t="str">
            <v>H</v>
          </cell>
          <cell r="O1831" t="str">
            <v>H</v>
          </cell>
          <cell r="P1831" t="str">
            <v>H</v>
          </cell>
          <cell r="Q1831" t="str">
            <v>H</v>
          </cell>
          <cell r="R1831" t="str">
            <v>H</v>
          </cell>
          <cell r="S1831" t="str">
            <v>H</v>
          </cell>
          <cell r="T1831" t="str">
            <v>H</v>
          </cell>
          <cell r="U1831" t="str">
            <v>H</v>
          </cell>
          <cell r="V1831" t="str">
            <v>H</v>
          </cell>
          <cell r="W1831" t="str">
            <v>H</v>
          </cell>
        </row>
        <row r="1832">
          <cell r="A1832">
            <v>46097</v>
          </cell>
          <cell r="B1832">
            <v>50300</v>
          </cell>
          <cell r="C1832">
            <v>50000</v>
          </cell>
          <cell r="D1832">
            <v>50750</v>
          </cell>
          <cell r="E1832">
            <v>46900</v>
          </cell>
          <cell r="F1832">
            <v>54200</v>
          </cell>
          <cell r="G1832" t="str">
            <v>-</v>
          </cell>
          <cell r="H1832">
            <v>50000</v>
          </cell>
          <cell r="I1832">
            <v>49500</v>
          </cell>
          <cell r="J1832">
            <v>51200</v>
          </cell>
          <cell r="K1832" t="str">
            <v>-</v>
          </cell>
          <cell r="L1832">
            <v>49400</v>
          </cell>
          <cell r="M1832">
            <v>51000</v>
          </cell>
          <cell r="N1832">
            <v>49700</v>
          </cell>
          <cell r="O1832">
            <v>47300</v>
          </cell>
          <cell r="P1832">
            <v>45600</v>
          </cell>
          <cell r="Q1832">
            <v>46200</v>
          </cell>
          <cell r="R1832">
            <v>46000</v>
          </cell>
          <cell r="S1832">
            <v>48800</v>
          </cell>
          <cell r="T1832">
            <v>49800</v>
          </cell>
          <cell r="U1832">
            <v>54000</v>
          </cell>
          <cell r="V1832">
            <v>52000</v>
          </cell>
          <cell r="W1832">
            <v>54200</v>
          </cell>
        </row>
        <row r="1833">
          <cell r="A1833">
            <v>46098</v>
          </cell>
          <cell r="B1833">
            <v>50400</v>
          </cell>
          <cell r="C1833">
            <v>50000</v>
          </cell>
          <cell r="D1833">
            <v>50900</v>
          </cell>
          <cell r="E1833">
            <v>46700</v>
          </cell>
          <cell r="F1833">
            <v>54200</v>
          </cell>
          <cell r="G1833" t="str">
            <v>-</v>
          </cell>
          <cell r="H1833">
            <v>49500</v>
          </cell>
          <cell r="I1833">
            <v>49500</v>
          </cell>
          <cell r="J1833">
            <v>51400</v>
          </cell>
          <cell r="K1833" t="str">
            <v>-</v>
          </cell>
          <cell r="L1833">
            <v>49800</v>
          </cell>
          <cell r="M1833">
            <v>51000</v>
          </cell>
          <cell r="N1833">
            <v>50000</v>
          </cell>
          <cell r="O1833">
            <v>47200</v>
          </cell>
          <cell r="P1833">
            <v>45400</v>
          </cell>
          <cell r="Q1833">
            <v>46200</v>
          </cell>
          <cell r="R1833">
            <v>46000</v>
          </cell>
          <cell r="S1833">
            <v>48600</v>
          </cell>
          <cell r="T1833">
            <v>50100</v>
          </cell>
          <cell r="U1833">
            <v>54000</v>
          </cell>
          <cell r="V1833">
            <v>52000</v>
          </cell>
          <cell r="W1833">
            <v>54200</v>
          </cell>
        </row>
        <row r="1834">
          <cell r="A1834">
            <v>46099</v>
          </cell>
          <cell r="B1834">
            <v>50300</v>
          </cell>
          <cell r="C1834">
            <v>50200</v>
          </cell>
          <cell r="D1834">
            <v>50600</v>
          </cell>
          <cell r="E1834">
            <v>46300</v>
          </cell>
          <cell r="F1834">
            <v>54200</v>
          </cell>
          <cell r="G1834" t="str">
            <v>-</v>
          </cell>
          <cell r="H1834">
            <v>49500</v>
          </cell>
          <cell r="I1834">
            <v>49500</v>
          </cell>
          <cell r="J1834">
            <v>51300</v>
          </cell>
          <cell r="K1834" t="str">
            <v>-</v>
          </cell>
          <cell r="L1834">
            <v>49600</v>
          </cell>
          <cell r="M1834">
            <v>51000</v>
          </cell>
          <cell r="N1834">
            <v>49800</v>
          </cell>
          <cell r="O1834">
            <v>47200</v>
          </cell>
          <cell r="P1834">
            <v>45200</v>
          </cell>
          <cell r="Q1834">
            <v>46100</v>
          </cell>
          <cell r="R1834">
            <v>46000</v>
          </cell>
          <cell r="S1834">
            <v>48200</v>
          </cell>
          <cell r="T1834">
            <v>50000</v>
          </cell>
          <cell r="U1834">
            <v>54000</v>
          </cell>
          <cell r="V1834">
            <v>51800</v>
          </cell>
          <cell r="W1834">
            <v>54200</v>
          </cell>
        </row>
        <row r="1835">
          <cell r="A1835">
            <v>46100</v>
          </cell>
          <cell r="B1835">
            <v>50100</v>
          </cell>
          <cell r="C1835">
            <v>50200</v>
          </cell>
          <cell r="D1835">
            <v>50600</v>
          </cell>
          <cell r="E1835">
            <v>46200</v>
          </cell>
          <cell r="F1835">
            <v>54200</v>
          </cell>
          <cell r="G1835" t="str">
            <v>-</v>
          </cell>
          <cell r="H1835">
            <v>49000</v>
          </cell>
          <cell r="I1835">
            <v>49100</v>
          </cell>
          <cell r="J1835">
            <v>51300</v>
          </cell>
          <cell r="K1835" t="str">
            <v>-</v>
          </cell>
          <cell r="L1835">
            <v>49500</v>
          </cell>
          <cell r="M1835">
            <v>51000</v>
          </cell>
          <cell r="N1835">
            <v>49600</v>
          </cell>
          <cell r="O1835">
            <v>47200</v>
          </cell>
          <cell r="P1835">
            <v>45300</v>
          </cell>
          <cell r="Q1835">
            <v>46000</v>
          </cell>
          <cell r="R1835">
            <v>45700</v>
          </cell>
          <cell r="S1835">
            <v>48100</v>
          </cell>
          <cell r="T1835">
            <v>49700</v>
          </cell>
          <cell r="U1835">
            <v>54000</v>
          </cell>
          <cell r="V1835">
            <v>51800</v>
          </cell>
          <cell r="W1835">
            <v>54200</v>
          </cell>
        </row>
        <row r="1836">
          <cell r="A1836">
            <v>46101</v>
          </cell>
          <cell r="B1836">
            <v>50200</v>
          </cell>
          <cell r="C1836">
            <v>50200</v>
          </cell>
          <cell r="D1836">
            <v>50600</v>
          </cell>
          <cell r="E1836">
            <v>46200</v>
          </cell>
          <cell r="F1836">
            <v>54200</v>
          </cell>
          <cell r="G1836" t="str">
            <v>-</v>
          </cell>
          <cell r="H1836">
            <v>49500</v>
          </cell>
          <cell r="I1836">
            <v>49100</v>
          </cell>
          <cell r="J1836">
            <v>51400</v>
          </cell>
          <cell r="K1836" t="str">
            <v>-</v>
          </cell>
          <cell r="L1836">
            <v>49600</v>
          </cell>
          <cell r="M1836">
            <v>51000</v>
          </cell>
          <cell r="N1836">
            <v>49750</v>
          </cell>
          <cell r="O1836">
            <v>47200</v>
          </cell>
          <cell r="P1836">
            <v>45300</v>
          </cell>
          <cell r="Q1836">
            <v>46200</v>
          </cell>
          <cell r="R1836">
            <v>45700</v>
          </cell>
          <cell r="S1836">
            <v>48100</v>
          </cell>
          <cell r="T1836">
            <v>49800</v>
          </cell>
          <cell r="U1836">
            <v>54000</v>
          </cell>
          <cell r="V1836">
            <v>51800</v>
          </cell>
          <cell r="W1836">
            <v>54200</v>
          </cell>
        </row>
        <row r="1837">
          <cell r="A1837">
            <v>46102</v>
          </cell>
          <cell r="B1837" t="str">
            <v>H</v>
          </cell>
          <cell r="C1837" t="str">
            <v>H</v>
          </cell>
          <cell r="D1837" t="str">
            <v>H</v>
          </cell>
          <cell r="E1837" t="str">
            <v>H</v>
          </cell>
          <cell r="F1837" t="str">
            <v>H</v>
          </cell>
          <cell r="G1837" t="str">
            <v>H</v>
          </cell>
          <cell r="H1837" t="str">
            <v>H</v>
          </cell>
          <cell r="I1837" t="str">
            <v>H</v>
          </cell>
          <cell r="J1837" t="str">
            <v>H</v>
          </cell>
          <cell r="K1837" t="str">
            <v>H</v>
          </cell>
          <cell r="L1837" t="str">
            <v>H</v>
          </cell>
          <cell r="M1837" t="str">
            <v>H</v>
          </cell>
          <cell r="N1837" t="str">
            <v>H</v>
          </cell>
          <cell r="O1837" t="str">
            <v>H</v>
          </cell>
          <cell r="P1837" t="str">
            <v>H</v>
          </cell>
          <cell r="Q1837" t="str">
            <v>H</v>
          </cell>
          <cell r="R1837" t="str">
            <v>H</v>
          </cell>
          <cell r="S1837" t="str">
            <v>H</v>
          </cell>
          <cell r="T1837" t="str">
            <v>H</v>
          </cell>
          <cell r="U1837" t="str">
            <v>H</v>
          </cell>
          <cell r="V1837" t="str">
            <v>H</v>
          </cell>
          <cell r="W1837" t="str">
            <v>H</v>
          </cell>
        </row>
        <row r="1838">
          <cell r="A1838">
            <v>46103</v>
          </cell>
          <cell r="B1838" t="str">
            <v>H</v>
          </cell>
          <cell r="C1838" t="str">
            <v>H</v>
          </cell>
          <cell r="D1838" t="str">
            <v>H</v>
          </cell>
          <cell r="E1838" t="str">
            <v>H</v>
          </cell>
          <cell r="F1838" t="str">
            <v>H</v>
          </cell>
          <cell r="G1838" t="str">
            <v>H</v>
          </cell>
          <cell r="H1838" t="str">
            <v>H</v>
          </cell>
          <cell r="I1838" t="str">
            <v>H</v>
          </cell>
          <cell r="J1838" t="str">
            <v>H</v>
          </cell>
          <cell r="K1838" t="str">
            <v>H</v>
          </cell>
          <cell r="L1838" t="str">
            <v>H</v>
          </cell>
          <cell r="M1838" t="str">
            <v>H</v>
          </cell>
          <cell r="N1838" t="str">
            <v>H</v>
          </cell>
          <cell r="O1838" t="str">
            <v>H</v>
          </cell>
          <cell r="P1838" t="str">
            <v>H</v>
          </cell>
          <cell r="Q1838" t="str">
            <v>H</v>
          </cell>
          <cell r="R1838" t="str">
            <v>H</v>
          </cell>
          <cell r="S1838" t="str">
            <v>H</v>
          </cell>
          <cell r="T1838" t="str">
            <v>H</v>
          </cell>
          <cell r="U1838" t="str">
            <v>H</v>
          </cell>
          <cell r="V1838" t="str">
            <v>H</v>
          </cell>
          <cell r="W1838" t="str">
            <v>H</v>
          </cell>
        </row>
        <row r="1839">
          <cell r="A1839">
            <v>46104</v>
          </cell>
          <cell r="B1839">
            <v>50200</v>
          </cell>
          <cell r="C1839">
            <v>51000</v>
          </cell>
          <cell r="D1839">
            <v>50500</v>
          </cell>
          <cell r="E1839">
            <v>46200</v>
          </cell>
          <cell r="F1839">
            <v>54200</v>
          </cell>
          <cell r="G1839" t="str">
            <v>-</v>
          </cell>
          <cell r="H1839">
            <v>49500</v>
          </cell>
          <cell r="I1839">
            <v>49000</v>
          </cell>
          <cell r="J1839">
            <v>51300</v>
          </cell>
          <cell r="K1839" t="str">
            <v>-</v>
          </cell>
          <cell r="L1839">
            <v>49800</v>
          </cell>
          <cell r="M1839">
            <v>51000</v>
          </cell>
          <cell r="N1839">
            <v>49700</v>
          </cell>
          <cell r="O1839">
            <v>47000</v>
          </cell>
          <cell r="P1839">
            <v>45000</v>
          </cell>
          <cell r="Q1839">
            <v>46000</v>
          </cell>
          <cell r="R1839">
            <v>45700</v>
          </cell>
          <cell r="S1839">
            <v>48100</v>
          </cell>
          <cell r="T1839">
            <v>49700</v>
          </cell>
          <cell r="U1839">
            <v>54000</v>
          </cell>
          <cell r="V1839">
            <v>51800</v>
          </cell>
          <cell r="W1839">
            <v>54200</v>
          </cell>
        </row>
        <row r="1840">
          <cell r="A1840">
            <v>46105</v>
          </cell>
          <cell r="B1840">
            <v>50200</v>
          </cell>
          <cell r="C1840">
            <v>51000</v>
          </cell>
          <cell r="D1840">
            <v>50250</v>
          </cell>
          <cell r="E1840">
            <v>46100</v>
          </cell>
          <cell r="F1840">
            <v>54200</v>
          </cell>
          <cell r="G1840" t="str">
            <v>-</v>
          </cell>
          <cell r="H1840">
            <v>49500</v>
          </cell>
          <cell r="I1840">
            <v>48800</v>
          </cell>
          <cell r="J1840">
            <v>51100</v>
          </cell>
          <cell r="K1840" t="str">
            <v>-</v>
          </cell>
          <cell r="L1840">
            <v>49600</v>
          </cell>
          <cell r="M1840">
            <v>50900</v>
          </cell>
          <cell r="N1840">
            <v>49600</v>
          </cell>
          <cell r="O1840">
            <v>47000</v>
          </cell>
          <cell r="P1840">
            <v>44700</v>
          </cell>
          <cell r="Q1840">
            <v>45700</v>
          </cell>
          <cell r="R1840">
            <v>45500</v>
          </cell>
          <cell r="S1840">
            <v>47900</v>
          </cell>
          <cell r="T1840">
            <v>49500</v>
          </cell>
          <cell r="U1840">
            <v>54000</v>
          </cell>
          <cell r="V1840">
            <v>51800</v>
          </cell>
          <cell r="W1840">
            <v>54200</v>
          </cell>
        </row>
        <row r="1841">
          <cell r="A1841">
            <v>46106</v>
          </cell>
          <cell r="B1841">
            <v>50100</v>
          </cell>
          <cell r="C1841">
            <v>50500</v>
          </cell>
          <cell r="D1841">
            <v>49500</v>
          </cell>
          <cell r="E1841">
            <v>45700</v>
          </cell>
          <cell r="F1841">
            <v>54200</v>
          </cell>
          <cell r="G1841" t="str">
            <v>-</v>
          </cell>
          <cell r="H1841">
            <v>49500</v>
          </cell>
          <cell r="I1841">
            <v>48500</v>
          </cell>
          <cell r="J1841">
            <v>51000</v>
          </cell>
          <cell r="K1841" t="str">
            <v>-</v>
          </cell>
          <cell r="L1841">
            <v>49400</v>
          </cell>
          <cell r="M1841">
            <v>50600</v>
          </cell>
          <cell r="N1841">
            <v>49200</v>
          </cell>
          <cell r="O1841">
            <v>47000</v>
          </cell>
          <cell r="P1841">
            <v>44400</v>
          </cell>
          <cell r="Q1841">
            <v>45200</v>
          </cell>
          <cell r="R1841">
            <v>45500</v>
          </cell>
          <cell r="S1841">
            <v>47500</v>
          </cell>
          <cell r="T1841">
            <v>49100</v>
          </cell>
          <cell r="U1841">
            <v>53500</v>
          </cell>
          <cell r="V1841">
            <v>51800</v>
          </cell>
          <cell r="W1841">
            <v>54200</v>
          </cell>
        </row>
        <row r="1842">
          <cell r="A1842">
            <v>46107</v>
          </cell>
          <cell r="B1842">
            <v>50200</v>
          </cell>
          <cell r="C1842">
            <v>50500</v>
          </cell>
          <cell r="D1842">
            <v>49700</v>
          </cell>
          <cell r="E1842">
            <v>45500</v>
          </cell>
          <cell r="F1842">
            <v>54700</v>
          </cell>
          <cell r="G1842" t="str">
            <v>-</v>
          </cell>
          <cell r="H1842">
            <v>49500</v>
          </cell>
          <cell r="I1842">
            <v>48500</v>
          </cell>
          <cell r="J1842">
            <v>51600</v>
          </cell>
          <cell r="K1842" t="str">
            <v>-</v>
          </cell>
          <cell r="L1842">
            <v>49300</v>
          </cell>
          <cell r="M1842">
            <v>50400</v>
          </cell>
          <cell r="N1842">
            <v>49000</v>
          </cell>
          <cell r="O1842">
            <v>47000</v>
          </cell>
          <cell r="P1842">
            <v>45000</v>
          </cell>
          <cell r="Q1842">
            <v>45300</v>
          </cell>
          <cell r="R1842">
            <v>45500</v>
          </cell>
          <cell r="S1842">
            <v>47400</v>
          </cell>
          <cell r="T1842">
            <v>48900</v>
          </cell>
          <cell r="U1842">
            <v>53500</v>
          </cell>
          <cell r="V1842">
            <v>51800</v>
          </cell>
          <cell r="W1842">
            <v>54200</v>
          </cell>
        </row>
        <row r="1843">
          <cell r="A1843">
            <v>46108</v>
          </cell>
          <cell r="B1843">
            <v>51000</v>
          </cell>
          <cell r="C1843">
            <v>50800</v>
          </cell>
          <cell r="D1843">
            <v>50300</v>
          </cell>
          <cell r="E1843">
            <v>45700</v>
          </cell>
          <cell r="F1843">
            <v>54800</v>
          </cell>
          <cell r="G1843" t="str">
            <v>-</v>
          </cell>
          <cell r="H1843">
            <v>49500</v>
          </cell>
          <cell r="I1843">
            <v>48500</v>
          </cell>
          <cell r="J1843">
            <v>51800</v>
          </cell>
          <cell r="K1843" t="str">
            <v>-</v>
          </cell>
          <cell r="L1843">
            <v>49500</v>
          </cell>
          <cell r="M1843">
            <v>50700</v>
          </cell>
          <cell r="N1843">
            <v>49600</v>
          </cell>
          <cell r="O1843">
            <v>47100</v>
          </cell>
          <cell r="P1843">
            <v>45000</v>
          </cell>
          <cell r="Q1843">
            <v>45600</v>
          </cell>
          <cell r="R1843">
            <v>45500</v>
          </cell>
          <cell r="S1843">
            <v>47600</v>
          </cell>
          <cell r="T1843">
            <v>49200</v>
          </cell>
          <cell r="U1843">
            <v>53500</v>
          </cell>
          <cell r="V1843">
            <v>51800</v>
          </cell>
          <cell r="W1843">
            <v>55300</v>
          </cell>
        </row>
        <row r="1844">
          <cell r="A1844">
            <v>46109</v>
          </cell>
          <cell r="B1844">
            <v>51300</v>
          </cell>
          <cell r="C1844">
            <v>51000</v>
          </cell>
          <cell r="D1844">
            <v>50300</v>
          </cell>
          <cell r="E1844">
            <v>45800</v>
          </cell>
          <cell r="F1844">
            <v>55700</v>
          </cell>
          <cell r="G1844" t="str">
            <v>-</v>
          </cell>
          <cell r="H1844">
            <v>50000</v>
          </cell>
          <cell r="I1844">
            <v>48900</v>
          </cell>
          <cell r="J1844">
            <v>51800</v>
          </cell>
          <cell r="K1844" t="str">
            <v>-</v>
          </cell>
          <cell r="L1844">
            <v>49600</v>
          </cell>
          <cell r="M1844">
            <v>50900</v>
          </cell>
          <cell r="N1844">
            <v>49600</v>
          </cell>
          <cell r="O1844">
            <v>47200</v>
          </cell>
          <cell r="P1844">
            <v>45000</v>
          </cell>
          <cell r="Q1844">
            <v>45500</v>
          </cell>
          <cell r="R1844">
            <v>45500</v>
          </cell>
          <cell r="S1844">
            <v>47700</v>
          </cell>
          <cell r="T1844">
            <v>49200</v>
          </cell>
          <cell r="U1844">
            <v>53500</v>
          </cell>
          <cell r="V1844">
            <v>52200</v>
          </cell>
          <cell r="W1844">
            <v>56300</v>
          </cell>
        </row>
        <row r="1845">
          <cell r="A1845">
            <v>46110</v>
          </cell>
          <cell r="B1845" t="str">
            <v>H</v>
          </cell>
          <cell r="C1845" t="str">
            <v>H</v>
          </cell>
          <cell r="D1845" t="str">
            <v>H</v>
          </cell>
          <cell r="E1845" t="str">
            <v>H</v>
          </cell>
          <cell r="F1845" t="str">
            <v>H</v>
          </cell>
          <cell r="G1845" t="str">
            <v>H</v>
          </cell>
          <cell r="H1845" t="str">
            <v>H</v>
          </cell>
          <cell r="I1845" t="str">
            <v>H</v>
          </cell>
          <cell r="J1845" t="str">
            <v>H</v>
          </cell>
          <cell r="K1845" t="str">
            <v>H</v>
          </cell>
          <cell r="L1845" t="str">
            <v>H</v>
          </cell>
          <cell r="M1845" t="str">
            <v>H</v>
          </cell>
          <cell r="N1845" t="str">
            <v>H</v>
          </cell>
          <cell r="O1845" t="str">
            <v>H</v>
          </cell>
          <cell r="P1845" t="str">
            <v>H</v>
          </cell>
          <cell r="Q1845" t="str">
            <v>H</v>
          </cell>
          <cell r="R1845" t="str">
            <v>H</v>
          </cell>
          <cell r="S1845" t="str">
            <v>H</v>
          </cell>
          <cell r="T1845" t="str">
            <v>H</v>
          </cell>
          <cell r="U1845" t="str">
            <v>H</v>
          </cell>
          <cell r="V1845" t="str">
            <v>H</v>
          </cell>
          <cell r="W1845" t="str">
            <v>H</v>
          </cell>
        </row>
        <row r="1846">
          <cell r="A1846">
            <v>46111</v>
          </cell>
          <cell r="B1846">
            <v>52500</v>
          </cell>
          <cell r="C1846">
            <v>51700</v>
          </cell>
          <cell r="D1846">
            <v>52400</v>
          </cell>
          <cell r="E1846">
            <v>47000</v>
          </cell>
          <cell r="F1846">
            <v>57200</v>
          </cell>
          <cell r="G1846" t="str">
            <v>-</v>
          </cell>
          <cell r="H1846">
            <v>50500</v>
          </cell>
          <cell r="I1846">
            <v>49400</v>
          </cell>
          <cell r="J1846">
            <v>53300</v>
          </cell>
          <cell r="K1846" t="str">
            <v>-</v>
          </cell>
          <cell r="L1846">
            <v>50600</v>
          </cell>
          <cell r="M1846">
            <v>51600</v>
          </cell>
          <cell r="N1846">
            <v>51550</v>
          </cell>
          <cell r="O1846">
            <v>48200</v>
          </cell>
          <cell r="P1846">
            <v>47600</v>
          </cell>
          <cell r="Q1846">
            <v>48000</v>
          </cell>
          <cell r="R1846">
            <v>47500</v>
          </cell>
          <cell r="S1846">
            <v>48900</v>
          </cell>
          <cell r="T1846">
            <v>51300</v>
          </cell>
          <cell r="U1846">
            <v>55000</v>
          </cell>
          <cell r="V1846">
            <v>54800</v>
          </cell>
          <cell r="W1846">
            <v>57700</v>
          </cell>
        </row>
        <row r="1847">
          <cell r="A1847">
            <v>46112</v>
          </cell>
          <cell r="B1847">
            <v>52900</v>
          </cell>
          <cell r="C1847">
            <v>52000</v>
          </cell>
          <cell r="D1847">
            <v>52400</v>
          </cell>
          <cell r="E1847">
            <v>46900</v>
          </cell>
          <cell r="F1847">
            <v>57500</v>
          </cell>
          <cell r="G1847" t="str">
            <v>-</v>
          </cell>
          <cell r="H1847">
            <v>51000</v>
          </cell>
          <cell r="I1847">
            <v>50100</v>
          </cell>
          <cell r="J1847">
            <v>53500</v>
          </cell>
          <cell r="K1847" t="str">
            <v>-</v>
          </cell>
          <cell r="L1847">
            <v>50900</v>
          </cell>
          <cell r="M1847">
            <v>52300</v>
          </cell>
          <cell r="N1847">
            <v>51450</v>
          </cell>
          <cell r="O1847">
            <v>48200</v>
          </cell>
          <cell r="P1847">
            <v>46700</v>
          </cell>
          <cell r="Q1847">
            <v>47500</v>
          </cell>
          <cell r="R1847">
            <v>47500</v>
          </cell>
          <cell r="S1847">
            <v>48800</v>
          </cell>
          <cell r="T1847">
            <v>51300</v>
          </cell>
          <cell r="U1847">
            <v>55000</v>
          </cell>
          <cell r="V1847">
            <v>54600</v>
          </cell>
          <cell r="W1847">
            <v>57700</v>
          </cell>
        </row>
        <row r="1848">
          <cell r="A1848">
            <v>46113</v>
          </cell>
          <cell r="B1848">
            <v>53800</v>
          </cell>
          <cell r="C1848">
            <v>52500</v>
          </cell>
          <cell r="D1848">
            <v>52950</v>
          </cell>
          <cell r="E1848">
            <v>47300</v>
          </cell>
          <cell r="F1848">
            <v>57500</v>
          </cell>
          <cell r="G1848" t="str">
            <v>-</v>
          </cell>
          <cell r="H1848">
            <v>52000</v>
          </cell>
          <cell r="I1848">
            <v>51000</v>
          </cell>
          <cell r="J1848">
            <v>54100</v>
          </cell>
          <cell r="K1848" t="str">
            <v>-</v>
          </cell>
          <cell r="L1848">
            <v>51600</v>
          </cell>
          <cell r="M1848">
            <v>53400</v>
          </cell>
          <cell r="N1848">
            <v>51800</v>
          </cell>
          <cell r="O1848">
            <v>48700</v>
          </cell>
          <cell r="P1848">
            <v>47900</v>
          </cell>
          <cell r="Q1848">
            <v>48200</v>
          </cell>
          <cell r="R1848">
            <v>47500</v>
          </cell>
          <cell r="S1848">
            <v>49200</v>
          </cell>
          <cell r="T1848">
            <v>51500</v>
          </cell>
          <cell r="U1848">
            <v>55000</v>
          </cell>
          <cell r="V1848">
            <v>54600</v>
          </cell>
          <cell r="W1848">
            <v>57700</v>
          </cell>
        </row>
        <row r="1849">
          <cell r="A1849">
            <v>46114</v>
          </cell>
          <cell r="B1849">
            <v>54400</v>
          </cell>
          <cell r="C1849">
            <v>53000</v>
          </cell>
          <cell r="D1849">
            <v>53000</v>
          </cell>
          <cell r="E1849">
            <v>47200</v>
          </cell>
          <cell r="F1849">
            <v>57500</v>
          </cell>
          <cell r="G1849" t="str">
            <v>-</v>
          </cell>
          <cell r="H1849">
            <v>52000</v>
          </cell>
          <cell r="I1849">
            <v>51100</v>
          </cell>
          <cell r="J1849">
            <v>54300</v>
          </cell>
          <cell r="K1849" t="str">
            <v>-</v>
          </cell>
          <cell r="L1849">
            <v>51900</v>
          </cell>
          <cell r="M1849">
            <v>53400</v>
          </cell>
          <cell r="N1849">
            <v>52200</v>
          </cell>
          <cell r="O1849">
            <v>48700</v>
          </cell>
          <cell r="P1849">
            <v>47700</v>
          </cell>
          <cell r="Q1849">
            <v>48500</v>
          </cell>
          <cell r="R1849">
            <v>47500</v>
          </cell>
          <cell r="S1849">
            <v>49100</v>
          </cell>
          <cell r="T1849">
            <v>51700</v>
          </cell>
          <cell r="U1849">
            <v>55000</v>
          </cell>
          <cell r="V1849">
            <v>54900</v>
          </cell>
          <cell r="W1849">
            <v>57700</v>
          </cell>
        </row>
        <row r="1850">
          <cell r="A1850">
            <v>46115</v>
          </cell>
          <cell r="B1850">
            <v>54400</v>
          </cell>
          <cell r="C1850">
            <v>53000</v>
          </cell>
          <cell r="D1850">
            <v>52450</v>
          </cell>
          <cell r="E1850">
            <v>47000</v>
          </cell>
          <cell r="F1850">
            <v>57500</v>
          </cell>
          <cell r="G1850" t="str">
            <v>-</v>
          </cell>
          <cell r="H1850">
            <v>51500</v>
          </cell>
          <cell r="I1850">
            <v>51000</v>
          </cell>
          <cell r="J1850">
            <v>54100</v>
          </cell>
          <cell r="K1850" t="str">
            <v>-</v>
          </cell>
          <cell r="L1850">
            <v>51900</v>
          </cell>
          <cell r="M1850">
            <v>53400</v>
          </cell>
          <cell r="N1850">
            <v>51700</v>
          </cell>
          <cell r="O1850">
            <v>48500</v>
          </cell>
          <cell r="P1850">
            <v>47500</v>
          </cell>
          <cell r="Q1850">
            <v>47800</v>
          </cell>
          <cell r="R1850">
            <v>47500</v>
          </cell>
          <cell r="S1850">
            <v>48900</v>
          </cell>
          <cell r="T1850">
            <v>51500</v>
          </cell>
          <cell r="U1850">
            <v>55000</v>
          </cell>
          <cell r="V1850">
            <v>54900</v>
          </cell>
          <cell r="W1850">
            <v>57700</v>
          </cell>
        </row>
        <row r="1851">
          <cell r="A1851">
            <v>46116</v>
          </cell>
          <cell r="B1851" t="str">
            <v>H</v>
          </cell>
          <cell r="C1851" t="str">
            <v>H</v>
          </cell>
          <cell r="D1851" t="str">
            <v>H</v>
          </cell>
          <cell r="E1851" t="str">
            <v>H</v>
          </cell>
          <cell r="F1851" t="str">
            <v>H</v>
          </cell>
          <cell r="G1851" t="str">
            <v>H</v>
          </cell>
          <cell r="H1851" t="str">
            <v>H</v>
          </cell>
          <cell r="I1851" t="str">
            <v>H</v>
          </cell>
          <cell r="J1851" t="str">
            <v>H</v>
          </cell>
          <cell r="K1851" t="str">
            <v>H</v>
          </cell>
          <cell r="L1851" t="str">
            <v>H</v>
          </cell>
          <cell r="M1851" t="str">
            <v>H</v>
          </cell>
          <cell r="N1851" t="str">
            <v>H</v>
          </cell>
          <cell r="O1851" t="str">
            <v>H</v>
          </cell>
          <cell r="P1851" t="str">
            <v>H</v>
          </cell>
          <cell r="Q1851" t="str">
            <v>H</v>
          </cell>
          <cell r="R1851" t="str">
            <v>H</v>
          </cell>
          <cell r="S1851" t="str">
            <v>H</v>
          </cell>
          <cell r="T1851" t="str">
            <v>H</v>
          </cell>
          <cell r="U1851" t="str">
            <v>H</v>
          </cell>
          <cell r="V1851" t="str">
            <v>H</v>
          </cell>
          <cell r="W1851" t="str">
            <v>H</v>
          </cell>
        </row>
        <row r="1852">
          <cell r="A1852">
            <v>46117</v>
          </cell>
          <cell r="B1852" t="str">
            <v>H</v>
          </cell>
          <cell r="C1852" t="str">
            <v>H</v>
          </cell>
          <cell r="D1852" t="str">
            <v>H</v>
          </cell>
          <cell r="E1852" t="str">
            <v>H</v>
          </cell>
          <cell r="F1852" t="str">
            <v>H</v>
          </cell>
          <cell r="G1852" t="str">
            <v>H</v>
          </cell>
          <cell r="H1852" t="str">
            <v>H</v>
          </cell>
          <cell r="I1852" t="str">
            <v>H</v>
          </cell>
          <cell r="J1852" t="str">
            <v>H</v>
          </cell>
          <cell r="K1852" t="str">
            <v>H</v>
          </cell>
          <cell r="L1852" t="str">
            <v>H</v>
          </cell>
          <cell r="M1852" t="str">
            <v>H</v>
          </cell>
          <cell r="N1852" t="str">
            <v>H</v>
          </cell>
          <cell r="O1852" t="str">
            <v>H</v>
          </cell>
          <cell r="P1852" t="str">
            <v>H</v>
          </cell>
          <cell r="Q1852" t="str">
            <v>H</v>
          </cell>
          <cell r="R1852" t="str">
            <v>H</v>
          </cell>
          <cell r="S1852" t="str">
            <v>H</v>
          </cell>
          <cell r="T1852" t="str">
            <v>H</v>
          </cell>
          <cell r="U1852" t="str">
            <v>H</v>
          </cell>
          <cell r="V1852" t="str">
            <v>H</v>
          </cell>
          <cell r="W1852" t="str">
            <v>H</v>
          </cell>
        </row>
        <row r="1853">
          <cell r="A1853">
            <v>46118</v>
          </cell>
          <cell r="B1853">
            <v>55000</v>
          </cell>
          <cell r="C1853">
            <v>53500</v>
          </cell>
          <cell r="D1853">
            <v>53850</v>
          </cell>
          <cell r="E1853">
            <v>47700</v>
          </cell>
          <cell r="F1853">
            <v>57800</v>
          </cell>
          <cell r="G1853" t="str">
            <v>-</v>
          </cell>
          <cell r="H1853">
            <v>52500</v>
          </cell>
          <cell r="I1853">
            <v>52000</v>
          </cell>
          <cell r="J1853">
            <v>54200</v>
          </cell>
          <cell r="K1853" t="str">
            <v>-</v>
          </cell>
          <cell r="L1853">
            <v>53000</v>
          </cell>
          <cell r="M1853">
            <v>54000</v>
          </cell>
          <cell r="N1853">
            <v>52950</v>
          </cell>
          <cell r="O1853">
            <v>49200</v>
          </cell>
          <cell r="P1853">
            <v>47700</v>
          </cell>
          <cell r="Q1853">
            <v>48400</v>
          </cell>
          <cell r="R1853">
            <v>48300</v>
          </cell>
          <cell r="S1853">
            <v>49600</v>
          </cell>
          <cell r="T1853">
            <v>51800</v>
          </cell>
          <cell r="U1853">
            <v>55000</v>
          </cell>
          <cell r="V1853">
            <v>54900</v>
          </cell>
          <cell r="W1853">
            <v>58000</v>
          </cell>
        </row>
        <row r="1854">
          <cell r="A1854">
            <v>46119</v>
          </cell>
          <cell r="B1854">
            <v>55300</v>
          </cell>
          <cell r="C1854">
            <v>53500</v>
          </cell>
          <cell r="D1854">
            <v>54400</v>
          </cell>
          <cell r="E1854">
            <v>47700</v>
          </cell>
          <cell r="F1854">
            <v>58500</v>
          </cell>
          <cell r="G1854" t="str">
            <v>-</v>
          </cell>
          <cell r="H1854">
            <v>52500</v>
          </cell>
          <cell r="I1854">
            <v>52200</v>
          </cell>
          <cell r="J1854">
            <v>54300</v>
          </cell>
          <cell r="K1854" t="str">
            <v>-</v>
          </cell>
          <cell r="L1854">
            <v>53300</v>
          </cell>
          <cell r="M1854">
            <v>54200</v>
          </cell>
          <cell r="N1854">
            <v>53400</v>
          </cell>
          <cell r="O1854">
            <v>49200</v>
          </cell>
          <cell r="P1854">
            <v>48100</v>
          </cell>
          <cell r="Q1854">
            <v>48700</v>
          </cell>
          <cell r="R1854">
            <v>48000</v>
          </cell>
          <cell r="S1854">
            <v>49600</v>
          </cell>
          <cell r="T1854">
            <v>52000</v>
          </cell>
          <cell r="U1854">
            <v>56000</v>
          </cell>
          <cell r="V1854">
            <v>55100</v>
          </cell>
          <cell r="W1854">
            <v>58000</v>
          </cell>
        </row>
        <row r="1855">
          <cell r="A1855">
            <v>46120</v>
          </cell>
          <cell r="B1855">
            <v>54200</v>
          </cell>
          <cell r="C1855">
            <v>53200</v>
          </cell>
          <cell r="D1855">
            <v>53450</v>
          </cell>
          <cell r="E1855">
            <v>47600</v>
          </cell>
          <cell r="F1855">
            <v>58500</v>
          </cell>
          <cell r="G1855" t="str">
            <v>-</v>
          </cell>
          <cell r="H1855">
            <v>52500</v>
          </cell>
          <cell r="I1855">
            <v>51800</v>
          </cell>
          <cell r="J1855">
            <v>54300</v>
          </cell>
          <cell r="K1855" t="str">
            <v>-</v>
          </cell>
          <cell r="L1855">
            <v>53000</v>
          </cell>
          <cell r="M1855">
            <v>54200</v>
          </cell>
          <cell r="N1855">
            <v>52650</v>
          </cell>
          <cell r="O1855">
            <v>49000</v>
          </cell>
          <cell r="P1855">
            <v>47500</v>
          </cell>
          <cell r="Q1855">
            <v>47700</v>
          </cell>
          <cell r="R1855">
            <v>47700</v>
          </cell>
          <cell r="S1855">
            <v>49500</v>
          </cell>
          <cell r="T1855">
            <v>51900</v>
          </cell>
          <cell r="U1855">
            <v>56000</v>
          </cell>
          <cell r="V1855">
            <v>55100</v>
          </cell>
          <cell r="W1855">
            <v>58000</v>
          </cell>
        </row>
        <row r="1856">
          <cell r="A1856">
            <v>46121</v>
          </cell>
          <cell r="B1856">
            <v>54200</v>
          </cell>
          <cell r="C1856">
            <v>53200</v>
          </cell>
          <cell r="D1856">
            <v>53550</v>
          </cell>
          <cell r="E1856">
            <v>47600</v>
          </cell>
          <cell r="F1856">
            <v>58500</v>
          </cell>
          <cell r="G1856" t="str">
            <v>-</v>
          </cell>
          <cell r="H1856">
            <v>52500</v>
          </cell>
          <cell r="I1856">
            <v>52100</v>
          </cell>
          <cell r="J1856">
            <v>54200</v>
          </cell>
          <cell r="K1856" t="str">
            <v>-</v>
          </cell>
          <cell r="L1856">
            <v>53000</v>
          </cell>
          <cell r="M1856">
            <v>54100</v>
          </cell>
          <cell r="N1856">
            <v>52650</v>
          </cell>
          <cell r="O1856">
            <v>49000</v>
          </cell>
          <cell r="P1856">
            <v>47300</v>
          </cell>
          <cell r="Q1856">
            <v>47800</v>
          </cell>
          <cell r="R1856">
            <v>47700</v>
          </cell>
          <cell r="S1856">
            <v>49500</v>
          </cell>
          <cell r="T1856">
            <v>51600</v>
          </cell>
          <cell r="U1856">
            <v>56000</v>
          </cell>
          <cell r="V1856">
            <v>54900</v>
          </cell>
          <cell r="W1856">
            <v>58000</v>
          </cell>
        </row>
        <row r="1857">
          <cell r="A1857">
            <v>46122</v>
          </cell>
          <cell r="B1857">
            <v>53400</v>
          </cell>
          <cell r="C1857">
            <v>53000</v>
          </cell>
          <cell r="D1857">
            <v>52750</v>
          </cell>
          <cell r="E1857">
            <v>47400</v>
          </cell>
          <cell r="F1857">
            <v>58500</v>
          </cell>
          <cell r="G1857" t="str">
            <v>-</v>
          </cell>
          <cell r="H1857">
            <v>52000</v>
          </cell>
          <cell r="I1857">
            <v>51900</v>
          </cell>
          <cell r="J1857">
            <v>54000</v>
          </cell>
          <cell r="K1857" t="str">
            <v>-</v>
          </cell>
          <cell r="L1857">
            <v>52700</v>
          </cell>
          <cell r="M1857">
            <v>53900</v>
          </cell>
          <cell r="N1857">
            <v>52250</v>
          </cell>
          <cell r="O1857">
            <v>49000</v>
          </cell>
          <cell r="P1857">
            <v>46900</v>
          </cell>
          <cell r="Q1857">
            <v>47400</v>
          </cell>
          <cell r="R1857">
            <v>47700</v>
          </cell>
          <cell r="S1857">
            <v>49300</v>
          </cell>
          <cell r="T1857">
            <v>51500</v>
          </cell>
          <cell r="U1857">
            <v>56000</v>
          </cell>
          <cell r="V1857">
            <v>54800</v>
          </cell>
          <cell r="W1857">
            <v>58000</v>
          </cell>
        </row>
        <row r="1858">
          <cell r="A1858">
            <v>46123</v>
          </cell>
          <cell r="B1858">
            <v>52900</v>
          </cell>
          <cell r="C1858">
            <v>53000</v>
          </cell>
          <cell r="D1858">
            <v>51900</v>
          </cell>
          <cell r="E1858">
            <v>47100</v>
          </cell>
          <cell r="F1858">
            <v>58000</v>
          </cell>
          <cell r="G1858" t="str">
            <v>-</v>
          </cell>
          <cell r="H1858">
            <v>51800</v>
          </cell>
          <cell r="I1858">
            <v>51500</v>
          </cell>
          <cell r="J1858">
            <v>53500</v>
          </cell>
          <cell r="K1858" t="str">
            <v>-</v>
          </cell>
          <cell r="L1858">
            <v>52400</v>
          </cell>
          <cell r="M1858">
            <v>53500</v>
          </cell>
          <cell r="N1858">
            <v>51900</v>
          </cell>
          <cell r="O1858">
            <v>48800</v>
          </cell>
          <cell r="P1858">
            <v>46800</v>
          </cell>
          <cell r="Q1858">
            <v>47400</v>
          </cell>
          <cell r="R1858">
            <v>47700</v>
          </cell>
          <cell r="S1858">
            <v>49000</v>
          </cell>
          <cell r="T1858">
            <v>51400</v>
          </cell>
          <cell r="U1858">
            <v>56000</v>
          </cell>
          <cell r="V1858">
            <v>54800</v>
          </cell>
          <cell r="W1858">
            <v>58000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ritik Kumar" id="{75567FDD-199B-4CEC-BDD4-A9DAA4479C5A}" userId="hritik.kumar@jsw.in" providerId="PeoplePicker"/>
  <person displayName="Hritik Kumar" id="{3D839C95-C954-4A70-811B-2221C5DBC091}" userId="S::hritik.kumar@jsw.in::df1e06b1-ba7d-40f3-b772-ec4c6ffe1914" providerId="AD"/>
  <person displayName="Sanchita Agarwal" id="{78CCE54B-2F48-431C-B3DF-97B5B4888BEB}" userId="S::sanchita.agarwal@jsw.in::213da4e1-3ef3-466c-b286-6fa147418bb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6" dT="2025-05-07T06:20:55.65" personId="{78CCE54B-2F48-431C-B3DF-97B5B4888BEB}" id="{6EE9B625-D50F-4F0C-8AD7-4296D986EF06}">
    <text xml:space="preserve">@Hritik Kumar - pls check. This should be for 550D </text>
    <mentions>
      <mention mentionpersonId="{75567FDD-199B-4CEC-BDD4-A9DAA4479C5A}" mentionId="{E28585DA-536A-45ED-AE59-6CAD2094532A}" startIndex="0" length="13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25" dT="2025-08-04T06:27:56.92" personId="{3D839C95-C954-4A70-811B-2221C5DBC091}" id="{23A97622-1D31-48F1-B6FA-100CAFEFA08B}">
    <text>45300- FE 
550D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25" dT="2025-08-04T06:27:56.92" personId="{3D839C95-C954-4A70-811B-2221C5DBC091}" id="{6F8938BA-D01C-4677-BF2B-0F61FB1C06AB}">
    <text>45300- FE 
550D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I25" dT="2025-08-04T06:27:56.92" personId="{3D839C95-C954-4A70-811B-2221C5DBC091}" id="{AC337F82-3924-4697-84AF-DA1C4B9ADE52}">
    <text>45300- FE 
550D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I25" dT="2025-08-04T06:27:56.92" personId="{3D839C95-C954-4A70-811B-2221C5DBC091}" id="{8EEF0180-9A68-43E6-8585-BA3E80194837}">
    <text>45300- FE 
550D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I25" dT="2025-08-04T06:27:56.92" personId="{3D839C95-C954-4A70-811B-2221C5DBC091}" id="{DDEEFAA0-901F-44A0-A045-EDE646C69871}">
    <text>45300- FE 
550D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I25" dT="2025-08-04T06:27:56.92" personId="{3D839C95-C954-4A70-811B-2221C5DBC091}" id="{92B80573-1FFD-46FE-B2BF-30FBCC6BBF09}">
    <text>45300- FE 
550D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I25" dT="2025-08-04T06:27:56.92" personId="{3D839C95-C954-4A70-811B-2221C5DBC091}" id="{25A831C6-D179-46CA-99F9-78352187C959}">
    <text>45300- FE 
550D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I25" dT="2025-08-04T06:27:56.92" personId="{3D839C95-C954-4A70-811B-2221C5DBC091}" id="{F35AB1C1-8DC9-4393-AE9E-B42F3C8A1DFB}">
    <text>45300- FE 
550D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I25" dT="2025-08-04T06:27:56.92" personId="{3D839C95-C954-4A70-811B-2221C5DBC091}" id="{31DFB81F-4422-4F28-892A-F8D8C3AE1D4E}">
    <text>45300- FE 
550D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I25" dT="2025-08-04T06:27:56.92" personId="{3D839C95-C954-4A70-811B-2221C5DBC091}" id="{983F7C81-019F-4351-B6F6-FFFEF8824FB6}">
    <text>45300- FE 
550D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I25" dT="2025-08-04T06:27:56.92" personId="{3D839C95-C954-4A70-811B-2221C5DBC091}" id="{AF3C85A1-DB8C-4413-AD11-FB156589A50B}">
    <text>45300- FE 
550D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I25" dT="2025-08-04T06:27:56.92" personId="{3D839C95-C954-4A70-811B-2221C5DBC091}" id="{AC07FB91-B046-4462-95DA-8E1AF812D65A}">
    <text>45300- FE 
550D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I25" dT="2025-08-04T06:27:56.92" personId="{3D839C95-C954-4A70-811B-2221C5DBC091}" id="{86DB63E9-D95F-4738-8F3D-6A23FB9B639A}">
    <text>45300- FE 
550D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I28" dT="2025-08-04T06:27:56.92" personId="{3D839C95-C954-4A70-811B-2221C5DBC091}" id="{59840138-08B9-4FC1-AF50-EE19AEE854AF}">
    <text>45300- FE 
550D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I28" dT="2025-08-04T06:27:56.92" personId="{3D839C95-C954-4A70-811B-2221C5DBC091}" id="{45E3999B-F45E-42A0-86DC-6D4219DC82F8}">
    <text>45300- FE 
550D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I28" dT="2025-08-04T06:27:56.92" personId="{3D839C95-C954-4A70-811B-2221C5DBC091}" id="{732A501B-3AE0-4337-8BCB-216ED630C51D}">
    <text>45300- FE 
550D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I29" dT="2025-08-04T06:27:56.92" personId="{3D839C95-C954-4A70-811B-2221C5DBC091}" id="{3524ED63-6E60-4AFC-85BA-975BA4B341D9}">
    <text>45300- FE 
550D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I29" dT="2025-08-04T06:27:56.92" personId="{3D839C95-C954-4A70-811B-2221C5DBC091}" id="{4B6BCB79-64DA-4437-896D-2F4AE7C669DF}">
    <text>45300- FE 
550D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I28" dT="2025-08-04T06:27:56.92" personId="{3D839C95-C954-4A70-811B-2221C5DBC091}" id="{FC78B0A5-A352-459F-B134-1C33F72ABEED}">
    <text>45300- FE 
550D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I28" dT="2025-08-04T06:27:56.92" personId="{3D839C95-C954-4A70-811B-2221C5DBC091}" id="{D1840D84-A73A-42C7-AE28-8ED4776B38DE}">
    <text>45300- FE 
550D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7.xml"/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8.xml"/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9.xml"/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0.xml"/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4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1.xml"/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workbookViewId="0">
      <pane ySplit="2" topLeftCell="K23" activePane="bottomLeft" state="frozen"/>
      <selection pane="bottomLeft" activeCell="K23" sqref="K23"/>
    </sheetView>
  </sheetViews>
  <sheetFormatPr defaultColWidth="15.85546875" defaultRowHeight="15"/>
  <cols>
    <col min="2" max="7" width="10.85546875" customWidth="1"/>
    <col min="8" max="8" width="13.140625" customWidth="1"/>
    <col min="9" max="10" width="10.85546875" customWidth="1"/>
    <col min="11" max="11" width="17.85546875" customWidth="1"/>
    <col min="12" max="17" width="10.85546875" customWidth="1"/>
  </cols>
  <sheetData>
    <row r="1" spans="1:17">
      <c r="A1" s="1"/>
      <c r="B1" s="519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</row>
    <row r="2" spans="1:17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</row>
    <row r="3" spans="1:17">
      <c r="A3" s="5">
        <v>45763</v>
      </c>
      <c r="B3" s="6"/>
      <c r="C3" s="6"/>
      <c r="D3" s="6"/>
      <c r="E3" s="6">
        <v>48700</v>
      </c>
      <c r="F3" s="6"/>
      <c r="G3" s="6"/>
      <c r="H3" s="6"/>
      <c r="I3" s="6">
        <f>_xlfn.XLOOKUP(A3,'steel Mint data'!A:A,'steel Mint data'!I:I)</f>
        <v>47500</v>
      </c>
      <c r="J3" s="6"/>
      <c r="K3" s="6">
        <v>48700</v>
      </c>
      <c r="L3" s="6"/>
      <c r="M3" s="6"/>
      <c r="N3" s="6"/>
      <c r="O3" s="6"/>
      <c r="P3" s="7">
        <v>45800</v>
      </c>
      <c r="Q3" s="6">
        <v>46000</v>
      </c>
    </row>
    <row r="4" spans="1:17">
      <c r="A4" s="5">
        <f>A3+1</f>
        <v>45764</v>
      </c>
      <c r="B4" s="6"/>
      <c r="C4" s="6"/>
      <c r="D4" s="6"/>
      <c r="E4" s="6">
        <v>48600</v>
      </c>
      <c r="F4" s="6"/>
      <c r="G4" s="6"/>
      <c r="H4" s="6"/>
      <c r="I4" s="6">
        <f>_xlfn.XLOOKUP(A4,'steel Mint data'!A:A,'steel Mint data'!I:I)</f>
        <v>47200</v>
      </c>
      <c r="J4" s="6"/>
      <c r="K4" s="6">
        <v>48400</v>
      </c>
      <c r="L4" s="6"/>
      <c r="M4" s="6"/>
      <c r="N4" s="6"/>
      <c r="O4" s="6"/>
      <c r="P4" s="7">
        <v>45400</v>
      </c>
      <c r="Q4" s="6">
        <v>45800</v>
      </c>
    </row>
    <row r="5" spans="1:17">
      <c r="A5" s="5">
        <f t="shared" ref="A5:A15" si="0">A4+1</f>
        <v>45765</v>
      </c>
      <c r="B5" s="6"/>
      <c r="C5" s="6"/>
      <c r="D5" s="6"/>
      <c r="E5" s="6">
        <v>48600</v>
      </c>
      <c r="F5" s="6"/>
      <c r="G5" s="6"/>
      <c r="H5" s="6"/>
      <c r="I5" s="6">
        <f>_xlfn.XLOOKUP(A5,'steel Mint data'!A:A,'steel Mint data'!I:I)</f>
        <v>47000</v>
      </c>
      <c r="J5" s="6"/>
      <c r="K5" s="6">
        <v>48300</v>
      </c>
      <c r="L5" s="6"/>
      <c r="M5" s="6"/>
      <c r="N5" s="6"/>
      <c r="O5" s="6"/>
      <c r="P5" s="7">
        <v>45200</v>
      </c>
      <c r="Q5" s="6">
        <v>45700</v>
      </c>
    </row>
    <row r="6" spans="1:17">
      <c r="A6" s="5">
        <f t="shared" si="0"/>
        <v>45766</v>
      </c>
      <c r="B6" s="8"/>
      <c r="C6" s="6"/>
      <c r="D6" s="6"/>
      <c r="E6" s="9">
        <v>48400</v>
      </c>
      <c r="F6" s="9"/>
      <c r="G6" s="9"/>
      <c r="H6" s="9"/>
      <c r="I6" s="6">
        <f>_xlfn.XLOOKUP(A6,'steel Mint data'!A:A,'steel Mint data'!I:I)</f>
        <v>46800</v>
      </c>
      <c r="J6" s="9"/>
      <c r="K6" s="9">
        <v>48100</v>
      </c>
      <c r="L6" s="9"/>
      <c r="M6" s="9"/>
      <c r="N6" s="9"/>
      <c r="O6" s="9"/>
      <c r="P6" s="10">
        <v>44800</v>
      </c>
      <c r="Q6" s="9">
        <v>45600</v>
      </c>
    </row>
    <row r="7" spans="1:17">
      <c r="A7" s="5">
        <f t="shared" si="0"/>
        <v>45767</v>
      </c>
      <c r="B7" s="6"/>
      <c r="C7" s="6"/>
      <c r="D7" s="7"/>
      <c r="E7" s="11"/>
      <c r="F7" s="11"/>
      <c r="G7" s="11"/>
      <c r="H7" s="11"/>
      <c r="I7" s="6" t="str">
        <f>_xlfn.XLOOKUP(A7,'steel Mint data'!A:A,'steel Mint data'!I:I)</f>
        <v>H</v>
      </c>
      <c r="J7" s="11"/>
      <c r="K7" s="11"/>
      <c r="L7" s="11"/>
      <c r="M7" s="11"/>
      <c r="N7" s="11"/>
      <c r="O7" s="11"/>
      <c r="P7" s="11"/>
      <c r="Q7" s="11"/>
    </row>
    <row r="8" spans="1:17">
      <c r="A8" s="5">
        <f t="shared" si="0"/>
        <v>45768</v>
      </c>
      <c r="B8" s="6"/>
      <c r="C8" s="6"/>
      <c r="D8" s="6"/>
      <c r="E8" s="12">
        <v>47900</v>
      </c>
      <c r="F8" s="12"/>
      <c r="G8" s="12"/>
      <c r="H8" s="12"/>
      <c r="I8" s="6">
        <f>_xlfn.XLOOKUP(A8,'steel Mint data'!A:A,'steel Mint data'!I:I)</f>
        <v>46800</v>
      </c>
      <c r="J8" s="12"/>
      <c r="K8" s="12">
        <v>48000</v>
      </c>
      <c r="L8" s="12"/>
      <c r="M8" s="12"/>
      <c r="N8" s="12"/>
      <c r="O8" s="12"/>
      <c r="P8" s="13">
        <v>44700</v>
      </c>
      <c r="Q8" s="12">
        <v>45500</v>
      </c>
    </row>
    <row r="9" spans="1:17">
      <c r="A9" s="5">
        <f t="shared" si="0"/>
        <v>45769</v>
      </c>
      <c r="B9" s="6"/>
      <c r="C9" s="6"/>
      <c r="D9" s="6"/>
      <c r="E9" s="8">
        <v>48600</v>
      </c>
      <c r="F9" s="6"/>
      <c r="G9" s="6"/>
      <c r="H9" s="6"/>
      <c r="I9" s="6">
        <f>_xlfn.XLOOKUP(A9,'steel Mint data'!A:A,'steel Mint data'!I:I)</f>
        <v>47500</v>
      </c>
      <c r="J9" s="6"/>
      <c r="K9" s="6">
        <v>49000</v>
      </c>
      <c r="L9" s="6"/>
      <c r="M9" s="6"/>
      <c r="N9" s="6"/>
      <c r="O9" s="6"/>
      <c r="P9" s="7">
        <v>45600</v>
      </c>
      <c r="Q9" s="6">
        <v>46300</v>
      </c>
    </row>
    <row r="10" spans="1:17">
      <c r="A10" s="5">
        <f t="shared" si="0"/>
        <v>45770</v>
      </c>
      <c r="B10" s="6"/>
      <c r="C10" s="6"/>
      <c r="D10" s="6"/>
      <c r="E10" s="8">
        <v>48600</v>
      </c>
      <c r="F10" s="6"/>
      <c r="G10" s="6"/>
      <c r="H10" s="6"/>
      <c r="I10" s="6">
        <f>_xlfn.XLOOKUP(A10,'steel Mint data'!A:A,'steel Mint data'!I:I)</f>
        <v>47300</v>
      </c>
      <c r="J10" s="6"/>
      <c r="K10" s="6">
        <v>48900</v>
      </c>
      <c r="L10" s="6"/>
      <c r="M10" s="6"/>
      <c r="N10" s="6"/>
      <c r="O10" s="6"/>
      <c r="P10" s="7">
        <v>45200</v>
      </c>
      <c r="Q10" s="6">
        <v>45700</v>
      </c>
    </row>
    <row r="11" spans="1:17">
      <c r="A11" s="5">
        <f t="shared" si="0"/>
        <v>45771</v>
      </c>
      <c r="B11" s="6"/>
      <c r="C11" s="6"/>
      <c r="D11" s="6"/>
      <c r="E11" s="8">
        <f>_xlfn.XLOOKUP(A11,'steel Mint data'!A:A,'steel Mint data'!D:D,"",0)</f>
        <v>48400</v>
      </c>
      <c r="F11" s="6"/>
      <c r="G11" s="6"/>
      <c r="H11" s="6"/>
      <c r="I11" s="6">
        <f>_xlfn.XLOOKUP(A11,'steel Mint data'!A:A,'steel Mint data'!I:I)</f>
        <v>47300</v>
      </c>
      <c r="J11" s="6"/>
      <c r="K11" s="6">
        <f>_xlfn.XLOOKUP(A11,'steel Mint data'!A:A,'steel Mint data'!L:L,"",0)</f>
        <v>48900</v>
      </c>
      <c r="L11" s="6"/>
      <c r="M11" s="6"/>
      <c r="N11" s="6"/>
      <c r="O11" s="6"/>
      <c r="P11" s="7">
        <f>_xlfn.XLOOKUP(A11,'steel Mint data'!A:A,'steel Mint data'!Q:Q,"",0)</f>
        <v>45200</v>
      </c>
      <c r="Q11" s="6">
        <f>_xlfn.XLOOKUP(A11,'steel Mint data'!A:A,'steel Mint data'!R:R,"",0)</f>
        <v>45500</v>
      </c>
    </row>
    <row r="12" spans="1:17">
      <c r="A12" s="5">
        <f t="shared" si="0"/>
        <v>45772</v>
      </c>
      <c r="B12" s="6"/>
      <c r="C12" s="6"/>
      <c r="D12" s="6"/>
      <c r="E12" s="8">
        <f>_xlfn.XLOOKUP(A12,'steel Mint data'!A:A,'steel Mint data'!D:D,"",0)</f>
        <v>48300</v>
      </c>
      <c r="F12" s="6"/>
      <c r="G12" s="6"/>
      <c r="H12" s="6"/>
      <c r="I12" s="6">
        <f>_xlfn.XLOOKUP(A12,'steel Mint data'!A:A,'steel Mint data'!I:I)</f>
        <v>47000</v>
      </c>
      <c r="J12" s="6"/>
      <c r="K12" s="6">
        <f>_xlfn.XLOOKUP(A12,'steel Mint data'!A:A,'steel Mint data'!L:L,"",0)</f>
        <v>48700</v>
      </c>
      <c r="L12" s="6"/>
      <c r="M12" s="6"/>
      <c r="N12" s="6"/>
      <c r="O12" s="6"/>
      <c r="P12" s="7">
        <f>_xlfn.XLOOKUP(A12,'steel Mint data'!A:A,'steel Mint data'!Q:Q,"",0)</f>
        <v>45000</v>
      </c>
      <c r="Q12" s="6">
        <f>_xlfn.XLOOKUP(A12,'steel Mint data'!A:A,'steel Mint data'!R:R,"",0)</f>
        <v>45500</v>
      </c>
    </row>
    <row r="13" spans="1:17">
      <c r="A13" s="5">
        <f t="shared" si="0"/>
        <v>45773</v>
      </c>
      <c r="B13" s="6"/>
      <c r="C13" s="6"/>
      <c r="D13" s="6"/>
      <c r="E13" s="8">
        <f>_xlfn.XLOOKUP(A13,'steel Mint data'!A:A,'steel Mint data'!D:D,"",0)</f>
        <v>48100</v>
      </c>
      <c r="F13" s="6"/>
      <c r="G13" s="6"/>
      <c r="H13" s="6"/>
      <c r="I13" s="6">
        <f>_xlfn.XLOOKUP(A13,'steel Mint data'!A:A,'steel Mint data'!I:I)</f>
        <v>47000</v>
      </c>
      <c r="J13" s="6"/>
      <c r="K13" s="6">
        <f>_xlfn.XLOOKUP(A13,'steel Mint data'!A:A,'steel Mint data'!L:L,"",0)</f>
        <v>48500</v>
      </c>
      <c r="L13" s="6"/>
      <c r="M13" s="6"/>
      <c r="N13" s="6"/>
      <c r="O13" s="6"/>
      <c r="P13" s="7">
        <f>_xlfn.XLOOKUP(A13,'steel Mint data'!A:A,'steel Mint data'!Q:Q,"",0)</f>
        <v>45000</v>
      </c>
      <c r="Q13" s="6">
        <f>_xlfn.XLOOKUP(A13,'steel Mint data'!A:A,'steel Mint data'!R:R,"",0)</f>
        <v>45300</v>
      </c>
    </row>
    <row r="14" spans="1:17">
      <c r="A14" s="5">
        <f t="shared" si="0"/>
        <v>45774</v>
      </c>
      <c r="B14" s="6"/>
      <c r="C14" s="6"/>
      <c r="D14" s="6"/>
      <c r="E14" s="8" t="str">
        <f>_xlfn.XLOOKUP(A14,'steel Mint data'!A:A,'steel Mint data'!D:D,"",0)</f>
        <v>H</v>
      </c>
      <c r="F14" s="6"/>
      <c r="G14" s="6"/>
      <c r="H14" s="6"/>
      <c r="I14" s="6" t="str">
        <f>_xlfn.XLOOKUP(A14,'steel Mint data'!A:A,'steel Mint data'!I:I)</f>
        <v>H</v>
      </c>
      <c r="J14" s="6"/>
      <c r="K14" s="6" t="str">
        <f>_xlfn.XLOOKUP(A14,'steel Mint data'!A:A,'steel Mint data'!L:L,"",0)</f>
        <v>H</v>
      </c>
      <c r="L14" s="6"/>
      <c r="M14" s="6"/>
      <c r="N14" s="6"/>
      <c r="O14" s="6"/>
      <c r="P14" s="7" t="str">
        <f>_xlfn.XLOOKUP(A14,'steel Mint data'!A:A,'steel Mint data'!Q:Q,"",0)</f>
        <v>H</v>
      </c>
      <c r="Q14" s="6" t="str">
        <f>_xlfn.XLOOKUP(A14,'steel Mint data'!A:A,'steel Mint data'!R:R,"",0)</f>
        <v>H</v>
      </c>
    </row>
    <row r="15" spans="1:17">
      <c r="A15" s="5">
        <f t="shared" si="0"/>
        <v>45775</v>
      </c>
      <c r="B15" s="6"/>
      <c r="C15" s="6"/>
      <c r="D15" s="6"/>
      <c r="E15" s="8">
        <f>_xlfn.XLOOKUP(A15,'steel Mint data'!A:A,'steel Mint data'!D:D,"",0)</f>
        <v>47800</v>
      </c>
      <c r="F15" s="6"/>
      <c r="G15" s="6"/>
      <c r="H15" s="6"/>
      <c r="I15" s="6">
        <f>_xlfn.XLOOKUP(A15,'steel Mint data'!A:A,'steel Mint data'!I:I)</f>
        <v>46500</v>
      </c>
      <c r="J15" s="6"/>
      <c r="K15" s="6">
        <f>_xlfn.XLOOKUP(A15,'steel Mint data'!A:A,'steel Mint data'!L:L,"",0)</f>
        <v>48300</v>
      </c>
      <c r="L15" s="6"/>
      <c r="M15" s="6"/>
      <c r="N15" s="6"/>
      <c r="O15" s="6"/>
      <c r="P15" s="7">
        <f>_xlfn.XLOOKUP(A15,'steel Mint data'!A:A,'steel Mint data'!Q:Q,"",0)</f>
        <v>45000</v>
      </c>
      <c r="Q15" s="6">
        <f>_xlfn.XLOOKUP(A15,'steel Mint data'!A:A,'steel Mint data'!R:R,"",0)</f>
        <v>44900</v>
      </c>
    </row>
    <row r="16" spans="1:17">
      <c r="A16" s="5">
        <f>A15+1</f>
        <v>45776</v>
      </c>
      <c r="B16" s="6"/>
      <c r="C16" s="6"/>
      <c r="D16" s="6"/>
      <c r="E16" s="8">
        <f>_xlfn.XLOOKUP(A16,'steel Mint data'!A:A,'steel Mint data'!D:D,"",0)</f>
        <v>47800</v>
      </c>
      <c r="F16" s="6"/>
      <c r="G16" s="6"/>
      <c r="H16" s="6"/>
      <c r="I16" s="6">
        <f>_xlfn.XLOOKUP(A16,'steel Mint data'!A:A,'steel Mint data'!I:I)</f>
        <v>46500</v>
      </c>
      <c r="J16" s="6"/>
      <c r="K16" s="6">
        <f>_xlfn.XLOOKUP(A16,'steel Mint data'!A:A,'steel Mint data'!L:L,"",0)</f>
        <v>48200</v>
      </c>
      <c r="L16" s="6"/>
      <c r="M16" s="6"/>
      <c r="N16" s="6"/>
      <c r="O16" s="6"/>
      <c r="P16" s="7">
        <f>_xlfn.XLOOKUP(A16,'steel Mint data'!A:A,'steel Mint data'!Q:Q,"",0)</f>
        <v>44800</v>
      </c>
      <c r="Q16" s="6">
        <f>_xlfn.XLOOKUP(A16,'steel Mint data'!A:A,'steel Mint data'!R:R,"",0)</f>
        <v>44900</v>
      </c>
    </row>
    <row r="17" spans="1:17">
      <c r="A17" s="5">
        <f>A16+1</f>
        <v>45777</v>
      </c>
      <c r="B17" s="6"/>
      <c r="C17" s="6"/>
      <c r="D17" s="6"/>
      <c r="E17" s="8">
        <f>_xlfn.XLOOKUP(A17,'steel Mint data'!A:A,'steel Mint data'!D:D,"",0)</f>
        <v>47300</v>
      </c>
      <c r="F17" s="6"/>
      <c r="G17" s="6"/>
      <c r="H17" s="6"/>
      <c r="I17" s="6">
        <f>_xlfn.XLOOKUP(A17,'steel Mint data'!A:A,'steel Mint data'!I:I)</f>
        <v>46200</v>
      </c>
      <c r="J17" s="6"/>
      <c r="K17" s="6">
        <f>_xlfn.XLOOKUP(A17,'steel Mint data'!A:A,'steel Mint data'!L:L,"",0)</f>
        <v>48200</v>
      </c>
      <c r="L17" s="6"/>
      <c r="M17" s="6"/>
      <c r="N17" s="6"/>
      <c r="O17" s="6"/>
      <c r="P17" s="7">
        <f>_xlfn.XLOOKUP(A17,'steel Mint data'!A:A,'steel Mint data'!Q:Q,"",0)</f>
        <v>44500</v>
      </c>
      <c r="Q17" s="6">
        <f>_xlfn.XLOOKUP(A17,'steel Mint data'!A:A,'steel Mint data'!R:R,"",0)</f>
        <v>44700</v>
      </c>
    </row>
    <row r="18" spans="1:17">
      <c r="A18" s="5"/>
      <c r="B18" s="6"/>
      <c r="C18" s="6"/>
      <c r="D18" s="6"/>
      <c r="E18" s="8"/>
      <c r="F18" s="6"/>
      <c r="G18" s="6"/>
      <c r="H18" s="6"/>
      <c r="I18" s="6"/>
      <c r="J18" s="6"/>
      <c r="K18" s="6"/>
      <c r="L18" s="6"/>
      <c r="M18" s="6"/>
      <c r="N18" s="6"/>
      <c r="O18" s="6"/>
      <c r="P18" s="7"/>
      <c r="Q18" s="6"/>
    </row>
    <row r="19" spans="1:17">
      <c r="A19" s="14"/>
      <c r="B19" s="14"/>
      <c r="C19" s="14"/>
      <c r="D19" s="14"/>
      <c r="E19" s="15">
        <f>SUM(E3:E18)</f>
        <v>627100</v>
      </c>
      <c r="F19" s="14"/>
      <c r="G19" s="14"/>
      <c r="H19" s="14"/>
      <c r="I19" s="14"/>
      <c r="J19" s="14"/>
      <c r="K19" s="15">
        <f>SUM(K3:K18)</f>
        <v>630200</v>
      </c>
      <c r="L19" s="14"/>
      <c r="M19" s="14"/>
      <c r="N19" s="14"/>
      <c r="O19" s="14"/>
      <c r="P19" s="15">
        <f>SUM(P3:P18)</f>
        <v>586200</v>
      </c>
      <c r="Q19" s="15">
        <f>SUM(Q3:Q18)</f>
        <v>591400</v>
      </c>
    </row>
    <row r="20" spans="1:17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23</v>
      </c>
      <c r="H20" s="14" t="s">
        <v>24</v>
      </c>
      <c r="I20" s="14"/>
      <c r="J20" s="14"/>
      <c r="K20" s="14"/>
      <c r="L20" s="14"/>
      <c r="M20" s="14"/>
      <c r="N20" s="14"/>
      <c r="O20" s="14"/>
      <c r="P20" s="14"/>
      <c r="Q20" s="14"/>
    </row>
    <row r="21" spans="1:17">
      <c r="A21" s="17" t="s">
        <v>25</v>
      </c>
      <c r="B21" s="18">
        <f>E19/O21</f>
        <v>48238.461538461539</v>
      </c>
      <c r="C21" s="18">
        <f>P19/O21</f>
        <v>45092.307692307695</v>
      </c>
      <c r="D21" s="18">
        <f>K19/O21</f>
        <v>48476.923076923078</v>
      </c>
      <c r="E21" s="18">
        <f>Q19/O21</f>
        <v>45492.307692307695</v>
      </c>
      <c r="F21" s="18">
        <f>C21</f>
        <v>45092.307692307695</v>
      </c>
      <c r="G21" s="18">
        <f>B21-800</f>
        <v>47438.461538461539</v>
      </c>
      <c r="H21" s="14"/>
      <c r="I21" s="19"/>
      <c r="J21" s="14"/>
      <c r="K21" s="19"/>
      <c r="L21" s="14"/>
      <c r="M21" s="14"/>
      <c r="N21" s="14"/>
      <c r="O21" s="20">
        <f>COUNT(P3:P18)</f>
        <v>13</v>
      </c>
      <c r="P21" s="21"/>
      <c r="Q21" s="14"/>
    </row>
    <row r="22" spans="1:17">
      <c r="A22" s="17" t="s">
        <v>26</v>
      </c>
      <c r="B22" s="18">
        <v>1200</v>
      </c>
      <c r="C22" s="18">
        <v>2150</v>
      </c>
      <c r="D22" s="18">
        <v>400</v>
      </c>
      <c r="E22" s="18">
        <v>2200</v>
      </c>
      <c r="F22" s="18">
        <v>1800</v>
      </c>
      <c r="G22" s="18">
        <v>1200</v>
      </c>
      <c r="H22" s="14"/>
      <c r="I22" s="19"/>
      <c r="J22" s="14"/>
      <c r="K22" s="14"/>
      <c r="L22" s="19"/>
      <c r="M22" s="19"/>
      <c r="N22" s="14"/>
      <c r="O22" s="14"/>
      <c r="P22" s="14"/>
      <c r="Q22" s="14"/>
    </row>
    <row r="23" spans="1:17">
      <c r="A23" s="17" t="s">
        <v>27</v>
      </c>
      <c r="B23" s="18">
        <v>200</v>
      </c>
      <c r="C23" s="18">
        <v>265</v>
      </c>
      <c r="D23" s="18">
        <v>250</v>
      </c>
      <c r="E23" s="18">
        <v>275</v>
      </c>
      <c r="F23" s="18">
        <v>275</v>
      </c>
      <c r="G23" s="18">
        <v>200</v>
      </c>
      <c r="H23" s="14"/>
      <c r="I23" s="19"/>
      <c r="J23" s="19"/>
      <c r="K23" s="14"/>
      <c r="L23" s="19"/>
      <c r="M23" s="19"/>
      <c r="N23" s="14"/>
      <c r="O23" s="19"/>
      <c r="P23" s="14"/>
      <c r="Q23" s="14"/>
    </row>
    <row r="24" spans="1:17" ht="37.5">
      <c r="A24" s="22" t="s">
        <v>28</v>
      </c>
      <c r="B24" s="18">
        <f>SUM(B21:B23)</f>
        <v>49638.461538461539</v>
      </c>
      <c r="C24" s="18">
        <f>SUM(C21:C23)</f>
        <v>47507.307692307695</v>
      </c>
      <c r="D24" s="18">
        <f>SUM(D21:D23)</f>
        <v>49126.923076923078</v>
      </c>
      <c r="E24" s="18">
        <f>SUM(E21:E23)</f>
        <v>47967.307692307695</v>
      </c>
      <c r="F24" s="18">
        <f>SUM(F21:F23)</f>
        <v>47167.307692307695</v>
      </c>
      <c r="G24" s="18">
        <f>SUM(G21:G23)</f>
        <v>48838.461538461539</v>
      </c>
      <c r="H24" s="19">
        <v>47217</v>
      </c>
      <c r="I24" s="19"/>
      <c r="J24" s="19"/>
      <c r="K24" s="19">
        <f>52150-C24-1250</f>
        <v>3392.6923076923049</v>
      </c>
      <c r="L24" s="14"/>
      <c r="M24" s="14"/>
      <c r="N24" s="14"/>
      <c r="O24" s="19"/>
      <c r="P24" s="14"/>
      <c r="Q24" s="14"/>
    </row>
    <row r="25" spans="1:17" ht="24.75">
      <c r="A25" s="22" t="s">
        <v>29</v>
      </c>
      <c r="B25" s="18">
        <v>50900</v>
      </c>
      <c r="C25" s="18">
        <v>48415</v>
      </c>
      <c r="D25" s="18">
        <v>49550</v>
      </c>
      <c r="E25" s="23">
        <v>48575</v>
      </c>
      <c r="F25" s="23">
        <v>48575</v>
      </c>
      <c r="G25" s="23">
        <v>50300</v>
      </c>
      <c r="H25" s="19">
        <v>46875</v>
      </c>
      <c r="I25" s="19"/>
      <c r="J25" s="19"/>
      <c r="K25" s="19"/>
      <c r="L25" s="14"/>
      <c r="M25" s="19"/>
      <c r="N25" s="14"/>
      <c r="O25" s="14"/>
      <c r="P25" s="14"/>
      <c r="Q25" s="14"/>
    </row>
    <row r="26" spans="1:17" ht="24.75">
      <c r="A26" s="22" t="s">
        <v>30</v>
      </c>
      <c r="B26" s="18">
        <f>B24-B25</f>
        <v>-1261.538461538461</v>
      </c>
      <c r="C26" s="18">
        <f>C24-C25</f>
        <v>-907.69230769230489</v>
      </c>
      <c r="D26" s="18">
        <f>D24-D25</f>
        <v>-423.07692307692196</v>
      </c>
      <c r="E26" s="18">
        <f>E24-E25</f>
        <v>-607.69230769230489</v>
      </c>
      <c r="F26" s="18">
        <f>F24-F25</f>
        <v>-1407.6923076923049</v>
      </c>
      <c r="G26" s="18">
        <f>G24-G25</f>
        <v>-1461.538461538461</v>
      </c>
      <c r="H26" s="19"/>
      <c r="I26" s="14"/>
      <c r="J26" s="19"/>
      <c r="K26" s="19"/>
      <c r="L26" s="19"/>
      <c r="M26" s="14"/>
      <c r="N26" s="14"/>
      <c r="O26" s="19"/>
      <c r="P26" s="14"/>
      <c r="Q26" s="14"/>
    </row>
    <row r="27" spans="1:17">
      <c r="A27" s="14"/>
      <c r="B27" s="14"/>
      <c r="C27" s="14"/>
      <c r="D27" s="14"/>
      <c r="E27" s="14"/>
      <c r="F27" s="14"/>
      <c r="G27" s="14"/>
      <c r="H27" s="14"/>
      <c r="I27" s="14"/>
      <c r="J27" s="19">
        <f>52500-C24-1250</f>
        <v>3742.6923076923049</v>
      </c>
      <c r="K27" s="14"/>
      <c r="L27" s="24"/>
      <c r="M27" s="24"/>
      <c r="N27" s="24"/>
      <c r="O27" s="24"/>
      <c r="P27" s="14"/>
      <c r="Q27" s="14"/>
    </row>
    <row r="28" spans="1:17">
      <c r="A28" s="22" t="s">
        <v>31</v>
      </c>
      <c r="B28" s="18">
        <v>56400</v>
      </c>
      <c r="C28" s="18">
        <v>53650</v>
      </c>
      <c r="D28" s="18">
        <v>56900</v>
      </c>
      <c r="E28" s="18">
        <v>53650</v>
      </c>
      <c r="F28" s="18">
        <v>53650</v>
      </c>
      <c r="G28" s="18">
        <f>B28-800</f>
        <v>55600</v>
      </c>
      <c r="H28" s="19"/>
      <c r="I28" s="14"/>
      <c r="J28" s="14"/>
      <c r="K28" s="14"/>
      <c r="L28" s="14"/>
      <c r="M28" s="14"/>
      <c r="N28" s="14"/>
      <c r="O28" s="14"/>
      <c r="P28" s="14"/>
      <c r="Q28" s="14"/>
    </row>
    <row r="29" spans="1:17">
      <c r="A29" s="22" t="s">
        <v>32</v>
      </c>
      <c r="B29" s="26">
        <f>B28-2300</f>
        <v>54100</v>
      </c>
      <c r="C29" s="26">
        <f t="shared" ref="C29:G29" si="1">C28-2300</f>
        <v>51350</v>
      </c>
      <c r="D29" s="26">
        <f t="shared" si="1"/>
        <v>54600</v>
      </c>
      <c r="E29" s="26">
        <f t="shared" si="1"/>
        <v>51350</v>
      </c>
      <c r="F29" s="26">
        <f t="shared" si="1"/>
        <v>51350</v>
      </c>
      <c r="G29" s="26">
        <f t="shared" si="1"/>
        <v>53300</v>
      </c>
      <c r="H29" s="19"/>
      <c r="I29" s="14"/>
      <c r="J29" s="14"/>
      <c r="K29" s="19"/>
      <c r="L29" s="24"/>
      <c r="M29" s="14"/>
      <c r="N29" s="14"/>
      <c r="O29" s="14"/>
      <c r="P29" s="14"/>
      <c r="Q29" s="14"/>
    </row>
    <row r="30" spans="1:17">
      <c r="A30" s="25" t="s">
        <v>33</v>
      </c>
      <c r="B30" s="18">
        <f>B29-B24</f>
        <v>4461.538461538461</v>
      </c>
      <c r="C30" s="18">
        <f t="shared" ref="C30:G30" si="2">C29-C24</f>
        <v>3842.6923076923049</v>
      </c>
      <c r="D30" s="18">
        <f t="shared" si="2"/>
        <v>5473.076923076922</v>
      </c>
      <c r="E30" s="18">
        <f t="shared" si="2"/>
        <v>3382.6923076923049</v>
      </c>
      <c r="F30" s="18">
        <f t="shared" si="2"/>
        <v>4182.6923076923049</v>
      </c>
      <c r="G30" s="18">
        <f t="shared" si="2"/>
        <v>4461.538461538461</v>
      </c>
      <c r="H30" s="19"/>
      <c r="I30" s="19">
        <f>54500-G24-1000</f>
        <v>4661.538461538461</v>
      </c>
      <c r="J30" s="14"/>
      <c r="K30" s="14"/>
      <c r="L30" s="24"/>
      <c r="M30" s="14"/>
      <c r="N30" s="14"/>
      <c r="O30" s="19"/>
      <c r="P30" s="14"/>
      <c r="Q30" s="14"/>
    </row>
    <row r="31" spans="1:17">
      <c r="F31" t="s">
        <v>34</v>
      </c>
    </row>
    <row r="32" spans="1:17" ht="29.25">
      <c r="E32" s="32" t="s">
        <v>35</v>
      </c>
      <c r="F32">
        <v>46875</v>
      </c>
    </row>
  </sheetData>
  <mergeCells count="1">
    <mergeCell ref="B1:Q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BFB57-D6F2-4CAE-A598-D6171DA7BC91}">
  <dimension ref="A1:Q41"/>
  <sheetViews>
    <sheetView workbookViewId="0">
      <pane ySplit="2" topLeftCell="I3" activePane="bottomLeft" state="frozen"/>
      <selection pane="bottomLeft" activeCell="I3" sqref="I3"/>
    </sheetView>
  </sheetViews>
  <sheetFormatPr defaultColWidth="15.85546875" defaultRowHeight="15"/>
  <cols>
    <col min="2" max="7" width="10.85546875" customWidth="1"/>
    <col min="8" max="8" width="13.140625" customWidth="1"/>
    <col min="9" max="10" width="10.85546875" customWidth="1"/>
    <col min="11" max="11" width="17.85546875" customWidth="1"/>
    <col min="12" max="17" width="10.85546875" customWidth="1"/>
  </cols>
  <sheetData>
    <row r="1" spans="1:17">
      <c r="A1" s="1"/>
      <c r="B1" s="519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</row>
    <row r="2" spans="1:17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</row>
    <row r="3" spans="1:17">
      <c r="A3" s="5">
        <v>45778</v>
      </c>
      <c r="B3" s="6"/>
      <c r="C3" s="6"/>
      <c r="D3" s="6"/>
      <c r="E3" s="6">
        <f>_xlfn.XLOOKUP(A3,'steel Mint data'!A:A,'steel Mint data'!D:D,"",0)</f>
        <v>47500</v>
      </c>
      <c r="F3" s="6"/>
      <c r="G3" s="6"/>
      <c r="H3" s="6"/>
      <c r="I3" s="6">
        <f>_xlfn.XLOOKUP(A3,'steel Mint data'!A:A,'steel Mint data'!I:I,"",0)</f>
        <v>46200</v>
      </c>
      <c r="J3" s="6"/>
      <c r="K3" s="6">
        <f>_xlfn.XLOOKUP(A3,'steel Mint data'!A:A,'steel Mint data'!L:L,"",0)</f>
        <v>48100</v>
      </c>
      <c r="L3" s="6"/>
      <c r="M3" s="6"/>
      <c r="N3" s="6"/>
      <c r="O3" s="6"/>
      <c r="P3" s="7">
        <f>_xlfn.XLOOKUP(A3,'steel Mint data'!A:A,'steel Mint data'!Q:Q,"",0)</f>
        <v>44500</v>
      </c>
      <c r="Q3" s="6">
        <f>_xlfn.XLOOKUP(A3,'steel Mint data'!A:A,'steel Mint data'!R:R,"",0)</f>
        <v>44600</v>
      </c>
    </row>
    <row r="4" spans="1:17">
      <c r="A4" s="5">
        <f>A3+1</f>
        <v>45779</v>
      </c>
      <c r="B4" s="6"/>
      <c r="C4" s="6"/>
      <c r="D4" s="6"/>
      <c r="E4" s="6">
        <f>_xlfn.XLOOKUP(A4,'steel Mint data'!A:A,'steel Mint data'!D:D,"",0)</f>
        <v>47500</v>
      </c>
      <c r="F4" s="6"/>
      <c r="G4" s="6"/>
      <c r="H4" s="6"/>
      <c r="I4" s="6">
        <f>_xlfn.XLOOKUP(A4,'steel Mint data'!A:A,'steel Mint data'!I:I,"",0)</f>
        <v>46200</v>
      </c>
      <c r="J4" s="6"/>
      <c r="K4" s="6">
        <f>_xlfn.XLOOKUP(A4,'steel Mint data'!A:A,'steel Mint data'!L:L,"",0)</f>
        <v>48000</v>
      </c>
      <c r="L4" s="6"/>
      <c r="M4" s="6"/>
      <c r="N4" s="6"/>
      <c r="O4" s="6"/>
      <c r="P4" s="7">
        <f>_xlfn.XLOOKUP(A4,'steel Mint data'!A:A,'steel Mint data'!Q:Q,"",0)</f>
        <v>44500</v>
      </c>
      <c r="Q4" s="6">
        <f>_xlfn.XLOOKUP(A4,'steel Mint data'!A:A,'steel Mint data'!R:R,"",0)</f>
        <v>44300</v>
      </c>
    </row>
    <row r="5" spans="1:17">
      <c r="A5" s="5">
        <f t="shared" ref="A5:A15" si="0">A4+1</f>
        <v>45780</v>
      </c>
      <c r="B5" s="6"/>
      <c r="C5" s="6"/>
      <c r="D5" s="6"/>
      <c r="E5" s="6">
        <f>_xlfn.XLOOKUP(A5,'steel Mint data'!A:A,'steel Mint data'!D:D,"",0)</f>
        <v>47300</v>
      </c>
      <c r="F5" s="6"/>
      <c r="G5" s="6"/>
      <c r="H5" s="6"/>
      <c r="I5" s="6">
        <f>_xlfn.XLOOKUP(A5,'steel Mint data'!A:A,'steel Mint data'!I:I,"",0)</f>
        <v>46300</v>
      </c>
      <c r="J5" s="6"/>
      <c r="K5" s="6">
        <f>_xlfn.XLOOKUP(A5,'steel Mint data'!A:A,'steel Mint data'!L:L,"",0)</f>
        <v>48000</v>
      </c>
      <c r="L5" s="6"/>
      <c r="M5" s="6"/>
      <c r="N5" s="6"/>
      <c r="O5" s="6"/>
      <c r="P5" s="7">
        <f>_xlfn.XLOOKUP(A5,'steel Mint data'!A:A,'steel Mint data'!Q:Q,"",0)</f>
        <v>44300</v>
      </c>
      <c r="Q5" s="6">
        <f>_xlfn.XLOOKUP(A5,'steel Mint data'!A:A,'steel Mint data'!R:R,"",0)</f>
        <v>44500</v>
      </c>
    </row>
    <row r="6" spans="1:17">
      <c r="A6" s="5">
        <f t="shared" si="0"/>
        <v>45781</v>
      </c>
      <c r="B6" s="8"/>
      <c r="C6" s="6"/>
      <c r="D6" s="6"/>
      <c r="E6" s="6" t="str">
        <f>_xlfn.XLOOKUP(A6,'steel Mint data'!A:A,'steel Mint data'!D:D,"",0)</f>
        <v>H</v>
      </c>
      <c r="F6" s="9"/>
      <c r="G6" s="9"/>
      <c r="H6" s="9"/>
      <c r="I6" s="6" t="str">
        <f>_xlfn.XLOOKUP(A6,'steel Mint data'!A:A,'steel Mint data'!I:I,"",0)</f>
        <v>H</v>
      </c>
      <c r="J6" s="9"/>
      <c r="K6" s="6" t="str">
        <f>_xlfn.XLOOKUP(A6,'steel Mint data'!A:A,'steel Mint data'!L:L,"",0)</f>
        <v>H</v>
      </c>
      <c r="L6" s="9"/>
      <c r="M6" s="9"/>
      <c r="N6" s="9"/>
      <c r="O6" s="9"/>
      <c r="P6" s="7" t="str">
        <f>_xlfn.XLOOKUP(A6,'steel Mint data'!A:A,'steel Mint data'!Q:Q,"",0)</f>
        <v>H</v>
      </c>
      <c r="Q6" s="6" t="str">
        <f>_xlfn.XLOOKUP(A6,'steel Mint data'!A:A,'steel Mint data'!R:R,"",0)</f>
        <v>H</v>
      </c>
    </row>
    <row r="7" spans="1:17">
      <c r="A7" s="5">
        <f t="shared" si="0"/>
        <v>45782</v>
      </c>
      <c r="B7" s="6"/>
      <c r="C7" s="6"/>
      <c r="D7" s="7"/>
      <c r="E7" s="6">
        <f>_xlfn.XLOOKUP(A7,'steel Mint data'!A:A,'steel Mint data'!D:D,"",0)</f>
        <v>47300</v>
      </c>
      <c r="F7" s="11"/>
      <c r="G7" s="11"/>
      <c r="H7" s="11"/>
      <c r="I7" s="6">
        <f>_xlfn.XLOOKUP(A7,'steel Mint data'!A:A,'steel Mint data'!I:I,"",0)</f>
        <v>46400</v>
      </c>
      <c r="J7" s="11"/>
      <c r="K7" s="6">
        <f>_xlfn.XLOOKUP(A7,'steel Mint data'!A:A,'steel Mint data'!L:L,"",0)</f>
        <v>48000</v>
      </c>
      <c r="L7" s="11"/>
      <c r="M7" s="11"/>
      <c r="N7" s="11"/>
      <c r="O7" s="11"/>
      <c r="P7" s="7">
        <f>_xlfn.XLOOKUP(A7,'steel Mint data'!A:A,'steel Mint data'!Q:Q,"",0)</f>
        <v>44400</v>
      </c>
      <c r="Q7" s="6">
        <f>_xlfn.XLOOKUP(A7,'steel Mint data'!A:A,'steel Mint data'!R:R,"",0)</f>
        <v>44500</v>
      </c>
    </row>
    <row r="8" spans="1:17">
      <c r="A8" s="5">
        <f t="shared" si="0"/>
        <v>45783</v>
      </c>
      <c r="B8" s="6"/>
      <c r="C8" s="6"/>
      <c r="D8" s="6"/>
      <c r="E8" s="6">
        <f>_xlfn.XLOOKUP(A8,'steel Mint data'!A:A,'steel Mint data'!D:D,"",0)</f>
        <v>47200</v>
      </c>
      <c r="F8" s="12"/>
      <c r="G8" s="12"/>
      <c r="H8" s="12"/>
      <c r="I8" s="6">
        <f>_xlfn.XLOOKUP(A8,'steel Mint data'!A:A,'steel Mint data'!I:I,"",0)</f>
        <v>46300</v>
      </c>
      <c r="J8" s="12"/>
      <c r="K8" s="6">
        <f>_xlfn.XLOOKUP(A8,'steel Mint data'!A:A,'steel Mint data'!L:L,"",0)</f>
        <v>48000</v>
      </c>
      <c r="L8" s="12"/>
      <c r="M8" s="12"/>
      <c r="N8" s="12"/>
      <c r="O8" s="12"/>
      <c r="P8" s="7">
        <f>_xlfn.XLOOKUP(A8,'steel Mint data'!A:A,'steel Mint data'!Q:Q,"",0)</f>
        <v>44300</v>
      </c>
      <c r="Q8" s="6">
        <f>_xlfn.XLOOKUP(A8,'steel Mint data'!A:A,'steel Mint data'!R:R,"",0)</f>
        <v>44300</v>
      </c>
    </row>
    <row r="9" spans="1:17">
      <c r="A9" s="5">
        <f t="shared" si="0"/>
        <v>45784</v>
      </c>
      <c r="B9" s="6"/>
      <c r="C9" s="6"/>
      <c r="D9" s="6"/>
      <c r="E9" s="6">
        <f>_xlfn.XLOOKUP(A9,'steel Mint data'!A:A,'steel Mint data'!D:D,"",0)</f>
        <v>47000</v>
      </c>
      <c r="F9" s="6"/>
      <c r="G9" s="6"/>
      <c r="H9" s="6"/>
      <c r="I9" s="6">
        <f>_xlfn.XLOOKUP(A9,'steel Mint data'!A:A,'steel Mint data'!I:I,"",0)</f>
        <v>46000</v>
      </c>
      <c r="J9" s="6"/>
      <c r="K9" s="6">
        <f>_xlfn.XLOOKUP(A9,'steel Mint data'!A:A,'steel Mint data'!L:L,"",0)</f>
        <v>47700</v>
      </c>
      <c r="L9" s="6"/>
      <c r="M9" s="6"/>
      <c r="N9" s="6"/>
      <c r="O9" s="6"/>
      <c r="P9" s="7">
        <f>_xlfn.XLOOKUP(A9,'steel Mint data'!A:A,'steel Mint data'!Q:Q,"",0)</f>
        <v>44200</v>
      </c>
      <c r="Q9" s="6">
        <f>_xlfn.XLOOKUP(A9,'steel Mint data'!A:A,'steel Mint data'!R:R,"",0)</f>
        <v>44200</v>
      </c>
    </row>
    <row r="10" spans="1:17">
      <c r="A10" s="5">
        <f t="shared" si="0"/>
        <v>45785</v>
      </c>
      <c r="B10" s="6"/>
      <c r="C10" s="6"/>
      <c r="D10" s="6"/>
      <c r="E10" s="6">
        <f>_xlfn.XLOOKUP(A10,'steel Mint data'!A:A,'steel Mint data'!D:D,"",0)</f>
        <v>47000</v>
      </c>
      <c r="F10" s="6"/>
      <c r="G10" s="6"/>
      <c r="H10" s="6"/>
      <c r="I10" s="6">
        <f>_xlfn.XLOOKUP(A10,'steel Mint data'!A:A,'steel Mint data'!I:I,"",0)</f>
        <v>46000</v>
      </c>
      <c r="J10" s="6"/>
      <c r="K10" s="6">
        <f>_xlfn.XLOOKUP(A10,'steel Mint data'!A:A,'steel Mint data'!L:L,"",0)</f>
        <v>47700</v>
      </c>
      <c r="L10" s="6"/>
      <c r="M10" s="6"/>
      <c r="N10" s="6"/>
      <c r="O10" s="6"/>
      <c r="P10" s="7">
        <f>_xlfn.XLOOKUP(A10,'steel Mint data'!A:A,'steel Mint data'!Q:Q,"",0)</f>
        <v>44100</v>
      </c>
      <c r="Q10" s="6">
        <f>_xlfn.XLOOKUP(A10,'steel Mint data'!A:A,'steel Mint data'!R:R,"",0)</f>
        <v>44000</v>
      </c>
    </row>
    <row r="11" spans="1:17">
      <c r="A11" s="5">
        <f t="shared" si="0"/>
        <v>45786</v>
      </c>
      <c r="B11" s="6"/>
      <c r="C11" s="6"/>
      <c r="D11" s="6"/>
      <c r="E11" s="6">
        <f>_xlfn.XLOOKUP(A11,'steel Mint data'!A:A,'steel Mint data'!D:D,"",0)</f>
        <v>47000</v>
      </c>
      <c r="F11" s="6"/>
      <c r="G11" s="6"/>
      <c r="H11" s="6"/>
      <c r="I11" s="6">
        <f>_xlfn.XLOOKUP(A11,'steel Mint data'!A:A,'steel Mint data'!I:I,"",0)</f>
        <v>46000</v>
      </c>
      <c r="J11" s="6"/>
      <c r="K11" s="6">
        <f>_xlfn.XLOOKUP(A11,'steel Mint data'!A:A,'steel Mint data'!L:L,"",0)</f>
        <v>47700</v>
      </c>
      <c r="L11" s="6"/>
      <c r="M11" s="6"/>
      <c r="N11" s="6"/>
      <c r="O11" s="6"/>
      <c r="P11" s="7">
        <f>_xlfn.XLOOKUP(A11,'steel Mint data'!A:A,'steel Mint data'!Q:Q,"",0)</f>
        <v>43900</v>
      </c>
      <c r="Q11" s="6">
        <f>_xlfn.XLOOKUP(A11,'steel Mint data'!A:A,'steel Mint data'!R:R,"",0)</f>
        <v>44000</v>
      </c>
    </row>
    <row r="12" spans="1:17">
      <c r="A12" s="5">
        <f t="shared" si="0"/>
        <v>45787</v>
      </c>
      <c r="B12" s="6"/>
      <c r="C12" s="6"/>
      <c r="D12" s="6"/>
      <c r="E12" s="6">
        <f>_xlfn.XLOOKUP(A12,'steel Mint data'!A:A,'steel Mint data'!D:D,"",0)</f>
        <v>47000</v>
      </c>
      <c r="F12" s="6"/>
      <c r="G12" s="6"/>
      <c r="H12" s="6"/>
      <c r="I12" s="6">
        <f>_xlfn.XLOOKUP(A12,'steel Mint data'!A:A,'steel Mint data'!I:I,"",0)</f>
        <v>45900</v>
      </c>
      <c r="J12" s="6"/>
      <c r="K12" s="6">
        <f>_xlfn.XLOOKUP(A12,'steel Mint data'!A:A,'steel Mint data'!L:L,"",0)</f>
        <v>47600</v>
      </c>
      <c r="L12" s="6"/>
      <c r="M12" s="6"/>
      <c r="N12" s="6"/>
      <c r="O12" s="6"/>
      <c r="P12" s="7">
        <f>_xlfn.XLOOKUP(A12,'steel Mint data'!A:A,'steel Mint data'!Q:Q,"",0)</f>
        <v>43800</v>
      </c>
      <c r="Q12" s="6">
        <f>_xlfn.XLOOKUP(A12,'steel Mint data'!A:A,'steel Mint data'!R:R,"",0)</f>
        <v>43800</v>
      </c>
    </row>
    <row r="13" spans="1:17">
      <c r="A13" s="5">
        <f t="shared" si="0"/>
        <v>45788</v>
      </c>
      <c r="B13" s="6"/>
      <c r="C13" s="6"/>
      <c r="D13" s="6"/>
      <c r="E13" s="6" t="str">
        <f>_xlfn.XLOOKUP(A13,'steel Mint data'!A:A,'steel Mint data'!D:D,"",0)</f>
        <v>H</v>
      </c>
      <c r="F13" s="6"/>
      <c r="G13" s="6"/>
      <c r="H13" s="6"/>
      <c r="I13" s="6" t="str">
        <f>_xlfn.XLOOKUP(A13,'steel Mint data'!A:A,'steel Mint data'!I:I,"",0)</f>
        <v>H</v>
      </c>
      <c r="J13" s="6"/>
      <c r="K13" s="6" t="str">
        <f>_xlfn.XLOOKUP(A13,'steel Mint data'!A:A,'steel Mint data'!L:L,"",0)</f>
        <v>H</v>
      </c>
      <c r="L13" s="6"/>
      <c r="M13" s="6"/>
      <c r="N13" s="6"/>
      <c r="O13" s="6"/>
      <c r="P13" s="7" t="str">
        <f>_xlfn.XLOOKUP(A13,'steel Mint data'!A:A,'steel Mint data'!Q:Q,"",0)</f>
        <v>H</v>
      </c>
      <c r="Q13" s="6" t="str">
        <f>_xlfn.XLOOKUP(A13,'steel Mint data'!A:A,'steel Mint data'!R:R,"",0)</f>
        <v>H</v>
      </c>
    </row>
    <row r="14" spans="1:17">
      <c r="A14" s="5">
        <f t="shared" si="0"/>
        <v>45789</v>
      </c>
      <c r="B14" s="6"/>
      <c r="C14" s="6"/>
      <c r="D14" s="6"/>
      <c r="E14" s="6">
        <f>_xlfn.XLOOKUP(A14,'steel Mint data'!A:A,'steel Mint data'!D:D,"",0)</f>
        <v>47300</v>
      </c>
      <c r="F14" s="6"/>
      <c r="G14" s="6"/>
      <c r="H14" s="6"/>
      <c r="I14" s="6">
        <f>_xlfn.XLOOKUP(A14,'steel Mint data'!A:A,'steel Mint data'!I:I,"",0)</f>
        <v>46100</v>
      </c>
      <c r="J14" s="6"/>
      <c r="K14" s="6">
        <f>_xlfn.XLOOKUP(A14,'steel Mint data'!A:A,'steel Mint data'!L:L,"",0)</f>
        <v>47800</v>
      </c>
      <c r="L14" s="6"/>
      <c r="M14" s="6"/>
      <c r="N14" s="6"/>
      <c r="O14" s="6"/>
      <c r="P14" s="7">
        <f>_xlfn.XLOOKUP(A14,'steel Mint data'!A:A,'steel Mint data'!Q:Q,"",0)</f>
        <v>44100</v>
      </c>
      <c r="Q14" s="6">
        <f>_xlfn.XLOOKUP(A14,'steel Mint data'!A:A,'steel Mint data'!R:R,"",0)</f>
        <v>44100</v>
      </c>
    </row>
    <row r="15" spans="1:17">
      <c r="A15" s="5">
        <f t="shared" si="0"/>
        <v>45790</v>
      </c>
      <c r="B15" s="6"/>
      <c r="C15" s="6"/>
      <c r="D15" s="6"/>
      <c r="E15" s="6">
        <f>_xlfn.XLOOKUP(A15,'steel Mint data'!A:A,'steel Mint data'!D:D,"",0)</f>
        <v>47400</v>
      </c>
      <c r="F15" s="6"/>
      <c r="G15" s="6"/>
      <c r="H15" s="6"/>
      <c r="I15" s="6">
        <f>_xlfn.XLOOKUP(A15,'steel Mint data'!A:A,'steel Mint data'!I:I,"",0)</f>
        <v>45800</v>
      </c>
      <c r="J15" s="6"/>
      <c r="K15" s="6">
        <f>_xlfn.XLOOKUP(A15,'steel Mint data'!A:A,'steel Mint data'!L:L,"",0)</f>
        <v>47700</v>
      </c>
      <c r="L15" s="6"/>
      <c r="M15" s="6"/>
      <c r="N15" s="6"/>
      <c r="O15" s="6"/>
      <c r="P15" s="7">
        <f>_xlfn.XLOOKUP(A15,'steel Mint data'!A:A,'steel Mint data'!Q:Q,"",0)</f>
        <v>43900</v>
      </c>
      <c r="Q15" s="6">
        <f>_xlfn.XLOOKUP(A15,'steel Mint data'!A:A,'steel Mint data'!R:R,"",0)</f>
        <v>43800</v>
      </c>
    </row>
    <row r="16" spans="1:17">
      <c r="A16" s="5">
        <f>A15+1</f>
        <v>45791</v>
      </c>
      <c r="B16" s="6"/>
      <c r="C16" s="6"/>
      <c r="D16" s="6"/>
      <c r="E16" s="6">
        <f>_xlfn.XLOOKUP(A16,'steel Mint data'!A:A,'steel Mint data'!D:D,"",0)</f>
        <v>47400</v>
      </c>
      <c r="F16" s="6"/>
      <c r="G16" s="6"/>
      <c r="H16" s="6"/>
      <c r="I16" s="6">
        <f>_xlfn.XLOOKUP(A16,'steel Mint data'!A:A,'steel Mint data'!I:I,"",0)</f>
        <v>45800</v>
      </c>
      <c r="J16" s="6"/>
      <c r="K16" s="6">
        <f>_xlfn.XLOOKUP(A16,'steel Mint data'!A:A,'steel Mint data'!L:L,"",0)</f>
        <v>47500</v>
      </c>
      <c r="L16" s="6"/>
      <c r="M16" s="6"/>
      <c r="N16" s="6"/>
      <c r="O16" s="6"/>
      <c r="P16" s="7">
        <f>_xlfn.XLOOKUP(A16,'steel Mint data'!A:A,'steel Mint data'!Q:Q,"",0)</f>
        <v>43700</v>
      </c>
      <c r="Q16" s="6">
        <f>_xlfn.XLOOKUP(A16,'steel Mint data'!A:A,'steel Mint data'!R:R,"",0)</f>
        <v>43700</v>
      </c>
    </row>
    <row r="17" spans="1:17">
      <c r="A17" s="5">
        <f>A16+1</f>
        <v>45792</v>
      </c>
      <c r="B17" s="6"/>
      <c r="C17" s="6"/>
      <c r="D17" s="6"/>
      <c r="E17" s="6">
        <f>_xlfn.XLOOKUP(A17,'steel Mint data'!A:A,'steel Mint data'!D:D,"",0)</f>
        <v>47200</v>
      </c>
      <c r="F17" s="6"/>
      <c r="G17" s="6"/>
      <c r="H17" s="6"/>
      <c r="I17" s="6">
        <f>_xlfn.XLOOKUP(A17,'steel Mint data'!A:A,'steel Mint data'!I:I,"",0)</f>
        <v>45600</v>
      </c>
      <c r="J17" s="6"/>
      <c r="K17" s="6">
        <f>_xlfn.XLOOKUP(A17,'steel Mint data'!A:A,'steel Mint data'!L:L,"",0)</f>
        <v>47500</v>
      </c>
      <c r="L17" s="6"/>
      <c r="M17" s="6"/>
      <c r="N17" s="6"/>
      <c r="O17" s="6"/>
      <c r="P17" s="7">
        <f>_xlfn.XLOOKUP(A17,'steel Mint data'!A:A,'steel Mint data'!Q:Q,"",0)</f>
        <v>43500</v>
      </c>
      <c r="Q17" s="6">
        <f>_xlfn.XLOOKUP(A17,'steel Mint data'!A:A,'steel Mint data'!R:R,"",0)</f>
        <v>43700</v>
      </c>
    </row>
    <row r="18" spans="1:17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7"/>
      <c r="Q18" s="6"/>
    </row>
    <row r="19" spans="1:17">
      <c r="A19" s="14"/>
      <c r="B19" s="14"/>
      <c r="C19" s="14"/>
      <c r="D19" s="14"/>
      <c r="E19" s="15">
        <f>SUM(E3:E18)</f>
        <v>614100</v>
      </c>
      <c r="F19" s="14"/>
      <c r="G19" s="14"/>
      <c r="H19" s="14"/>
      <c r="I19" s="14"/>
      <c r="J19" s="14"/>
      <c r="K19" s="15">
        <f>SUM(K3:K18)</f>
        <v>621300</v>
      </c>
      <c r="L19" s="14"/>
      <c r="M19" s="14"/>
      <c r="N19" s="14"/>
      <c r="O19" s="14"/>
      <c r="P19" s="15">
        <f>SUM(P3:P18)</f>
        <v>573200</v>
      </c>
      <c r="Q19" s="15">
        <f>SUM(Q3:Q18)</f>
        <v>573500</v>
      </c>
    </row>
    <row r="20" spans="1:17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23</v>
      </c>
      <c r="H20" s="19"/>
      <c r="I20" s="14"/>
      <c r="J20" s="14"/>
      <c r="K20" s="14"/>
      <c r="L20" s="14"/>
      <c r="M20" s="14"/>
      <c r="N20" s="14"/>
      <c r="O20" s="14"/>
      <c r="P20" s="14"/>
      <c r="Q20" s="14"/>
    </row>
    <row r="21" spans="1:17">
      <c r="A21" s="17" t="s">
        <v>25</v>
      </c>
      <c r="B21" s="18">
        <f>E19/O21</f>
        <v>47238.461538461539</v>
      </c>
      <c r="C21" s="18">
        <f>P19/O21</f>
        <v>44092.307692307695</v>
      </c>
      <c r="D21" s="18">
        <f>K19/O21</f>
        <v>47792.307692307695</v>
      </c>
      <c r="E21" s="18">
        <f>Q19/O21</f>
        <v>44115.384615384617</v>
      </c>
      <c r="F21" s="18">
        <f>C21</f>
        <v>44092.307692307695</v>
      </c>
      <c r="G21" s="18">
        <f>B21-800</f>
        <v>46438.461538461539</v>
      </c>
      <c r="H21" s="14"/>
      <c r="I21" s="19"/>
      <c r="J21" s="14"/>
      <c r="K21" s="19"/>
      <c r="L21" s="14"/>
      <c r="M21" s="14"/>
      <c r="N21" s="14"/>
      <c r="O21" s="20">
        <f>COUNT(P3:P17)</f>
        <v>13</v>
      </c>
      <c r="P21" s="21"/>
      <c r="Q21" s="14"/>
    </row>
    <row r="22" spans="1:17">
      <c r="A22" s="17" t="s">
        <v>26</v>
      </c>
      <c r="B22" s="18">
        <v>1200</v>
      </c>
      <c r="C22" s="18">
        <v>2150</v>
      </c>
      <c r="D22" s="18">
        <v>400</v>
      </c>
      <c r="E22" s="18">
        <v>2200</v>
      </c>
      <c r="F22" s="18">
        <v>1800</v>
      </c>
      <c r="G22" s="18">
        <v>1200</v>
      </c>
      <c r="H22" s="14"/>
      <c r="I22" s="19">
        <f>55000-1500-1000-G24</f>
        <v>4661.538461538461</v>
      </c>
      <c r="J22" s="14"/>
      <c r="K22" s="19"/>
      <c r="L22" s="19">
        <f>54500-3500-C24</f>
        <v>4492.6923076923049</v>
      </c>
      <c r="M22" s="19"/>
      <c r="N22" s="14"/>
      <c r="O22" s="14"/>
      <c r="P22" s="14"/>
      <c r="Q22" s="14"/>
    </row>
    <row r="23" spans="1:17">
      <c r="A23" s="17" t="s">
        <v>27</v>
      </c>
      <c r="B23" s="18">
        <v>200</v>
      </c>
      <c r="C23" s="18">
        <v>265</v>
      </c>
      <c r="D23" s="18">
        <v>250</v>
      </c>
      <c r="E23" s="18">
        <v>275</v>
      </c>
      <c r="F23" s="18">
        <v>275</v>
      </c>
      <c r="G23" s="18">
        <v>200</v>
      </c>
      <c r="H23" s="14"/>
      <c r="I23" s="19"/>
      <c r="J23" s="19">
        <f>C24-G24</f>
        <v>-1331.1538461538439</v>
      </c>
      <c r="K23" s="19">
        <f>53500-G24-1000</f>
        <v>4661.538461538461</v>
      </c>
      <c r="L23" s="19"/>
      <c r="M23" s="19"/>
      <c r="N23" s="14"/>
      <c r="O23" s="19"/>
      <c r="P23" s="14"/>
      <c r="Q23" s="14"/>
    </row>
    <row r="24" spans="1:17" ht="37.5">
      <c r="A24" s="22" t="s">
        <v>28</v>
      </c>
      <c r="B24" s="18">
        <f>SUM(B21:B23)</f>
        <v>48638.461538461539</v>
      </c>
      <c r="C24" s="18">
        <f>SUM(C21:C23)</f>
        <v>46507.307692307695</v>
      </c>
      <c r="D24" s="18">
        <f>SUM(D21:D23)</f>
        <v>48442.307692307695</v>
      </c>
      <c r="E24" s="18">
        <f>SUM(E21:E23)</f>
        <v>46590.384615384617</v>
      </c>
      <c r="F24" s="18">
        <f>SUM(F21:F23)</f>
        <v>46167.307692307695</v>
      </c>
      <c r="G24" s="18">
        <f>SUM(G21:G23)</f>
        <v>47838.461538461539</v>
      </c>
      <c r="H24" s="19">
        <f>54500-2000-1000-G24</f>
        <v>3661.538461538461</v>
      </c>
      <c r="I24" s="19">
        <v>13</v>
      </c>
      <c r="J24" s="19"/>
      <c r="K24" s="19">
        <f>53500-G25-1000</f>
        <v>4100</v>
      </c>
      <c r="L24" s="14"/>
      <c r="M24" s="19">
        <f>52300-B24</f>
        <v>3661.538461538461</v>
      </c>
      <c r="N24" s="14"/>
      <c r="O24" s="19">
        <f>G24+3500+1000</f>
        <v>52338.461538461539</v>
      </c>
      <c r="P24" s="19">
        <f>52900-B24</f>
        <v>4261.538461538461</v>
      </c>
      <c r="Q24" s="14"/>
    </row>
    <row r="25" spans="1:17" ht="24.75">
      <c r="A25" s="22" t="s">
        <v>29</v>
      </c>
      <c r="B25" s="18">
        <v>49200</v>
      </c>
      <c r="C25" s="18">
        <v>47415</v>
      </c>
      <c r="D25" s="18">
        <v>48950</v>
      </c>
      <c r="E25" s="23">
        <v>47375</v>
      </c>
      <c r="F25" s="23">
        <v>47075</v>
      </c>
      <c r="G25" s="23">
        <v>48400</v>
      </c>
      <c r="H25" s="19">
        <v>32</v>
      </c>
      <c r="I25" s="19">
        <v>22</v>
      </c>
      <c r="J25" s="34">
        <f>I25/45</f>
        <v>0.48888888888888887</v>
      </c>
      <c r="K25" s="19">
        <f>1500*J25</f>
        <v>733.33333333333326</v>
      </c>
      <c r="L25" s="14"/>
      <c r="M25" s="19">
        <f>52300-B25</f>
        <v>3100</v>
      </c>
      <c r="N25" s="14"/>
      <c r="O25" s="14"/>
      <c r="P25" s="19">
        <f>52900-B25</f>
        <v>3700</v>
      </c>
      <c r="Q25" s="14"/>
    </row>
    <row r="26" spans="1:17" ht="24.75">
      <c r="A26" s="22" t="s">
        <v>30</v>
      </c>
      <c r="B26" s="18">
        <f>B24-B25</f>
        <v>-561.53846153846098</v>
      </c>
      <c r="C26" s="18">
        <f>C24-C25</f>
        <v>-907.69230769230489</v>
      </c>
      <c r="D26" s="18">
        <f>D24-D25</f>
        <v>-507.69230769230489</v>
      </c>
      <c r="E26" s="18">
        <f>E24-E25</f>
        <v>-784.61538461538294</v>
      </c>
      <c r="F26" s="18">
        <f>F24-F25</f>
        <v>-907.69230769230489</v>
      </c>
      <c r="G26" s="18">
        <f>G24-G25</f>
        <v>-561.53846153846098</v>
      </c>
      <c r="H26" s="19"/>
      <c r="I26" s="14"/>
      <c r="J26" s="19"/>
      <c r="K26" s="19"/>
      <c r="L26" s="19"/>
      <c r="M26" s="19"/>
      <c r="N26" s="14"/>
      <c r="O26" s="19"/>
      <c r="P26" s="14"/>
      <c r="Q26" s="14"/>
    </row>
    <row r="27" spans="1:17">
      <c r="A27" s="14"/>
      <c r="B27" s="14"/>
      <c r="C27" s="14"/>
      <c r="D27" s="14"/>
      <c r="E27" s="14"/>
      <c r="F27" s="14"/>
      <c r="G27" s="14"/>
      <c r="H27" s="19"/>
      <c r="I27" s="14"/>
      <c r="J27" s="19"/>
      <c r="K27" s="14"/>
      <c r="L27" s="24">
        <f>53500</f>
        <v>53500</v>
      </c>
      <c r="M27" s="24"/>
      <c r="N27" s="24">
        <v>53750</v>
      </c>
      <c r="O27" s="24"/>
      <c r="P27" s="14"/>
      <c r="Q27" s="14"/>
    </row>
    <row r="28" spans="1:17">
      <c r="A28" s="22" t="s">
        <v>31</v>
      </c>
      <c r="B28" s="18">
        <v>56400</v>
      </c>
      <c r="C28" s="18">
        <v>53650</v>
      </c>
      <c r="D28" s="18">
        <v>56900</v>
      </c>
      <c r="E28" s="18">
        <v>53650</v>
      </c>
      <c r="F28" s="18">
        <v>53650</v>
      </c>
      <c r="G28" s="18">
        <f>B28-800</f>
        <v>55600</v>
      </c>
      <c r="H28" s="19"/>
      <c r="I28" s="19"/>
      <c r="J28" s="14"/>
      <c r="K28" s="14"/>
      <c r="L28" s="19">
        <v>1315</v>
      </c>
      <c r="M28" s="14"/>
      <c r="N28" s="19">
        <f>53750-B24</f>
        <v>5111.538461538461</v>
      </c>
      <c r="O28" s="14"/>
      <c r="P28" s="14"/>
      <c r="Q28" s="14"/>
    </row>
    <row r="29" spans="1:17">
      <c r="A29" s="22" t="s">
        <v>32</v>
      </c>
      <c r="B29" s="26">
        <f>B28-2300</f>
        <v>54100</v>
      </c>
      <c r="C29" s="26">
        <f t="shared" ref="C29:G29" si="1">C28-2300</f>
        <v>51350</v>
      </c>
      <c r="D29" s="26">
        <f t="shared" si="1"/>
        <v>54600</v>
      </c>
      <c r="E29" s="26">
        <f t="shared" si="1"/>
        <v>51350</v>
      </c>
      <c r="F29" s="26">
        <f t="shared" si="1"/>
        <v>51350</v>
      </c>
      <c r="G29" s="26">
        <f t="shared" si="1"/>
        <v>53300</v>
      </c>
      <c r="H29" s="19"/>
      <c r="I29" s="19"/>
      <c r="J29" s="14">
        <f>55500</f>
        <v>55500</v>
      </c>
      <c r="K29" s="19"/>
      <c r="L29" s="24">
        <v>52500</v>
      </c>
      <c r="M29" s="14"/>
      <c r="N29" s="19">
        <f>53750-B25</f>
        <v>4550</v>
      </c>
      <c r="O29" s="14"/>
      <c r="P29" s="14"/>
      <c r="Q29" s="14"/>
    </row>
    <row r="30" spans="1:17">
      <c r="A30" s="25" t="s">
        <v>33</v>
      </c>
      <c r="B30" s="18">
        <f>B29-B24</f>
        <v>5461.538461538461</v>
      </c>
      <c r="C30" s="18">
        <f t="shared" ref="C30:G30" si="2">C29-C24</f>
        <v>4842.6923076923049</v>
      </c>
      <c r="D30" s="18">
        <f t="shared" si="2"/>
        <v>6157.6923076923049</v>
      </c>
      <c r="E30" s="18">
        <f t="shared" si="2"/>
        <v>4759.6153846153829</v>
      </c>
      <c r="F30" s="18">
        <f t="shared" si="2"/>
        <v>5182.6923076923049</v>
      </c>
      <c r="G30" s="18">
        <f t="shared" si="2"/>
        <v>5461.538461538461</v>
      </c>
      <c r="H30" s="19"/>
      <c r="I30" s="19">
        <f>C24+1250+2500</f>
        <v>50257.307692307695</v>
      </c>
      <c r="J30" s="14">
        <v>800</v>
      </c>
      <c r="K30" s="14"/>
      <c r="L30" s="24">
        <f>L29-B24</f>
        <v>3861.538461538461</v>
      </c>
      <c r="M30" s="14"/>
      <c r="N30" s="14"/>
      <c r="O30" s="19"/>
      <c r="P30" s="14"/>
      <c r="Q30" s="14"/>
    </row>
    <row r="31" spans="1:17">
      <c r="F31" t="s">
        <v>34</v>
      </c>
      <c r="I31" s="33"/>
      <c r="L31" s="33">
        <f>L29-B25</f>
        <v>3300</v>
      </c>
    </row>
    <row r="32" spans="1:17" ht="29.25">
      <c r="B32" s="33">
        <f>54400-D24-1000</f>
        <v>4957.6923076923049</v>
      </c>
      <c r="E32" s="32" t="s">
        <v>35</v>
      </c>
      <c r="F32">
        <v>46875</v>
      </c>
      <c r="J32">
        <v>52500</v>
      </c>
      <c r="P32" s="33">
        <f>53700-1050-D24</f>
        <v>4207.6923076923049</v>
      </c>
    </row>
    <row r="33" spans="1:13">
      <c r="J33" s="33">
        <f>J32-D24-1000</f>
        <v>3057.6923076923049</v>
      </c>
    </row>
    <row r="34" spans="1:13">
      <c r="D34">
        <v>51300</v>
      </c>
      <c r="H34">
        <f>53500-1250</f>
        <v>52250</v>
      </c>
      <c r="J34" s="33">
        <f>J32-D25-1000</f>
        <v>2550</v>
      </c>
      <c r="K34" s="33">
        <f>54500-2000-1000-G24</f>
        <v>3661.538461538461</v>
      </c>
      <c r="M34">
        <f>53000-1200</f>
        <v>51800</v>
      </c>
    </row>
    <row r="35" spans="1:13">
      <c r="D35" s="33">
        <f>D34-C24-1250</f>
        <v>3542.6923076923049</v>
      </c>
      <c r="F35" s="33">
        <f>51800-B24</f>
        <v>3161.538461538461</v>
      </c>
      <c r="H35" s="33">
        <f>52250-1000-G24</f>
        <v>3411.538461538461</v>
      </c>
    </row>
    <row r="36" spans="1:13">
      <c r="A36" t="s">
        <v>36</v>
      </c>
      <c r="B36" s="33">
        <f>D24+1000+3000</f>
        <v>52442.307692307695</v>
      </c>
      <c r="D36" s="33">
        <f>51300-C25-1250</f>
        <v>2635</v>
      </c>
      <c r="F36" s="33">
        <f>51800-B25</f>
        <v>2600</v>
      </c>
      <c r="H36" s="33">
        <f>52250-1000-G25</f>
        <v>2850</v>
      </c>
    </row>
    <row r="37" spans="1:13">
      <c r="A37" t="s">
        <v>37</v>
      </c>
      <c r="B37" s="33">
        <f>G24+1000+3000</f>
        <v>51838.461538461539</v>
      </c>
      <c r="K37" s="33">
        <f>54000-1100-1000-G24</f>
        <v>4061.538461538461</v>
      </c>
    </row>
    <row r="38" spans="1:13">
      <c r="G38">
        <f>5440</f>
        <v>5440</v>
      </c>
    </row>
    <row r="39" spans="1:13">
      <c r="L39" s="33">
        <f>54400-D24-1000</f>
        <v>4957.6923076923049</v>
      </c>
    </row>
    <row r="40" spans="1:13">
      <c r="H40" t="s">
        <v>38</v>
      </c>
      <c r="I40" s="35">
        <v>0.35</v>
      </c>
      <c r="J40">
        <f>I40*2000</f>
        <v>700</v>
      </c>
    </row>
    <row r="41" spans="1:13">
      <c r="H41" s="33">
        <f>G24+1000</f>
        <v>48838.461538461539</v>
      </c>
    </row>
  </sheetData>
  <mergeCells count="1">
    <mergeCell ref="B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4D42-186C-48D5-8EC8-D942B86C7626}">
  <dimension ref="A1:R43"/>
  <sheetViews>
    <sheetView workbookViewId="0">
      <pane ySplit="2" topLeftCell="F35" activePane="bottomLeft" state="frozen"/>
      <selection pane="bottomLeft" activeCell="F35" sqref="F35"/>
    </sheetView>
  </sheetViews>
  <sheetFormatPr defaultColWidth="15.85546875" defaultRowHeight="15"/>
  <cols>
    <col min="2" max="7" width="10.85546875" customWidth="1"/>
    <col min="8" max="8" width="13.140625" customWidth="1"/>
    <col min="9" max="10" width="10.85546875" customWidth="1"/>
    <col min="11" max="11" width="17.85546875" customWidth="1"/>
    <col min="12" max="17" width="10.85546875" customWidth="1"/>
  </cols>
  <sheetData>
    <row r="1" spans="1:17">
      <c r="A1" s="1"/>
      <c r="B1" s="519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</row>
    <row r="2" spans="1:17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</row>
    <row r="3" spans="1:17">
      <c r="A3" s="5">
        <v>45793</v>
      </c>
      <c r="B3" s="6"/>
      <c r="C3" s="6"/>
      <c r="D3" s="6"/>
      <c r="E3" s="36">
        <f>_xlfn.XLOOKUP(A3,'steel Mint data'!A:A,'steel Mint data'!D:D,"",0)</f>
        <v>47000</v>
      </c>
      <c r="F3" s="6"/>
      <c r="G3" s="6"/>
      <c r="H3" s="6"/>
      <c r="I3" s="36">
        <f>_xlfn.XLOOKUP(A3,'steel Mint data'!A:A,'steel Mint data'!I:I,"",0)</f>
        <v>45700</v>
      </c>
      <c r="J3" s="6"/>
      <c r="K3" s="36">
        <f>_xlfn.XLOOKUP(A3,'steel Mint data'!A:A,'steel Mint data'!L:L,"",0)</f>
        <v>47500</v>
      </c>
      <c r="L3" s="6"/>
      <c r="M3" s="6"/>
      <c r="N3" s="6"/>
      <c r="O3" s="6"/>
      <c r="P3" s="37">
        <f>_xlfn.XLOOKUP(A3,'steel Mint data'!A:A,'steel Mint data'!Q:Q,"",0)</f>
        <v>43500</v>
      </c>
      <c r="Q3" s="36">
        <f>_xlfn.XLOOKUP(A3,'steel Mint data'!A:A,'steel Mint data'!R:R,"",0)</f>
        <v>44000</v>
      </c>
    </row>
    <row r="4" spans="1:17">
      <c r="A4" s="5">
        <f>A3+1</f>
        <v>45794</v>
      </c>
      <c r="B4" s="6"/>
      <c r="C4" s="6"/>
      <c r="D4" s="6"/>
      <c r="E4" s="6">
        <f>_xlfn.XLOOKUP(A4,'steel Mint data'!A:A,'steel Mint data'!D:D,"",0)</f>
        <v>46900</v>
      </c>
      <c r="F4" s="6"/>
      <c r="G4" s="6"/>
      <c r="H4" s="6"/>
      <c r="I4" s="36">
        <f>_xlfn.XLOOKUP(A4,'steel Mint data'!A:A,'steel Mint data'!I:I,"",0)</f>
        <v>45700</v>
      </c>
      <c r="J4" s="6"/>
      <c r="K4" s="6">
        <f>_xlfn.XLOOKUP(A4,'steel Mint data'!A:A,'steel Mint data'!L:L,"",0)</f>
        <v>47500</v>
      </c>
      <c r="L4" s="6"/>
      <c r="M4" s="6"/>
      <c r="N4" s="6"/>
      <c r="O4" s="6"/>
      <c r="P4" s="7">
        <f>_xlfn.XLOOKUP(A4,'steel Mint data'!A:A,'steel Mint data'!Q:Q,"",0)</f>
        <v>43600</v>
      </c>
      <c r="Q4" s="6">
        <f>_xlfn.XLOOKUP(A4,'steel Mint data'!A:A,'steel Mint data'!R:R,"",0)</f>
        <v>43800</v>
      </c>
    </row>
    <row r="5" spans="1:17">
      <c r="A5" s="5">
        <f t="shared" ref="A5:A15" si="0">A4+1</f>
        <v>45795</v>
      </c>
      <c r="B5" s="6"/>
      <c r="C5" s="6"/>
      <c r="D5" s="6"/>
      <c r="E5" s="36" t="str">
        <f>_xlfn.XLOOKUP(A5,'steel Mint data'!A:A,'steel Mint data'!D:D,"",0)</f>
        <v>H</v>
      </c>
      <c r="F5" s="38"/>
      <c r="G5" s="38"/>
      <c r="H5" s="38"/>
      <c r="I5" s="36" t="str">
        <f>_xlfn.XLOOKUP(A5,'steel Mint data'!A:A,'steel Mint data'!I:I,"",0)</f>
        <v>H</v>
      </c>
      <c r="J5" s="38"/>
      <c r="K5" s="36" t="str">
        <f>_xlfn.XLOOKUP(A5,'steel Mint data'!A:A,'steel Mint data'!L:L,"",0)</f>
        <v>H</v>
      </c>
      <c r="L5" s="38"/>
      <c r="M5" s="38"/>
      <c r="N5" s="38"/>
      <c r="O5" s="38"/>
      <c r="P5" s="37" t="str">
        <f>_xlfn.XLOOKUP(A5,'steel Mint data'!A:A,'steel Mint data'!Q:Q,"",0)</f>
        <v>H</v>
      </c>
      <c r="Q5" s="36" t="str">
        <f>_xlfn.XLOOKUP(A5,'steel Mint data'!A:A,'steel Mint data'!R:R,"",0)</f>
        <v>H</v>
      </c>
    </row>
    <row r="6" spans="1:17">
      <c r="A6" s="5">
        <f t="shared" si="0"/>
        <v>45796</v>
      </c>
      <c r="B6" s="8"/>
      <c r="C6" s="6"/>
      <c r="D6" s="6"/>
      <c r="E6" s="6">
        <f>_xlfn.XLOOKUP(A6,'steel Mint data'!A:A,'steel Mint data'!D:D,"",0)</f>
        <v>46800</v>
      </c>
      <c r="F6" s="9"/>
      <c r="G6" s="9"/>
      <c r="H6" s="9"/>
      <c r="I6" s="36">
        <f>_xlfn.XLOOKUP(A6,'steel Mint data'!A:A,'steel Mint data'!I:I,"",0)</f>
        <v>45700</v>
      </c>
      <c r="J6" s="9"/>
      <c r="K6" s="6">
        <f>_xlfn.XLOOKUP(A6,'steel Mint data'!A:A,'steel Mint data'!L:L,"",0)</f>
        <v>47500</v>
      </c>
      <c r="L6" s="9"/>
      <c r="M6" s="9"/>
      <c r="N6" s="9"/>
      <c r="O6" s="9"/>
      <c r="P6" s="7">
        <f>_xlfn.XLOOKUP(A6,'steel Mint data'!A:A,'steel Mint data'!Q:Q,"",0)</f>
        <v>43500</v>
      </c>
      <c r="Q6" s="6">
        <f>_xlfn.XLOOKUP(A6,'steel Mint data'!A:A,'steel Mint data'!R:R,"",0)</f>
        <v>43700</v>
      </c>
    </row>
    <row r="7" spans="1:17">
      <c r="A7" s="5">
        <f t="shared" si="0"/>
        <v>45797</v>
      </c>
      <c r="B7" s="6"/>
      <c r="C7" s="6"/>
      <c r="D7" s="7"/>
      <c r="E7" s="6">
        <f>_xlfn.XLOOKUP(A7,'steel Mint data'!A:A,'steel Mint data'!D:D,"",0)</f>
        <v>46700</v>
      </c>
      <c r="F7" s="11"/>
      <c r="G7" s="11"/>
      <c r="H7" s="11"/>
      <c r="I7" s="36">
        <f>_xlfn.XLOOKUP(A7,'steel Mint data'!A:A,'steel Mint data'!I:I,"",0)</f>
        <v>45800</v>
      </c>
      <c r="J7" s="11"/>
      <c r="K7" s="6">
        <f>_xlfn.XLOOKUP(A7,'steel Mint data'!A:A,'steel Mint data'!L:L,"",0)</f>
        <v>47600</v>
      </c>
      <c r="L7" s="11"/>
      <c r="M7" s="11"/>
      <c r="N7" s="11"/>
      <c r="O7" s="11"/>
      <c r="P7" s="7">
        <f>_xlfn.XLOOKUP(A7,'steel Mint data'!A:A,'steel Mint data'!Q:Q,"",0)</f>
        <v>43500</v>
      </c>
      <c r="Q7" s="6">
        <f>_xlfn.XLOOKUP(A7,'steel Mint data'!A:A,'steel Mint data'!R:R,"",0)</f>
        <v>43900</v>
      </c>
    </row>
    <row r="8" spans="1:17">
      <c r="A8" s="5">
        <f t="shared" si="0"/>
        <v>45798</v>
      </c>
      <c r="B8" s="6"/>
      <c r="C8" s="6"/>
      <c r="D8" s="6"/>
      <c r="E8" s="6">
        <f>_xlfn.XLOOKUP(A8,'steel Mint data'!A:A,'steel Mint data'!D:D,"",0)</f>
        <v>46700</v>
      </c>
      <c r="F8" s="12"/>
      <c r="G8" s="12"/>
      <c r="H8" s="12"/>
      <c r="I8" s="36">
        <f>_xlfn.XLOOKUP(A8,'steel Mint data'!A:A,'steel Mint data'!I:I,"",0)</f>
        <v>45900</v>
      </c>
      <c r="J8" s="12"/>
      <c r="K8" s="6">
        <f>_xlfn.XLOOKUP(A8,'steel Mint data'!A:A,'steel Mint data'!L:L,"",0)</f>
        <v>47600</v>
      </c>
      <c r="L8" s="12"/>
      <c r="M8" s="12"/>
      <c r="N8" s="12"/>
      <c r="O8" s="12"/>
      <c r="P8" s="7">
        <f>_xlfn.XLOOKUP(A8,'steel Mint data'!A:A,'steel Mint data'!Q:Q,"",0)</f>
        <v>43500</v>
      </c>
      <c r="Q8" s="6">
        <f>_xlfn.XLOOKUP(A8,'steel Mint data'!A:A,'steel Mint data'!R:R,"",0)</f>
        <v>44100</v>
      </c>
    </row>
    <row r="9" spans="1:17">
      <c r="A9" s="5">
        <f t="shared" si="0"/>
        <v>45799</v>
      </c>
      <c r="B9" s="6"/>
      <c r="C9" s="6"/>
      <c r="D9" s="6"/>
      <c r="E9" s="6">
        <f>_xlfn.XLOOKUP(A9,'steel Mint data'!A:A,'steel Mint data'!D:D,"",0)</f>
        <v>46700</v>
      </c>
      <c r="F9" s="6"/>
      <c r="G9" s="6"/>
      <c r="H9" s="6"/>
      <c r="I9" s="36">
        <f>_xlfn.XLOOKUP(A9,'steel Mint data'!A:A,'steel Mint data'!I:I,"",0)</f>
        <v>45800</v>
      </c>
      <c r="J9" s="6"/>
      <c r="K9" s="6">
        <f>_xlfn.XLOOKUP(A9,'steel Mint data'!A:A,'steel Mint data'!L:L,"",0)</f>
        <v>47600</v>
      </c>
      <c r="L9" s="6"/>
      <c r="M9" s="6"/>
      <c r="N9" s="6"/>
      <c r="O9" s="6"/>
      <c r="P9" s="7">
        <f>_xlfn.XLOOKUP(A9,'steel Mint data'!A:A,'steel Mint data'!Q:Q,"",0)</f>
        <v>43400</v>
      </c>
      <c r="Q9" s="6">
        <f>_xlfn.XLOOKUP(A9,'steel Mint data'!A:A,'steel Mint data'!R:R,"",0)</f>
        <v>43900</v>
      </c>
    </row>
    <row r="10" spans="1:17">
      <c r="A10" s="5">
        <f t="shared" si="0"/>
        <v>45800</v>
      </c>
      <c r="B10" s="6"/>
      <c r="C10" s="6"/>
      <c r="D10" s="6"/>
      <c r="E10" s="6">
        <f>_xlfn.XLOOKUP(A10,'steel Mint data'!A:A,'steel Mint data'!D:D,"",0)</f>
        <v>46400</v>
      </c>
      <c r="F10" s="6"/>
      <c r="G10" s="6"/>
      <c r="H10" s="6"/>
      <c r="I10" s="36">
        <f>_xlfn.XLOOKUP(A10,'steel Mint data'!A:A,'steel Mint data'!I:I,"",0)</f>
        <v>45600</v>
      </c>
      <c r="J10" s="6"/>
      <c r="K10" s="6">
        <f>_xlfn.XLOOKUP(A10,'steel Mint data'!A:A,'steel Mint data'!L:L,"",0)</f>
        <v>47500</v>
      </c>
      <c r="L10" s="6"/>
      <c r="M10" s="6"/>
      <c r="N10" s="6"/>
      <c r="O10" s="6"/>
      <c r="P10" s="7">
        <f>_xlfn.XLOOKUP(A10,'steel Mint data'!A:A,'steel Mint data'!Q:Q,"",0)</f>
        <v>43300</v>
      </c>
      <c r="Q10" s="6">
        <f>_xlfn.XLOOKUP(A10,'steel Mint data'!A:A,'steel Mint data'!R:R,"",0)</f>
        <v>43300</v>
      </c>
    </row>
    <row r="11" spans="1:17">
      <c r="A11" s="5">
        <f t="shared" si="0"/>
        <v>45801</v>
      </c>
      <c r="B11" s="6"/>
      <c r="C11" s="6"/>
      <c r="D11" s="6"/>
      <c r="E11" s="6">
        <f>_xlfn.XLOOKUP(A11,'steel Mint data'!A:A,'steel Mint data'!D:D,"",0)</f>
        <v>46600</v>
      </c>
      <c r="F11" s="6"/>
      <c r="G11" s="6"/>
      <c r="H11" s="6"/>
      <c r="I11" s="36">
        <f>_xlfn.XLOOKUP(A11,'steel Mint data'!A:A,'steel Mint data'!I:I,"",0)</f>
        <v>45600</v>
      </c>
      <c r="J11" s="6"/>
      <c r="K11" s="6">
        <f>_xlfn.XLOOKUP(A11,'steel Mint data'!A:A,'steel Mint data'!L:L,"",0)</f>
        <v>47500</v>
      </c>
      <c r="L11" s="6"/>
      <c r="M11" s="6"/>
      <c r="N11" s="6"/>
      <c r="O11" s="6"/>
      <c r="P11" s="7">
        <f>_xlfn.XLOOKUP(A11,'steel Mint data'!A:A,'steel Mint data'!Q:Q,"",0)</f>
        <v>43200</v>
      </c>
      <c r="Q11" s="6">
        <f>_xlfn.XLOOKUP(A11,'steel Mint data'!A:A,'steel Mint data'!R:R,"",0)</f>
        <v>43100</v>
      </c>
    </row>
    <row r="12" spans="1:17">
      <c r="A12" s="5">
        <f t="shared" si="0"/>
        <v>45802</v>
      </c>
      <c r="B12" s="6"/>
      <c r="C12" s="6"/>
      <c r="D12" s="6"/>
      <c r="E12" s="6" t="str">
        <f>_xlfn.XLOOKUP(A12,'steel Mint data'!A:A,'steel Mint data'!D:D,"",0)</f>
        <v>H</v>
      </c>
      <c r="F12" s="6"/>
      <c r="G12" s="6"/>
      <c r="H12" s="6"/>
      <c r="I12" s="36" t="str">
        <f>_xlfn.XLOOKUP(A12,'steel Mint data'!A:A,'steel Mint data'!I:I,"",0)</f>
        <v>H</v>
      </c>
      <c r="J12" s="6"/>
      <c r="K12" s="6" t="str">
        <f>_xlfn.XLOOKUP(A12,'steel Mint data'!A:A,'steel Mint data'!L:L,"",0)</f>
        <v>H</v>
      </c>
      <c r="L12" s="6"/>
      <c r="M12" s="6"/>
      <c r="N12" s="6"/>
      <c r="O12" s="6"/>
      <c r="P12" s="7" t="str">
        <f>_xlfn.XLOOKUP(A12,'steel Mint data'!A:A,'steel Mint data'!Q:Q,"",0)</f>
        <v>H</v>
      </c>
      <c r="Q12" s="6" t="str">
        <f>_xlfn.XLOOKUP(A12,'steel Mint data'!A:A,'steel Mint data'!R:R,"",0)</f>
        <v>H</v>
      </c>
    </row>
    <row r="13" spans="1:17">
      <c r="A13" s="5">
        <f t="shared" si="0"/>
        <v>45803</v>
      </c>
      <c r="B13" s="6"/>
      <c r="C13" s="6"/>
      <c r="D13" s="6"/>
      <c r="E13" s="6">
        <f>_xlfn.XLOOKUP(A13,'steel Mint data'!A:A,'steel Mint data'!D:D,"",0)</f>
        <v>46200</v>
      </c>
      <c r="F13" s="6"/>
      <c r="G13" s="6"/>
      <c r="H13" s="6"/>
      <c r="I13" s="36">
        <f>_xlfn.XLOOKUP(A13,'steel Mint data'!A:A,'steel Mint data'!I:I,"",0)</f>
        <v>45400</v>
      </c>
      <c r="J13" s="6"/>
      <c r="K13" s="6">
        <f>_xlfn.XLOOKUP(A13,'steel Mint data'!A:A,'steel Mint data'!L:L,"",0)</f>
        <v>47200</v>
      </c>
      <c r="L13" s="6"/>
      <c r="M13" s="6"/>
      <c r="N13" s="6"/>
      <c r="O13" s="6"/>
      <c r="P13" s="7">
        <f>_xlfn.XLOOKUP(A13,'steel Mint data'!A:A,'steel Mint data'!Q:Q,"",0)</f>
        <v>43100</v>
      </c>
      <c r="Q13" s="6">
        <f>_xlfn.XLOOKUP(A13,'steel Mint data'!A:A,'steel Mint data'!R:R,"",0)</f>
        <v>43100</v>
      </c>
    </row>
    <row r="14" spans="1:17">
      <c r="A14" s="5">
        <f t="shared" si="0"/>
        <v>45804</v>
      </c>
      <c r="B14" s="6"/>
      <c r="C14" s="6"/>
      <c r="D14" s="6"/>
      <c r="E14" s="6">
        <f>_xlfn.XLOOKUP(A14,'steel Mint data'!A:A,'steel Mint data'!D:D,"",0)</f>
        <v>46000</v>
      </c>
      <c r="F14" s="6"/>
      <c r="G14" s="6"/>
      <c r="H14" s="6"/>
      <c r="I14" s="36">
        <f>_xlfn.XLOOKUP(A14,'steel Mint data'!A:A,'steel Mint data'!I:I,"",0)</f>
        <v>45200</v>
      </c>
      <c r="J14" s="6"/>
      <c r="K14" s="6">
        <f>_xlfn.XLOOKUP(A14,'steel Mint data'!A:A,'steel Mint data'!L:L,"",0)</f>
        <v>47100</v>
      </c>
      <c r="L14" s="6"/>
      <c r="M14" s="6"/>
      <c r="N14" s="6"/>
      <c r="O14" s="6"/>
      <c r="P14" s="7">
        <f>_xlfn.XLOOKUP(A14,'steel Mint data'!A:A,'steel Mint data'!Q:Q,"",0)</f>
        <v>42900</v>
      </c>
      <c r="Q14" s="6">
        <f>_xlfn.XLOOKUP(A14,'steel Mint data'!A:A,'steel Mint data'!R:R,"",0)</f>
        <v>43000</v>
      </c>
    </row>
    <row r="15" spans="1:17">
      <c r="A15" s="5">
        <f t="shared" si="0"/>
        <v>45805</v>
      </c>
      <c r="B15" s="6"/>
      <c r="C15" s="6"/>
      <c r="D15" s="6"/>
      <c r="E15" s="6">
        <f>_xlfn.XLOOKUP(A15,'steel Mint data'!A:A,'steel Mint data'!D:D,"",0)</f>
        <v>45800</v>
      </c>
      <c r="F15" s="6"/>
      <c r="G15" s="6"/>
      <c r="H15" s="6"/>
      <c r="I15" s="36">
        <f>_xlfn.XLOOKUP(A15,'steel Mint data'!A:A,'steel Mint data'!I:I,"",0)</f>
        <v>45100</v>
      </c>
      <c r="J15" s="6"/>
      <c r="K15" s="6">
        <f>_xlfn.XLOOKUP(A15,'steel Mint data'!A:A,'steel Mint data'!L:L,"",0)</f>
        <v>47100</v>
      </c>
      <c r="L15" s="6"/>
      <c r="M15" s="6"/>
      <c r="N15" s="6"/>
      <c r="O15" s="6"/>
      <c r="P15" s="7">
        <f>_xlfn.XLOOKUP(A15,'steel Mint data'!A:A,'steel Mint data'!Q:Q,"",0)</f>
        <v>42800</v>
      </c>
      <c r="Q15" s="6">
        <f>_xlfn.XLOOKUP(A15,'steel Mint data'!A:A,'steel Mint data'!R:R,"",0)</f>
        <v>43000</v>
      </c>
    </row>
    <row r="16" spans="1:17">
      <c r="A16" s="5">
        <f>A15+1</f>
        <v>45806</v>
      </c>
      <c r="B16" s="6"/>
      <c r="C16" s="6"/>
      <c r="D16" s="6"/>
      <c r="E16" s="6">
        <f>_xlfn.XLOOKUP(A16,'steel Mint data'!A:A,'steel Mint data'!D:D,"",0)</f>
        <v>45800</v>
      </c>
      <c r="F16" s="6"/>
      <c r="G16" s="6"/>
      <c r="H16" s="6"/>
      <c r="I16" s="36">
        <f>_xlfn.XLOOKUP(A16,'steel Mint data'!A:A,'steel Mint data'!I:I,"",0)</f>
        <v>44900</v>
      </c>
      <c r="J16" s="6"/>
      <c r="K16" s="6">
        <f>_xlfn.XLOOKUP(A16,'steel Mint data'!A:A,'steel Mint data'!L:L,"",0)</f>
        <v>46900</v>
      </c>
      <c r="L16" s="6"/>
      <c r="M16" s="6"/>
      <c r="N16" s="6"/>
      <c r="O16" s="6"/>
      <c r="P16" s="7">
        <f>_xlfn.XLOOKUP(A16,'steel Mint data'!A:A,'steel Mint data'!Q:Q,"",0)</f>
        <v>42500</v>
      </c>
      <c r="Q16" s="6">
        <f>_xlfn.XLOOKUP(A16,'steel Mint data'!A:A,'steel Mint data'!R:R,"",0)</f>
        <v>43000</v>
      </c>
    </row>
    <row r="17" spans="1:18">
      <c r="A17" s="5">
        <f>A16+1</f>
        <v>45807</v>
      </c>
      <c r="B17" s="6"/>
      <c r="C17" s="6"/>
      <c r="D17" s="6"/>
      <c r="E17" s="6">
        <f>_xlfn.XLOOKUP(A17,'steel Mint data'!A:A,'steel Mint data'!D:D,"",0)</f>
        <v>45800</v>
      </c>
      <c r="F17" s="6"/>
      <c r="G17" s="6"/>
      <c r="H17" s="6"/>
      <c r="I17" s="36">
        <f>_xlfn.XLOOKUP(A17,'steel Mint data'!A:A,'steel Mint data'!I:I,"",0)</f>
        <v>44900</v>
      </c>
      <c r="J17" s="6"/>
      <c r="K17" s="6">
        <f>_xlfn.XLOOKUP(A17,'steel Mint data'!A:A,'steel Mint data'!L:L,"",0)</f>
        <v>46900</v>
      </c>
      <c r="L17" s="6"/>
      <c r="M17" s="6"/>
      <c r="N17" s="6"/>
      <c r="O17" s="6"/>
      <c r="P17" s="7">
        <f>_xlfn.XLOOKUP(A17,'steel Mint data'!A:A,'steel Mint data'!Q:Q,"",0)</f>
        <v>42400</v>
      </c>
      <c r="Q17" s="6">
        <f>_xlfn.XLOOKUP(A17,'steel Mint data'!A:A,'steel Mint data'!R:R,"",0)</f>
        <v>43000</v>
      </c>
    </row>
    <row r="18" spans="1:18">
      <c r="A18" s="5">
        <f>A17+1</f>
        <v>45808</v>
      </c>
      <c r="B18" s="6"/>
      <c r="C18" s="6"/>
      <c r="D18" s="6"/>
      <c r="E18" s="6">
        <f>_xlfn.XLOOKUP(A18,'steel Mint data'!A:A,'steel Mint data'!D:D,"",0)</f>
        <v>45800</v>
      </c>
      <c r="F18" s="6"/>
      <c r="G18" s="6"/>
      <c r="H18" s="6"/>
      <c r="I18" s="36">
        <f>_xlfn.XLOOKUP(A18,'steel Mint data'!A:A,'steel Mint data'!I:I,"",0)</f>
        <v>44900</v>
      </c>
      <c r="J18" s="6"/>
      <c r="K18" s="6">
        <f>_xlfn.XLOOKUP(A18,'steel Mint data'!A:A,'steel Mint data'!L:L,"",0)</f>
        <v>46800</v>
      </c>
      <c r="L18" s="6"/>
      <c r="M18" s="6"/>
      <c r="N18" s="6"/>
      <c r="O18" s="6"/>
      <c r="P18" s="7">
        <f>_xlfn.XLOOKUP(A18,'steel Mint data'!A:A,'steel Mint data'!Q:Q,"",0)</f>
        <v>42400</v>
      </c>
      <c r="Q18" s="6">
        <f>_xlfn.XLOOKUP(A18,'steel Mint data'!A:A,'steel Mint data'!R:R,"",0)</f>
        <v>42500</v>
      </c>
    </row>
    <row r="19" spans="1:18">
      <c r="A19" s="14"/>
      <c r="B19" s="14"/>
      <c r="C19" s="14"/>
      <c r="D19" s="14"/>
      <c r="E19" s="15">
        <f>SUM(E3:E18)</f>
        <v>649200</v>
      </c>
      <c r="F19" s="14"/>
      <c r="G19" s="14"/>
      <c r="H19" s="14"/>
      <c r="I19" s="15">
        <f>SUM(I3:I18)</f>
        <v>636200</v>
      </c>
      <c r="J19" s="14"/>
      <c r="K19" s="15">
        <f>SUM(K3:K18)</f>
        <v>662300</v>
      </c>
      <c r="L19" s="14"/>
      <c r="M19" s="14"/>
      <c r="N19" s="14"/>
      <c r="O19" s="14"/>
      <c r="P19" s="15">
        <f>SUM(P3:P18)</f>
        <v>603600</v>
      </c>
      <c r="Q19" s="15">
        <f>SUM(Q3:Q18)</f>
        <v>607400</v>
      </c>
    </row>
    <row r="20" spans="1:18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23</v>
      </c>
      <c r="H20" s="16" t="s">
        <v>39</v>
      </c>
      <c r="I20" s="19"/>
      <c r="J20" s="14"/>
      <c r="K20" s="14"/>
      <c r="L20" s="14"/>
      <c r="M20" s="14"/>
      <c r="N20" s="14"/>
      <c r="O20" s="14"/>
      <c r="P20" s="14"/>
      <c r="Q20" s="14"/>
    </row>
    <row r="21" spans="1:18">
      <c r="A21" s="17" t="s">
        <v>25</v>
      </c>
      <c r="B21" s="18">
        <f>E19/O21</f>
        <v>46371.428571428572</v>
      </c>
      <c r="C21" s="18">
        <f>P19/O21</f>
        <v>43114.285714285717</v>
      </c>
      <c r="D21" s="18">
        <f>K19/O21</f>
        <v>47307.142857142855</v>
      </c>
      <c r="E21" s="18">
        <f>Q19/O21</f>
        <v>43385.714285714283</v>
      </c>
      <c r="F21" s="18">
        <f>C21</f>
        <v>43114.285714285717</v>
      </c>
      <c r="G21" s="18">
        <f>B21-800</f>
        <v>45571.428571428572</v>
      </c>
      <c r="H21" s="18">
        <f>I19/O21</f>
        <v>45442.857142857145</v>
      </c>
      <c r="I21" s="19"/>
      <c r="J21" s="19">
        <f>I19/O21</f>
        <v>45442.857142857145</v>
      </c>
      <c r="K21" s="19"/>
      <c r="L21" s="19">
        <f>G24+1000+2700+4000</f>
        <v>54671.428571428572</v>
      </c>
      <c r="M21" s="14"/>
      <c r="N21" s="14"/>
      <c r="O21" s="20">
        <f>COUNT(P3:P18)</f>
        <v>14</v>
      </c>
      <c r="P21" s="21"/>
      <c r="Q21" s="14"/>
    </row>
    <row r="22" spans="1:18">
      <c r="A22" s="17" t="s">
        <v>26</v>
      </c>
      <c r="B22" s="18">
        <v>1200</v>
      </c>
      <c r="C22" s="18">
        <v>2150</v>
      </c>
      <c r="D22" s="18">
        <v>400</v>
      </c>
      <c r="E22" s="18">
        <v>2200</v>
      </c>
      <c r="F22" s="18">
        <v>1800</v>
      </c>
      <c r="G22" s="18">
        <v>1200</v>
      </c>
      <c r="H22" s="18">
        <v>800</v>
      </c>
      <c r="I22" s="19"/>
      <c r="J22" s="14"/>
      <c r="K22" s="19"/>
      <c r="L22" s="19"/>
      <c r="M22" s="19"/>
      <c r="N22" s="14"/>
      <c r="O22" s="14"/>
      <c r="P22" s="14"/>
      <c r="Q22" s="14"/>
      <c r="R22" s="33"/>
    </row>
    <row r="23" spans="1:18">
      <c r="A23" s="17" t="s">
        <v>27</v>
      </c>
      <c r="B23" s="18">
        <v>200</v>
      </c>
      <c r="C23" s="18">
        <v>265</v>
      </c>
      <c r="D23" s="18">
        <v>250</v>
      </c>
      <c r="E23" s="18">
        <v>275</v>
      </c>
      <c r="F23" s="18">
        <v>275</v>
      </c>
      <c r="G23" s="18">
        <v>200</v>
      </c>
      <c r="H23" s="18">
        <v>270</v>
      </c>
      <c r="I23" s="19"/>
      <c r="J23" s="19"/>
      <c r="K23" s="19">
        <f>D24+800</f>
        <v>48757.142857142855</v>
      </c>
      <c r="L23" s="19">
        <f>G24+1000</f>
        <v>47971.428571428572</v>
      </c>
      <c r="M23" s="19"/>
      <c r="N23" s="14"/>
      <c r="O23" s="19"/>
      <c r="P23" s="19"/>
      <c r="Q23" s="19"/>
    </row>
    <row r="24" spans="1:18" ht="24.75">
      <c r="A24" s="22" t="s">
        <v>28</v>
      </c>
      <c r="B24" s="18">
        <f>SUM(B21:B23)</f>
        <v>47771.428571428572</v>
      </c>
      <c r="C24" s="18">
        <f>SUM(C21:C23)</f>
        <v>45529.285714285717</v>
      </c>
      <c r="D24" s="18">
        <f>SUM(D21:D23)</f>
        <v>47957.142857142855</v>
      </c>
      <c r="E24" s="18">
        <f>SUM(E21:E23)</f>
        <v>45860.714285714283</v>
      </c>
      <c r="F24" s="18">
        <f>SUM(F21:F23)</f>
        <v>45189.285714285717</v>
      </c>
      <c r="G24" s="18">
        <f>SUM(G21:G23)</f>
        <v>46971.428571428572</v>
      </c>
      <c r="H24" s="18">
        <f>SUM(H21:H23)</f>
        <v>46512.857142857145</v>
      </c>
      <c r="I24" s="19"/>
      <c r="J24" s="19"/>
      <c r="K24" s="19">
        <f>K23+1500</f>
        <v>50257.142857142855</v>
      </c>
      <c r="L24" s="14"/>
      <c r="M24" s="19"/>
      <c r="N24" s="14"/>
      <c r="O24" s="19"/>
      <c r="P24" s="19"/>
      <c r="Q24" s="14"/>
    </row>
    <row r="25" spans="1:18">
      <c r="A25" s="22" t="s">
        <v>29</v>
      </c>
      <c r="B25" s="18">
        <v>48700</v>
      </c>
      <c r="C25" s="18">
        <v>46515</v>
      </c>
      <c r="D25" s="18">
        <v>48450</v>
      </c>
      <c r="E25" s="23"/>
      <c r="F25" s="23">
        <v>46175</v>
      </c>
      <c r="G25" s="23">
        <f>B25-800</f>
        <v>47900</v>
      </c>
      <c r="H25" s="23">
        <v>47116</v>
      </c>
      <c r="I25" s="19">
        <f>H25-H23-H22</f>
        <v>46046</v>
      </c>
      <c r="J25" s="34"/>
      <c r="K25" s="19">
        <f>53500-K24</f>
        <v>3242.8571428571449</v>
      </c>
      <c r="L25" s="14"/>
      <c r="M25" s="19">
        <f>48650-C25</f>
        <v>2135</v>
      </c>
      <c r="N25" s="14"/>
      <c r="O25" s="14"/>
      <c r="P25" s="19"/>
      <c r="Q25" s="14"/>
    </row>
    <row r="26" spans="1:18">
      <c r="A26" s="22" t="s">
        <v>30</v>
      </c>
      <c r="B26" s="18">
        <f>B24-B25</f>
        <v>-928.57142857142753</v>
      </c>
      <c r="C26" s="18">
        <f>C24-C25</f>
        <v>-985.7142857142826</v>
      </c>
      <c r="D26" s="18">
        <f>D24-D25</f>
        <v>-492.85714285714494</v>
      </c>
      <c r="E26" s="18">
        <f>E24-E25</f>
        <v>45860.714285714283</v>
      </c>
      <c r="F26" s="18">
        <f>F24-F25</f>
        <v>-985.7142857142826</v>
      </c>
      <c r="G26" s="18">
        <f>G24-G25</f>
        <v>-928.57142857142753</v>
      </c>
      <c r="H26" s="18">
        <f>H24-H25</f>
        <v>-603.14285714285506</v>
      </c>
      <c r="I26" s="14"/>
      <c r="J26" s="19"/>
      <c r="K26" s="19"/>
      <c r="L26" s="19"/>
      <c r="M26" s="19"/>
      <c r="N26" s="14"/>
      <c r="O26" s="19">
        <f>52250-2600-C24</f>
        <v>4120.7142857142826</v>
      </c>
      <c r="P26" s="14"/>
      <c r="Q26" s="14"/>
    </row>
    <row r="27" spans="1:18">
      <c r="A27" s="14"/>
      <c r="B27" s="14"/>
      <c r="C27" s="14"/>
      <c r="D27" s="14"/>
      <c r="E27" s="14"/>
      <c r="F27" s="14"/>
      <c r="G27" s="14"/>
      <c r="H27" s="14"/>
      <c r="I27" s="19"/>
      <c r="J27" s="19"/>
      <c r="K27" s="14">
        <f>53000-1300-1000</f>
        <v>50700</v>
      </c>
      <c r="L27" s="24"/>
      <c r="M27" s="24">
        <f>52700-1500</f>
        <v>51200</v>
      </c>
      <c r="N27" s="24"/>
      <c r="O27" s="24"/>
      <c r="P27" s="14"/>
      <c r="Q27" s="14"/>
    </row>
    <row r="28" spans="1:18">
      <c r="A28" s="22" t="s">
        <v>31</v>
      </c>
      <c r="B28" s="18">
        <v>55300</v>
      </c>
      <c r="C28" s="18">
        <v>52550</v>
      </c>
      <c r="D28" s="18">
        <v>55800</v>
      </c>
      <c r="E28" s="18">
        <v>53650</v>
      </c>
      <c r="F28" s="18">
        <v>52550</v>
      </c>
      <c r="G28" s="18">
        <f>B28-800</f>
        <v>54500</v>
      </c>
      <c r="H28" s="18">
        <f>B28-500</f>
        <v>54800</v>
      </c>
      <c r="I28" s="19"/>
      <c r="J28" s="14"/>
      <c r="K28" s="19">
        <f>K27-G24</f>
        <v>3728.5714285714275</v>
      </c>
      <c r="L28" s="19"/>
      <c r="M28" s="19">
        <f>M27-D25-800</f>
        <v>1950</v>
      </c>
      <c r="N28" s="19"/>
      <c r="O28" s="19">
        <f>M27-D25-800</f>
        <v>1950</v>
      </c>
      <c r="P28" s="14"/>
      <c r="Q28" s="14"/>
    </row>
    <row r="29" spans="1:18">
      <c r="A29" s="22" t="s">
        <v>32</v>
      </c>
      <c r="B29" s="26">
        <f>B28-2300</f>
        <v>53000</v>
      </c>
      <c r="C29" s="26">
        <f t="shared" ref="C29:G29" si="1">C28-2300</f>
        <v>50250</v>
      </c>
      <c r="D29" s="26">
        <f t="shared" si="1"/>
        <v>53500</v>
      </c>
      <c r="E29" s="26">
        <f t="shared" si="1"/>
        <v>51350</v>
      </c>
      <c r="F29" s="26">
        <f t="shared" si="1"/>
        <v>50250</v>
      </c>
      <c r="G29" s="26">
        <f t="shared" si="1"/>
        <v>52200</v>
      </c>
      <c r="H29" s="26"/>
      <c r="I29" s="19"/>
      <c r="J29" s="14"/>
      <c r="K29" s="19"/>
      <c r="L29" s="24"/>
      <c r="M29" s="19"/>
      <c r="N29" s="19"/>
      <c r="O29" s="19">
        <f>52700-D24-800-1500</f>
        <v>2442.8571428571449</v>
      </c>
      <c r="P29" s="19">
        <f>O29-O28</f>
        <v>492.85714285714494</v>
      </c>
      <c r="Q29" s="14"/>
    </row>
    <row r="30" spans="1:18">
      <c r="A30" s="25" t="s">
        <v>33</v>
      </c>
      <c r="B30" s="18">
        <f>B29-B24</f>
        <v>5228.5714285714275</v>
      </c>
      <c r="C30" s="18">
        <f t="shared" ref="C30:G30" si="2">C29-C24</f>
        <v>4720.7142857142826</v>
      </c>
      <c r="D30" s="18">
        <f t="shared" si="2"/>
        <v>5542.8571428571449</v>
      </c>
      <c r="E30" s="18">
        <f t="shared" si="2"/>
        <v>5489.2857142857174</v>
      </c>
      <c r="F30" s="18">
        <f t="shared" si="2"/>
        <v>5060.7142857142826</v>
      </c>
      <c r="G30" s="18">
        <f t="shared" si="2"/>
        <v>5228.5714285714275</v>
      </c>
      <c r="H30" s="18"/>
      <c r="I30" s="19"/>
      <c r="J30" s="14"/>
      <c r="K30" s="19"/>
      <c r="L30" s="24"/>
      <c r="M30" s="14"/>
      <c r="N30" s="14"/>
      <c r="O30" s="19"/>
      <c r="P30" s="14"/>
      <c r="Q30" s="14"/>
    </row>
    <row r="31" spans="1:18">
      <c r="I31" s="33"/>
      <c r="K31" s="33">
        <f>52250-2600-C24</f>
        <v>4120.7142857142826</v>
      </c>
      <c r="L31" s="33"/>
    </row>
    <row r="32" spans="1:18">
      <c r="E32" s="32"/>
      <c r="H32" s="33"/>
      <c r="K32" s="33"/>
      <c r="P32" s="33"/>
    </row>
    <row r="33" spans="2:15">
      <c r="C33" s="33"/>
      <c r="J33" s="33"/>
    </row>
    <row r="34" spans="2:15">
      <c r="H34" s="33"/>
      <c r="J34" s="33"/>
      <c r="K34" s="33"/>
    </row>
    <row r="35" spans="2:15">
      <c r="D35" s="33"/>
      <c r="F35" s="33"/>
      <c r="H35" s="33"/>
      <c r="I35" s="33">
        <f>51700-1000-G24</f>
        <v>3728.5714285714275</v>
      </c>
      <c r="O35" s="33"/>
    </row>
    <row r="36" spans="2:15">
      <c r="B36" s="33"/>
      <c r="D36" s="33"/>
      <c r="F36" s="33"/>
      <c r="H36" s="33"/>
      <c r="I36" s="33">
        <f>51700-1000-G25</f>
        <v>2800</v>
      </c>
      <c r="J36" s="33"/>
      <c r="M36" s="33"/>
      <c r="O36" s="33">
        <f>48900-C24</f>
        <v>3370.7142857142826</v>
      </c>
    </row>
    <row r="37" spans="2:15">
      <c r="B37" s="33"/>
      <c r="K37" s="33"/>
    </row>
    <row r="38" spans="2:15">
      <c r="K38" s="33"/>
      <c r="O38" s="33"/>
    </row>
    <row r="39" spans="2:15">
      <c r="D39" s="33"/>
      <c r="N39" s="33"/>
    </row>
    <row r="40" spans="2:15">
      <c r="I40" s="35"/>
    </row>
    <row r="41" spans="2:15">
      <c r="H41" s="33"/>
    </row>
    <row r="43" spans="2:15">
      <c r="L43" s="33"/>
    </row>
  </sheetData>
  <mergeCells count="1">
    <mergeCell ref="B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738D-447C-4F0F-B2BE-19ADE24EBB0D}">
  <dimension ref="A1:S43"/>
  <sheetViews>
    <sheetView workbookViewId="0">
      <pane ySplit="2" topLeftCell="L21" activePane="bottomLeft" state="frozen"/>
      <selection pane="bottomLeft" activeCell="L21" sqref="L21"/>
    </sheetView>
  </sheetViews>
  <sheetFormatPr defaultColWidth="15.85546875" defaultRowHeight="15"/>
  <cols>
    <col min="2" max="7" width="10.85546875" customWidth="1"/>
    <col min="8" max="8" width="13.140625" customWidth="1"/>
    <col min="9" max="10" width="10.85546875" customWidth="1"/>
    <col min="11" max="11" width="17.85546875" customWidth="1"/>
    <col min="12" max="17" width="10.85546875" customWidth="1"/>
  </cols>
  <sheetData>
    <row r="1" spans="1:17">
      <c r="A1" s="1"/>
      <c r="B1" s="519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</row>
    <row r="2" spans="1:17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</row>
    <row r="3" spans="1:17">
      <c r="A3" s="5">
        <v>45809</v>
      </c>
      <c r="B3" s="6"/>
      <c r="C3" s="6"/>
      <c r="D3" s="6"/>
      <c r="E3" s="36" t="str">
        <f>_xlfn.XLOOKUP(A3,'steel Mint data'!A:A,'steel Mint data'!D:D,"",0)</f>
        <v>H</v>
      </c>
      <c r="F3" s="6"/>
      <c r="G3" s="6"/>
      <c r="H3" s="6"/>
      <c r="I3" s="36" t="str">
        <f>_xlfn.XLOOKUP(A3,'steel Mint data'!A:A,'steel Mint data'!I:I,"",0)</f>
        <v>H</v>
      </c>
      <c r="J3" s="6"/>
      <c r="K3" s="36" t="str">
        <f>_xlfn.XLOOKUP(A3,'steel Mint data'!A:A,'steel Mint data'!L:L,"",0)</f>
        <v>H</v>
      </c>
      <c r="L3" s="6"/>
      <c r="M3" s="6"/>
      <c r="N3" s="6"/>
      <c r="O3" s="6"/>
      <c r="P3" s="37" t="str">
        <f>_xlfn.XLOOKUP(A3,'steel Mint data'!A:A,'steel Mint data'!Q:Q,"",0)</f>
        <v>H</v>
      </c>
      <c r="Q3" s="36" t="str">
        <f>_xlfn.XLOOKUP(A3,'steel Mint data'!A:A,'steel Mint data'!R:R,"",0)</f>
        <v>H</v>
      </c>
    </row>
    <row r="4" spans="1:17">
      <c r="A4" s="5">
        <f>A3+1</f>
        <v>45810</v>
      </c>
      <c r="B4" s="6"/>
      <c r="C4" s="6"/>
      <c r="D4" s="6"/>
      <c r="E4" s="6">
        <f>_xlfn.XLOOKUP(A4,'steel Mint data'!A:A,'steel Mint data'!D:D,"",0)</f>
        <v>46000</v>
      </c>
      <c r="F4" s="6"/>
      <c r="G4" s="6"/>
      <c r="H4" s="6"/>
      <c r="I4" s="36">
        <f>_xlfn.XLOOKUP(A4,'steel Mint data'!A:A,'steel Mint data'!I:I,"",0)</f>
        <v>45300</v>
      </c>
      <c r="J4" s="6"/>
      <c r="K4" s="6">
        <f>_xlfn.XLOOKUP(A4,'steel Mint data'!A:A,'steel Mint data'!L:L,"",0)</f>
        <v>46800</v>
      </c>
      <c r="L4" s="6"/>
      <c r="M4" s="6"/>
      <c r="N4" s="6"/>
      <c r="O4" s="6"/>
      <c r="P4" s="7">
        <f>_xlfn.XLOOKUP(A4,'steel Mint data'!A:A,'steel Mint data'!Q:Q,"",0)</f>
        <v>42500</v>
      </c>
      <c r="Q4" s="6">
        <f>_xlfn.XLOOKUP(A4,'steel Mint data'!A:A,'steel Mint data'!R:R,"",0)</f>
        <v>42400</v>
      </c>
    </row>
    <row r="5" spans="1:17">
      <c r="A5" s="5">
        <f t="shared" ref="A5:A15" si="0">A4+1</f>
        <v>45811</v>
      </c>
      <c r="B5" s="6"/>
      <c r="C5" s="6"/>
      <c r="D5" s="6"/>
      <c r="E5" s="36">
        <f>_xlfn.XLOOKUP(A5,'steel Mint data'!A:A,'steel Mint data'!D:D,"",0)</f>
        <v>46000</v>
      </c>
      <c r="F5" s="38"/>
      <c r="G5" s="38"/>
      <c r="H5" s="38"/>
      <c r="I5" s="36">
        <f>_xlfn.XLOOKUP(A5,'steel Mint data'!A:A,'steel Mint data'!I:I,"",0)</f>
        <v>45100</v>
      </c>
      <c r="J5" s="38"/>
      <c r="K5" s="36">
        <f>_xlfn.XLOOKUP(A5,'steel Mint data'!A:A,'steel Mint data'!L:L,"",0)</f>
        <v>47100</v>
      </c>
      <c r="L5" s="38"/>
      <c r="M5" s="38"/>
      <c r="N5" s="38"/>
      <c r="O5" s="38"/>
      <c r="P5" s="37">
        <f>_xlfn.XLOOKUP(A5,'steel Mint data'!A:A,'steel Mint data'!Q:Q,"",0)</f>
        <v>42200</v>
      </c>
      <c r="Q5" s="36">
        <f>_xlfn.XLOOKUP(A5,'steel Mint data'!A:A,'steel Mint data'!R:R,"",0)</f>
        <v>42300</v>
      </c>
    </row>
    <row r="6" spans="1:17">
      <c r="A6" s="5">
        <f t="shared" si="0"/>
        <v>45812</v>
      </c>
      <c r="B6" s="8"/>
      <c r="C6" s="6"/>
      <c r="D6" s="6"/>
      <c r="E6" s="6">
        <f>_xlfn.XLOOKUP(A6,'steel Mint data'!A:A,'steel Mint data'!D:D,"",0)</f>
        <v>46100</v>
      </c>
      <c r="F6" s="9"/>
      <c r="G6" s="9"/>
      <c r="H6" s="9"/>
      <c r="I6" s="36">
        <f>_xlfn.XLOOKUP(A6,'steel Mint data'!A:A,'steel Mint data'!I:I,"",0)</f>
        <v>45100</v>
      </c>
      <c r="J6" s="9"/>
      <c r="K6" s="6">
        <f>_xlfn.XLOOKUP(A6,'steel Mint data'!A:A,'steel Mint data'!L:L,"",0)</f>
        <v>47100</v>
      </c>
      <c r="L6" s="9"/>
      <c r="M6" s="9"/>
      <c r="N6" s="9"/>
      <c r="O6" s="9"/>
      <c r="P6" s="7">
        <f>_xlfn.XLOOKUP(A6,'steel Mint data'!A:A,'steel Mint data'!Q:Q,"",0)</f>
        <v>42000</v>
      </c>
      <c r="Q6" s="6">
        <f>_xlfn.XLOOKUP(A6,'steel Mint data'!A:A,'steel Mint data'!R:R,"",0)</f>
        <v>42200</v>
      </c>
    </row>
    <row r="7" spans="1:17">
      <c r="A7" s="5">
        <f t="shared" si="0"/>
        <v>45813</v>
      </c>
      <c r="B7" s="6"/>
      <c r="C7" s="6"/>
      <c r="D7" s="7"/>
      <c r="E7" s="6">
        <f>_xlfn.XLOOKUP(A7,'steel Mint data'!A:A,'steel Mint data'!D:D,"",0)</f>
        <v>45800</v>
      </c>
      <c r="F7" s="11"/>
      <c r="G7" s="11"/>
      <c r="H7" s="11"/>
      <c r="I7" s="36">
        <f>_xlfn.XLOOKUP(A7,'steel Mint data'!A:A,'steel Mint data'!I:I,"",0)</f>
        <v>45000</v>
      </c>
      <c r="J7" s="11"/>
      <c r="K7" s="6">
        <f>_xlfn.XLOOKUP(A7,'steel Mint data'!A:A,'steel Mint data'!L:L,"",0)</f>
        <v>47200</v>
      </c>
      <c r="L7" s="11"/>
      <c r="M7" s="11"/>
      <c r="N7" s="11"/>
      <c r="O7" s="11"/>
      <c r="P7" s="7">
        <f>_xlfn.XLOOKUP(A7,'steel Mint data'!A:A,'steel Mint data'!Q:Q,"",0)</f>
        <v>42000</v>
      </c>
      <c r="Q7" s="6">
        <f>_xlfn.XLOOKUP(A7,'steel Mint data'!A:A,'steel Mint data'!R:R,"",0)</f>
        <v>42000</v>
      </c>
    </row>
    <row r="8" spans="1:17">
      <c r="A8" s="5">
        <f t="shared" si="0"/>
        <v>45814</v>
      </c>
      <c r="B8" s="6"/>
      <c r="C8" s="6"/>
      <c r="D8" s="6"/>
      <c r="E8" s="6">
        <f>_xlfn.XLOOKUP(A8,'steel Mint data'!A:A,'steel Mint data'!D:D,"",0)</f>
        <v>45800</v>
      </c>
      <c r="F8" s="12"/>
      <c r="G8" s="12"/>
      <c r="H8" s="12"/>
      <c r="I8" s="36">
        <f>_xlfn.XLOOKUP(A8,'steel Mint data'!A:A,'steel Mint data'!I:I,"",0)</f>
        <v>44800</v>
      </c>
      <c r="J8" s="12"/>
      <c r="K8" s="6">
        <f>_xlfn.XLOOKUP(A8,'steel Mint data'!A:A,'steel Mint data'!L:L,"",0)</f>
        <v>47100</v>
      </c>
      <c r="L8" s="12"/>
      <c r="M8" s="12"/>
      <c r="N8" s="12"/>
      <c r="O8" s="12"/>
      <c r="P8" s="7">
        <f>_xlfn.XLOOKUP(A8,'steel Mint data'!A:A,'steel Mint data'!Q:Q,"",0)</f>
        <v>41900</v>
      </c>
      <c r="Q8" s="6">
        <f>_xlfn.XLOOKUP(A8,'steel Mint data'!A:A,'steel Mint data'!R:R,"",0)</f>
        <v>41900</v>
      </c>
    </row>
    <row r="9" spans="1:17">
      <c r="A9" s="5">
        <f t="shared" si="0"/>
        <v>45815</v>
      </c>
      <c r="B9" s="6"/>
      <c r="C9" s="6"/>
      <c r="D9" s="6"/>
      <c r="E9" s="6">
        <f>_xlfn.XLOOKUP(A9,'steel Mint data'!A:A,'steel Mint data'!D:D,"",0)</f>
        <v>45700</v>
      </c>
      <c r="F9" s="6"/>
      <c r="G9" s="6"/>
      <c r="H9" s="6"/>
      <c r="I9" s="36">
        <f>_xlfn.XLOOKUP(A9,'steel Mint data'!A:A,'steel Mint data'!I:I,"",0)</f>
        <v>44600</v>
      </c>
      <c r="J9" s="6"/>
      <c r="K9" s="6">
        <f>_xlfn.XLOOKUP(A9,'steel Mint data'!A:A,'steel Mint data'!L:L,"",0)</f>
        <v>47000</v>
      </c>
      <c r="L9" s="6"/>
      <c r="M9" s="6"/>
      <c r="N9" s="6"/>
      <c r="O9" s="6"/>
      <c r="P9" s="7">
        <f>_xlfn.XLOOKUP(A9,'steel Mint data'!A:A,'steel Mint data'!Q:Q,"",0)</f>
        <v>41700</v>
      </c>
      <c r="Q9" s="6">
        <f>_xlfn.XLOOKUP(A9,'steel Mint data'!A:A,'steel Mint data'!R:R,"",0)</f>
        <v>41800</v>
      </c>
    </row>
    <row r="10" spans="1:17">
      <c r="A10" s="5">
        <f t="shared" si="0"/>
        <v>45816</v>
      </c>
      <c r="B10" s="6"/>
      <c r="C10" s="6"/>
      <c r="D10" s="6"/>
      <c r="E10" s="6" t="str">
        <f>_xlfn.XLOOKUP(A10,'steel Mint data'!A:A,'steel Mint data'!D:D,"",0)</f>
        <v>H</v>
      </c>
      <c r="F10" s="6"/>
      <c r="G10" s="6"/>
      <c r="H10" s="6"/>
      <c r="I10" s="36" t="str">
        <f>_xlfn.XLOOKUP(A10,'steel Mint data'!A:A,'steel Mint data'!I:I,"",0)</f>
        <v>H</v>
      </c>
      <c r="J10" s="6"/>
      <c r="K10" s="6" t="str">
        <f>_xlfn.XLOOKUP(A10,'steel Mint data'!A:A,'steel Mint data'!L:L,"",0)</f>
        <v>H</v>
      </c>
      <c r="L10" s="6"/>
      <c r="M10" s="6"/>
      <c r="N10" s="6"/>
      <c r="O10" s="6"/>
      <c r="P10" s="7" t="str">
        <f>_xlfn.XLOOKUP(A10,'steel Mint data'!A:A,'steel Mint data'!Q:Q,"",0)</f>
        <v>H</v>
      </c>
      <c r="Q10" s="6" t="str">
        <f>_xlfn.XLOOKUP(A10,'steel Mint data'!A:A,'steel Mint data'!R:R,"",0)</f>
        <v>H</v>
      </c>
    </row>
    <row r="11" spans="1:17">
      <c r="A11" s="5">
        <f t="shared" si="0"/>
        <v>45817</v>
      </c>
      <c r="B11" s="6"/>
      <c r="C11" s="6"/>
      <c r="D11" s="6"/>
      <c r="E11" s="6">
        <f>_xlfn.XLOOKUP(A11,'steel Mint data'!A:A,'steel Mint data'!D:D,"",0)</f>
        <v>45500</v>
      </c>
      <c r="F11" s="6"/>
      <c r="G11" s="6"/>
      <c r="H11" s="6"/>
      <c r="I11" s="36">
        <f>_xlfn.XLOOKUP(A11,'steel Mint data'!A:A,'steel Mint data'!I:I,"",0)</f>
        <v>44600</v>
      </c>
      <c r="J11" s="6"/>
      <c r="K11" s="6">
        <f>_xlfn.XLOOKUP(A11,'steel Mint data'!A:A,'steel Mint data'!L:L,"",0)</f>
        <v>46900</v>
      </c>
      <c r="L11" s="6"/>
      <c r="M11" s="6"/>
      <c r="N11" s="6"/>
      <c r="O11" s="6"/>
      <c r="P11" s="7">
        <f>_xlfn.XLOOKUP(A11,'steel Mint data'!A:A,'steel Mint data'!Q:Q,"",0)</f>
        <v>41500</v>
      </c>
      <c r="Q11" s="6">
        <f>_xlfn.XLOOKUP(A11,'steel Mint data'!A:A,'steel Mint data'!R:R,"",0)</f>
        <v>41600</v>
      </c>
    </row>
    <row r="12" spans="1:17">
      <c r="A12" s="5">
        <f>A11+1</f>
        <v>45818</v>
      </c>
      <c r="B12" s="6"/>
      <c r="C12" s="6"/>
      <c r="D12" s="6"/>
      <c r="E12" s="6">
        <f>_xlfn.XLOOKUP(A12,'steel Mint data'!A:A,'steel Mint data'!D:D,"",0)</f>
        <v>45600</v>
      </c>
      <c r="F12" s="6"/>
      <c r="G12" s="6"/>
      <c r="H12" s="6"/>
      <c r="I12" s="36">
        <f>_xlfn.XLOOKUP(A12,'steel Mint data'!A:A,'steel Mint data'!I:I,"",0)</f>
        <v>44600</v>
      </c>
      <c r="J12" s="6"/>
      <c r="K12" s="6">
        <f>_xlfn.XLOOKUP(A12,'steel Mint data'!A:A,'steel Mint data'!L:L,"",0)</f>
        <v>46900</v>
      </c>
      <c r="L12" s="6"/>
      <c r="M12" s="6"/>
      <c r="N12" s="6"/>
      <c r="O12" s="6"/>
      <c r="P12" s="7">
        <f>_xlfn.XLOOKUP(A12,'steel Mint data'!A:A,'steel Mint data'!Q:Q,"",0)</f>
        <v>41400</v>
      </c>
      <c r="Q12" s="6">
        <f>_xlfn.XLOOKUP(A12,'steel Mint data'!A:A,'steel Mint data'!R:R,"",0)</f>
        <v>41500</v>
      </c>
    </row>
    <row r="13" spans="1:17">
      <c r="A13" s="5">
        <f t="shared" si="0"/>
        <v>45819</v>
      </c>
      <c r="B13" s="6"/>
      <c r="C13" s="6"/>
      <c r="D13" s="6"/>
      <c r="E13" s="6">
        <f>_xlfn.XLOOKUP(A13,'steel Mint data'!A:A,'steel Mint data'!D:D,"",0)</f>
        <v>45600</v>
      </c>
      <c r="F13" s="6"/>
      <c r="G13" s="6"/>
      <c r="H13" s="6"/>
      <c r="I13" s="36">
        <f>_xlfn.XLOOKUP(A13,'steel Mint data'!A:A,'steel Mint data'!I:I,"",0)</f>
        <v>44400</v>
      </c>
      <c r="J13" s="6"/>
      <c r="K13" s="6">
        <f>_xlfn.XLOOKUP(A13,'steel Mint data'!A:A,'steel Mint data'!L:L,"",0)</f>
        <v>46900</v>
      </c>
      <c r="L13" s="6"/>
      <c r="M13" s="6"/>
      <c r="N13" s="6"/>
      <c r="O13" s="6"/>
      <c r="P13" s="7">
        <f>_xlfn.XLOOKUP(A13,'steel Mint data'!A:A,'steel Mint data'!Q:Q,"",0)</f>
        <v>41400</v>
      </c>
      <c r="Q13" s="6">
        <f>_xlfn.XLOOKUP(A13,'steel Mint data'!A:A,'steel Mint data'!R:R,"",0)</f>
        <v>41700</v>
      </c>
    </row>
    <row r="14" spans="1:17">
      <c r="A14" s="5">
        <f t="shared" si="0"/>
        <v>45820</v>
      </c>
      <c r="B14" s="6"/>
      <c r="C14" s="6"/>
      <c r="D14" s="6"/>
      <c r="E14" s="6">
        <f>_xlfn.XLOOKUP(A14,'steel Mint data'!A:A,'steel Mint data'!D:D,"",0)</f>
        <v>45500</v>
      </c>
      <c r="F14" s="6"/>
      <c r="G14" s="6"/>
      <c r="H14" s="6"/>
      <c r="I14" s="36">
        <f>_xlfn.XLOOKUP(A14,'steel Mint data'!A:A,'steel Mint data'!I:I,"",0)</f>
        <v>44300</v>
      </c>
      <c r="J14" s="6"/>
      <c r="K14" s="6">
        <f>_xlfn.XLOOKUP(A14,'steel Mint data'!A:A,'steel Mint data'!L:L,"",0)</f>
        <v>46800</v>
      </c>
      <c r="L14" s="6"/>
      <c r="M14" s="6"/>
      <c r="N14" s="6"/>
      <c r="O14" s="6"/>
      <c r="P14" s="7">
        <f>_xlfn.XLOOKUP(A14,'steel Mint data'!A:A,'steel Mint data'!Q:Q,"",0)</f>
        <v>41400</v>
      </c>
      <c r="Q14" s="6">
        <f>_xlfn.XLOOKUP(A14,'steel Mint data'!A:A,'steel Mint data'!R:R,"",0)</f>
        <v>41700</v>
      </c>
    </row>
    <row r="15" spans="1:17">
      <c r="A15" s="5">
        <f t="shared" si="0"/>
        <v>45821</v>
      </c>
      <c r="B15" s="6"/>
      <c r="C15" s="6"/>
      <c r="D15" s="6"/>
      <c r="E15" s="6">
        <f>_xlfn.XLOOKUP(A15,'steel Mint data'!A:A,'steel Mint data'!D:D,"",0)</f>
        <v>45400</v>
      </c>
      <c r="F15" s="6"/>
      <c r="G15" s="6"/>
      <c r="H15" s="6"/>
      <c r="I15" s="36">
        <f>_xlfn.XLOOKUP(A15,'steel Mint data'!A:A,'steel Mint data'!I:I,"",0)</f>
        <v>44300</v>
      </c>
      <c r="J15" s="6"/>
      <c r="K15" s="6">
        <f>_xlfn.XLOOKUP(A15,'steel Mint data'!A:A,'steel Mint data'!L:L,"",0)</f>
        <v>46600</v>
      </c>
      <c r="L15" s="6"/>
      <c r="M15" s="6"/>
      <c r="N15" s="6"/>
      <c r="O15" s="6"/>
      <c r="P15" s="7">
        <f>_xlfn.XLOOKUP(A15,'steel Mint data'!A:A,'steel Mint data'!Q:Q,"",0)</f>
        <v>41300</v>
      </c>
      <c r="Q15" s="6">
        <f>_xlfn.XLOOKUP(A15,'steel Mint data'!A:A,'steel Mint data'!R:R,"",0)</f>
        <v>41600</v>
      </c>
    </row>
    <row r="16" spans="1:17">
      <c r="A16" s="5">
        <f>A15+1</f>
        <v>45822</v>
      </c>
      <c r="B16" s="6"/>
      <c r="C16" s="6"/>
      <c r="D16" s="6"/>
      <c r="E16" s="6">
        <f>_xlfn.XLOOKUP(A16,'steel Mint data'!A:A,'steel Mint data'!D:D,"",0)</f>
        <v>45300</v>
      </c>
      <c r="F16" s="6"/>
      <c r="G16" s="6"/>
      <c r="H16" s="6"/>
      <c r="I16" s="36">
        <f>_xlfn.XLOOKUP(A16,'steel Mint data'!A:A,'steel Mint data'!I:I,"",0)</f>
        <v>44200</v>
      </c>
      <c r="J16" s="6"/>
      <c r="K16" s="6">
        <f>_xlfn.XLOOKUP(A16,'steel Mint data'!A:A,'steel Mint data'!L:L,"",0)</f>
        <v>46600</v>
      </c>
      <c r="L16" s="6"/>
      <c r="M16" s="6"/>
      <c r="N16" s="6"/>
      <c r="O16" s="6"/>
      <c r="P16" s="7">
        <f>_xlfn.XLOOKUP(A16,'steel Mint data'!A:A,'steel Mint data'!Q:Q,"",0)</f>
        <v>41200</v>
      </c>
      <c r="Q16" s="6">
        <f>_xlfn.XLOOKUP(A16,'steel Mint data'!A:A,'steel Mint data'!R:R,"",0)</f>
        <v>41500</v>
      </c>
    </row>
    <row r="17" spans="1:19">
      <c r="A17" s="5">
        <f>A16+1</f>
        <v>45823</v>
      </c>
      <c r="B17" s="6"/>
      <c r="C17" s="6"/>
      <c r="D17" s="6"/>
      <c r="E17" s="6" t="str">
        <f>_xlfn.XLOOKUP(A17,'steel Mint data'!A:A,'steel Mint data'!D:D,"",0)</f>
        <v>H</v>
      </c>
      <c r="F17" s="6"/>
      <c r="G17" s="6"/>
      <c r="H17" s="6"/>
      <c r="I17" s="36" t="str">
        <f>_xlfn.XLOOKUP(A17,'steel Mint data'!A:A,'steel Mint data'!I:I,"",0)</f>
        <v>H</v>
      </c>
      <c r="J17" s="6"/>
      <c r="K17" s="6" t="str">
        <f>_xlfn.XLOOKUP(A17,'steel Mint data'!A:A,'steel Mint data'!L:L,"",0)</f>
        <v>H</v>
      </c>
      <c r="L17" s="6"/>
      <c r="M17" s="6"/>
      <c r="N17" s="6"/>
      <c r="O17" s="6"/>
      <c r="P17" s="7" t="str">
        <f>_xlfn.XLOOKUP(A17,'steel Mint data'!A:A,'steel Mint data'!Q:Q,"",0)</f>
        <v>H</v>
      </c>
      <c r="Q17" s="6" t="str">
        <f>_xlfn.XLOOKUP(A17,'steel Mint data'!A:A,'steel Mint data'!R:R,"",0)</f>
        <v>H</v>
      </c>
    </row>
    <row r="18" spans="1:19">
      <c r="A18" s="5">
        <f>A17+1</f>
        <v>45824</v>
      </c>
      <c r="B18" s="6"/>
      <c r="C18" s="6"/>
      <c r="D18" s="6"/>
      <c r="E18" s="6">
        <f>_xlfn.XLOOKUP(A18,'steel Mint data'!A:A,'steel Mint data'!D:D,"",0)</f>
        <v>45300</v>
      </c>
      <c r="F18" s="6"/>
      <c r="G18" s="6"/>
      <c r="H18" s="6"/>
      <c r="I18" s="36">
        <f>_xlfn.XLOOKUP(A18,'steel Mint data'!A:A,'steel Mint data'!I:I,"",0)</f>
        <v>44200</v>
      </c>
      <c r="J18" s="6"/>
      <c r="K18" s="6">
        <f>_xlfn.XLOOKUP(A18,'steel Mint data'!A:A,'steel Mint data'!L:L,"",0)</f>
        <v>46600</v>
      </c>
      <c r="L18" s="6"/>
      <c r="M18" s="6"/>
      <c r="N18" s="6"/>
      <c r="O18" s="6"/>
      <c r="P18" s="7">
        <f>_xlfn.XLOOKUP(A18,'steel Mint data'!A:A,'steel Mint data'!Q:Q,"",0)</f>
        <v>41200</v>
      </c>
      <c r="Q18" s="6">
        <f>_xlfn.XLOOKUP(A18,'steel Mint data'!A:A,'steel Mint data'!R:R,"",0)</f>
        <v>41500</v>
      </c>
      <c r="S18" s="33"/>
    </row>
    <row r="19" spans="1:19">
      <c r="A19" s="14"/>
      <c r="B19" s="14"/>
      <c r="C19" s="14"/>
      <c r="D19" s="14"/>
      <c r="E19" s="15">
        <f>SUM(E3:E18)</f>
        <v>593600</v>
      </c>
      <c r="F19" s="14"/>
      <c r="G19" s="14"/>
      <c r="H19" s="14"/>
      <c r="I19" s="15">
        <f>SUM(I3:I18)</f>
        <v>580500</v>
      </c>
      <c r="J19" s="14"/>
      <c r="K19" s="15">
        <f>SUM(K3:K18)</f>
        <v>609600</v>
      </c>
      <c r="L19" s="14"/>
      <c r="M19" s="14"/>
      <c r="N19" s="14"/>
      <c r="O19" s="14"/>
      <c r="P19" s="15">
        <f>SUM(P3:P18)</f>
        <v>541700</v>
      </c>
      <c r="Q19" s="15">
        <f>SUM(Q3:Q18)</f>
        <v>543700</v>
      </c>
    </row>
    <row r="20" spans="1:19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23</v>
      </c>
      <c r="H20" s="16" t="s">
        <v>39</v>
      </c>
      <c r="I20" s="19"/>
      <c r="J20" s="14"/>
      <c r="K20" s="14"/>
      <c r="L20" s="14"/>
      <c r="M20" s="14"/>
      <c r="N20" s="14"/>
      <c r="O20" s="14"/>
      <c r="P20" s="14"/>
      <c r="Q20" s="14"/>
    </row>
    <row r="21" spans="1:19">
      <c r="A21" s="17" t="s">
        <v>25</v>
      </c>
      <c r="B21" s="18">
        <f>E19/O21</f>
        <v>45661.538461538461</v>
      </c>
      <c r="C21" s="18">
        <f>P19/O21</f>
        <v>41669.230769230766</v>
      </c>
      <c r="D21" s="18">
        <f>K19/O21</f>
        <v>46892.307692307695</v>
      </c>
      <c r="E21" s="18">
        <f>Q19/O21</f>
        <v>41823.076923076922</v>
      </c>
      <c r="F21" s="18">
        <f>C21</f>
        <v>41669.230769230766</v>
      </c>
      <c r="G21" s="18">
        <f>B21-800</f>
        <v>44861.538461538461</v>
      </c>
      <c r="H21" s="18">
        <f>I19/O21</f>
        <v>44653.846153846156</v>
      </c>
      <c r="I21" s="19"/>
      <c r="J21" s="19"/>
      <c r="K21" s="19"/>
      <c r="L21" s="14"/>
      <c r="M21" s="14"/>
      <c r="N21" s="14"/>
      <c r="O21" s="20">
        <f>COUNT(P1:P18)</f>
        <v>13</v>
      </c>
      <c r="P21" s="21"/>
      <c r="Q21" s="14"/>
      <c r="R21" s="33"/>
    </row>
    <row r="22" spans="1:19">
      <c r="A22" s="17" t="s">
        <v>26</v>
      </c>
      <c r="B22" s="18">
        <v>1200</v>
      </c>
      <c r="C22" s="18">
        <v>2150</v>
      </c>
      <c r="D22" s="18">
        <v>400</v>
      </c>
      <c r="E22" s="18">
        <v>2200</v>
      </c>
      <c r="F22" s="18">
        <v>1800</v>
      </c>
      <c r="G22" s="18">
        <v>1200</v>
      </c>
      <c r="H22" s="18">
        <v>800</v>
      </c>
      <c r="I22" s="19"/>
      <c r="J22" s="19"/>
      <c r="K22" s="19"/>
      <c r="L22" s="19"/>
      <c r="M22" s="19"/>
      <c r="N22" s="14"/>
      <c r="O22" s="14"/>
      <c r="P22" s="14"/>
      <c r="Q22" s="14">
        <f>50300-800-47650</f>
        <v>1850</v>
      </c>
      <c r="R22" s="33"/>
    </row>
    <row r="23" spans="1:19">
      <c r="A23" s="17" t="s">
        <v>27</v>
      </c>
      <c r="B23" s="18">
        <v>200</v>
      </c>
      <c r="C23" s="18">
        <v>265</v>
      </c>
      <c r="D23" s="18">
        <v>250</v>
      </c>
      <c r="E23" s="18">
        <v>275</v>
      </c>
      <c r="F23" s="18">
        <v>275</v>
      </c>
      <c r="G23" s="18">
        <v>200</v>
      </c>
      <c r="H23" s="18">
        <v>270</v>
      </c>
      <c r="I23" s="19"/>
      <c r="J23" s="19">
        <f>C24+1250+3000</f>
        <v>48334.230769230766</v>
      </c>
      <c r="K23" s="19">
        <f>50500-G24-1000-1000</f>
        <v>2238.461538461539</v>
      </c>
      <c r="L23" s="19"/>
      <c r="M23" s="19"/>
      <c r="N23" s="14"/>
      <c r="O23" s="19"/>
      <c r="P23" s="19"/>
      <c r="Q23" s="19"/>
      <c r="R23" s="33"/>
    </row>
    <row r="24" spans="1:19" ht="24.75">
      <c r="A24" s="22" t="s">
        <v>28</v>
      </c>
      <c r="B24" s="18">
        <f>SUM(B21:B23)</f>
        <v>47061.538461538461</v>
      </c>
      <c r="C24" s="18">
        <f>SUM(C21:C23)</f>
        <v>44084.230769230766</v>
      </c>
      <c r="D24" s="18">
        <f>SUM(D21:D23)</f>
        <v>47542.307692307695</v>
      </c>
      <c r="E24" s="18">
        <f>SUM(E21:E23)</f>
        <v>44298.076923076922</v>
      </c>
      <c r="F24" s="18">
        <f>SUM(F21:F23)</f>
        <v>43744.230769230766</v>
      </c>
      <c r="G24" s="18">
        <f>SUM(G21:G23)</f>
        <v>46261.538461538461</v>
      </c>
      <c r="H24" s="18">
        <f>SUM(H21:H23)</f>
        <v>45723.846153846156</v>
      </c>
      <c r="I24" s="19"/>
      <c r="J24" s="19">
        <f>D24-B24</f>
        <v>480.76923076923413</v>
      </c>
      <c r="K24" s="19">
        <f>J24-150</f>
        <v>330.76923076923413</v>
      </c>
      <c r="L24" s="14"/>
      <c r="M24" s="19">
        <f>50500-G24-1000-1000</f>
        <v>2238.461538461539</v>
      </c>
      <c r="N24" s="14"/>
      <c r="O24" s="19">
        <f>52700-3700</f>
        <v>49000</v>
      </c>
      <c r="P24" s="19">
        <f>O24-1000-1000-G24</f>
        <v>738.46153846153902</v>
      </c>
      <c r="Q24" s="14"/>
      <c r="R24" s="33"/>
    </row>
    <row r="25" spans="1:19">
      <c r="A25" s="22" t="s">
        <v>29</v>
      </c>
      <c r="B25" s="18">
        <v>47200</v>
      </c>
      <c r="C25" s="18">
        <v>44915</v>
      </c>
      <c r="D25" s="18">
        <v>47550</v>
      </c>
      <c r="E25" s="23"/>
      <c r="F25" s="18">
        <v>44575</v>
      </c>
      <c r="G25" s="18">
        <v>46400</v>
      </c>
      <c r="H25" s="18">
        <v>45970</v>
      </c>
      <c r="I25" s="19"/>
      <c r="J25" s="34">
        <f>55500-51800</f>
        <v>3700</v>
      </c>
      <c r="K25" s="19"/>
      <c r="L25" s="14"/>
      <c r="M25" s="19"/>
      <c r="N25" s="14"/>
      <c r="O25" s="14"/>
      <c r="P25" s="19"/>
      <c r="Q25" s="14"/>
    </row>
    <row r="26" spans="1:19">
      <c r="A26" s="22" t="s">
        <v>30</v>
      </c>
      <c r="B26" s="18">
        <f>B24-B25</f>
        <v>-138.46153846153902</v>
      </c>
      <c r="C26" s="18">
        <f>C24-C25</f>
        <v>-830.76923076923413</v>
      </c>
      <c r="D26" s="18">
        <f>D24-D25</f>
        <v>-7.6923076923048939</v>
      </c>
      <c r="E26" s="18">
        <f>E24-E25</f>
        <v>44298.076923076922</v>
      </c>
      <c r="F26" s="18">
        <f>F24-F25</f>
        <v>-830.76923076923413</v>
      </c>
      <c r="G26" s="18">
        <f>G24-G25</f>
        <v>-138.46153846153902</v>
      </c>
      <c r="H26" s="18">
        <f>H24-H25</f>
        <v>-246.15384615384392</v>
      </c>
      <c r="I26" s="14"/>
      <c r="J26" s="19"/>
      <c r="K26" s="19"/>
      <c r="L26" s="19"/>
      <c r="M26" s="19"/>
      <c r="N26" s="14">
        <f>52700-4000</f>
        <v>48700</v>
      </c>
      <c r="O26" s="19"/>
      <c r="P26" s="14"/>
      <c r="Q26" s="19"/>
    </row>
    <row r="27" spans="1:19">
      <c r="A27" s="14"/>
      <c r="B27" s="14"/>
      <c r="C27" s="14"/>
      <c r="D27" s="14"/>
      <c r="E27" s="14"/>
      <c r="F27" s="14"/>
      <c r="G27" s="14"/>
      <c r="H27" s="14"/>
      <c r="I27" s="19"/>
      <c r="J27" s="19"/>
      <c r="K27" s="14"/>
      <c r="L27" s="24">
        <f>50600-B24</f>
        <v>3538.461538461539</v>
      </c>
      <c r="M27" s="19"/>
      <c r="N27" s="24"/>
      <c r="O27" s="24"/>
      <c r="P27" s="14"/>
      <c r="Q27" s="14"/>
      <c r="S27">
        <f>52100*45</f>
        <v>2344500</v>
      </c>
    </row>
    <row r="28" spans="1:19">
      <c r="A28" s="22" t="s">
        <v>31</v>
      </c>
      <c r="B28" s="18">
        <v>51300</v>
      </c>
      <c r="C28" s="18">
        <v>48550</v>
      </c>
      <c r="D28" s="18">
        <v>51800</v>
      </c>
      <c r="E28" s="18">
        <v>49650</v>
      </c>
      <c r="F28" s="18">
        <v>48550</v>
      </c>
      <c r="G28" s="18">
        <v>50500</v>
      </c>
      <c r="H28" s="18">
        <v>50800</v>
      </c>
      <c r="I28" s="19"/>
      <c r="J28" s="14"/>
      <c r="K28" s="19">
        <f>49600-2900-400-C24</f>
        <v>2215.7692307692341</v>
      </c>
      <c r="L28" s="24">
        <f>50600-B25</f>
        <v>3400</v>
      </c>
      <c r="M28" s="19"/>
      <c r="N28" s="19"/>
      <c r="O28" s="19">
        <f>52700-4000</f>
        <v>48700</v>
      </c>
      <c r="P28" s="19">
        <f>50300-D24</f>
        <v>2757.6923076923049</v>
      </c>
      <c r="Q28" s="14"/>
      <c r="R28" s="33"/>
    </row>
    <row r="29" spans="1:19">
      <c r="A29" s="22" t="s">
        <v>32</v>
      </c>
      <c r="B29" s="26">
        <f>B28-500-(200+300+300)-250-400</f>
        <v>49350</v>
      </c>
      <c r="C29" s="26">
        <f t="shared" ref="C29:H29" si="1">C28-500-(200+300+300)-250-400</f>
        <v>46600</v>
      </c>
      <c r="D29" s="26">
        <f t="shared" si="1"/>
        <v>49850</v>
      </c>
      <c r="E29" s="26">
        <f t="shared" si="1"/>
        <v>47700</v>
      </c>
      <c r="F29" s="26">
        <f t="shared" si="1"/>
        <v>46600</v>
      </c>
      <c r="G29" s="26">
        <f t="shared" si="1"/>
        <v>48550</v>
      </c>
      <c r="H29" s="26">
        <f t="shared" si="1"/>
        <v>48850</v>
      </c>
      <c r="I29" s="19"/>
      <c r="J29" s="19"/>
      <c r="K29" s="19">
        <f>49600-2900-400-C25</f>
        <v>1385</v>
      </c>
      <c r="L29" s="24"/>
      <c r="M29" s="19"/>
      <c r="N29" s="19"/>
      <c r="O29" s="19"/>
      <c r="P29" s="19">
        <f>50300-D25</f>
        <v>2750</v>
      </c>
      <c r="Q29" s="14"/>
    </row>
    <row r="30" spans="1:19">
      <c r="A30" s="25" t="s">
        <v>33</v>
      </c>
      <c r="B30" s="18">
        <f>B29-B24</f>
        <v>2288.461538461539</v>
      </c>
      <c r="C30" s="18">
        <f t="shared" ref="B30:H30" si="2">C29-C24</f>
        <v>2515.7692307692341</v>
      </c>
      <c r="D30" s="18">
        <f t="shared" si="2"/>
        <v>2307.6923076923049</v>
      </c>
      <c r="E30" s="18">
        <f t="shared" si="2"/>
        <v>3401.923076923078</v>
      </c>
      <c r="F30" s="18">
        <f t="shared" si="2"/>
        <v>2855.7692307692341</v>
      </c>
      <c r="G30" s="18">
        <f t="shared" si="2"/>
        <v>2288.461538461539</v>
      </c>
      <c r="H30" s="18">
        <f t="shared" si="2"/>
        <v>3126.1538461538439</v>
      </c>
      <c r="I30" s="19"/>
      <c r="J30" s="19"/>
      <c r="K30" s="19">
        <f>K28-K29</f>
        <v>830.76923076923413</v>
      </c>
      <c r="L30" s="24"/>
      <c r="M30" s="19">
        <f>50500-2200-300-1250-C24</f>
        <v>2665.7692307692341</v>
      </c>
      <c r="N30" s="14"/>
      <c r="O30" s="19"/>
      <c r="P30" s="14"/>
      <c r="Q30" s="14"/>
    </row>
    <row r="31" spans="1:19">
      <c r="I31" s="33"/>
      <c r="K31" s="33"/>
      <c r="L31" s="33"/>
      <c r="M31" s="19">
        <f>50500-2200-300-1250-C25</f>
        <v>1835</v>
      </c>
      <c r="N31" s="33">
        <f>M30-M31</f>
        <v>830.76923076923413</v>
      </c>
      <c r="O31" s="19"/>
      <c r="P31" s="33"/>
      <c r="R31" s="33">
        <f>50600-550-D24</f>
        <v>2507.6923076923049</v>
      </c>
    </row>
    <row r="32" spans="1:19">
      <c r="B32" s="33">
        <f>B28-B24-2000</f>
        <v>2238.461538461539</v>
      </c>
      <c r="C32" s="33">
        <f t="shared" ref="C32:H32" si="3">C28-C24-2000</f>
        <v>2465.7692307692341</v>
      </c>
      <c r="D32" s="33">
        <f t="shared" si="3"/>
        <v>2257.6923076923049</v>
      </c>
      <c r="E32" s="33">
        <f t="shared" si="3"/>
        <v>3351.923076923078</v>
      </c>
      <c r="F32" s="33">
        <f t="shared" si="3"/>
        <v>2805.7692307692341</v>
      </c>
      <c r="G32" s="33">
        <f t="shared" si="3"/>
        <v>2238.461538461539</v>
      </c>
      <c r="H32" s="33">
        <f t="shared" si="3"/>
        <v>3076.1538461538439</v>
      </c>
      <c r="K32" s="33">
        <f>52100-2600-1250-C24</f>
        <v>4165.7692307692341</v>
      </c>
      <c r="L32" s="33"/>
      <c r="P32" s="33"/>
      <c r="R32" s="33">
        <f>50600-550-D25</f>
        <v>2500</v>
      </c>
    </row>
    <row r="33" spans="1:16">
      <c r="C33" s="33">
        <f>C24+3500+1250</f>
        <v>48834.230769230766</v>
      </c>
      <c r="J33" s="33"/>
      <c r="K33" s="33">
        <f>52100-2600-1250-C25</f>
        <v>3335</v>
      </c>
      <c r="L33" s="33">
        <f>51200-1200-B24</f>
        <v>2938.461538461539</v>
      </c>
      <c r="N33" s="33"/>
    </row>
    <row r="34" spans="1:16">
      <c r="C34" s="33">
        <f>50000-C33</f>
        <v>1165.7692307692341</v>
      </c>
      <c r="H34" s="33"/>
      <c r="J34" s="33">
        <f>50600-1200-B24</f>
        <v>2338.461538461539</v>
      </c>
      <c r="K34" s="33">
        <f>K32-K33</f>
        <v>830.76923076923413</v>
      </c>
      <c r="L34" s="33">
        <f>51200-1000-D24</f>
        <v>2657.6923076923049</v>
      </c>
      <c r="N34" s="33"/>
      <c r="P34" s="33">
        <f>52100-2600-1250-C24</f>
        <v>4165.7692307692341</v>
      </c>
    </row>
    <row r="35" spans="1:16" ht="30.75">
      <c r="A35" s="39" t="s">
        <v>40</v>
      </c>
      <c r="B35" s="40" t="s">
        <v>41</v>
      </c>
      <c r="C35" s="33">
        <f>50000-C24-1250-3400</f>
        <v>1265.7692307692341</v>
      </c>
      <c r="D35" s="33"/>
      <c r="E35" s="33">
        <f>50000-D24-1000</f>
        <v>1457.6923076923049</v>
      </c>
      <c r="F35" s="33"/>
      <c r="H35" s="33"/>
      <c r="I35" s="33"/>
      <c r="J35" s="33">
        <f>50600-550-D24</f>
        <v>2507.6923076923049</v>
      </c>
      <c r="O35" s="33"/>
      <c r="P35" s="33">
        <f>52100-2600-1250-C25</f>
        <v>3335</v>
      </c>
    </row>
    <row r="36" spans="1:16">
      <c r="A36" s="29" t="s">
        <v>42</v>
      </c>
      <c r="B36" s="29">
        <v>47200</v>
      </c>
      <c r="D36" s="33"/>
      <c r="F36" s="33"/>
      <c r="H36" s="33"/>
      <c r="I36" s="33"/>
      <c r="J36" s="33"/>
      <c r="M36" s="33"/>
      <c r="O36" s="33"/>
    </row>
    <row r="37" spans="1:16">
      <c r="A37" s="29" t="s">
        <v>43</v>
      </c>
      <c r="B37" s="29">
        <v>44915</v>
      </c>
      <c r="K37" s="33"/>
    </row>
    <row r="38" spans="1:16">
      <c r="A38" s="29" t="s">
        <v>44</v>
      </c>
      <c r="B38" s="29">
        <v>44575</v>
      </c>
      <c r="K38" s="33"/>
      <c r="O38" s="33"/>
    </row>
    <row r="39" spans="1:16">
      <c r="A39" s="29" t="s">
        <v>36</v>
      </c>
      <c r="B39" s="29">
        <v>47550</v>
      </c>
      <c r="D39" s="33"/>
      <c r="N39" s="33"/>
    </row>
    <row r="40" spans="1:16">
      <c r="A40" s="29" t="s">
        <v>37</v>
      </c>
      <c r="B40" s="29">
        <f>B36-800</f>
        <v>46400</v>
      </c>
      <c r="D40">
        <f>53000-1800-B40-1000</f>
        <v>3800</v>
      </c>
      <c r="I40" s="35"/>
    </row>
    <row r="41" spans="1:16">
      <c r="A41" s="29" t="s">
        <v>45</v>
      </c>
      <c r="B41" s="29">
        <v>45970</v>
      </c>
      <c r="H41" s="33"/>
    </row>
    <row r="43" spans="1:16">
      <c r="L43" s="33"/>
    </row>
  </sheetData>
  <mergeCells count="1">
    <mergeCell ref="B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B658-D788-4C10-9145-B1C792AAFCFA}">
  <dimension ref="A1:U43"/>
  <sheetViews>
    <sheetView workbookViewId="0">
      <pane ySplit="2" topLeftCell="R14" activePane="bottomLeft" state="frozen"/>
      <selection pane="bottomLeft" activeCell="R14" sqref="R14"/>
    </sheetView>
  </sheetViews>
  <sheetFormatPr defaultColWidth="15.85546875" defaultRowHeight="15"/>
  <cols>
    <col min="2" max="7" width="10.85546875" customWidth="1"/>
    <col min="8" max="8" width="13.140625" customWidth="1"/>
    <col min="9" max="10" width="10.85546875" customWidth="1"/>
    <col min="11" max="11" width="17.85546875" customWidth="1"/>
    <col min="12" max="17" width="10.85546875" customWidth="1"/>
  </cols>
  <sheetData>
    <row r="1" spans="1:20">
      <c r="A1" s="1"/>
      <c r="B1" s="519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</row>
    <row r="2" spans="1:20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</row>
    <row r="3" spans="1:20">
      <c r="A3" s="5">
        <v>45824</v>
      </c>
      <c r="B3" s="6"/>
      <c r="C3" s="6"/>
      <c r="D3" s="6"/>
      <c r="E3" s="36">
        <f>_xlfn.XLOOKUP(A3,'steel Mint data'!A:A,'steel Mint data'!D:D,"",0)</f>
        <v>45300</v>
      </c>
      <c r="F3" s="6"/>
      <c r="G3" s="6"/>
      <c r="H3" s="6"/>
      <c r="I3" s="36">
        <f>_xlfn.XLOOKUP(A3,'steel Mint data'!A:A,'steel Mint data'!I:I,"",0)</f>
        <v>44200</v>
      </c>
      <c r="J3" s="6"/>
      <c r="K3" s="36">
        <f>_xlfn.XLOOKUP(A3,'steel Mint data'!A:A,'steel Mint data'!L:L,"",0)</f>
        <v>46600</v>
      </c>
      <c r="L3" s="6"/>
      <c r="M3" s="6"/>
      <c r="N3" s="6"/>
      <c r="O3" s="6"/>
      <c r="P3" s="37">
        <f>_xlfn.XLOOKUP(A3,'steel Mint data'!A:A,'steel Mint data'!Q:Q,"",0)</f>
        <v>41200</v>
      </c>
      <c r="Q3" s="36">
        <f>_xlfn.XLOOKUP(A3,'steel Mint data'!A:A,'steel Mint data'!R:R,"",0)</f>
        <v>41500</v>
      </c>
    </row>
    <row r="4" spans="1:20">
      <c r="A4" s="5">
        <f>A3+1</f>
        <v>45825</v>
      </c>
      <c r="B4" s="6"/>
      <c r="C4" s="6"/>
      <c r="D4" s="6"/>
      <c r="E4" s="6">
        <f>_xlfn.XLOOKUP(A4,'steel Mint data'!A:A,'steel Mint data'!D:D,"",0)</f>
        <v>45400</v>
      </c>
      <c r="F4" s="6"/>
      <c r="G4" s="6"/>
      <c r="H4" s="6"/>
      <c r="I4" s="36">
        <f>_xlfn.XLOOKUP(A4,'steel Mint data'!A:A,'steel Mint data'!I:I,"",0)</f>
        <v>44200</v>
      </c>
      <c r="J4" s="6"/>
      <c r="K4" s="6">
        <f>_xlfn.XLOOKUP(A4,'steel Mint data'!A:A,'steel Mint data'!L:L,"",0)</f>
        <v>46600</v>
      </c>
      <c r="L4" s="6"/>
      <c r="M4" s="6"/>
      <c r="N4" s="6"/>
      <c r="O4" s="6"/>
      <c r="P4" s="7">
        <f>_xlfn.XLOOKUP(A4,'steel Mint data'!A:A,'steel Mint data'!Q:Q,"",0)</f>
        <v>41200</v>
      </c>
      <c r="Q4" s="6">
        <f>_xlfn.XLOOKUP(A4,'steel Mint data'!A:A,'steel Mint data'!R:R,"",0)</f>
        <v>41500</v>
      </c>
    </row>
    <row r="5" spans="1:20">
      <c r="A5" s="5">
        <f t="shared" ref="A5:A15" si="0">A4+1</f>
        <v>45826</v>
      </c>
      <c r="B5" s="6"/>
      <c r="C5" s="6"/>
      <c r="D5" s="6"/>
      <c r="E5" s="36">
        <f>_xlfn.XLOOKUP(A5,'steel Mint data'!A:A,'steel Mint data'!D:D,"",0)</f>
        <v>45400</v>
      </c>
      <c r="F5" s="38"/>
      <c r="G5" s="38"/>
      <c r="H5" s="38"/>
      <c r="I5" s="36">
        <f>_xlfn.XLOOKUP(A5,'steel Mint data'!A:A,'steel Mint data'!I:I,"",0)</f>
        <v>44200</v>
      </c>
      <c r="J5" s="38"/>
      <c r="K5" s="36">
        <f>_xlfn.XLOOKUP(A5,'steel Mint data'!A:A,'steel Mint data'!L:L,"",0)</f>
        <v>46600</v>
      </c>
      <c r="L5" s="38"/>
      <c r="M5" s="38"/>
      <c r="N5" s="38"/>
      <c r="O5" s="38"/>
      <c r="P5" s="37">
        <f>_xlfn.XLOOKUP(A5,'steel Mint data'!A:A,'steel Mint data'!Q:Q,"",0)</f>
        <v>41000</v>
      </c>
      <c r="Q5" s="36">
        <f>_xlfn.XLOOKUP(A5,'steel Mint data'!A:A,'steel Mint data'!R:R,"",0)</f>
        <v>41300</v>
      </c>
    </row>
    <row r="6" spans="1:20">
      <c r="A6" s="5">
        <f t="shared" si="0"/>
        <v>45827</v>
      </c>
      <c r="B6" s="8"/>
      <c r="C6" s="6"/>
      <c r="D6" s="6"/>
      <c r="E6" s="6">
        <f>_xlfn.XLOOKUP(A6,'steel Mint data'!A:A,'steel Mint data'!D:D,"",0)</f>
        <v>45300</v>
      </c>
      <c r="F6" s="9"/>
      <c r="G6" s="9"/>
      <c r="H6" s="9"/>
      <c r="I6" s="36">
        <f>_xlfn.XLOOKUP(A6,'steel Mint data'!A:A,'steel Mint data'!I:I,"",0)</f>
        <v>44000</v>
      </c>
      <c r="J6" s="9"/>
      <c r="K6" s="6">
        <f>_xlfn.XLOOKUP(A6,'steel Mint data'!A:A,'steel Mint data'!L:L,"",0)</f>
        <v>46500</v>
      </c>
      <c r="L6" s="9"/>
      <c r="M6" s="9"/>
      <c r="N6" s="9"/>
      <c r="O6" s="9"/>
      <c r="P6" s="7">
        <f>_xlfn.XLOOKUP(A6,'steel Mint data'!A:A,'steel Mint data'!Q:Q,"",0)</f>
        <v>41000</v>
      </c>
      <c r="Q6" s="6">
        <f>_xlfn.XLOOKUP(A6,'steel Mint data'!A:A,'steel Mint data'!R:R,"",0)</f>
        <v>41300</v>
      </c>
    </row>
    <row r="7" spans="1:20">
      <c r="A7" s="5">
        <f t="shared" si="0"/>
        <v>45828</v>
      </c>
      <c r="B7" s="6"/>
      <c r="C7" s="6"/>
      <c r="D7" s="7"/>
      <c r="E7" s="6">
        <f>_xlfn.XLOOKUP(A7,'steel Mint data'!A:A,'steel Mint data'!D:D,"",0)</f>
        <v>45000</v>
      </c>
      <c r="F7" s="11"/>
      <c r="G7" s="11"/>
      <c r="H7" s="11"/>
      <c r="I7" s="36">
        <f>_xlfn.XLOOKUP(A7,'steel Mint data'!A:A,'steel Mint data'!I:I,"",0)</f>
        <v>43800</v>
      </c>
      <c r="J7" s="11"/>
      <c r="K7" s="6">
        <f>_xlfn.XLOOKUP(A7,'steel Mint data'!A:A,'steel Mint data'!L:L,"",0)</f>
        <v>46400</v>
      </c>
      <c r="L7" s="11"/>
      <c r="M7" s="11"/>
      <c r="N7" s="11"/>
      <c r="O7" s="11"/>
      <c r="P7" s="7">
        <f>_xlfn.XLOOKUP(A7,'steel Mint data'!A:A,'steel Mint data'!Q:Q,"",0)</f>
        <v>41000</v>
      </c>
      <c r="Q7" s="6">
        <f>_xlfn.XLOOKUP(A7,'steel Mint data'!A:A,'steel Mint data'!R:R,"",0)</f>
        <v>41100</v>
      </c>
    </row>
    <row r="8" spans="1:20">
      <c r="A8" s="5">
        <f t="shared" si="0"/>
        <v>45829</v>
      </c>
      <c r="B8" s="6"/>
      <c r="C8" s="6"/>
      <c r="D8" s="6"/>
      <c r="E8" s="6">
        <f>_xlfn.XLOOKUP(A8,'steel Mint data'!A:A,'steel Mint data'!D:D,"",0)</f>
        <v>44800</v>
      </c>
      <c r="F8" s="12"/>
      <c r="G8" s="12"/>
      <c r="H8" s="12"/>
      <c r="I8" s="36">
        <f>_xlfn.XLOOKUP(A8,'steel Mint data'!A:A,'steel Mint data'!I:I,"",0)</f>
        <v>43800</v>
      </c>
      <c r="J8" s="12"/>
      <c r="K8" s="6">
        <f>_xlfn.XLOOKUP(A8,'steel Mint data'!A:A,'steel Mint data'!L:L,"",0)</f>
        <v>46300</v>
      </c>
      <c r="L8" s="12"/>
      <c r="M8" s="12"/>
      <c r="N8" s="12"/>
      <c r="O8" s="12"/>
      <c r="P8" s="7">
        <f>_xlfn.XLOOKUP(A8,'steel Mint data'!A:A,'steel Mint data'!Q:Q,"",0)</f>
        <v>41000</v>
      </c>
      <c r="Q8" s="6">
        <f>_xlfn.XLOOKUP(A8,'steel Mint data'!A:A,'steel Mint data'!R:R,"",0)</f>
        <v>41100</v>
      </c>
    </row>
    <row r="9" spans="1:20">
      <c r="A9" s="5">
        <f t="shared" si="0"/>
        <v>45830</v>
      </c>
      <c r="B9" s="6"/>
      <c r="C9" s="6"/>
      <c r="D9" s="6"/>
      <c r="E9" s="6" t="str">
        <f>_xlfn.XLOOKUP(A9,'steel Mint data'!A:A,'steel Mint data'!D:D,"",0)</f>
        <v>H</v>
      </c>
      <c r="F9" s="6"/>
      <c r="G9" s="6"/>
      <c r="H9" s="6"/>
      <c r="I9" s="36" t="str">
        <f>_xlfn.XLOOKUP(A9,'steel Mint data'!A:A,'steel Mint data'!I:I,"",0)</f>
        <v>H</v>
      </c>
      <c r="J9" s="6"/>
      <c r="K9" s="6" t="str">
        <f>_xlfn.XLOOKUP(A9,'steel Mint data'!A:A,'steel Mint data'!L:L,"",0)</f>
        <v>H</v>
      </c>
      <c r="L9" s="6"/>
      <c r="M9" s="6"/>
      <c r="N9" s="6"/>
      <c r="O9" s="6"/>
      <c r="P9" s="7" t="str">
        <f>_xlfn.XLOOKUP(A9,'steel Mint data'!A:A,'steel Mint data'!Q:Q,"",0)</f>
        <v>H</v>
      </c>
      <c r="Q9" s="6" t="str">
        <f>_xlfn.XLOOKUP(A9,'steel Mint data'!A:A,'steel Mint data'!R:R,"",0)</f>
        <v>H</v>
      </c>
    </row>
    <row r="10" spans="1:20">
      <c r="A10" s="5">
        <f t="shared" si="0"/>
        <v>45831</v>
      </c>
      <c r="B10" s="6"/>
      <c r="C10" s="6"/>
      <c r="D10" s="6"/>
      <c r="E10" s="6">
        <f>_xlfn.XLOOKUP(A10,'steel Mint data'!A:A,'steel Mint data'!D:D,"",0)</f>
        <v>44500</v>
      </c>
      <c r="F10" s="6"/>
      <c r="G10" s="6"/>
      <c r="H10" s="6"/>
      <c r="I10" s="36">
        <f>_xlfn.XLOOKUP(A10,'steel Mint data'!A:A,'steel Mint data'!I:I,"",0)</f>
        <v>43600</v>
      </c>
      <c r="J10" s="6"/>
      <c r="K10" s="6">
        <f>_xlfn.XLOOKUP(A10,'steel Mint data'!A:A,'steel Mint data'!L:L,"",0)</f>
        <v>45700</v>
      </c>
      <c r="L10" s="6"/>
      <c r="M10" s="6"/>
      <c r="N10" s="6"/>
      <c r="O10" s="6"/>
      <c r="P10" s="7">
        <f>_xlfn.XLOOKUP(A10,'steel Mint data'!A:A,'steel Mint data'!Q:Q,"",0)</f>
        <v>40800</v>
      </c>
      <c r="Q10" s="6">
        <f>_xlfn.XLOOKUP(A10,'steel Mint data'!A:A,'steel Mint data'!R:R,"",0)</f>
        <v>41000</v>
      </c>
    </row>
    <row r="11" spans="1:20">
      <c r="A11" s="5">
        <f t="shared" si="0"/>
        <v>45832</v>
      </c>
      <c r="B11" s="6"/>
      <c r="C11" s="6"/>
      <c r="D11" s="6"/>
      <c r="E11" s="6">
        <f>_xlfn.XLOOKUP(A11,'steel Mint data'!A:A,'steel Mint data'!D:D,"",0)</f>
        <v>44400</v>
      </c>
      <c r="F11" s="6"/>
      <c r="G11" s="6"/>
      <c r="H11" s="6"/>
      <c r="I11" s="36">
        <f>_xlfn.XLOOKUP(A11,'steel Mint data'!A:A,'steel Mint data'!I:I,"",0)</f>
        <v>43300</v>
      </c>
      <c r="J11" s="6"/>
      <c r="K11" s="6">
        <f>_xlfn.XLOOKUP(A11,'steel Mint data'!A:A,'steel Mint data'!L:L,"",0)</f>
        <v>45700</v>
      </c>
      <c r="L11" s="6"/>
      <c r="M11" s="6"/>
      <c r="N11" s="6"/>
      <c r="O11" s="6"/>
      <c r="P11" s="7">
        <f>_xlfn.XLOOKUP(A11,'steel Mint data'!A:A,'steel Mint data'!Q:Q,"",0)</f>
        <v>40400</v>
      </c>
      <c r="Q11" s="6">
        <f>_xlfn.XLOOKUP(A11,'steel Mint data'!A:A,'steel Mint data'!R:R,"",0)</f>
        <v>41000</v>
      </c>
    </row>
    <row r="12" spans="1:20">
      <c r="A12" s="5">
        <f t="shared" si="0"/>
        <v>45833</v>
      </c>
      <c r="B12" s="6"/>
      <c r="C12" s="6"/>
      <c r="D12" s="6"/>
      <c r="E12" s="6">
        <f>_xlfn.XLOOKUP(A12,'steel Mint data'!A:A,'steel Mint data'!D:D,"",0)</f>
        <v>44400</v>
      </c>
      <c r="F12" s="6"/>
      <c r="G12" s="6"/>
      <c r="H12" s="6"/>
      <c r="I12" s="36">
        <f>_xlfn.XLOOKUP(A12,'steel Mint data'!A:A,'steel Mint data'!I:I,"",0)</f>
        <v>43500</v>
      </c>
      <c r="J12" s="6"/>
      <c r="K12" s="6">
        <f>_xlfn.XLOOKUP(A12,'steel Mint data'!A:A,'steel Mint data'!L:L,"",0)</f>
        <v>45800</v>
      </c>
      <c r="L12" s="6"/>
      <c r="M12" s="6"/>
      <c r="N12" s="6"/>
      <c r="O12" s="6"/>
      <c r="P12" s="7">
        <f>_xlfn.XLOOKUP(A12,'steel Mint data'!A:A,'steel Mint data'!Q:Q,"",0)</f>
        <v>40500</v>
      </c>
      <c r="Q12" s="6">
        <f>_xlfn.XLOOKUP(A12,'steel Mint data'!A:A,'steel Mint data'!R:R,"",0)</f>
        <v>41000</v>
      </c>
    </row>
    <row r="13" spans="1:20">
      <c r="A13" s="5">
        <f t="shared" si="0"/>
        <v>45834</v>
      </c>
      <c r="B13" s="6"/>
      <c r="C13" s="6"/>
      <c r="D13" s="6"/>
      <c r="E13" s="6">
        <f>_xlfn.XLOOKUP(A13,'steel Mint data'!A:A,'steel Mint data'!D:D,"",0)</f>
        <v>44500</v>
      </c>
      <c r="F13" s="6"/>
      <c r="G13" s="6"/>
      <c r="H13" s="6"/>
      <c r="I13" s="36">
        <f>_xlfn.XLOOKUP(A13,'steel Mint data'!A:A,'steel Mint data'!I:I,"",0)</f>
        <v>43600</v>
      </c>
      <c r="J13" s="6"/>
      <c r="K13" s="6">
        <f>_xlfn.XLOOKUP(A13,'steel Mint data'!A:A,'steel Mint data'!L:L,"",0)</f>
        <v>45900</v>
      </c>
      <c r="L13" s="6"/>
      <c r="M13" s="6"/>
      <c r="N13" s="6"/>
      <c r="O13" s="6"/>
      <c r="P13" s="7">
        <f>_xlfn.XLOOKUP(A13,'steel Mint data'!A:A,'steel Mint data'!Q:Q,"",0)</f>
        <v>40500</v>
      </c>
      <c r="Q13" s="6">
        <f>_xlfn.XLOOKUP(A13,'steel Mint data'!A:A,'steel Mint data'!R:R,"",0)</f>
        <v>41200</v>
      </c>
    </row>
    <row r="14" spans="1:20">
      <c r="A14" s="5">
        <f t="shared" si="0"/>
        <v>45835</v>
      </c>
      <c r="B14" s="6"/>
      <c r="C14" s="6"/>
      <c r="D14" s="6"/>
      <c r="E14" s="6">
        <f>_xlfn.XLOOKUP(A14,'steel Mint data'!A:A,'steel Mint data'!D:D,"",0)</f>
        <v>44700</v>
      </c>
      <c r="F14" s="6"/>
      <c r="G14" s="6"/>
      <c r="H14" s="6"/>
      <c r="I14" s="36">
        <f>_xlfn.XLOOKUP(A14,'steel Mint data'!A:A,'steel Mint data'!I:I,"",0)</f>
        <v>43400</v>
      </c>
      <c r="J14" s="6"/>
      <c r="K14" s="6">
        <f>_xlfn.XLOOKUP(A14,'steel Mint data'!A:A,'steel Mint data'!L:L,"",0)</f>
        <v>45900</v>
      </c>
      <c r="L14" s="6"/>
      <c r="M14" s="6"/>
      <c r="N14" s="6"/>
      <c r="O14" s="6"/>
      <c r="P14" s="7">
        <f>_xlfn.XLOOKUP(A14,'steel Mint data'!A:A,'steel Mint data'!Q:Q,"",0)</f>
        <v>40400</v>
      </c>
      <c r="Q14" s="6">
        <f>_xlfn.XLOOKUP(A14,'steel Mint data'!A:A,'steel Mint data'!R:R,"",0)</f>
        <v>41200</v>
      </c>
      <c r="S14" s="33">
        <f>49000-3450-1250-C24</f>
        <v>1185</v>
      </c>
      <c r="T14" s="33">
        <f>49000-1000-3450-F24</f>
        <v>1775</v>
      </c>
    </row>
    <row r="15" spans="1:20">
      <c r="A15" s="5">
        <f t="shared" si="0"/>
        <v>45836</v>
      </c>
      <c r="B15" s="6"/>
      <c r="C15" s="6"/>
      <c r="D15" s="6"/>
      <c r="E15" s="6">
        <f>_xlfn.XLOOKUP(A15,'steel Mint data'!A:A,'steel Mint data'!D:D,"",0)</f>
        <v>44600</v>
      </c>
      <c r="F15" s="6"/>
      <c r="G15" s="6"/>
      <c r="H15" s="6"/>
      <c r="I15" s="36">
        <f>_xlfn.XLOOKUP(A15,'steel Mint data'!A:A,'steel Mint data'!I:I,"",0)</f>
        <v>43400</v>
      </c>
      <c r="J15" s="6"/>
      <c r="K15" s="6">
        <f>_xlfn.XLOOKUP(A15,'steel Mint data'!A:A,'steel Mint data'!L:L,"",0)</f>
        <v>45800</v>
      </c>
      <c r="L15" s="6"/>
      <c r="M15" s="6"/>
      <c r="N15" s="6"/>
      <c r="O15" s="6"/>
      <c r="P15" s="7">
        <f>_xlfn.XLOOKUP(A15,'steel Mint data'!A:A,'steel Mint data'!Q:Q,"",0)</f>
        <v>40200</v>
      </c>
      <c r="Q15" s="6">
        <f>_xlfn.XLOOKUP(A15,'steel Mint data'!A:A,'steel Mint data'!R:R,"",0)</f>
        <v>41000</v>
      </c>
    </row>
    <row r="16" spans="1:20">
      <c r="A16" s="5">
        <f>A15+1</f>
        <v>45837</v>
      </c>
      <c r="B16" s="6"/>
      <c r="C16" s="6"/>
      <c r="D16" s="6"/>
      <c r="E16" s="6" t="str">
        <f>_xlfn.XLOOKUP(A16,'steel Mint data'!A:A,'steel Mint data'!D:D,"",0)</f>
        <v>H</v>
      </c>
      <c r="F16" s="6"/>
      <c r="G16" s="6"/>
      <c r="H16" s="6"/>
      <c r="I16" s="36" t="str">
        <f>_xlfn.XLOOKUP(A16,'steel Mint data'!A:A,'steel Mint data'!I:I,"",0)</f>
        <v>H</v>
      </c>
      <c r="J16" s="6"/>
      <c r="K16" s="6" t="str">
        <f>_xlfn.XLOOKUP(A16,'steel Mint data'!A:A,'steel Mint data'!L:L,"",0)</f>
        <v>H</v>
      </c>
      <c r="L16" s="6"/>
      <c r="M16" s="6"/>
      <c r="N16" s="6"/>
      <c r="O16" s="6"/>
      <c r="P16" s="7" t="str">
        <f>_xlfn.XLOOKUP(A16,'steel Mint data'!A:A,'steel Mint data'!Q:Q,"",0)</f>
        <v>H</v>
      </c>
      <c r="Q16" s="6" t="str">
        <f>_xlfn.XLOOKUP(A16,'steel Mint data'!A:A,'steel Mint data'!R:R,"",0)</f>
        <v>H</v>
      </c>
    </row>
    <row r="17" spans="1:21">
      <c r="A17" s="5">
        <f>A16+1</f>
        <v>45838</v>
      </c>
      <c r="B17" s="6"/>
      <c r="C17" s="6"/>
      <c r="D17" s="6"/>
      <c r="E17" s="6">
        <f>_xlfn.XLOOKUP(A17,'steel Mint data'!A:A,'steel Mint data'!D:D,"",0)</f>
        <v>44500</v>
      </c>
      <c r="F17" s="6"/>
      <c r="G17" s="6"/>
      <c r="H17" s="6"/>
      <c r="I17" s="36">
        <f>_xlfn.XLOOKUP(A17,'steel Mint data'!A:A,'steel Mint data'!I:I,"",0)</f>
        <v>43300</v>
      </c>
      <c r="J17" s="6"/>
      <c r="K17" s="6">
        <f>_xlfn.XLOOKUP(A17,'steel Mint data'!A:A,'steel Mint data'!L:L,"",0)</f>
        <v>45800</v>
      </c>
      <c r="L17" s="6"/>
      <c r="M17" s="6"/>
      <c r="N17" s="6"/>
      <c r="O17" s="6"/>
      <c r="P17" s="7">
        <f>_xlfn.XLOOKUP(A17,'steel Mint data'!A:A,'steel Mint data'!Q:Q,"",0)</f>
        <v>39900</v>
      </c>
      <c r="Q17" s="6">
        <f>_xlfn.XLOOKUP(A17,'steel Mint data'!A:A,'steel Mint data'!R:R,"",0)</f>
        <v>41000</v>
      </c>
    </row>
    <row r="18" spans="1:21">
      <c r="A18" s="5"/>
      <c r="B18" s="6"/>
      <c r="C18" s="6"/>
      <c r="D18" s="6"/>
      <c r="E18" s="6" t="str">
        <f>_xlfn.XLOOKUP(A18,'steel Mint data'!A:A,'steel Mint data'!D:D,"",0)</f>
        <v/>
      </c>
      <c r="F18" s="6"/>
      <c r="G18" s="6"/>
      <c r="H18" s="6"/>
      <c r="I18" s="36" t="str">
        <f>_xlfn.XLOOKUP(A18,'steel Mint data'!A:A,'steel Mint data'!I:I,"",0)</f>
        <v/>
      </c>
      <c r="J18" s="6"/>
      <c r="K18" s="6" t="str">
        <f>_xlfn.XLOOKUP(A18,'steel Mint data'!A:A,'steel Mint data'!L:L,"",0)</f>
        <v/>
      </c>
      <c r="L18" s="6"/>
      <c r="M18" s="6"/>
      <c r="N18" s="6"/>
      <c r="O18" s="6"/>
      <c r="P18" s="7"/>
      <c r="Q18" s="6" t="str">
        <f>_xlfn.XLOOKUP(A18,'steel Mint data'!A:A,'steel Mint data'!R:R,"",0)</f>
        <v/>
      </c>
      <c r="S18" s="33"/>
    </row>
    <row r="19" spans="1:21">
      <c r="A19" s="14"/>
      <c r="B19" s="14"/>
      <c r="C19" s="14"/>
      <c r="D19" s="14"/>
      <c r="E19" s="15">
        <f>SUM(E3:E18)</f>
        <v>582800</v>
      </c>
      <c r="F19" s="14"/>
      <c r="G19" s="14"/>
      <c r="H19" s="14"/>
      <c r="I19" s="15">
        <f>SUM(I3:I18)</f>
        <v>568300</v>
      </c>
      <c r="J19" s="14"/>
      <c r="K19" s="15">
        <f>SUM(K3:K18)</f>
        <v>599600</v>
      </c>
      <c r="L19" s="14"/>
      <c r="M19" s="14"/>
      <c r="N19" s="14"/>
      <c r="O19" s="14"/>
      <c r="P19" s="15">
        <f>SUM(P3:P18)</f>
        <v>529100</v>
      </c>
      <c r="Q19" s="15">
        <f>SUM(Q3:Q18)</f>
        <v>535200</v>
      </c>
      <c r="S19" s="33">
        <f>49000-3450-1250-C24</f>
        <v>1185</v>
      </c>
      <c r="T19" s="33">
        <f>49000-3450-1000-F24</f>
        <v>1775</v>
      </c>
    </row>
    <row r="20" spans="1:21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23</v>
      </c>
      <c r="H20" s="16" t="s">
        <v>39</v>
      </c>
      <c r="I20" s="19"/>
      <c r="J20" s="14"/>
      <c r="K20" s="14"/>
      <c r="L20" s="14"/>
      <c r="M20" s="14"/>
      <c r="N20" s="14"/>
      <c r="O20" s="14"/>
      <c r="P20" s="14"/>
      <c r="Q20" s="14"/>
      <c r="S20" s="33">
        <f>49000-3450-1250-C25</f>
        <v>685</v>
      </c>
      <c r="T20" s="33">
        <f>49000-3450-1000-F25</f>
        <v>1275</v>
      </c>
    </row>
    <row r="21" spans="1:21">
      <c r="A21" s="17" t="s">
        <v>25</v>
      </c>
      <c r="B21" s="18">
        <f>E19/O21</f>
        <v>44830.769230769234</v>
      </c>
      <c r="C21" s="18">
        <f>P19/O21</f>
        <v>40700</v>
      </c>
      <c r="D21" s="18">
        <f>K19/O21</f>
        <v>46123.076923076922</v>
      </c>
      <c r="E21" s="18">
        <f>Q19/O21</f>
        <v>41169.230769230766</v>
      </c>
      <c r="F21" s="18">
        <f>C21</f>
        <v>40700</v>
      </c>
      <c r="G21" s="18">
        <f>B21-800</f>
        <v>44030.769230769234</v>
      </c>
      <c r="H21" s="18">
        <f>I19/O21</f>
        <v>43715.384615384617</v>
      </c>
      <c r="I21" s="19"/>
      <c r="J21" s="19"/>
      <c r="K21" s="19">
        <f>C24+1250+3500+2000</f>
        <v>49865</v>
      </c>
      <c r="L21" s="14"/>
      <c r="M21" s="19">
        <f>D24+1000+1200+2500</f>
        <v>51473.076923076922</v>
      </c>
      <c r="N21" s="14"/>
      <c r="O21" s="20">
        <f>COUNT(P3:P18)</f>
        <v>13</v>
      </c>
      <c r="P21" s="21"/>
      <c r="Q21" s="14"/>
      <c r="R21" s="33">
        <f>53500-1350-1000-G24</f>
        <v>5719.2307692307659</v>
      </c>
      <c r="S21" s="33">
        <f>S19-S20</f>
        <v>500</v>
      </c>
      <c r="T21" s="33">
        <f>T19-T20</f>
        <v>500</v>
      </c>
    </row>
    <row r="22" spans="1:21">
      <c r="A22" s="17" t="s">
        <v>26</v>
      </c>
      <c r="B22" s="18">
        <v>1200</v>
      </c>
      <c r="C22" s="18">
        <v>2150</v>
      </c>
      <c r="D22" s="18">
        <v>400</v>
      </c>
      <c r="E22" s="18">
        <v>2200</v>
      </c>
      <c r="F22" s="18">
        <v>1800</v>
      </c>
      <c r="G22" s="18">
        <v>1200</v>
      </c>
      <c r="H22" s="18">
        <v>800</v>
      </c>
      <c r="I22" s="19"/>
      <c r="J22" s="19">
        <f>49500-1000-1000-G24</f>
        <v>2069.2307692307659</v>
      </c>
      <c r="K22" s="19"/>
      <c r="L22" s="19"/>
      <c r="M22" s="19"/>
      <c r="N22" s="14"/>
      <c r="O22" s="14"/>
      <c r="P22" s="14"/>
      <c r="Q22" s="14"/>
      <c r="R22" s="33">
        <f>53500-1350-1000-G25</f>
        <v>5350</v>
      </c>
    </row>
    <row r="23" spans="1:21">
      <c r="A23" s="17" t="s">
        <v>27</v>
      </c>
      <c r="B23" s="18">
        <v>200</v>
      </c>
      <c r="C23" s="18">
        <v>265</v>
      </c>
      <c r="D23" s="18">
        <v>250</v>
      </c>
      <c r="E23" s="18">
        <v>275</v>
      </c>
      <c r="F23" s="18">
        <v>275</v>
      </c>
      <c r="G23" s="18">
        <v>200</v>
      </c>
      <c r="H23" s="18">
        <v>270</v>
      </c>
      <c r="I23" s="19"/>
      <c r="J23" s="19">
        <f>C24+1250+3000</f>
        <v>47365</v>
      </c>
      <c r="K23" s="19">
        <f>50500-G24-1000-1000</f>
        <v>3069.2307692307659</v>
      </c>
      <c r="L23" s="19"/>
      <c r="M23" s="19"/>
      <c r="N23" s="14"/>
      <c r="O23" s="19"/>
      <c r="P23" s="19"/>
      <c r="Q23" s="19"/>
      <c r="R23" s="33">
        <f>50000-1000-1000-G24</f>
        <v>2569.2307692307659</v>
      </c>
    </row>
    <row r="24" spans="1:21" ht="24.75">
      <c r="A24" s="22" t="s">
        <v>28</v>
      </c>
      <c r="B24" s="18">
        <f>SUM(B21:B23)</f>
        <v>46230.769230769234</v>
      </c>
      <c r="C24" s="18">
        <f>SUM(C21:C23)</f>
        <v>43115</v>
      </c>
      <c r="D24" s="18">
        <f>SUM(D21:D23)</f>
        <v>46773.076923076922</v>
      </c>
      <c r="E24" s="18">
        <f>SUM(E21:E23)</f>
        <v>43644.230769230766</v>
      </c>
      <c r="F24" s="18">
        <f>SUM(F21:F23)</f>
        <v>42775</v>
      </c>
      <c r="G24" s="18">
        <f>SUM(G21:G23)</f>
        <v>45430.769230769234</v>
      </c>
      <c r="H24" s="18">
        <f>SUM(H21:H23)</f>
        <v>44785.384615384617</v>
      </c>
      <c r="I24" s="19">
        <f>C24+3500</f>
        <v>46615</v>
      </c>
      <c r="J24" s="19">
        <f>D24-B24</f>
        <v>542.30769230768783</v>
      </c>
      <c r="K24" s="19">
        <f>J24-150</f>
        <v>392.30769230768783</v>
      </c>
      <c r="L24" s="14"/>
      <c r="M24" s="19">
        <f>50500-G24-1000-1000</f>
        <v>3069.2307692307659</v>
      </c>
      <c r="N24" s="14"/>
      <c r="O24" s="19">
        <f>52700-3700</f>
        <v>49000</v>
      </c>
      <c r="P24" s="19">
        <f>O24-1000-1000-G24</f>
        <v>1569.2307692307659</v>
      </c>
      <c r="Q24" s="14"/>
      <c r="R24" s="33">
        <f>50000-1000-1000-G25</f>
        <v>2200</v>
      </c>
      <c r="S24" s="33">
        <f>R23-R24</f>
        <v>369.23076923076587</v>
      </c>
    </row>
    <row r="25" spans="1:21">
      <c r="A25" s="22" t="s">
        <v>29</v>
      </c>
      <c r="B25" s="18">
        <v>46700</v>
      </c>
      <c r="C25" s="18">
        <v>43615</v>
      </c>
      <c r="D25" s="18">
        <v>47250</v>
      </c>
      <c r="E25" s="23"/>
      <c r="F25" s="18">
        <v>43275</v>
      </c>
      <c r="G25" s="18">
        <v>45800</v>
      </c>
      <c r="H25" s="18">
        <v>45275</v>
      </c>
      <c r="I25" s="19">
        <f>B24+500</f>
        <v>46730.769230769234</v>
      </c>
      <c r="J25" s="34">
        <f>55500-51800</f>
        <v>3700</v>
      </c>
      <c r="K25" s="19"/>
      <c r="L25" s="14"/>
      <c r="M25" s="19"/>
      <c r="N25" s="14"/>
      <c r="O25" s="14"/>
      <c r="P25" s="19"/>
      <c r="Q25" s="14"/>
    </row>
    <row r="26" spans="1:21">
      <c r="A26" s="22" t="s">
        <v>30</v>
      </c>
      <c r="B26" s="18">
        <f>B24-B25</f>
        <v>-469.23076923076587</v>
      </c>
      <c r="C26" s="18">
        <f>C24-C25</f>
        <v>-500</v>
      </c>
      <c r="D26" s="18">
        <f>D24-D25</f>
        <v>-476.92307692307804</v>
      </c>
      <c r="E26" s="18">
        <f>E24-E25</f>
        <v>43644.230769230766</v>
      </c>
      <c r="F26" s="18">
        <f>F24-F25</f>
        <v>-500</v>
      </c>
      <c r="G26" s="18">
        <f>G24-G25</f>
        <v>-369.23076923076587</v>
      </c>
      <c r="H26" s="18">
        <f>H24-H25</f>
        <v>-489.61538461538294</v>
      </c>
      <c r="I26" s="14"/>
      <c r="J26" s="19"/>
      <c r="K26" s="19"/>
      <c r="L26" s="19"/>
      <c r="M26" s="19"/>
      <c r="N26" s="14">
        <f>52700-4000</f>
        <v>48700</v>
      </c>
      <c r="O26" s="19"/>
      <c r="P26" s="14"/>
      <c r="Q26" s="19"/>
      <c r="R26" s="33">
        <f>49700-1200-B24</f>
        <v>2269.2307692307659</v>
      </c>
    </row>
    <row r="27" spans="1:21">
      <c r="A27" s="14"/>
      <c r="B27" s="14"/>
      <c r="C27" s="14"/>
      <c r="D27" s="14"/>
      <c r="E27" s="14"/>
      <c r="F27" s="14"/>
      <c r="G27" s="14"/>
      <c r="H27" s="14"/>
      <c r="I27" s="19"/>
      <c r="J27" s="19"/>
      <c r="K27" s="14"/>
      <c r="L27" s="24">
        <f>50600-B24</f>
        <v>4369.2307692307659</v>
      </c>
      <c r="M27" s="19"/>
      <c r="N27" s="24"/>
      <c r="O27" s="24"/>
      <c r="P27" s="14"/>
      <c r="Q27" s="19">
        <f>49800-600-D24</f>
        <v>2426.923076923078</v>
      </c>
      <c r="R27" s="33">
        <f>49700-1200-B25</f>
        <v>1800</v>
      </c>
      <c r="S27" s="33">
        <f>R26-R27</f>
        <v>469.23076923076587</v>
      </c>
    </row>
    <row r="28" spans="1:21">
      <c r="A28" s="22" t="s">
        <v>31</v>
      </c>
      <c r="B28" s="18">
        <v>51300</v>
      </c>
      <c r="C28" s="18">
        <v>48550</v>
      </c>
      <c r="D28" s="18">
        <v>51800</v>
      </c>
      <c r="E28" s="18">
        <v>49650</v>
      </c>
      <c r="F28" s="18">
        <v>48550</v>
      </c>
      <c r="G28" s="18">
        <v>50500</v>
      </c>
      <c r="H28" s="18">
        <v>50800</v>
      </c>
      <c r="I28" s="19"/>
      <c r="J28" s="14"/>
      <c r="K28" s="19">
        <f>49600-2900-400-C24</f>
        <v>3185</v>
      </c>
      <c r="L28" s="24">
        <f>50600-B25</f>
        <v>3900</v>
      </c>
      <c r="M28" s="19"/>
      <c r="N28" s="19"/>
      <c r="O28" s="19">
        <f>52700-4000</f>
        <v>48700</v>
      </c>
      <c r="P28" s="14"/>
      <c r="Q28" s="19">
        <f>49800-600-D25</f>
        <v>1950</v>
      </c>
      <c r="R28" s="33"/>
    </row>
    <row r="29" spans="1:21">
      <c r="A29" s="22" t="s">
        <v>32</v>
      </c>
      <c r="B29" s="26">
        <f>B28-500-(200+300+300)-250-400</f>
        <v>49350</v>
      </c>
      <c r="C29" s="26">
        <f t="shared" ref="C29:H29" si="1">C28-500-(200+300+300)-250-400</f>
        <v>46600</v>
      </c>
      <c r="D29" s="26">
        <f t="shared" si="1"/>
        <v>49850</v>
      </c>
      <c r="E29" s="26">
        <f t="shared" si="1"/>
        <v>47700</v>
      </c>
      <c r="F29" s="26">
        <f t="shared" si="1"/>
        <v>46600</v>
      </c>
      <c r="G29" s="26">
        <f t="shared" si="1"/>
        <v>48550</v>
      </c>
      <c r="H29" s="26">
        <f t="shared" si="1"/>
        <v>48850</v>
      </c>
      <c r="I29" s="19"/>
      <c r="J29" s="19">
        <f>50000-B24</f>
        <v>3769.2307692307659</v>
      </c>
      <c r="K29" s="19">
        <f>49600-2900-400-C25</f>
        <v>2685</v>
      </c>
      <c r="L29" s="24"/>
      <c r="M29" s="19">
        <f>53150-3600-C24</f>
        <v>6435</v>
      </c>
      <c r="N29" s="19"/>
      <c r="O29" s="19">
        <f>52550-4000-C24</f>
        <v>5435</v>
      </c>
      <c r="P29" s="19"/>
      <c r="Q29" s="14"/>
    </row>
    <row r="30" spans="1:21">
      <c r="A30" s="25" t="s">
        <v>33</v>
      </c>
      <c r="B30" s="18">
        <f>B29-B24</f>
        <v>3119.2307692307659</v>
      </c>
      <c r="C30" s="18">
        <f t="shared" ref="C30:I30" si="2">C29-C24</f>
        <v>3485</v>
      </c>
      <c r="D30" s="18">
        <f t="shared" si="2"/>
        <v>3076.923076923078</v>
      </c>
      <c r="E30" s="18">
        <f t="shared" si="2"/>
        <v>4055.7692307692341</v>
      </c>
      <c r="F30" s="18">
        <f t="shared" si="2"/>
        <v>3825</v>
      </c>
      <c r="G30" s="18">
        <f t="shared" si="2"/>
        <v>3119.2307692307659</v>
      </c>
      <c r="H30" s="18">
        <f t="shared" si="2"/>
        <v>4064.6153846153829</v>
      </c>
      <c r="I30" s="19"/>
      <c r="J30" s="19"/>
      <c r="K30" s="19">
        <f>K28-K29</f>
        <v>500</v>
      </c>
      <c r="L30" s="24"/>
      <c r="M30" s="19">
        <f>53150-3600-C25</f>
        <v>5935</v>
      </c>
      <c r="N30" s="19">
        <f>M29-M30</f>
        <v>500</v>
      </c>
      <c r="O30" s="19">
        <f>52550-4000-C25</f>
        <v>4935</v>
      </c>
      <c r="P30" s="14"/>
      <c r="Q30" s="14"/>
      <c r="S30" s="33">
        <f>49000-3550-1250-C24</f>
        <v>1085</v>
      </c>
      <c r="T30" s="33">
        <f>49000-1000-1000-G24</f>
        <v>1569.2307692307659</v>
      </c>
      <c r="U30" s="33">
        <f>49000-3450-1000-F24</f>
        <v>1775</v>
      </c>
    </row>
    <row r="31" spans="1:21">
      <c r="I31" s="33"/>
      <c r="K31" s="33"/>
      <c r="L31" s="33"/>
      <c r="O31" s="19"/>
      <c r="P31" s="33"/>
      <c r="Q31" s="33">
        <f>49000-1000-1000-G24</f>
        <v>1569.2307692307659</v>
      </c>
      <c r="R31" s="33">
        <f>49700-1050-D24</f>
        <v>1876.923076923078</v>
      </c>
      <c r="S31" s="33">
        <f>49000-3550-1250-C25</f>
        <v>585</v>
      </c>
      <c r="T31" s="33">
        <f>49000-1000-1000-G25</f>
        <v>1200</v>
      </c>
      <c r="U31" s="33">
        <f>49000-3450-1000-F25</f>
        <v>1275</v>
      </c>
    </row>
    <row r="32" spans="1:21">
      <c r="B32" s="33">
        <f>B24+1100+1800</f>
        <v>49130.769230769234</v>
      </c>
      <c r="C32" s="33"/>
      <c r="D32" s="33">
        <f>C24+1250+3500+2000</f>
        <v>49865</v>
      </c>
      <c r="E32" s="33"/>
      <c r="F32" s="33"/>
      <c r="G32" s="33">
        <f>50000-1500-G24-1000</f>
        <v>2069.2307692307659</v>
      </c>
      <c r="H32" s="33"/>
      <c r="K32" s="33">
        <v>5</v>
      </c>
      <c r="L32" s="33">
        <v>9</v>
      </c>
      <c r="M32" s="33">
        <f>K32-L32</f>
        <v>-4</v>
      </c>
      <c r="P32" s="33"/>
      <c r="Q32" s="33">
        <f>49000-1000-1000-G25</f>
        <v>1200</v>
      </c>
      <c r="R32" s="33">
        <f>49700-1050-D25</f>
        <v>1400</v>
      </c>
    </row>
    <row r="33" spans="1:19">
      <c r="C33" s="33"/>
      <c r="D33" s="33">
        <f>50000-3500-1250-C24</f>
        <v>2135</v>
      </c>
      <c r="F33" s="33">
        <f>D24-B24</f>
        <v>542.30769230768783</v>
      </c>
      <c r="J33" s="33"/>
      <c r="K33" s="33"/>
      <c r="L33" s="33">
        <f>51200-1200-B24</f>
        <v>3769.2307692307659</v>
      </c>
      <c r="N33" s="33"/>
    </row>
    <row r="34" spans="1:19">
      <c r="G34" s="33">
        <f>G24+1000+1000+2000</f>
        <v>49430.769230769234</v>
      </c>
      <c r="H34" s="33">
        <f>49000+3500</f>
        <v>52500</v>
      </c>
      <c r="J34" s="33">
        <f>50600-1200-B24</f>
        <v>3169.2307692307659</v>
      </c>
      <c r="K34" s="33"/>
      <c r="L34" s="33">
        <f>51200-1000-D24</f>
        <v>3426.923076923078</v>
      </c>
      <c r="N34" s="33"/>
      <c r="O34">
        <f>50200-200-2500</f>
        <v>47500</v>
      </c>
      <c r="P34">
        <f>47000+2500+200</f>
        <v>49700</v>
      </c>
    </row>
    <row r="35" spans="1:19" ht="30.75">
      <c r="A35" s="39" t="s">
        <v>40</v>
      </c>
      <c r="B35" s="40" t="s">
        <v>41</v>
      </c>
      <c r="D35" s="33">
        <f>49000-700-B24</f>
        <v>2069.2307692307659</v>
      </c>
      <c r="E35" s="33">
        <f>C24+1250+3500+2000</f>
        <v>49865</v>
      </c>
      <c r="F35" s="33"/>
      <c r="H35" s="33"/>
      <c r="I35" s="33"/>
      <c r="J35" s="33">
        <f>50600-550-D24</f>
        <v>3276.923076923078</v>
      </c>
      <c r="O35" s="33"/>
      <c r="R35" s="33">
        <f>C24+1250+2000</f>
        <v>46365</v>
      </c>
      <c r="S35" s="33">
        <f>51000-1440-500-800-D24</f>
        <v>1486.923076923078</v>
      </c>
    </row>
    <row r="36" spans="1:19">
      <c r="A36" s="29" t="s">
        <v>42</v>
      </c>
      <c r="B36" s="29">
        <v>47200</v>
      </c>
      <c r="D36" s="33"/>
      <c r="F36" s="33"/>
      <c r="H36" s="33"/>
      <c r="I36" s="33"/>
      <c r="J36" s="33"/>
      <c r="M36" s="33"/>
      <c r="O36" s="33"/>
      <c r="S36" s="33">
        <f>51000-1440-500-800-D25</f>
        <v>1010</v>
      </c>
    </row>
    <row r="37" spans="1:19">
      <c r="A37" s="29" t="s">
        <v>43</v>
      </c>
      <c r="B37" s="29">
        <v>44915</v>
      </c>
      <c r="F37" s="33">
        <f>49500-G24-1000-2000</f>
        <v>1069.2307692307659</v>
      </c>
      <c r="G37" s="33">
        <f>49700-1050-800-D24</f>
        <v>1076.923076923078</v>
      </c>
      <c r="H37" s="33">
        <f>G24+1000+1000+2000</f>
        <v>49430.769230769234</v>
      </c>
      <c r="K37" s="33"/>
      <c r="R37">
        <f>46000</f>
        <v>46000</v>
      </c>
    </row>
    <row r="38" spans="1:19">
      <c r="A38" s="29" t="s">
        <v>44</v>
      </c>
      <c r="B38" s="29">
        <v>44575</v>
      </c>
      <c r="G38" s="33">
        <f>49700-1050-800-D25</f>
        <v>600</v>
      </c>
      <c r="K38" s="33">
        <f>49700-800-1050-D24</f>
        <v>1076.923076923078</v>
      </c>
      <c r="O38" s="33">
        <f>50600-2600-200-C24-1250</f>
        <v>3435</v>
      </c>
      <c r="R38" s="33">
        <f>R37-C24</f>
        <v>2885</v>
      </c>
    </row>
    <row r="39" spans="1:19">
      <c r="A39" s="29" t="s">
        <v>36</v>
      </c>
      <c r="B39" s="29">
        <v>47550</v>
      </c>
      <c r="D39" s="33"/>
      <c r="H39" s="33">
        <f>48000-G24-1000</f>
        <v>1569.2307692307659</v>
      </c>
      <c r="K39" s="33">
        <f>49700-1200-B24</f>
        <v>2269.2307692307659</v>
      </c>
      <c r="L39" s="33">
        <f>(K39*42+K38*126)/168</f>
        <v>1375</v>
      </c>
      <c r="N39" s="33"/>
      <c r="O39" s="33">
        <f>50600-2600-200-C25-1250</f>
        <v>2935</v>
      </c>
      <c r="P39" s="33">
        <f>O38-O39</f>
        <v>500</v>
      </c>
    </row>
    <row r="40" spans="1:19">
      <c r="A40" s="29" t="s">
        <v>37</v>
      </c>
      <c r="B40" s="29">
        <f>B36-800</f>
        <v>46400</v>
      </c>
      <c r="D40">
        <f>53000-1800-B40-1000</f>
        <v>3800</v>
      </c>
      <c r="I40" s="35"/>
    </row>
    <row r="41" spans="1:19">
      <c r="A41" s="29" t="s">
        <v>45</v>
      </c>
      <c r="B41" s="29">
        <v>45970</v>
      </c>
      <c r="F41" s="33">
        <f>G24-C24</f>
        <v>2315.7692307692341</v>
      </c>
      <c r="H41" s="33"/>
    </row>
    <row r="43" spans="1:19">
      <c r="L43" s="33"/>
    </row>
  </sheetData>
  <mergeCells count="1">
    <mergeCell ref="B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CC745-978C-4ADB-9EDA-D17B2E21165C}">
  <dimension ref="A1:U45"/>
  <sheetViews>
    <sheetView workbookViewId="0">
      <pane ySplit="2" topLeftCell="O27" activePane="bottomLeft" state="frozen"/>
      <selection pane="bottomLeft" activeCell="O27" sqref="O27:O28"/>
    </sheetView>
  </sheetViews>
  <sheetFormatPr defaultColWidth="15.85546875" defaultRowHeight="15"/>
  <cols>
    <col min="2" max="2" width="14.85546875" customWidth="1"/>
    <col min="3" max="3" width="12.7109375" customWidth="1"/>
    <col min="4" max="4" width="10.85546875" customWidth="1"/>
    <col min="5" max="5" width="14.28515625" customWidth="1"/>
    <col min="6" max="7" width="10.85546875" customWidth="1"/>
    <col min="8" max="8" width="13.140625" customWidth="1"/>
    <col min="9" max="10" width="10.85546875" customWidth="1"/>
    <col min="11" max="11" width="17.85546875" customWidth="1"/>
    <col min="12" max="16" width="10.85546875" customWidth="1"/>
    <col min="17" max="17" width="12.28515625" customWidth="1"/>
  </cols>
  <sheetData>
    <row r="1" spans="1:20">
      <c r="A1" s="1"/>
      <c r="B1" s="519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</row>
    <row r="2" spans="1:20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</row>
    <row r="3" spans="1:20">
      <c r="A3" s="5">
        <v>45839</v>
      </c>
      <c r="B3" s="36">
        <f>_xlfn.XLOOKUP(A3,'steel Mint data'!A:A,'steel Mint data'!B:B,"",0)</f>
        <v>43200</v>
      </c>
      <c r="C3" s="6"/>
      <c r="D3" s="6"/>
      <c r="E3" s="36">
        <f>_xlfn.XLOOKUP(A3,'steel Mint data'!A:A,'steel Mint data'!D:D,"",0)</f>
        <v>44500</v>
      </c>
      <c r="F3" s="6"/>
      <c r="G3" s="6"/>
      <c r="H3" s="6"/>
      <c r="I3" s="36">
        <f>_xlfn.XLOOKUP(A3,'steel Mint data'!A:A,'steel Mint data'!I:I,"",0)</f>
        <v>43300</v>
      </c>
      <c r="J3" s="6"/>
      <c r="K3" s="36">
        <f>_xlfn.XLOOKUP(A3,'steel Mint data'!A:A,'steel Mint data'!L:L,"",0)</f>
        <v>45800</v>
      </c>
      <c r="L3" s="6"/>
      <c r="M3" s="6"/>
      <c r="N3" s="6"/>
      <c r="O3" s="6"/>
      <c r="P3" s="37">
        <f>_xlfn.XLOOKUP(A3,'steel Mint data'!A:A,'steel Mint data'!Q:Q,"",0)</f>
        <v>39800</v>
      </c>
      <c r="Q3" s="36">
        <f>_xlfn.XLOOKUP(A3,'steel Mint data'!A:A,'steel Mint data'!R:R,"",0)</f>
        <v>40900</v>
      </c>
    </row>
    <row r="4" spans="1:20">
      <c r="A4" s="5">
        <v>45840</v>
      </c>
      <c r="B4" s="36"/>
      <c r="C4" s="6"/>
      <c r="D4" s="6"/>
      <c r="E4" s="6"/>
      <c r="F4" s="6"/>
      <c r="G4" s="6"/>
      <c r="H4" s="6"/>
      <c r="I4" s="36"/>
      <c r="J4" s="6"/>
      <c r="K4" s="6"/>
      <c r="L4" s="6"/>
      <c r="M4" s="6"/>
      <c r="N4" s="6"/>
      <c r="O4" s="6"/>
      <c r="P4" s="7"/>
      <c r="Q4" s="6"/>
    </row>
    <row r="5" spans="1:20">
      <c r="A5" s="5">
        <v>45841</v>
      </c>
      <c r="B5" s="36"/>
      <c r="C5" s="6"/>
      <c r="D5" s="6"/>
      <c r="E5" s="36"/>
      <c r="F5" s="38"/>
      <c r="G5" s="38"/>
      <c r="H5" s="38"/>
      <c r="I5" s="36"/>
      <c r="J5" s="38"/>
      <c r="K5" s="36"/>
      <c r="L5" s="38"/>
      <c r="M5" s="38"/>
      <c r="N5" s="38"/>
      <c r="O5" s="38"/>
      <c r="P5" s="37"/>
      <c r="Q5" s="36"/>
    </row>
    <row r="6" spans="1:20">
      <c r="A6" s="5">
        <v>45842</v>
      </c>
      <c r="B6" s="36"/>
      <c r="C6" s="6"/>
      <c r="D6" s="6"/>
      <c r="E6" s="6"/>
      <c r="F6" s="9"/>
      <c r="G6" s="9"/>
      <c r="H6" s="9"/>
      <c r="I6" s="36"/>
      <c r="J6" s="9"/>
      <c r="K6" s="6"/>
      <c r="L6" s="9"/>
      <c r="M6" s="9"/>
      <c r="N6" s="9"/>
      <c r="O6" s="9"/>
      <c r="P6" s="7"/>
      <c r="Q6" s="6"/>
    </row>
    <row r="7" spans="1:20">
      <c r="A7" s="5">
        <v>45843</v>
      </c>
      <c r="B7" s="36"/>
      <c r="C7" s="6"/>
      <c r="D7" s="7"/>
      <c r="E7" s="6"/>
      <c r="F7" s="11"/>
      <c r="G7" s="11"/>
      <c r="H7" s="11"/>
      <c r="I7" s="36"/>
      <c r="J7" s="11"/>
      <c r="K7" s="6"/>
      <c r="L7" s="11"/>
      <c r="M7" s="11"/>
      <c r="N7" s="11"/>
      <c r="O7" s="11"/>
      <c r="P7" s="7"/>
      <c r="Q7" s="6"/>
    </row>
    <row r="8" spans="1:20">
      <c r="A8" s="5">
        <v>45844</v>
      </c>
      <c r="B8" s="36"/>
      <c r="C8" s="6"/>
      <c r="D8" s="6"/>
      <c r="E8" s="6"/>
      <c r="F8" s="12"/>
      <c r="G8" s="12"/>
      <c r="H8" s="12"/>
      <c r="I8" s="36"/>
      <c r="J8" s="12"/>
      <c r="K8" s="6"/>
      <c r="L8" s="12"/>
      <c r="M8" s="12"/>
      <c r="N8" s="12"/>
      <c r="O8" s="12"/>
      <c r="P8" s="7"/>
      <c r="Q8" s="6"/>
    </row>
    <row r="9" spans="1:20">
      <c r="A9" s="5">
        <v>45845</v>
      </c>
      <c r="B9" s="36"/>
      <c r="C9" s="6"/>
      <c r="D9" s="6"/>
      <c r="E9" s="6"/>
      <c r="F9" s="6"/>
      <c r="G9" s="6"/>
      <c r="H9" s="6"/>
      <c r="I9" s="36"/>
      <c r="J9" s="6"/>
      <c r="K9" s="6"/>
      <c r="L9" s="6"/>
      <c r="M9" s="6"/>
      <c r="N9" s="6"/>
      <c r="O9" s="6"/>
      <c r="P9" s="7"/>
      <c r="Q9" s="6"/>
    </row>
    <row r="10" spans="1:20">
      <c r="A10" s="5">
        <v>45846</v>
      </c>
      <c r="B10" s="36">
        <f>_xlfn.XLOOKUP(A10,'steel Mint data'!A:A,'steel Mint data'!B:B,"",0)</f>
        <v>42800</v>
      </c>
      <c r="C10" s="6"/>
      <c r="D10" s="6"/>
      <c r="E10" s="6">
        <f>_xlfn.XLOOKUP(A10,'steel Mint data'!A:A,'steel Mint data'!D:D,"",0)</f>
        <v>43900</v>
      </c>
      <c r="F10" s="6"/>
      <c r="G10" s="6"/>
      <c r="H10" s="6"/>
      <c r="I10" s="36">
        <f>_xlfn.XLOOKUP(A10,'steel Mint data'!A:A,'steel Mint data'!I:I,"",0)</f>
        <v>43000</v>
      </c>
      <c r="J10" s="6"/>
      <c r="K10" s="6">
        <f>_xlfn.XLOOKUP(A10,'steel Mint data'!A:A,'steel Mint data'!L:L,"",0)</f>
        <v>45400</v>
      </c>
      <c r="L10" s="6"/>
      <c r="M10" s="6"/>
      <c r="N10" s="6"/>
      <c r="O10" s="6"/>
      <c r="P10" s="7">
        <f>_xlfn.XLOOKUP(A10,'steel Mint data'!A:A,'steel Mint data'!Q:Q,"",0)</f>
        <v>39500</v>
      </c>
      <c r="Q10" s="6">
        <f>_xlfn.XLOOKUP(A10,'steel Mint data'!A:A,'steel Mint data'!R:R,"",0)</f>
        <v>41000</v>
      </c>
    </row>
    <row r="11" spans="1:20">
      <c r="A11" s="5">
        <v>45847</v>
      </c>
      <c r="B11" s="36">
        <f>_xlfn.XLOOKUP(A11,'steel Mint data'!A:A,'steel Mint data'!B:B,"",0)</f>
        <v>43200</v>
      </c>
      <c r="C11" s="6"/>
      <c r="D11" s="6"/>
      <c r="E11" s="6">
        <f>_xlfn.XLOOKUP(A11,'steel Mint data'!A:A,'steel Mint data'!D:D,"",0)</f>
        <v>44400</v>
      </c>
      <c r="F11" s="6"/>
      <c r="G11" s="6"/>
      <c r="H11" s="6"/>
      <c r="I11" s="36">
        <f>_xlfn.XLOOKUP(A11,'steel Mint data'!A:A,'steel Mint data'!I:I,"",0)</f>
        <v>43200</v>
      </c>
      <c r="J11" s="6"/>
      <c r="K11" s="6">
        <f>_xlfn.XLOOKUP(A11,'steel Mint data'!A:A,'steel Mint data'!L:L,"",0)</f>
        <v>45500</v>
      </c>
      <c r="L11" s="6"/>
      <c r="M11" s="6"/>
      <c r="N11" s="6"/>
      <c r="O11" s="6"/>
      <c r="P11" s="7">
        <f>_xlfn.XLOOKUP(A11,'steel Mint data'!A:A,'steel Mint data'!Q:Q,"",0)</f>
        <v>39700</v>
      </c>
      <c r="Q11" s="6">
        <f>_xlfn.XLOOKUP(A11,'steel Mint data'!A:A,'steel Mint data'!R:R,"",0)</f>
        <v>41000</v>
      </c>
    </row>
    <row r="12" spans="1:20">
      <c r="A12" s="5">
        <v>45848</v>
      </c>
      <c r="B12" s="36">
        <f>_xlfn.XLOOKUP(A12,'steel Mint data'!A:A,'steel Mint data'!B:B,"",0)</f>
        <v>43200</v>
      </c>
      <c r="C12" s="6"/>
      <c r="D12" s="6"/>
      <c r="E12" s="6">
        <f>_xlfn.XLOOKUP(A12,'steel Mint data'!A:A,'steel Mint data'!D:D,"",0)</f>
        <v>44400</v>
      </c>
      <c r="F12" s="6"/>
      <c r="G12" s="6"/>
      <c r="H12" s="6"/>
      <c r="I12" s="36">
        <f>_xlfn.XLOOKUP(A12,'steel Mint data'!A:A,'steel Mint data'!I:I,"",0)</f>
        <v>43200</v>
      </c>
      <c r="J12" s="6"/>
      <c r="K12" s="6">
        <f>_xlfn.XLOOKUP(A12,'steel Mint data'!A:A,'steel Mint data'!L:L,"",0)</f>
        <v>45500</v>
      </c>
      <c r="L12" s="6"/>
      <c r="M12" s="6"/>
      <c r="N12" s="6"/>
      <c r="O12" s="6"/>
      <c r="P12" s="7">
        <f>_xlfn.XLOOKUP(A12,'steel Mint data'!A:A,'steel Mint data'!Q:Q,"",0)</f>
        <v>39700</v>
      </c>
      <c r="Q12" s="6">
        <f>_xlfn.XLOOKUP(A12,'steel Mint data'!A:A,'steel Mint data'!R:R,"",0)</f>
        <v>40800</v>
      </c>
    </row>
    <row r="13" spans="1:20">
      <c r="A13" s="5">
        <v>45849</v>
      </c>
      <c r="B13" s="36">
        <f>_xlfn.XLOOKUP(A13,'steel Mint data'!A:A,'steel Mint data'!B:B,"",0)</f>
        <v>43200</v>
      </c>
      <c r="C13" s="6"/>
      <c r="D13" s="6"/>
      <c r="E13" s="6">
        <f>_xlfn.XLOOKUP(A13,'steel Mint data'!A:A,'steel Mint data'!D:D,"",0)</f>
        <v>44300</v>
      </c>
      <c r="F13" s="6"/>
      <c r="G13" s="6"/>
      <c r="H13" s="6"/>
      <c r="I13" s="36">
        <f>_xlfn.XLOOKUP(A13,'steel Mint data'!A:A,'steel Mint data'!I:I,"",0)</f>
        <v>43000</v>
      </c>
      <c r="J13" s="6"/>
      <c r="K13" s="6">
        <f>_xlfn.XLOOKUP(A13,'steel Mint data'!A:A,'steel Mint data'!L:L,"",0)</f>
        <v>45500</v>
      </c>
      <c r="L13" s="6"/>
      <c r="M13" s="6"/>
      <c r="N13" s="6"/>
      <c r="O13" s="6"/>
      <c r="P13" s="7">
        <f>_xlfn.XLOOKUP(A13,'steel Mint data'!A:A,'steel Mint data'!Q:Q,"",0)</f>
        <v>39500</v>
      </c>
      <c r="Q13" s="6">
        <f>_xlfn.XLOOKUP(A13,'steel Mint data'!A:A,'steel Mint data'!R:R,"",0)</f>
        <v>40700</v>
      </c>
    </row>
    <row r="14" spans="1:20">
      <c r="A14" s="5">
        <v>45850</v>
      </c>
      <c r="B14" s="36">
        <f>_xlfn.XLOOKUP(A14,'steel Mint data'!A:A,'steel Mint data'!B:B,"",0)</f>
        <v>43200</v>
      </c>
      <c r="C14" s="6"/>
      <c r="D14" s="6"/>
      <c r="E14" s="6">
        <f>_xlfn.XLOOKUP(A14,'steel Mint data'!A:A,'steel Mint data'!D:D,"",0)</f>
        <v>44000</v>
      </c>
      <c r="F14" s="6"/>
      <c r="G14" s="6"/>
      <c r="H14" s="6"/>
      <c r="I14" s="36">
        <f>_xlfn.XLOOKUP(A14,'steel Mint data'!A:A,'steel Mint data'!I:I,"",0)</f>
        <v>43000</v>
      </c>
      <c r="J14" s="6"/>
      <c r="K14" s="6">
        <f>_xlfn.XLOOKUP(A14,'steel Mint data'!A:A,'steel Mint data'!L:L,"",0)</f>
        <v>45300</v>
      </c>
      <c r="L14" s="6"/>
      <c r="M14" s="6"/>
      <c r="N14" s="6"/>
      <c r="O14" s="6"/>
      <c r="P14" s="7">
        <f>_xlfn.XLOOKUP(A14,'steel Mint data'!A:A,'steel Mint data'!Q:Q,"",0)</f>
        <v>39300</v>
      </c>
      <c r="Q14" s="6">
        <f>_xlfn.XLOOKUP(A14,'steel Mint data'!A:A,'steel Mint data'!R:R,"",0)</f>
        <v>40600</v>
      </c>
      <c r="S14" s="33"/>
      <c r="T14" s="33"/>
    </row>
    <row r="15" spans="1:20">
      <c r="A15" s="5">
        <v>45851</v>
      </c>
      <c r="B15" s="36" t="str">
        <f>_xlfn.XLOOKUP(A15,'steel Mint data'!A:A,'steel Mint data'!B:B,"",0)</f>
        <v>H</v>
      </c>
      <c r="C15" s="6"/>
      <c r="D15" s="6"/>
      <c r="E15" s="6" t="str">
        <f>_xlfn.XLOOKUP(A15,'steel Mint data'!A:A,'steel Mint data'!D:D,"",0)</f>
        <v>H</v>
      </c>
      <c r="F15" s="6"/>
      <c r="G15" s="6"/>
      <c r="H15" s="6"/>
      <c r="I15" s="36" t="str">
        <f>_xlfn.XLOOKUP(A15,'steel Mint data'!A:A,'steel Mint data'!I:I,"",0)</f>
        <v>H</v>
      </c>
      <c r="J15" s="6"/>
      <c r="K15" s="6" t="str">
        <f>_xlfn.XLOOKUP(A15,'steel Mint data'!A:A,'steel Mint data'!L:L,"",0)</f>
        <v>H</v>
      </c>
      <c r="L15" s="6"/>
      <c r="M15" s="6"/>
      <c r="N15" s="6"/>
      <c r="O15" s="6"/>
      <c r="P15" s="7" t="str">
        <f>_xlfn.XLOOKUP(A15,'steel Mint data'!A:A,'steel Mint data'!Q:Q,"",0)</f>
        <v>H</v>
      </c>
      <c r="Q15" s="6" t="str">
        <f>_xlfn.XLOOKUP(A15,'steel Mint data'!A:A,'steel Mint data'!R:R,"",0)</f>
        <v>H</v>
      </c>
    </row>
    <row r="16" spans="1:20">
      <c r="A16" s="5">
        <v>45852</v>
      </c>
      <c r="B16" s="36">
        <f>_xlfn.XLOOKUP(A16,'steel Mint data'!A:A,'steel Mint data'!B:B,"",0)</f>
        <v>42800</v>
      </c>
      <c r="C16" s="6"/>
      <c r="D16" s="6"/>
      <c r="E16" s="6">
        <f>_xlfn.XLOOKUP(A16,'steel Mint data'!A:A,'steel Mint data'!D:D,"",0)</f>
        <v>43900</v>
      </c>
      <c r="F16" s="6"/>
      <c r="G16" s="6"/>
      <c r="H16" s="6"/>
      <c r="I16" s="36">
        <f>_xlfn.XLOOKUP(A16,'steel Mint data'!A:A,'steel Mint data'!I:I,"",0)</f>
        <v>42700</v>
      </c>
      <c r="J16" s="6"/>
      <c r="K16" s="6">
        <f>_xlfn.XLOOKUP(A16,'steel Mint data'!A:A,'steel Mint data'!L:L,"",0)</f>
        <v>45200</v>
      </c>
      <c r="L16" s="6"/>
      <c r="M16" s="6"/>
      <c r="N16" s="6"/>
      <c r="O16" s="6"/>
      <c r="P16" s="7">
        <f>_xlfn.XLOOKUP(A16,'steel Mint data'!A:A,'steel Mint data'!Q:Q,"",0)</f>
        <v>39200</v>
      </c>
      <c r="Q16" s="6">
        <f>_xlfn.XLOOKUP(A16,'steel Mint data'!A:A,'steel Mint data'!R:R,"",0)</f>
        <v>40200</v>
      </c>
    </row>
    <row r="17" spans="1:21">
      <c r="A17" s="5">
        <v>45853</v>
      </c>
      <c r="B17" s="36">
        <f>_xlfn.XLOOKUP(A17,'steel Mint data'!A:A,'steel Mint data'!B:B,"",0)</f>
        <v>42600</v>
      </c>
      <c r="C17" s="6"/>
      <c r="D17" s="6"/>
      <c r="E17" s="6">
        <f>_xlfn.XLOOKUP(A17,'steel Mint data'!A:A,'steel Mint data'!D:D,"",0)</f>
        <v>43800</v>
      </c>
      <c r="F17" s="6"/>
      <c r="G17" s="6"/>
      <c r="H17" s="6"/>
      <c r="I17" s="36">
        <f>_xlfn.XLOOKUP(A17,'steel Mint data'!A:A,'steel Mint data'!I:I,"",0)</f>
        <v>42400</v>
      </c>
      <c r="J17" s="6"/>
      <c r="K17" s="6">
        <f>_xlfn.XLOOKUP(A17,'steel Mint data'!A:A,'steel Mint data'!L:L,"",0)</f>
        <v>45000</v>
      </c>
      <c r="L17" s="6"/>
      <c r="M17" s="6"/>
      <c r="N17" s="6"/>
      <c r="O17" s="6"/>
      <c r="P17" s="7">
        <f>_xlfn.XLOOKUP(A17,'steel Mint data'!A:A,'steel Mint data'!Q:Q,"",0)</f>
        <v>39000</v>
      </c>
      <c r="Q17" s="6">
        <f>_xlfn.XLOOKUP(A17,'steel Mint data'!A:A,'steel Mint data'!R:R,"",0)</f>
        <v>40200</v>
      </c>
    </row>
    <row r="18" spans="1:21">
      <c r="A18" s="5"/>
      <c r="B18" s="36" t="str">
        <f>_xlfn.XLOOKUP(A18,'steel Mint data'!A:A,'steel Mint data'!B:B,"",0)</f>
        <v/>
      </c>
      <c r="C18" s="6"/>
      <c r="D18" s="6"/>
      <c r="E18" s="6"/>
      <c r="F18" s="6"/>
      <c r="G18" s="6"/>
      <c r="H18" s="6"/>
      <c r="I18" s="36"/>
      <c r="J18" s="6"/>
      <c r="K18" s="6"/>
      <c r="L18" s="6"/>
      <c r="M18" s="6"/>
      <c r="N18" s="6"/>
      <c r="O18" s="6"/>
      <c r="P18" s="7"/>
      <c r="Q18" s="6"/>
      <c r="S18" s="33">
        <f>49000-2500-F24</f>
        <v>4962.5</v>
      </c>
      <c r="T18" s="33">
        <f>47500-2500-F24</f>
        <v>3462.5</v>
      </c>
    </row>
    <row r="19" spans="1:21">
      <c r="A19" s="14"/>
      <c r="B19" s="15">
        <f>SUM(B3:B18)</f>
        <v>344200</v>
      </c>
      <c r="C19" s="14"/>
      <c r="D19" s="14"/>
      <c r="E19" s="15">
        <f>SUM(E3:E18)</f>
        <v>353200</v>
      </c>
      <c r="F19" s="14"/>
      <c r="G19" s="14"/>
      <c r="H19" s="14"/>
      <c r="I19" s="15">
        <f>SUM(I3:I18)</f>
        <v>343800</v>
      </c>
      <c r="J19" s="14"/>
      <c r="K19" s="15">
        <f>SUM(K3:K18)</f>
        <v>363200</v>
      </c>
      <c r="L19" s="14"/>
      <c r="M19" s="14"/>
      <c r="N19" s="14"/>
      <c r="O19" s="14"/>
      <c r="P19" s="15">
        <f>SUM(P3:P18)</f>
        <v>315700</v>
      </c>
      <c r="Q19" s="15">
        <f>SUM(Q3:Q18)</f>
        <v>325400</v>
      </c>
      <c r="S19" s="33">
        <f>49000-2500-F25</f>
        <v>4225</v>
      </c>
      <c r="T19" s="33">
        <f>47500-2500-F25</f>
        <v>2725</v>
      </c>
    </row>
    <row r="20" spans="1:21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23</v>
      </c>
      <c r="H20" s="16" t="s">
        <v>39</v>
      </c>
      <c r="I20" s="16" t="s">
        <v>46</v>
      </c>
      <c r="J20" s="14"/>
      <c r="K20" s="14"/>
      <c r="L20" s="14"/>
      <c r="M20" s="14"/>
      <c r="N20" s="14"/>
      <c r="O20" s="14"/>
      <c r="P20" s="14"/>
      <c r="Q20" s="14"/>
      <c r="S20" s="33"/>
      <c r="T20" s="33"/>
    </row>
    <row r="21" spans="1:21">
      <c r="A21" s="17" t="s">
        <v>25</v>
      </c>
      <c r="B21" s="18">
        <f>E19/O21</f>
        <v>44150</v>
      </c>
      <c r="C21" s="18">
        <f>P19/O21</f>
        <v>39462.5</v>
      </c>
      <c r="D21" s="18">
        <f>K19/O21</f>
        <v>45400</v>
      </c>
      <c r="E21" s="18">
        <f>Q19/O21</f>
        <v>40675</v>
      </c>
      <c r="F21" s="18">
        <f>C21</f>
        <v>39462.5</v>
      </c>
      <c r="G21" s="18">
        <f>B21-800</f>
        <v>43350</v>
      </c>
      <c r="H21" s="18">
        <f>I19/O21</f>
        <v>42975</v>
      </c>
      <c r="I21" s="18">
        <f>B19/O21</f>
        <v>43025</v>
      </c>
      <c r="J21" s="19"/>
      <c r="K21" s="19"/>
      <c r="L21" s="14"/>
      <c r="M21" s="19"/>
      <c r="N21" s="14"/>
      <c r="O21" s="20">
        <f>COUNT(P3:P18)</f>
        <v>8</v>
      </c>
      <c r="P21" s="21"/>
      <c r="Q21" s="14"/>
      <c r="R21" s="33"/>
      <c r="S21" s="33"/>
      <c r="T21" s="33">
        <f>(S18*40+T18*302)/342</f>
        <v>3637.9385964912281</v>
      </c>
    </row>
    <row r="22" spans="1:21">
      <c r="A22" s="17" t="s">
        <v>26</v>
      </c>
      <c r="B22" s="18">
        <v>1200</v>
      </c>
      <c r="C22" s="18">
        <v>2150</v>
      </c>
      <c r="D22" s="18">
        <v>400</v>
      </c>
      <c r="E22" s="18">
        <v>2200</v>
      </c>
      <c r="F22" s="18">
        <v>1800</v>
      </c>
      <c r="G22" s="18">
        <v>1200</v>
      </c>
      <c r="H22" s="18">
        <v>800</v>
      </c>
      <c r="I22" s="18">
        <v>0</v>
      </c>
      <c r="J22" s="19">
        <v>1000</v>
      </c>
      <c r="K22" s="19">
        <f>G24+2200+1000+2000</f>
        <v>49950</v>
      </c>
      <c r="L22" s="19"/>
      <c r="M22" s="19">
        <f>G24+1000+2000</f>
        <v>47750</v>
      </c>
      <c r="N22" s="14"/>
      <c r="O22" s="14"/>
      <c r="P22" s="14"/>
      <c r="Q22" s="19">
        <f>48000-1000-G24</f>
        <v>2250</v>
      </c>
      <c r="R22" s="33"/>
      <c r="T22" s="33">
        <f>(S19*40+T19*302)/342</f>
        <v>2900.4385964912281</v>
      </c>
    </row>
    <row r="23" spans="1:21">
      <c r="A23" s="17" t="s">
        <v>27</v>
      </c>
      <c r="B23" s="18">
        <v>200</v>
      </c>
      <c r="C23" s="18">
        <v>265</v>
      </c>
      <c r="D23" s="18">
        <v>250</v>
      </c>
      <c r="E23" s="18">
        <v>275</v>
      </c>
      <c r="F23" s="18">
        <v>275</v>
      </c>
      <c r="G23" s="18">
        <v>200</v>
      </c>
      <c r="H23" s="18">
        <v>270</v>
      </c>
      <c r="I23" s="18">
        <v>200</v>
      </c>
      <c r="J23" s="19"/>
      <c r="K23" s="19">
        <f>C24+1250+1500</f>
        <v>44627.5</v>
      </c>
      <c r="L23" s="19">
        <f>K23+3500</f>
        <v>48127.5</v>
      </c>
      <c r="M23" s="19"/>
      <c r="N23" s="14"/>
      <c r="O23" s="19"/>
      <c r="P23" s="19"/>
      <c r="Q23" s="19">
        <f>49450-1450-1000-G24</f>
        <v>2250</v>
      </c>
      <c r="R23" s="33"/>
    </row>
    <row r="24" spans="1:21" ht="24.75">
      <c r="A24" s="22" t="s">
        <v>28</v>
      </c>
      <c r="B24" s="18">
        <f>SUM(B21:B23)</f>
        <v>45550</v>
      </c>
      <c r="C24" s="18">
        <f>SUM(C21:C23)</f>
        <v>41877.5</v>
      </c>
      <c r="D24" s="18">
        <f>SUM(D21:D23)</f>
        <v>46050</v>
      </c>
      <c r="E24" s="18">
        <f>SUM(E21:E23)</f>
        <v>43150</v>
      </c>
      <c r="F24" s="18">
        <f>SUM(F21:F23)</f>
        <v>41537.5</v>
      </c>
      <c r="G24" s="18">
        <f>SUM(G21:G23)</f>
        <v>44750</v>
      </c>
      <c r="H24" s="18">
        <f>SUM(H21:H23)</f>
        <v>44045</v>
      </c>
      <c r="I24" s="18">
        <f>SUM(I21:I23)</f>
        <v>43225</v>
      </c>
      <c r="J24" s="19">
        <f>I24+1000+2000+2500</f>
        <v>48725</v>
      </c>
      <c r="K24" s="19"/>
      <c r="L24" s="14"/>
      <c r="M24" s="19"/>
      <c r="N24" s="14"/>
      <c r="O24" s="19"/>
      <c r="P24" s="19"/>
      <c r="Q24" s="14"/>
      <c r="R24" s="33"/>
      <c r="S24" s="33"/>
    </row>
    <row r="25" spans="1:21">
      <c r="A25" s="22" t="s">
        <v>29</v>
      </c>
      <c r="B25" s="18">
        <f>B36</f>
        <v>46000</v>
      </c>
      <c r="C25" s="18">
        <f>B37</f>
        <v>42615</v>
      </c>
      <c r="D25" s="18">
        <f>B39</f>
        <v>46450</v>
      </c>
      <c r="E25" s="23">
        <f>B42</f>
        <v>43675</v>
      </c>
      <c r="F25" s="18">
        <f>B38</f>
        <v>42275</v>
      </c>
      <c r="G25" s="18">
        <f>B40</f>
        <v>45200</v>
      </c>
      <c r="H25" s="18">
        <f>B41</f>
        <v>44470</v>
      </c>
      <c r="I25" s="18">
        <v>43500</v>
      </c>
      <c r="J25" s="34"/>
      <c r="K25" s="19">
        <f>G25-C25</f>
        <v>2585</v>
      </c>
      <c r="L25" s="19">
        <f>K25-1000</f>
        <v>1585</v>
      </c>
      <c r="M25" s="19"/>
      <c r="N25" s="14"/>
      <c r="O25" s="19">
        <f>48500-C25-3600-1250</f>
        <v>1035</v>
      </c>
      <c r="P25" s="19"/>
      <c r="Q25" s="14"/>
    </row>
    <row r="26" spans="1:21">
      <c r="A26" s="22" t="s">
        <v>30</v>
      </c>
      <c r="B26" s="18">
        <f>B24-B25</f>
        <v>-450</v>
      </c>
      <c r="C26" s="18">
        <f>C24-C25</f>
        <v>-737.5</v>
      </c>
      <c r="D26" s="18">
        <f>D24-D25</f>
        <v>-400</v>
      </c>
      <c r="E26" s="18">
        <f>E24-E25</f>
        <v>-525</v>
      </c>
      <c r="F26" s="18">
        <f>F24-F25</f>
        <v>-737.5</v>
      </c>
      <c r="G26" s="18">
        <f>G24-G25</f>
        <v>-450</v>
      </c>
      <c r="H26" s="18">
        <f>H24-H25</f>
        <v>-425</v>
      </c>
      <c r="I26" s="18">
        <f>I24-I25</f>
        <v>-275</v>
      </c>
      <c r="J26" s="19"/>
      <c r="K26" s="19">
        <v>48550</v>
      </c>
      <c r="L26" s="19"/>
      <c r="M26" s="19"/>
      <c r="N26" s="14"/>
      <c r="O26" s="19"/>
      <c r="P26" s="14"/>
      <c r="Q26" s="19"/>
      <c r="R26" s="33"/>
      <c r="S26" s="33">
        <f>45800-3100-F24</f>
        <v>1162.5</v>
      </c>
      <c r="T26">
        <f>45800</f>
        <v>45800</v>
      </c>
    </row>
    <row r="27" spans="1:21">
      <c r="A27" s="14"/>
      <c r="B27" s="14"/>
      <c r="C27" s="14"/>
      <c r="D27" s="14"/>
      <c r="E27" s="14"/>
      <c r="F27" s="14"/>
      <c r="G27" s="14"/>
      <c r="H27" s="14"/>
      <c r="I27" s="14"/>
      <c r="J27" s="19"/>
      <c r="K27" s="19">
        <f>C25+3000</f>
        <v>45615</v>
      </c>
      <c r="L27" s="24"/>
      <c r="M27" s="19"/>
      <c r="N27" s="24">
        <f>46000-3350-F24</f>
        <v>1112.5</v>
      </c>
      <c r="O27" s="24">
        <f>46000-3600-F24</f>
        <v>862.5</v>
      </c>
      <c r="P27" s="14"/>
      <c r="Q27" s="19">
        <f>48000-1250-C24</f>
        <v>4872.5</v>
      </c>
      <c r="R27" s="33"/>
      <c r="S27" s="33">
        <f>45800-3100-F25</f>
        <v>425</v>
      </c>
    </row>
    <row r="28" spans="1:21">
      <c r="A28" s="22" t="s">
        <v>31</v>
      </c>
      <c r="B28" s="18">
        <v>49300</v>
      </c>
      <c r="C28" s="18">
        <v>46550</v>
      </c>
      <c r="D28" s="18">
        <v>49800</v>
      </c>
      <c r="E28" s="18">
        <v>47650</v>
      </c>
      <c r="F28" s="18">
        <v>46550</v>
      </c>
      <c r="G28" s="18">
        <v>48500</v>
      </c>
      <c r="H28" s="18">
        <v>48800</v>
      </c>
      <c r="I28" s="18">
        <v>48800</v>
      </c>
      <c r="J28" s="14"/>
      <c r="K28" s="19">
        <f>K26-K27</f>
        <v>2935</v>
      </c>
      <c r="L28" s="24"/>
      <c r="M28" s="19"/>
      <c r="N28" s="24">
        <f>46000-3350-F25</f>
        <v>375</v>
      </c>
      <c r="O28" s="24">
        <f>46000-3600-F25</f>
        <v>125</v>
      </c>
      <c r="P28" s="14"/>
      <c r="Q28" s="19">
        <f>48000-1000-G24</f>
        <v>2250</v>
      </c>
      <c r="R28" s="33">
        <f>Q27-Q28</f>
        <v>2622.5</v>
      </c>
    </row>
    <row r="29" spans="1:21">
      <c r="A29" s="22" t="s">
        <v>32</v>
      </c>
      <c r="B29" s="26">
        <f>B28-500-(200+300+300)-250-400</f>
        <v>47350</v>
      </c>
      <c r="C29" s="26">
        <f t="shared" ref="C29:I29" si="0">C28-500-(200+300+300)-250-400</f>
        <v>44600</v>
      </c>
      <c r="D29" s="26">
        <f t="shared" si="0"/>
        <v>47850</v>
      </c>
      <c r="E29" s="26">
        <f t="shared" si="0"/>
        <v>45700</v>
      </c>
      <c r="F29" s="26">
        <f t="shared" si="0"/>
        <v>44600</v>
      </c>
      <c r="G29" s="26">
        <f t="shared" si="0"/>
        <v>46550</v>
      </c>
      <c r="H29" s="26">
        <f t="shared" si="0"/>
        <v>46850</v>
      </c>
      <c r="I29" s="26">
        <f t="shared" si="0"/>
        <v>46850</v>
      </c>
      <c r="J29" s="19"/>
      <c r="K29" s="19">
        <f>K26-3000-C25</f>
        <v>2935</v>
      </c>
      <c r="L29" s="24"/>
      <c r="M29" s="19">
        <f>47300-1100-D24</f>
        <v>150</v>
      </c>
      <c r="N29" s="19"/>
      <c r="O29" s="19"/>
      <c r="P29" s="19"/>
      <c r="Q29" s="14"/>
    </row>
    <row r="30" spans="1:21">
      <c r="A30" s="25" t="s">
        <v>33</v>
      </c>
      <c r="B30" s="18">
        <f>B29-B24</f>
        <v>1800</v>
      </c>
      <c r="C30" s="18">
        <f t="shared" ref="C30:I30" si="1">C29-C24</f>
        <v>2722.5</v>
      </c>
      <c r="D30" s="18">
        <f t="shared" si="1"/>
        <v>1800</v>
      </c>
      <c r="E30" s="18">
        <f t="shared" si="1"/>
        <v>2550</v>
      </c>
      <c r="F30" s="18">
        <f t="shared" si="1"/>
        <v>3062.5</v>
      </c>
      <c r="G30" s="18">
        <f t="shared" si="1"/>
        <v>1800</v>
      </c>
      <c r="H30" s="18">
        <f t="shared" si="1"/>
        <v>2805</v>
      </c>
      <c r="I30" s="18">
        <f t="shared" si="1"/>
        <v>3625</v>
      </c>
      <c r="J30" s="19"/>
      <c r="K30" s="19"/>
      <c r="L30" s="24"/>
      <c r="M30" s="19"/>
      <c r="N30" s="19"/>
      <c r="O30" s="19"/>
      <c r="P30" s="14"/>
      <c r="Q30" s="19">
        <f>48000-1250-C24</f>
        <v>4872.5</v>
      </c>
      <c r="S30" s="33"/>
      <c r="T30" s="33"/>
      <c r="U30" s="33"/>
    </row>
    <row r="31" spans="1:21">
      <c r="I31" s="33"/>
      <c r="K31" s="33"/>
      <c r="L31" s="33"/>
      <c r="O31" s="19">
        <f>46000-1250-C24</f>
        <v>2872.5</v>
      </c>
      <c r="P31" s="33">
        <f>O31-O32</f>
        <v>737.5</v>
      </c>
      <c r="Q31" s="33"/>
      <c r="R31" s="33" t="s">
        <v>37</v>
      </c>
      <c r="S31" s="33" t="s">
        <v>24</v>
      </c>
      <c r="T31" s="33" t="s">
        <v>47</v>
      </c>
      <c r="U31" s="33"/>
    </row>
    <row r="32" spans="1:21">
      <c r="B32" s="33">
        <f>B28-B24</f>
        <v>3750</v>
      </c>
      <c r="C32" s="33">
        <f t="shared" ref="C32:I32" si="2">C28-C24</f>
        <v>4672.5</v>
      </c>
      <c r="D32" s="33">
        <f t="shared" si="2"/>
        <v>3750</v>
      </c>
      <c r="E32" s="33">
        <f t="shared" si="2"/>
        <v>4500</v>
      </c>
      <c r="F32" s="33">
        <f t="shared" si="2"/>
        <v>5012.5</v>
      </c>
      <c r="G32" s="33">
        <f t="shared" si="2"/>
        <v>3750</v>
      </c>
      <c r="H32" s="33">
        <f t="shared" si="2"/>
        <v>4755</v>
      </c>
      <c r="I32" s="33">
        <f t="shared" si="2"/>
        <v>5575</v>
      </c>
      <c r="K32" s="33"/>
      <c r="L32" s="33"/>
      <c r="N32" s="33">
        <f>46000-1000-F24</f>
        <v>3462.5</v>
      </c>
      <c r="O32" s="19">
        <f>46000-1250-C25</f>
        <v>2135</v>
      </c>
      <c r="P32" s="33"/>
      <c r="Q32" s="33"/>
      <c r="R32" s="33">
        <f>G24+1500+1000+500</f>
        <v>47750</v>
      </c>
      <c r="S32" s="33">
        <f>F24+1000+500+3000</f>
        <v>46037.5</v>
      </c>
    </row>
    <row r="33" spans="1:18">
      <c r="B33" s="33">
        <f>B28-800-300</f>
        <v>48200</v>
      </c>
      <c r="C33" s="33"/>
      <c r="D33" s="33"/>
      <c r="F33" s="33"/>
      <c r="J33" s="33"/>
      <c r="K33" s="33"/>
      <c r="L33" s="33"/>
      <c r="N33" s="33"/>
      <c r="R33" s="33">
        <f>G25+1500+1000+500</f>
        <v>48200</v>
      </c>
    </row>
    <row r="34" spans="1:18">
      <c r="B34" t="s">
        <v>0</v>
      </c>
      <c r="C34" t="s">
        <v>48</v>
      </c>
      <c r="D34" s="33">
        <f>C24+3000+1200</f>
        <v>46077.5</v>
      </c>
      <c r="G34" s="33"/>
      <c r="H34" s="33"/>
      <c r="J34" s="33"/>
      <c r="K34" s="33"/>
      <c r="L34" s="33">
        <f>3600+700</f>
        <v>4300</v>
      </c>
      <c r="N34" s="33"/>
    </row>
    <row r="35" spans="1:18" ht="30.75">
      <c r="A35" s="39" t="s">
        <v>40</v>
      </c>
      <c r="B35" s="40" t="s">
        <v>49</v>
      </c>
      <c r="C35" s="43"/>
      <c r="D35" s="33">
        <f>46500-C24</f>
        <v>4622.5</v>
      </c>
      <c r="E35" s="33">
        <f>D24+800+1200</f>
        <v>48050</v>
      </c>
      <c r="F35" s="33">
        <f>B24+1500</f>
        <v>47050</v>
      </c>
      <c r="H35" s="33">
        <f>F24+500+1000+3000</f>
        <v>46037.5</v>
      </c>
      <c r="I35" s="33"/>
      <c r="J35" s="33"/>
      <c r="L35" s="33">
        <f>C24+1250+2000+L34</f>
        <v>49427.5</v>
      </c>
      <c r="O35" s="33"/>
      <c r="P35" s="33">
        <f>46400-3300-1000-F24</f>
        <v>562.5</v>
      </c>
      <c r="R35" s="33"/>
    </row>
    <row r="36" spans="1:18">
      <c r="A36" s="29" t="s">
        <v>42</v>
      </c>
      <c r="B36" s="29">
        <v>46000</v>
      </c>
      <c r="C36" s="43"/>
      <c r="D36" s="33"/>
      <c r="F36" s="42"/>
      <c r="G36" s="41"/>
      <c r="H36" s="33"/>
      <c r="I36" s="33"/>
      <c r="J36" s="33"/>
      <c r="M36" s="33"/>
      <c r="O36" s="33">
        <f>F24+3000+500</f>
        <v>45037.5</v>
      </c>
    </row>
    <row r="37" spans="1:18">
      <c r="A37" s="29" t="s">
        <v>43</v>
      </c>
      <c r="B37" s="29">
        <v>42615</v>
      </c>
      <c r="C37" s="43">
        <f>B37+1250</f>
        <v>43865</v>
      </c>
      <c r="F37" s="47">
        <f>F24+500+3000</f>
        <v>45037.5</v>
      </c>
      <c r="G37" s="41"/>
      <c r="H37" s="33">
        <f>45000-1000-F24</f>
        <v>2462.5</v>
      </c>
      <c r="K37" s="33"/>
    </row>
    <row r="38" spans="1:18">
      <c r="A38" s="29" t="s">
        <v>44</v>
      </c>
      <c r="B38" s="29">
        <v>42275</v>
      </c>
      <c r="C38" s="43">
        <f>B38+1000</f>
        <v>43275</v>
      </c>
      <c r="F38" s="42"/>
      <c r="G38" s="41"/>
      <c r="J38">
        <f>43865+3500+1200</f>
        <v>48565</v>
      </c>
      <c r="K38" s="33">
        <f>48250</f>
        <v>48250</v>
      </c>
      <c r="O38" s="33"/>
      <c r="R38" s="33"/>
    </row>
    <row r="39" spans="1:18">
      <c r="A39" s="29" t="s">
        <v>36</v>
      </c>
      <c r="B39" s="29">
        <v>46450</v>
      </c>
      <c r="C39" s="43">
        <f>B39+800</f>
        <v>47250</v>
      </c>
      <c r="D39" s="33"/>
      <c r="F39" s="42"/>
      <c r="G39" s="41"/>
      <c r="H39" s="33"/>
      <c r="K39" s="33"/>
      <c r="L39" s="33"/>
      <c r="N39" s="33"/>
      <c r="O39" s="33"/>
      <c r="P39" s="33">
        <f>47300-1300-1000-F24</f>
        <v>3462.5</v>
      </c>
    </row>
    <row r="40" spans="1:18">
      <c r="A40" s="29" t="s">
        <v>37</v>
      </c>
      <c r="B40" s="29">
        <v>45200</v>
      </c>
      <c r="C40" s="43">
        <f>B40+1000</f>
        <v>46200</v>
      </c>
      <c r="D40">
        <f>C40-C39</f>
        <v>-1050</v>
      </c>
      <c r="F40" s="44"/>
      <c r="G40" s="45"/>
      <c r="I40">
        <f>46200+2000+2000</f>
        <v>50200</v>
      </c>
      <c r="P40" s="33">
        <f>47300-1300-1000-F25</f>
        <v>2725</v>
      </c>
    </row>
    <row r="41" spans="1:18">
      <c r="A41" s="29" t="s">
        <v>45</v>
      </c>
      <c r="B41" s="29">
        <v>44470</v>
      </c>
      <c r="C41" s="43"/>
      <c r="F41" s="44"/>
      <c r="G41" s="45"/>
      <c r="H41" s="33"/>
    </row>
    <row r="42" spans="1:18">
      <c r="A42" s="43" t="s">
        <v>50</v>
      </c>
      <c r="B42" s="43">
        <v>43675</v>
      </c>
      <c r="C42" s="43"/>
      <c r="F42" s="44"/>
      <c r="G42" s="45"/>
      <c r="M42" s="33"/>
    </row>
    <row r="43" spans="1:18">
      <c r="A43" s="46" t="s">
        <v>46</v>
      </c>
      <c r="B43" s="46">
        <f>44500-1000</f>
        <v>43500</v>
      </c>
      <c r="C43" s="46">
        <f>B43+1000</f>
        <v>44500</v>
      </c>
      <c r="L43" s="33"/>
      <c r="M43" s="33"/>
    </row>
    <row r="45" spans="1:18">
      <c r="B45" s="33">
        <f>45100-F24-2200</f>
        <v>1362.5</v>
      </c>
    </row>
  </sheetData>
  <mergeCells count="1">
    <mergeCell ref="B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B575-BFFB-4025-873F-396EA7D076C4}">
  <dimension ref="A1:U78"/>
  <sheetViews>
    <sheetView workbookViewId="0">
      <pane ySplit="2" topLeftCell="S10" activePane="bottomLeft" state="frozen"/>
      <selection pane="bottomLeft" activeCell="S10" sqref="S10"/>
    </sheetView>
  </sheetViews>
  <sheetFormatPr defaultColWidth="15.85546875" defaultRowHeight="15"/>
  <cols>
    <col min="2" max="2" width="14.85546875" customWidth="1"/>
    <col min="3" max="3" width="20.5703125" customWidth="1"/>
    <col min="4" max="4" width="10.85546875" customWidth="1"/>
    <col min="5" max="5" width="14.28515625" customWidth="1"/>
    <col min="6" max="7" width="10.85546875" customWidth="1"/>
    <col min="8" max="8" width="13.140625" customWidth="1"/>
    <col min="9" max="10" width="10.85546875" customWidth="1"/>
    <col min="11" max="11" width="17.85546875" customWidth="1"/>
    <col min="12" max="16" width="10.85546875" customWidth="1"/>
    <col min="17" max="17" width="12.28515625" customWidth="1"/>
  </cols>
  <sheetData>
    <row r="1" spans="1:20">
      <c r="A1" s="1"/>
      <c r="B1" s="519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</row>
    <row r="2" spans="1:20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</row>
    <row r="3" spans="1:20">
      <c r="A3" s="5">
        <v>45839</v>
      </c>
      <c r="B3" s="36">
        <f>_xlfn.XLOOKUP(A3,'steel Mint data'!A:A,'steel Mint data'!B:B,"",0)</f>
        <v>43200</v>
      </c>
      <c r="C3" s="6"/>
      <c r="D3" s="6"/>
      <c r="E3" s="36">
        <f>_xlfn.XLOOKUP(A3,'steel Mint data'!A:A,'steel Mint data'!D:D,"",0)</f>
        <v>44500</v>
      </c>
      <c r="F3" s="6"/>
      <c r="G3" s="6"/>
      <c r="H3" s="6"/>
      <c r="I3" s="36">
        <f>_xlfn.XLOOKUP(A3,'steel Mint data'!A:A,'steel Mint data'!I:I,"",0)</f>
        <v>43300</v>
      </c>
      <c r="J3" s="6"/>
      <c r="K3" s="36">
        <f>_xlfn.XLOOKUP(A3,'steel Mint data'!A:A,'steel Mint data'!L:L,"",0)</f>
        <v>45800</v>
      </c>
      <c r="L3" s="6"/>
      <c r="M3" s="6"/>
      <c r="N3" s="6"/>
      <c r="O3" s="6"/>
      <c r="P3" s="37">
        <f>_xlfn.XLOOKUP(A3,'steel Mint data'!A:A,'steel Mint data'!Q:Q,"",0)</f>
        <v>39800</v>
      </c>
      <c r="Q3" s="36">
        <f>_xlfn.XLOOKUP(A3,'steel Mint data'!A:A,'steel Mint data'!R:R,"",0)</f>
        <v>40900</v>
      </c>
    </row>
    <row r="4" spans="1:20">
      <c r="A4" s="5">
        <v>45840</v>
      </c>
      <c r="B4" s="36">
        <f>_xlfn.XLOOKUP(A4,'steel Mint data'!A:A,'steel Mint data'!B:B,"",0)</f>
        <v>43000</v>
      </c>
      <c r="C4" s="6"/>
      <c r="D4" s="6"/>
      <c r="E4" s="6">
        <f>_xlfn.XLOOKUP(A4,'steel Mint data'!A:A,'steel Mint data'!D:D,"",0)</f>
        <v>44400</v>
      </c>
      <c r="F4" s="6"/>
      <c r="G4" s="6"/>
      <c r="H4" s="6"/>
      <c r="I4" s="36">
        <f>_xlfn.XLOOKUP(A4,'steel Mint data'!A:A,'steel Mint data'!I:I,"",0)</f>
        <v>43300</v>
      </c>
      <c r="J4" s="6"/>
      <c r="K4" s="6">
        <f>_xlfn.XLOOKUP(A4,'steel Mint data'!A:A,'steel Mint data'!L:L,"",0)</f>
        <v>45700</v>
      </c>
      <c r="L4" s="6"/>
      <c r="M4" s="6"/>
      <c r="N4" s="6"/>
      <c r="O4" s="6"/>
      <c r="P4" s="7">
        <f>_xlfn.XLOOKUP(A4,'steel Mint data'!A:A,'steel Mint data'!Q:Q,"",0)</f>
        <v>39900</v>
      </c>
      <c r="Q4" s="6">
        <f>_xlfn.XLOOKUP(A4,'steel Mint data'!A:A,'steel Mint data'!R:R,"",0)</f>
        <v>41000</v>
      </c>
    </row>
    <row r="5" spans="1:20">
      <c r="A5" s="5">
        <v>45841</v>
      </c>
      <c r="B5" s="36">
        <f>_xlfn.XLOOKUP(A5,'steel Mint data'!A:A,'steel Mint data'!B:B,"",0)</f>
        <v>42800</v>
      </c>
      <c r="C5" s="6"/>
      <c r="D5" s="6"/>
      <c r="E5" s="36">
        <f>_xlfn.XLOOKUP(A5,'steel Mint data'!A:A,'steel Mint data'!D:D,"",0)</f>
        <v>44200</v>
      </c>
      <c r="F5" s="38"/>
      <c r="G5" s="38"/>
      <c r="H5" s="38"/>
      <c r="I5" s="36">
        <f>_xlfn.XLOOKUP(A5,'steel Mint data'!A:A,'steel Mint data'!I:I,"",0)</f>
        <v>43200</v>
      </c>
      <c r="J5" s="38"/>
      <c r="K5" s="36">
        <f>_xlfn.XLOOKUP(A5,'steel Mint data'!A:A,'steel Mint data'!L:L,"",0)</f>
        <v>45500</v>
      </c>
      <c r="L5" s="38"/>
      <c r="M5" s="38"/>
      <c r="N5" s="38"/>
      <c r="O5" s="38"/>
      <c r="P5" s="37">
        <f>_xlfn.XLOOKUP(A5,'steel Mint data'!A:A,'steel Mint data'!Q:Q,"",0)</f>
        <v>39700</v>
      </c>
      <c r="Q5" s="36">
        <f>_xlfn.XLOOKUP(A5,'steel Mint data'!A:A,'steel Mint data'!R:R,"",0)</f>
        <v>40800</v>
      </c>
    </row>
    <row r="6" spans="1:20">
      <c r="A6" s="5">
        <v>45842</v>
      </c>
      <c r="B6" s="36">
        <f>_xlfn.XLOOKUP(A6,'steel Mint data'!A:A,'steel Mint data'!B:B,"",0)</f>
        <v>42800</v>
      </c>
      <c r="C6" s="6"/>
      <c r="D6" s="6"/>
      <c r="E6" s="6">
        <f>_xlfn.XLOOKUP(A6,'steel Mint data'!A:A,'steel Mint data'!D:D,"",0)</f>
        <v>44200</v>
      </c>
      <c r="F6" s="9"/>
      <c r="G6" s="9"/>
      <c r="H6" s="9"/>
      <c r="I6" s="36">
        <f>_xlfn.XLOOKUP(A6,'steel Mint data'!A:A,'steel Mint data'!I:I,"",0)</f>
        <v>43200</v>
      </c>
      <c r="J6" s="9"/>
      <c r="K6" s="6">
        <f>_xlfn.XLOOKUP(A6,'steel Mint data'!A:A,'steel Mint data'!L:L,"",0)</f>
        <v>45500</v>
      </c>
      <c r="L6" s="9"/>
      <c r="M6" s="9"/>
      <c r="N6" s="9"/>
      <c r="O6" s="9"/>
      <c r="P6" s="7">
        <f>_xlfn.XLOOKUP(A6,'steel Mint data'!A:A,'steel Mint data'!Q:Q,"",0)</f>
        <v>39400</v>
      </c>
      <c r="Q6" s="6">
        <f>_xlfn.XLOOKUP(A6,'steel Mint data'!A:A,'steel Mint data'!R:R,"",0)</f>
        <v>40800</v>
      </c>
    </row>
    <row r="7" spans="1:20">
      <c r="A7" s="5">
        <v>45843</v>
      </c>
      <c r="B7" s="36">
        <f>_xlfn.XLOOKUP(A7,'steel Mint data'!A:A,'steel Mint data'!B:B,"",0)</f>
        <v>42800</v>
      </c>
      <c r="C7" s="6"/>
      <c r="D7" s="7"/>
      <c r="E7" s="6">
        <f>_xlfn.XLOOKUP(A7,'steel Mint data'!A:A,'steel Mint data'!D:D,"",0)</f>
        <v>44200</v>
      </c>
      <c r="F7" s="11"/>
      <c r="G7" s="11"/>
      <c r="H7" s="11"/>
      <c r="I7" s="36">
        <f>_xlfn.XLOOKUP(A7,'steel Mint data'!A:A,'steel Mint data'!I:I,"",0)</f>
        <v>43200</v>
      </c>
      <c r="J7" s="11"/>
      <c r="K7" s="6">
        <f>_xlfn.XLOOKUP(A7,'steel Mint data'!A:A,'steel Mint data'!L:L,"",0)</f>
        <v>45500</v>
      </c>
      <c r="L7" s="11"/>
      <c r="M7" s="11"/>
      <c r="N7" s="11"/>
      <c r="O7" s="11"/>
      <c r="P7" s="7">
        <f>_xlfn.XLOOKUP(A7,'steel Mint data'!A:A,'steel Mint data'!Q:Q,"",0)</f>
        <v>39400</v>
      </c>
      <c r="Q7" s="6">
        <f>_xlfn.XLOOKUP(A7,'steel Mint data'!A:A,'steel Mint data'!R:R,"",0)</f>
        <v>40800</v>
      </c>
    </row>
    <row r="8" spans="1:20">
      <c r="A8" s="5">
        <v>45844</v>
      </c>
      <c r="B8" s="36" t="str">
        <f>_xlfn.XLOOKUP(A8,'steel Mint data'!A:A,'steel Mint data'!B:B,"",0)</f>
        <v>H</v>
      </c>
      <c r="C8" s="6"/>
      <c r="D8" s="6"/>
      <c r="E8" s="6" t="str">
        <f>_xlfn.XLOOKUP(A8,'steel Mint data'!A:A,'steel Mint data'!D:D,"",0)</f>
        <v>H</v>
      </c>
      <c r="F8" s="12"/>
      <c r="G8" s="12"/>
      <c r="H8" s="12"/>
      <c r="I8" s="36" t="str">
        <f>_xlfn.XLOOKUP(A8,'steel Mint data'!A:A,'steel Mint data'!I:I,"",0)</f>
        <v>H</v>
      </c>
      <c r="J8" s="12"/>
      <c r="K8" s="6" t="str">
        <f>_xlfn.XLOOKUP(A8,'steel Mint data'!A:A,'steel Mint data'!L:L,"",0)</f>
        <v>H</v>
      </c>
      <c r="L8" s="12"/>
      <c r="M8" s="12"/>
      <c r="N8" s="12"/>
      <c r="O8" s="12"/>
      <c r="P8" s="7" t="str">
        <f>_xlfn.XLOOKUP(A8,'steel Mint data'!A:A,'steel Mint data'!Q:Q,"",0)</f>
        <v>H</v>
      </c>
      <c r="Q8" s="6" t="str">
        <f>_xlfn.XLOOKUP(A8,'steel Mint data'!A:A,'steel Mint data'!R:R,"",0)</f>
        <v>H</v>
      </c>
    </row>
    <row r="9" spans="1:20">
      <c r="A9" s="5">
        <v>45845</v>
      </c>
      <c r="B9" s="36">
        <f>_xlfn.XLOOKUP(A9,'steel Mint data'!A:A,'steel Mint data'!B:B,"",0)</f>
        <v>42800</v>
      </c>
      <c r="C9" s="6"/>
      <c r="D9" s="6"/>
      <c r="E9" s="6">
        <f>_xlfn.XLOOKUP(A9,'steel Mint data'!A:A,'steel Mint data'!D:D,"",0)</f>
        <v>44000</v>
      </c>
      <c r="F9" s="6"/>
      <c r="G9" s="6"/>
      <c r="H9" s="6"/>
      <c r="I9" s="36">
        <f>_xlfn.XLOOKUP(A9,'steel Mint data'!A:A,'steel Mint data'!I:I,"",0)</f>
        <v>43200</v>
      </c>
      <c r="J9" s="6"/>
      <c r="K9" s="6">
        <f>_xlfn.XLOOKUP(A9,'steel Mint data'!A:A,'steel Mint data'!L:L,"",0)</f>
        <v>45500</v>
      </c>
      <c r="L9" s="6"/>
      <c r="M9" s="6"/>
      <c r="N9" s="6"/>
      <c r="O9" s="6"/>
      <c r="P9" s="7">
        <f>_xlfn.XLOOKUP(A9,'steel Mint data'!A:A,'steel Mint data'!Q:Q,"",0)</f>
        <v>39400</v>
      </c>
      <c r="Q9" s="6">
        <f>_xlfn.XLOOKUP(A9,'steel Mint data'!A:A,'steel Mint data'!R:R,"",0)</f>
        <v>40800</v>
      </c>
    </row>
    <row r="10" spans="1:20">
      <c r="A10" s="5">
        <v>45846</v>
      </c>
      <c r="B10" s="36">
        <f>_xlfn.XLOOKUP(A10,'steel Mint data'!A:A,'steel Mint data'!B:B,"",0)</f>
        <v>42800</v>
      </c>
      <c r="C10" s="6"/>
      <c r="D10" s="6"/>
      <c r="E10" s="6">
        <f>_xlfn.XLOOKUP(A10,'steel Mint data'!A:A,'steel Mint data'!D:D,"",0)</f>
        <v>43900</v>
      </c>
      <c r="F10" s="6"/>
      <c r="G10" s="6"/>
      <c r="H10" s="6"/>
      <c r="I10" s="36">
        <f>_xlfn.XLOOKUP(A10,'steel Mint data'!A:A,'steel Mint data'!I:I,"",0)</f>
        <v>43000</v>
      </c>
      <c r="J10" s="6"/>
      <c r="K10" s="6">
        <f>_xlfn.XLOOKUP(A10,'steel Mint data'!A:A,'steel Mint data'!L:L,"",0)</f>
        <v>45400</v>
      </c>
      <c r="L10" s="6"/>
      <c r="M10" s="6"/>
      <c r="N10" s="6"/>
      <c r="O10" s="6"/>
      <c r="P10" s="7">
        <f>_xlfn.XLOOKUP(A10,'steel Mint data'!A:A,'steel Mint data'!Q:Q,"",0)</f>
        <v>39500</v>
      </c>
      <c r="Q10" s="6">
        <f>_xlfn.XLOOKUP(A10,'steel Mint data'!A:A,'steel Mint data'!R:R,"",0)</f>
        <v>41000</v>
      </c>
    </row>
    <row r="11" spans="1:20">
      <c r="A11" s="5">
        <v>45847</v>
      </c>
      <c r="B11" s="36">
        <f>_xlfn.XLOOKUP(A11,'steel Mint data'!A:A,'steel Mint data'!B:B,"",0)</f>
        <v>43200</v>
      </c>
      <c r="C11" s="6"/>
      <c r="D11" s="6"/>
      <c r="E11" s="6">
        <f>_xlfn.XLOOKUP(A11,'steel Mint data'!A:A,'steel Mint data'!D:D,"",0)</f>
        <v>44400</v>
      </c>
      <c r="F11" s="6"/>
      <c r="G11" s="6"/>
      <c r="H11" s="6"/>
      <c r="I11" s="36">
        <f>_xlfn.XLOOKUP(A11,'steel Mint data'!A:A,'steel Mint data'!I:I,"",0)</f>
        <v>43200</v>
      </c>
      <c r="J11" s="6"/>
      <c r="K11" s="6">
        <f>_xlfn.XLOOKUP(A11,'steel Mint data'!A:A,'steel Mint data'!L:L,"",0)</f>
        <v>45500</v>
      </c>
      <c r="L11" s="6"/>
      <c r="M11" s="6"/>
      <c r="N11" s="6"/>
      <c r="O11" s="6"/>
      <c r="P11" s="7">
        <f>_xlfn.XLOOKUP(A11,'steel Mint data'!A:A,'steel Mint data'!Q:Q,"",0)</f>
        <v>39700</v>
      </c>
      <c r="Q11" s="6">
        <f>_xlfn.XLOOKUP(A11,'steel Mint data'!A:A,'steel Mint data'!R:R,"",0)</f>
        <v>41000</v>
      </c>
    </row>
    <row r="12" spans="1:20">
      <c r="A12" s="5">
        <v>45848</v>
      </c>
      <c r="B12" s="36">
        <f>_xlfn.XLOOKUP(A12,'steel Mint data'!A:A,'steel Mint data'!B:B,"",0)</f>
        <v>43200</v>
      </c>
      <c r="C12" s="6"/>
      <c r="D12" s="6"/>
      <c r="E12" s="6">
        <f>_xlfn.XLOOKUP(A12,'steel Mint data'!A:A,'steel Mint data'!D:D,"",0)</f>
        <v>44400</v>
      </c>
      <c r="F12" s="6"/>
      <c r="G12" s="6"/>
      <c r="H12" s="6"/>
      <c r="I12" s="36">
        <f>_xlfn.XLOOKUP(A12,'steel Mint data'!A:A,'steel Mint data'!I:I,"",0)</f>
        <v>43200</v>
      </c>
      <c r="J12" s="6"/>
      <c r="K12" s="6">
        <f>_xlfn.XLOOKUP(A12,'steel Mint data'!A:A,'steel Mint data'!L:L,"",0)</f>
        <v>45500</v>
      </c>
      <c r="L12" s="6"/>
      <c r="M12" s="6"/>
      <c r="N12" s="6"/>
      <c r="O12" s="6"/>
      <c r="P12" s="7">
        <f>_xlfn.XLOOKUP(A12,'steel Mint data'!A:A,'steel Mint data'!Q:Q,"",0)</f>
        <v>39700</v>
      </c>
      <c r="Q12" s="6">
        <f>_xlfn.XLOOKUP(A12,'steel Mint data'!A:A,'steel Mint data'!R:R,"",0)</f>
        <v>40800</v>
      </c>
    </row>
    <row r="13" spans="1:20">
      <c r="A13" s="5">
        <v>45849</v>
      </c>
      <c r="B13" s="36">
        <f>_xlfn.XLOOKUP(A13,'steel Mint data'!A:A,'steel Mint data'!B:B,"",0)</f>
        <v>43200</v>
      </c>
      <c r="C13" s="6"/>
      <c r="D13" s="6"/>
      <c r="E13" s="6">
        <f>_xlfn.XLOOKUP(A13,'steel Mint data'!A:A,'steel Mint data'!D:D,"",0)</f>
        <v>44300</v>
      </c>
      <c r="F13" s="6"/>
      <c r="G13" s="6"/>
      <c r="H13" s="6"/>
      <c r="I13" s="36">
        <f>_xlfn.XLOOKUP(A13,'steel Mint data'!A:A,'steel Mint data'!I:I,"",0)</f>
        <v>43000</v>
      </c>
      <c r="J13" s="6"/>
      <c r="K13" s="6">
        <f>_xlfn.XLOOKUP(A13,'steel Mint data'!A:A,'steel Mint data'!L:L,"",0)</f>
        <v>45500</v>
      </c>
      <c r="L13" s="6"/>
      <c r="M13" s="6"/>
      <c r="N13" s="6"/>
      <c r="O13" s="6"/>
      <c r="P13" s="7">
        <f>_xlfn.XLOOKUP(A13,'steel Mint data'!A:A,'steel Mint data'!Q:Q,"",0)</f>
        <v>39500</v>
      </c>
      <c r="Q13" s="6">
        <f>_xlfn.XLOOKUP(A13,'steel Mint data'!A:A,'steel Mint data'!R:R,"",0)</f>
        <v>40700</v>
      </c>
    </row>
    <row r="14" spans="1:20">
      <c r="A14" s="5">
        <v>45850</v>
      </c>
      <c r="B14" s="36">
        <f>_xlfn.XLOOKUP(A14,'steel Mint data'!A:A,'steel Mint data'!B:B,"",0)</f>
        <v>43200</v>
      </c>
      <c r="C14" s="6"/>
      <c r="D14" s="6"/>
      <c r="E14" s="6">
        <f>_xlfn.XLOOKUP(A14,'steel Mint data'!A:A,'steel Mint data'!D:D,"",0)</f>
        <v>44000</v>
      </c>
      <c r="F14" s="6"/>
      <c r="G14" s="6"/>
      <c r="H14" s="6"/>
      <c r="I14" s="36">
        <f>_xlfn.XLOOKUP(A14,'steel Mint data'!A:A,'steel Mint data'!I:I,"",0)</f>
        <v>43000</v>
      </c>
      <c r="J14" s="6"/>
      <c r="K14" s="6">
        <f>_xlfn.XLOOKUP(A14,'steel Mint data'!A:A,'steel Mint data'!L:L,"",0)</f>
        <v>45300</v>
      </c>
      <c r="L14" s="6"/>
      <c r="M14" s="6"/>
      <c r="N14" s="6"/>
      <c r="O14" s="6"/>
      <c r="P14" s="7">
        <f>_xlfn.XLOOKUP(A14,'steel Mint data'!A:A,'steel Mint data'!Q:Q,"",0)</f>
        <v>39300</v>
      </c>
      <c r="Q14" s="6">
        <f>_xlfn.XLOOKUP(A14,'steel Mint data'!A:A,'steel Mint data'!R:R,"",0)</f>
        <v>40600</v>
      </c>
      <c r="S14" s="33"/>
      <c r="T14" s="33"/>
    </row>
    <row r="15" spans="1:20">
      <c r="A15" s="5">
        <v>45851</v>
      </c>
      <c r="B15" s="36" t="str">
        <f>_xlfn.XLOOKUP(A15,'steel Mint data'!A:A,'steel Mint data'!B:B,"",0)</f>
        <v>H</v>
      </c>
      <c r="C15" s="6"/>
      <c r="D15" s="6"/>
      <c r="E15" s="6" t="str">
        <f>_xlfn.XLOOKUP(A15,'steel Mint data'!A:A,'steel Mint data'!D:D,"",0)</f>
        <v>H</v>
      </c>
      <c r="F15" s="6"/>
      <c r="G15" s="6"/>
      <c r="H15" s="6"/>
      <c r="I15" s="36" t="str">
        <f>_xlfn.XLOOKUP(A15,'steel Mint data'!A:A,'steel Mint data'!I:I,"",0)</f>
        <v>H</v>
      </c>
      <c r="J15" s="6"/>
      <c r="K15" s="6" t="str">
        <f>_xlfn.XLOOKUP(A15,'steel Mint data'!A:A,'steel Mint data'!L:L,"",0)</f>
        <v>H</v>
      </c>
      <c r="L15" s="6"/>
      <c r="M15" s="6"/>
      <c r="N15" s="6"/>
      <c r="O15" s="6"/>
      <c r="P15" s="7" t="str">
        <f>_xlfn.XLOOKUP(A15,'steel Mint data'!A:A,'steel Mint data'!Q:Q,"",0)</f>
        <v>H</v>
      </c>
      <c r="Q15" s="6" t="str">
        <f>_xlfn.XLOOKUP(A15,'steel Mint data'!A:A,'steel Mint data'!R:R,"",0)</f>
        <v>H</v>
      </c>
    </row>
    <row r="16" spans="1:20">
      <c r="A16" s="5">
        <v>45852</v>
      </c>
      <c r="B16" s="36">
        <f>_xlfn.XLOOKUP(A16,'steel Mint data'!A:A,'steel Mint data'!B:B,"",0)</f>
        <v>42800</v>
      </c>
      <c r="C16" s="6"/>
      <c r="D16" s="6"/>
      <c r="E16" s="6">
        <f>_xlfn.XLOOKUP(A16,'steel Mint data'!A:A,'steel Mint data'!D:D,"",0)</f>
        <v>43900</v>
      </c>
      <c r="F16" s="6"/>
      <c r="G16" s="6"/>
      <c r="H16" s="6"/>
      <c r="I16" s="36">
        <f>_xlfn.XLOOKUP(A16,'steel Mint data'!A:A,'steel Mint data'!I:I,"",0)</f>
        <v>42700</v>
      </c>
      <c r="J16" s="6"/>
      <c r="K16" s="6">
        <f>_xlfn.XLOOKUP(A16,'steel Mint data'!A:A,'steel Mint data'!L:L,"",0)</f>
        <v>45200</v>
      </c>
      <c r="L16" s="6"/>
      <c r="M16" s="6"/>
      <c r="N16" s="6"/>
      <c r="O16" s="6"/>
      <c r="P16" s="7">
        <f>_xlfn.XLOOKUP(A16,'steel Mint data'!A:A,'steel Mint data'!Q:Q,"",0)</f>
        <v>39200</v>
      </c>
      <c r="Q16" s="6">
        <f>_xlfn.XLOOKUP(A16,'steel Mint data'!A:A,'steel Mint data'!R:R,"",0)</f>
        <v>40200</v>
      </c>
    </row>
    <row r="17" spans="1:21">
      <c r="A17" s="5">
        <v>45853</v>
      </c>
      <c r="B17" s="36">
        <f>_xlfn.XLOOKUP(A17,'steel Mint data'!A:A,'steel Mint data'!B:B,"",0)</f>
        <v>42600</v>
      </c>
      <c r="C17" s="6"/>
      <c r="D17" s="6"/>
      <c r="E17" s="6">
        <f>_xlfn.XLOOKUP(A17,'steel Mint data'!A:A,'steel Mint data'!D:D,"",0)</f>
        <v>43800</v>
      </c>
      <c r="F17" s="6"/>
      <c r="G17" s="6"/>
      <c r="H17" s="6"/>
      <c r="I17" s="36">
        <f>_xlfn.XLOOKUP(A17,'steel Mint data'!A:A,'steel Mint data'!I:I,"",0)</f>
        <v>42400</v>
      </c>
      <c r="J17" s="6"/>
      <c r="K17" s="6">
        <f>_xlfn.XLOOKUP(A17,'steel Mint data'!A:A,'steel Mint data'!L:L,"",0)</f>
        <v>45000</v>
      </c>
      <c r="L17" s="6"/>
      <c r="M17" s="6"/>
      <c r="N17" s="6"/>
      <c r="O17" s="6"/>
      <c r="P17" s="7">
        <f>_xlfn.XLOOKUP(A17,'steel Mint data'!A:A,'steel Mint data'!Q:Q,"",0)</f>
        <v>39000</v>
      </c>
      <c r="Q17" s="6">
        <f>_xlfn.XLOOKUP(A17,'steel Mint data'!A:A,'steel Mint data'!R:R,"",0)</f>
        <v>40200</v>
      </c>
    </row>
    <row r="18" spans="1:21">
      <c r="A18" s="5"/>
      <c r="B18" s="36" t="str">
        <f>_xlfn.XLOOKUP(A18,'steel Mint data'!A:A,'steel Mint data'!B:B,"",0)</f>
        <v/>
      </c>
      <c r="C18" s="6"/>
      <c r="D18" s="6"/>
      <c r="E18" s="6"/>
      <c r="F18" s="6"/>
      <c r="G18" s="6"/>
      <c r="H18" s="6"/>
      <c r="I18" s="36"/>
      <c r="J18" s="6"/>
      <c r="K18" s="6"/>
      <c r="L18" s="6"/>
      <c r="M18" s="6"/>
      <c r="N18" s="6"/>
      <c r="O18" s="6"/>
      <c r="P18" s="7"/>
      <c r="Q18" s="6"/>
      <c r="S18" s="33">
        <f>49000-2500-F24</f>
        <v>4925</v>
      </c>
      <c r="T18" s="33">
        <f>47500-2500-F24</f>
        <v>3425</v>
      </c>
    </row>
    <row r="19" spans="1:21">
      <c r="A19" s="14"/>
      <c r="B19" s="15">
        <f>SUM(B3:B18)</f>
        <v>558400</v>
      </c>
      <c r="C19" s="14"/>
      <c r="D19" s="14"/>
      <c r="E19" s="15">
        <f>SUM(E3:E18)</f>
        <v>574200</v>
      </c>
      <c r="F19" s="14"/>
      <c r="G19" s="14"/>
      <c r="H19" s="14"/>
      <c r="I19" s="15">
        <f>SUM(I3:I18)</f>
        <v>559900</v>
      </c>
      <c r="J19" s="14"/>
      <c r="K19" s="15">
        <f>SUM(K3:K18)</f>
        <v>590900</v>
      </c>
      <c r="L19" s="14"/>
      <c r="M19" s="14"/>
      <c r="N19" s="14"/>
      <c r="O19" s="14"/>
      <c r="P19" s="15">
        <f>SUM(P3:P18)</f>
        <v>513500</v>
      </c>
      <c r="Q19" s="15">
        <f>SUM(Q3:Q18)</f>
        <v>529600</v>
      </c>
      <c r="S19" s="33">
        <f>49000-2500-F25</f>
        <v>4225</v>
      </c>
      <c r="T19" s="33">
        <f>47500-2500-F25</f>
        <v>2725</v>
      </c>
    </row>
    <row r="20" spans="1:21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23</v>
      </c>
      <c r="H20" s="16" t="s">
        <v>39</v>
      </c>
      <c r="I20" s="16" t="s">
        <v>46</v>
      </c>
      <c r="J20" s="14"/>
      <c r="K20" s="14"/>
      <c r="L20" s="14"/>
      <c r="M20" s="14"/>
      <c r="N20" s="14"/>
      <c r="O20" s="14"/>
      <c r="P20" s="14"/>
      <c r="Q20" s="14"/>
      <c r="S20" s="33"/>
      <c r="T20" s="33"/>
    </row>
    <row r="21" spans="1:21">
      <c r="A21" s="17" t="s">
        <v>25</v>
      </c>
      <c r="B21" s="18">
        <f>E19/O21</f>
        <v>44169.230769230766</v>
      </c>
      <c r="C21" s="18">
        <f>P19/O21</f>
        <v>39500</v>
      </c>
      <c r="D21" s="18">
        <f>K19/O21</f>
        <v>45453.846153846156</v>
      </c>
      <c r="E21" s="18">
        <f>Q19/O21</f>
        <v>40738.461538461539</v>
      </c>
      <c r="F21" s="18">
        <f>C21</f>
        <v>39500</v>
      </c>
      <c r="G21" s="18">
        <f>B21-800</f>
        <v>43369.230769230766</v>
      </c>
      <c r="H21" s="18">
        <f>I19/O21</f>
        <v>43069.230769230766</v>
      </c>
      <c r="I21" s="18">
        <f>B19/O21</f>
        <v>42953.846153846156</v>
      </c>
      <c r="J21" s="19"/>
      <c r="K21" s="19"/>
      <c r="L21" s="14">
        <v>1650</v>
      </c>
      <c r="M21" s="19">
        <v>1250</v>
      </c>
      <c r="N21" s="14">
        <v>3500</v>
      </c>
      <c r="O21" s="20">
        <f>COUNT(P3:P18)</f>
        <v>13</v>
      </c>
      <c r="P21" s="21"/>
      <c r="Q21" s="14"/>
      <c r="R21" s="33"/>
      <c r="S21" s="33"/>
      <c r="T21" s="33">
        <f>(S18*40+T18*302)/342</f>
        <v>3600.4385964912281</v>
      </c>
    </row>
    <row r="22" spans="1:21" ht="29.25">
      <c r="A22" s="17" t="s">
        <v>26</v>
      </c>
      <c r="B22" s="18">
        <v>1200</v>
      </c>
      <c r="C22" s="18">
        <v>2150</v>
      </c>
      <c r="D22" s="18">
        <v>400</v>
      </c>
      <c r="E22" s="18">
        <v>2200</v>
      </c>
      <c r="F22" s="18">
        <v>1800</v>
      </c>
      <c r="G22" s="18">
        <v>1200</v>
      </c>
      <c r="H22" s="18">
        <v>800</v>
      </c>
      <c r="I22" s="18">
        <v>0</v>
      </c>
      <c r="J22" s="48"/>
      <c r="K22" s="69" t="s">
        <v>51</v>
      </c>
      <c r="L22" s="48" t="s">
        <v>52</v>
      </c>
      <c r="M22" s="48" t="s">
        <v>53</v>
      </c>
      <c r="N22" s="48" t="s">
        <v>22</v>
      </c>
      <c r="O22" s="48"/>
      <c r="P22" s="48"/>
      <c r="Q22" s="48"/>
      <c r="R22" s="49"/>
      <c r="S22" s="49"/>
      <c r="T22" s="49">
        <f>(S19*40+T19*302)/342</f>
        <v>2900.4385964912281</v>
      </c>
    </row>
    <row r="23" spans="1:21">
      <c r="A23" s="17" t="s">
        <v>27</v>
      </c>
      <c r="B23" s="18">
        <v>200</v>
      </c>
      <c r="C23" s="18">
        <v>265</v>
      </c>
      <c r="D23" s="18">
        <v>250</v>
      </c>
      <c r="E23" s="18">
        <v>275</v>
      </c>
      <c r="F23" s="18">
        <v>275</v>
      </c>
      <c r="G23" s="18">
        <v>200</v>
      </c>
      <c r="H23" s="18">
        <v>270</v>
      </c>
      <c r="I23" s="18">
        <v>200</v>
      </c>
      <c r="J23" s="48"/>
      <c r="K23" s="48">
        <v>46000</v>
      </c>
      <c r="L23" s="48">
        <f>$K$23-$L$21-1000-G24</f>
        <v>-1419.2307692307659</v>
      </c>
      <c r="M23" s="48">
        <f>46000-1250-800-D24</f>
        <v>-2153.8461538461561</v>
      </c>
      <c r="N23" s="48">
        <f>46000-3500-1000-F24</f>
        <v>-75</v>
      </c>
      <c r="O23" s="48"/>
      <c r="P23" s="48"/>
      <c r="Q23" s="48">
        <f>47000-3600-F24</f>
        <v>1825</v>
      </c>
      <c r="R23" s="49"/>
      <c r="S23" s="49"/>
      <c r="T23" s="49"/>
    </row>
    <row r="24" spans="1:21" ht="24.75">
      <c r="A24" s="22" t="s">
        <v>28</v>
      </c>
      <c r="B24" s="18">
        <f>SUM(B21:B23)</f>
        <v>45569.230769230766</v>
      </c>
      <c r="C24" s="18">
        <f>SUM(C21:C23)</f>
        <v>41915</v>
      </c>
      <c r="D24" s="18">
        <f>SUM(D21:D23)</f>
        <v>46103.846153846156</v>
      </c>
      <c r="E24" s="18">
        <f>SUM(E21:E23)</f>
        <v>43213.461538461539</v>
      </c>
      <c r="F24" s="18">
        <f>SUM(F21:F23)</f>
        <v>41575</v>
      </c>
      <c r="G24" s="18">
        <f>SUM(G21:G23)</f>
        <v>44769.230769230766</v>
      </c>
      <c r="H24" s="18">
        <f>SUM(H21:H23)</f>
        <v>44139.230769230766</v>
      </c>
      <c r="I24" s="18">
        <f>SUM(I21:I23)</f>
        <v>43153.846153846156</v>
      </c>
      <c r="J24" s="48"/>
      <c r="K24" s="48"/>
      <c r="L24" s="48">
        <f>$K$23-$L$21-1000-G25</f>
        <v>-1850</v>
      </c>
      <c r="M24" s="48">
        <f>46000-1250-800-D25</f>
        <v>-2500</v>
      </c>
      <c r="N24" s="48">
        <f>46000-3500-1000-F25</f>
        <v>-775</v>
      </c>
      <c r="O24" s="48"/>
      <c r="P24" s="48"/>
      <c r="Q24" s="48">
        <f>47000-3600-F25</f>
        <v>1125</v>
      </c>
      <c r="R24" s="49"/>
      <c r="S24" s="49"/>
      <c r="T24" s="49"/>
    </row>
    <row r="25" spans="1:21">
      <c r="A25" s="22" t="s">
        <v>29</v>
      </c>
      <c r="B25" s="18">
        <f>B36</f>
        <v>46000</v>
      </c>
      <c r="C25" s="18">
        <f>B37</f>
        <v>42615</v>
      </c>
      <c r="D25" s="18">
        <f>B39</f>
        <v>46450</v>
      </c>
      <c r="E25" s="23">
        <f>B42</f>
        <v>43675</v>
      </c>
      <c r="F25" s="18">
        <f>B38</f>
        <v>42275</v>
      </c>
      <c r="G25" s="18">
        <f>B40</f>
        <v>45200</v>
      </c>
      <c r="H25" s="18">
        <f>B41</f>
        <v>44470</v>
      </c>
      <c r="I25" s="18">
        <v>43500</v>
      </c>
      <c r="J25" s="48"/>
      <c r="K25" s="48"/>
      <c r="L25" s="48"/>
      <c r="M25" s="48"/>
      <c r="N25" s="48"/>
      <c r="O25" s="48"/>
      <c r="P25" s="48"/>
      <c r="Q25" s="48"/>
      <c r="R25" s="49" t="s">
        <v>54</v>
      </c>
      <c r="S25" s="49" t="s">
        <v>55</v>
      </c>
      <c r="T25" s="49"/>
    </row>
    <row r="26" spans="1:21">
      <c r="A26" s="22" t="s">
        <v>30</v>
      </c>
      <c r="B26" s="18">
        <f>B24-B25</f>
        <v>-430.76923076923413</v>
      </c>
      <c r="C26" s="18">
        <f>C24-C25</f>
        <v>-700</v>
      </c>
      <c r="D26" s="18">
        <f>D24-D25</f>
        <v>-346.15384615384392</v>
      </c>
      <c r="E26" s="18">
        <f>E24-E25</f>
        <v>-461.53846153846098</v>
      </c>
      <c r="F26" s="18">
        <f>F24-F25</f>
        <v>-700</v>
      </c>
      <c r="G26" s="18">
        <f>G24-G25</f>
        <v>-430.76923076923413</v>
      </c>
      <c r="H26" s="18">
        <f>H24-H25</f>
        <v>-330.76923076923413</v>
      </c>
      <c r="I26" s="18">
        <f>I24-I25</f>
        <v>-346.15384615384392</v>
      </c>
      <c r="J26" s="48"/>
      <c r="K26" s="48"/>
      <c r="L26" s="48">
        <v>850</v>
      </c>
      <c r="M26" s="48">
        <v>3150</v>
      </c>
      <c r="N26" s="48"/>
      <c r="O26" s="48"/>
      <c r="P26" s="48"/>
      <c r="Q26" s="48"/>
      <c r="R26" s="49">
        <f>46820-1100-D24</f>
        <v>-383.84615384615608</v>
      </c>
      <c r="S26" s="49">
        <f>47220-1500-D24</f>
        <v>-383.84615384615608</v>
      </c>
      <c r="T26" s="49">
        <f>45800</f>
        <v>45800</v>
      </c>
    </row>
    <row r="27" spans="1:21" ht="29.25">
      <c r="A27" s="14"/>
      <c r="B27" s="14"/>
      <c r="C27" s="14"/>
      <c r="D27" s="14"/>
      <c r="E27" s="14"/>
      <c r="F27" s="14"/>
      <c r="G27" s="14"/>
      <c r="H27" s="14"/>
      <c r="I27" s="14"/>
      <c r="J27" s="48"/>
      <c r="K27" s="69" t="s">
        <v>56</v>
      </c>
      <c r="L27" s="50" t="s">
        <v>52</v>
      </c>
      <c r="M27" s="48" t="s">
        <v>22</v>
      </c>
      <c r="N27" s="48"/>
      <c r="O27" s="48"/>
      <c r="P27" s="48"/>
      <c r="Q27" s="48"/>
      <c r="R27" s="49">
        <f>46820-1100-D25</f>
        <v>-730</v>
      </c>
      <c r="S27" s="49">
        <f>47220-1500-D25</f>
        <v>-730</v>
      </c>
      <c r="T27" s="49"/>
    </row>
    <row r="28" spans="1:21">
      <c r="A28" s="22" t="s">
        <v>31</v>
      </c>
      <c r="B28" s="18">
        <v>49300</v>
      </c>
      <c r="C28" s="18">
        <v>46550</v>
      </c>
      <c r="D28" s="18">
        <v>49800</v>
      </c>
      <c r="E28" s="18">
        <v>47650</v>
      </c>
      <c r="F28" s="18">
        <v>46550</v>
      </c>
      <c r="G28" s="18">
        <v>48500</v>
      </c>
      <c r="H28" s="18">
        <v>48800</v>
      </c>
      <c r="I28" s="18">
        <v>48800</v>
      </c>
      <c r="J28" s="48"/>
      <c r="K28" s="48">
        <v>45000</v>
      </c>
      <c r="L28" s="50">
        <f>45000-850-G24</f>
        <v>-619.23076923076587</v>
      </c>
      <c r="M28" s="48">
        <f>45000-3150-F24</f>
        <v>275</v>
      </c>
      <c r="N28" s="48"/>
      <c r="O28" s="48"/>
      <c r="P28" s="48"/>
      <c r="Q28" s="48"/>
      <c r="R28" s="49">
        <f>46820-1100-G24</f>
        <v>950.76923076923413</v>
      </c>
      <c r="S28" s="49"/>
      <c r="T28" s="49"/>
    </row>
    <row r="29" spans="1:21">
      <c r="A29" s="22" t="s">
        <v>32</v>
      </c>
      <c r="B29" s="26">
        <f>B28-500-(200+300+300)-250-400</f>
        <v>47350</v>
      </c>
      <c r="C29" s="26">
        <f t="shared" ref="C29:H29" si="0">C28-500-(200+300+300)-250-400</f>
        <v>44600</v>
      </c>
      <c r="D29" s="26">
        <f t="shared" si="0"/>
        <v>47850</v>
      </c>
      <c r="E29" s="26">
        <f t="shared" si="0"/>
        <v>45700</v>
      </c>
      <c r="F29" s="26">
        <f t="shared" si="0"/>
        <v>44600</v>
      </c>
      <c r="G29" s="26">
        <f t="shared" si="0"/>
        <v>46550</v>
      </c>
      <c r="H29" s="26">
        <f t="shared" si="0"/>
        <v>46850</v>
      </c>
      <c r="I29" s="26">
        <f t="shared" ref="I29" si="1">I28-500-(200+300+300)-250-400</f>
        <v>46850</v>
      </c>
      <c r="J29" s="48"/>
      <c r="K29" s="48"/>
      <c r="L29" s="50">
        <f>45000-850-G25</f>
        <v>-1050</v>
      </c>
      <c r="M29" s="48">
        <f>45000-3150-F25</f>
        <v>-425</v>
      </c>
      <c r="N29" s="48"/>
      <c r="O29" s="48"/>
      <c r="P29" s="48">
        <f>47000-3600-F24</f>
        <v>1825</v>
      </c>
      <c r="Q29" s="48"/>
      <c r="R29" s="49"/>
      <c r="S29" s="49"/>
      <c r="T29" s="49"/>
    </row>
    <row r="30" spans="1:21">
      <c r="A30" s="25" t="s">
        <v>33</v>
      </c>
      <c r="B30" s="18">
        <f>B29-B24</f>
        <v>1780.7692307692341</v>
      </c>
      <c r="C30" s="18">
        <f t="shared" ref="C30:I30" si="2">C29-C24</f>
        <v>2685</v>
      </c>
      <c r="D30" s="18">
        <f t="shared" si="2"/>
        <v>1746.1538461538439</v>
      </c>
      <c r="E30" s="18">
        <f t="shared" si="2"/>
        <v>2486.538461538461</v>
      </c>
      <c r="F30" s="18">
        <f t="shared" si="2"/>
        <v>3025</v>
      </c>
      <c r="G30" s="18">
        <f t="shared" si="2"/>
        <v>1780.7692307692341</v>
      </c>
      <c r="H30" s="18">
        <f t="shared" si="2"/>
        <v>2710.7692307692341</v>
      </c>
      <c r="I30" s="18">
        <f t="shared" ref="I30" si="3">I29-I24</f>
        <v>3696.1538461538439</v>
      </c>
      <c r="J30" s="48"/>
      <c r="K30" s="48">
        <f>45000-1000-I24</f>
        <v>846.15384615384392</v>
      </c>
      <c r="L30" s="50"/>
      <c r="M30" s="48"/>
      <c r="N30" s="48"/>
      <c r="O30" s="48"/>
      <c r="P30" s="48">
        <f>47000-3600-F25</f>
        <v>1125</v>
      </c>
      <c r="Q30" s="48"/>
      <c r="R30" s="49"/>
      <c r="S30" s="49"/>
      <c r="T30" s="49"/>
      <c r="U30" s="33"/>
    </row>
    <row r="31" spans="1:21">
      <c r="I31" s="33"/>
      <c r="J31" s="49"/>
      <c r="K31" s="49"/>
      <c r="L31" s="49"/>
      <c r="M31" s="48"/>
      <c r="N31" s="49"/>
      <c r="O31" s="48"/>
      <c r="P31" s="49"/>
      <c r="Q31" s="49"/>
      <c r="R31" s="49"/>
      <c r="S31" s="49"/>
      <c r="T31" s="49" t="s">
        <v>47</v>
      </c>
      <c r="U31" s="33"/>
    </row>
    <row r="32" spans="1:21">
      <c r="B32" s="33">
        <f>B28-B24</f>
        <v>3730.7692307692341</v>
      </c>
      <c r="C32" s="33">
        <f t="shared" ref="C32:I32" si="4">C28-C24</f>
        <v>4635</v>
      </c>
      <c r="D32" s="33">
        <f t="shared" si="4"/>
        <v>3696.1538461538439</v>
      </c>
      <c r="E32" s="33">
        <f t="shared" si="4"/>
        <v>4436.538461538461</v>
      </c>
      <c r="F32" s="33">
        <f t="shared" si="4"/>
        <v>4975</v>
      </c>
      <c r="G32" s="33">
        <f t="shared" si="4"/>
        <v>3730.7692307692341</v>
      </c>
      <c r="H32" s="33">
        <f t="shared" si="4"/>
        <v>4660.7692307692341</v>
      </c>
      <c r="I32" s="33">
        <f t="shared" si="4"/>
        <v>5646.1538461538439</v>
      </c>
      <c r="J32" s="49"/>
      <c r="K32" s="49">
        <f>D24-G24</f>
        <v>1334.6153846153902</v>
      </c>
      <c r="L32" s="49"/>
      <c r="M32" s="49"/>
      <c r="N32" s="49"/>
      <c r="O32" s="48"/>
      <c r="P32" s="49"/>
      <c r="Q32" s="49"/>
      <c r="R32" s="49"/>
      <c r="S32" s="49"/>
      <c r="T32" s="49"/>
    </row>
    <row r="33" spans="1:20">
      <c r="B33" s="33">
        <f>B28-800-300</f>
        <v>48200</v>
      </c>
      <c r="C33" s="33"/>
      <c r="D33" s="33"/>
      <c r="F33" s="33"/>
      <c r="J33" s="49"/>
      <c r="K33" s="49"/>
      <c r="L33" s="49"/>
      <c r="M33" s="49"/>
      <c r="N33" s="49"/>
      <c r="O33" s="48"/>
      <c r="P33" s="49"/>
      <c r="Q33" s="49"/>
      <c r="R33" s="49"/>
      <c r="S33" s="49"/>
      <c r="T33" s="49"/>
    </row>
    <row r="34" spans="1:20">
      <c r="B34" t="s">
        <v>0</v>
      </c>
      <c r="C34" t="s">
        <v>48</v>
      </c>
      <c r="D34" s="33">
        <f>C24+3000+1200</f>
        <v>46115</v>
      </c>
      <c r="G34" s="33"/>
      <c r="H34" s="33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</row>
    <row r="35" spans="1:20" ht="30.75">
      <c r="A35" s="39" t="s">
        <v>40</v>
      </c>
      <c r="B35" s="40" t="s">
        <v>49</v>
      </c>
      <c r="C35" s="43"/>
      <c r="D35" s="33">
        <f>46500-C24</f>
        <v>4585</v>
      </c>
      <c r="E35" s="33">
        <f>D24+800+1200</f>
        <v>48103.846153846156</v>
      </c>
      <c r="F35" s="33">
        <f>B24+1500</f>
        <v>47069.230769230766</v>
      </c>
      <c r="H35" s="33">
        <f>F24+500+1000+3000</f>
        <v>46075</v>
      </c>
      <c r="I35" s="33"/>
      <c r="J35" s="49"/>
      <c r="K35" s="49">
        <f>47800-1900</f>
        <v>45900</v>
      </c>
      <c r="L35" s="49"/>
      <c r="M35" s="49"/>
      <c r="N35" s="49"/>
      <c r="O35" s="49"/>
      <c r="P35" s="49"/>
      <c r="Q35" s="49"/>
      <c r="R35" s="49"/>
      <c r="S35" s="49"/>
      <c r="T35" s="49"/>
    </row>
    <row r="36" spans="1:20">
      <c r="A36" s="29" t="s">
        <v>42</v>
      </c>
      <c r="B36" s="29">
        <v>46000</v>
      </c>
      <c r="C36" s="43"/>
      <c r="D36" s="33"/>
      <c r="F36" s="42"/>
      <c r="G36" s="41"/>
      <c r="H36" s="33"/>
      <c r="I36" s="33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</row>
    <row r="37" spans="1:20">
      <c r="A37" s="29" t="s">
        <v>43</v>
      </c>
      <c r="B37" s="29">
        <v>42615</v>
      </c>
      <c r="C37" s="43">
        <f>B37+1250</f>
        <v>43865</v>
      </c>
      <c r="F37" s="47">
        <f>F24+500+3000</f>
        <v>45075</v>
      </c>
      <c r="G37" s="41"/>
      <c r="H37" s="33">
        <f>45000-1000-F24</f>
        <v>2425</v>
      </c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</row>
    <row r="38" spans="1:20">
      <c r="A38" s="29" t="s">
        <v>44</v>
      </c>
      <c r="B38" s="29">
        <v>42275</v>
      </c>
      <c r="C38" s="43">
        <f>B38+1000</f>
        <v>43275</v>
      </c>
      <c r="E38">
        <f>46700-1200</f>
        <v>45500</v>
      </c>
      <c r="F38" s="42"/>
      <c r="G38" s="41"/>
      <c r="J38" s="49"/>
      <c r="K38" s="49"/>
      <c r="L38" s="49"/>
      <c r="M38" s="49"/>
      <c r="N38" s="49"/>
      <c r="O38" s="49"/>
      <c r="P38" s="51"/>
      <c r="Q38" s="49"/>
      <c r="R38" s="49"/>
      <c r="S38" s="49"/>
      <c r="T38" s="49"/>
    </row>
    <row r="39" spans="1:20">
      <c r="A39" s="29" t="s">
        <v>36</v>
      </c>
      <c r="B39" s="29">
        <v>46450</v>
      </c>
      <c r="C39" s="43">
        <f>B39+800</f>
        <v>47250</v>
      </c>
      <c r="D39" s="33"/>
      <c r="E39" s="33"/>
      <c r="F39" s="42"/>
      <c r="G39" s="41"/>
      <c r="H39" s="33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</row>
    <row r="40" spans="1:20">
      <c r="A40" s="29" t="s">
        <v>37</v>
      </c>
      <c r="B40" s="29">
        <v>45200</v>
      </c>
      <c r="C40" s="43">
        <f>B40+1000</f>
        <v>46200</v>
      </c>
      <c r="D40">
        <f>C40-C39</f>
        <v>-1050</v>
      </c>
      <c r="F40" s="44"/>
      <c r="G40" s="45"/>
      <c r="I40">
        <f>46200+2000+2000</f>
        <v>50200</v>
      </c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</row>
    <row r="41" spans="1:20">
      <c r="A41" s="29" t="s">
        <v>45</v>
      </c>
      <c r="B41" s="29">
        <v>44470</v>
      </c>
      <c r="C41" s="43"/>
      <c r="F41" s="44"/>
      <c r="G41" s="45"/>
      <c r="H41" s="33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</row>
    <row r="42" spans="1:20">
      <c r="A42" s="43" t="s">
        <v>50</v>
      </c>
      <c r="B42" s="43">
        <v>43675</v>
      </c>
      <c r="C42" s="43"/>
      <c r="F42" s="44"/>
      <c r="G42" s="45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</row>
    <row r="43" spans="1:20">
      <c r="A43" s="46" t="s">
        <v>46</v>
      </c>
      <c r="B43" s="46">
        <f>44500-1000</f>
        <v>43500</v>
      </c>
      <c r="C43" s="46">
        <f>B43+1000</f>
        <v>44500</v>
      </c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</row>
    <row r="44" spans="1:20"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45" spans="1:20"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</row>
    <row r="46" spans="1:20"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</row>
    <row r="49" spans="2:14">
      <c r="B49" s="33"/>
    </row>
    <row r="53" spans="2:14">
      <c r="C53" s="52"/>
      <c r="D53" s="520"/>
      <c r="E53" s="520"/>
      <c r="F53" s="53"/>
      <c r="G53" s="520"/>
      <c r="H53" s="520"/>
      <c r="I53" s="14"/>
    </row>
    <row r="54" spans="2:14">
      <c r="C54" s="54"/>
      <c r="D54" s="55"/>
      <c r="E54" s="55"/>
      <c r="F54" s="52"/>
      <c r="G54" s="55"/>
      <c r="H54" s="55"/>
      <c r="K54" s="61"/>
      <c r="L54" s="61"/>
      <c r="M54" s="61"/>
      <c r="N54" s="61"/>
    </row>
    <row r="55" spans="2:14">
      <c r="C55" s="56"/>
      <c r="D55" s="57"/>
      <c r="E55" s="57"/>
      <c r="F55" s="58"/>
      <c r="G55" s="57"/>
      <c r="H55" s="57"/>
      <c r="L55" s="62"/>
      <c r="M55" s="62"/>
      <c r="N55" s="62"/>
    </row>
    <row r="56" spans="2:14">
      <c r="C56" s="56"/>
      <c r="D56" s="57"/>
      <c r="E56" s="57"/>
      <c r="F56" s="58"/>
      <c r="G56" s="57"/>
      <c r="H56" s="57"/>
      <c r="L56" s="62"/>
      <c r="M56" s="62"/>
      <c r="N56" s="62"/>
    </row>
    <row r="57" spans="2:14">
      <c r="C57" s="56"/>
      <c r="D57" s="57"/>
      <c r="E57" s="57"/>
      <c r="F57" s="58"/>
      <c r="G57" s="57"/>
      <c r="H57" s="57"/>
      <c r="L57" s="62"/>
      <c r="M57" s="62"/>
      <c r="N57" s="62"/>
    </row>
    <row r="58" spans="2:14">
      <c r="C58" s="56"/>
      <c r="D58" s="57"/>
      <c r="E58" s="57"/>
      <c r="F58" s="58"/>
      <c r="G58" s="57"/>
      <c r="H58" s="57"/>
      <c r="L58" s="62"/>
      <c r="M58" s="62"/>
      <c r="N58" s="62"/>
    </row>
    <row r="59" spans="2:14">
      <c r="C59" s="56"/>
      <c r="D59" s="57"/>
      <c r="E59" s="57"/>
      <c r="F59" s="58"/>
      <c r="G59" s="57"/>
      <c r="H59" s="57"/>
      <c r="K59" s="63"/>
      <c r="L59" s="64"/>
      <c r="M59" s="64"/>
      <c r="N59" s="64"/>
    </row>
    <row r="60" spans="2:14">
      <c r="C60" s="56"/>
      <c r="D60" s="57"/>
      <c r="E60" s="57"/>
      <c r="F60" s="58"/>
      <c r="G60" s="57"/>
      <c r="H60" s="57"/>
    </row>
    <row r="61" spans="2:14">
      <c r="C61" s="56"/>
      <c r="D61" s="59"/>
      <c r="E61" s="59"/>
      <c r="F61" s="58"/>
      <c r="G61" s="59"/>
      <c r="H61" s="59"/>
    </row>
    <row r="62" spans="2:14">
      <c r="C62" s="56"/>
      <c r="D62" s="59"/>
      <c r="E62" s="59"/>
      <c r="F62" s="58"/>
      <c r="G62" s="59"/>
      <c r="H62" s="59"/>
    </row>
    <row r="63" spans="2:14">
      <c r="C63" s="60"/>
      <c r="D63" s="59"/>
      <c r="E63" s="59"/>
      <c r="F63" s="58"/>
      <c r="G63" s="59"/>
      <c r="H63" s="59"/>
    </row>
    <row r="73" spans="3:12">
      <c r="C73" s="66" t="s">
        <v>57</v>
      </c>
      <c r="D73" s="66" t="s">
        <v>58</v>
      </c>
      <c r="E73" s="66">
        <v>8</v>
      </c>
      <c r="F73" s="66">
        <v>10</v>
      </c>
      <c r="G73" s="66">
        <v>12</v>
      </c>
      <c r="H73" s="66">
        <v>16</v>
      </c>
      <c r="I73" s="66">
        <v>20</v>
      </c>
      <c r="J73" s="66">
        <v>25</v>
      </c>
      <c r="K73" s="66">
        <v>32</v>
      </c>
      <c r="L73" s="66" t="s">
        <v>59</v>
      </c>
    </row>
    <row r="74" spans="3:12">
      <c r="C74" s="66" t="s">
        <v>48</v>
      </c>
      <c r="D74" s="67" t="s">
        <v>60</v>
      </c>
      <c r="E74" s="65">
        <v>171</v>
      </c>
      <c r="F74" s="65">
        <v>179</v>
      </c>
      <c r="G74" s="65">
        <v>288</v>
      </c>
      <c r="H74" s="65">
        <v>242</v>
      </c>
      <c r="I74" s="65">
        <v>393</v>
      </c>
      <c r="J74" s="65">
        <v>72</v>
      </c>
      <c r="K74" s="65"/>
      <c r="L74" s="65">
        <v>1345</v>
      </c>
    </row>
    <row r="75" spans="3:12">
      <c r="C75" s="66"/>
      <c r="D75" s="67" t="s">
        <v>61</v>
      </c>
      <c r="E75" s="65">
        <v>156</v>
      </c>
      <c r="F75" s="65">
        <v>54</v>
      </c>
      <c r="G75" s="65">
        <v>250</v>
      </c>
      <c r="H75" s="65">
        <v>250</v>
      </c>
      <c r="I75" s="65">
        <v>228</v>
      </c>
      <c r="J75" s="65">
        <v>280</v>
      </c>
      <c r="K75" s="65">
        <v>110</v>
      </c>
      <c r="L75" s="65">
        <v>1328</v>
      </c>
    </row>
    <row r="76" spans="3:12">
      <c r="C76" s="66"/>
      <c r="D76" s="67" t="s">
        <v>62</v>
      </c>
      <c r="E76" s="65">
        <v>46</v>
      </c>
      <c r="F76" s="65">
        <v>34</v>
      </c>
      <c r="G76" s="65">
        <v>195</v>
      </c>
      <c r="H76" s="65">
        <v>63</v>
      </c>
      <c r="I76" s="65">
        <v>31</v>
      </c>
      <c r="J76" s="65">
        <v>25</v>
      </c>
      <c r="K76" s="65"/>
      <c r="L76" s="65">
        <v>394</v>
      </c>
    </row>
    <row r="77" spans="3:12">
      <c r="C77" s="66"/>
      <c r="D77" s="67" t="s">
        <v>63</v>
      </c>
      <c r="E77" s="65">
        <v>89</v>
      </c>
      <c r="F77" s="65">
        <v>42</v>
      </c>
      <c r="G77" s="65">
        <v>17</v>
      </c>
      <c r="H77" s="65">
        <v>32</v>
      </c>
      <c r="I77" s="65">
        <v>55</v>
      </c>
      <c r="J77" s="65"/>
      <c r="K77" s="65"/>
      <c r="L77" s="65">
        <v>235</v>
      </c>
    </row>
    <row r="78" spans="3:12">
      <c r="C78" s="66" t="s">
        <v>64</v>
      </c>
      <c r="D78" s="66"/>
      <c r="E78" s="68">
        <v>462</v>
      </c>
      <c r="F78" s="68">
        <v>309</v>
      </c>
      <c r="G78" s="68">
        <v>750</v>
      </c>
      <c r="H78" s="68">
        <v>587</v>
      </c>
      <c r="I78" s="68">
        <v>707</v>
      </c>
      <c r="J78" s="68">
        <v>377</v>
      </c>
      <c r="K78" s="68">
        <v>110</v>
      </c>
      <c r="L78" s="68">
        <v>3302</v>
      </c>
    </row>
  </sheetData>
  <mergeCells count="3">
    <mergeCell ref="B1:Q1"/>
    <mergeCell ref="D53:E53"/>
    <mergeCell ref="G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6C11F-D54A-4F44-AFBE-AD060CAEEB89}">
  <dimension ref="A1:XFD78"/>
  <sheetViews>
    <sheetView workbookViewId="0">
      <pane ySplit="2" topLeftCell="K25" activePane="bottomLeft" state="frozen"/>
      <selection pane="bottomLeft" activeCell="K25" sqref="K25"/>
    </sheetView>
  </sheetViews>
  <sheetFormatPr defaultColWidth="15.85546875" defaultRowHeight="15"/>
  <cols>
    <col min="2" max="2" width="14.85546875" customWidth="1"/>
    <col min="3" max="3" width="20.5703125" customWidth="1"/>
    <col min="4" max="4" width="10.85546875" customWidth="1"/>
    <col min="5" max="5" width="14.28515625" customWidth="1"/>
    <col min="6" max="7" width="10.85546875" customWidth="1"/>
    <col min="8" max="8" width="13.140625" customWidth="1"/>
    <col min="9" max="10" width="10.85546875" customWidth="1"/>
    <col min="11" max="11" width="17.85546875" customWidth="1"/>
    <col min="12" max="16" width="10.85546875" customWidth="1"/>
    <col min="17" max="17" width="12.28515625" customWidth="1"/>
  </cols>
  <sheetData>
    <row r="1" spans="1:20">
      <c r="A1" s="81"/>
      <c r="B1" s="519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</row>
    <row r="2" spans="1:20">
      <c r="A2" s="8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</row>
    <row r="3" spans="1:20">
      <c r="A3" s="83">
        <v>45854</v>
      </c>
      <c r="B3" s="36">
        <f>_xlfn.XLOOKUP(A3,'steel Mint data'!A:A,'steel Mint data'!B:B,"",0)</f>
        <v>42500</v>
      </c>
      <c r="C3" s="36"/>
      <c r="D3" s="36"/>
      <c r="E3" s="36">
        <f>_xlfn.XLOOKUP(A3,'steel Mint data'!A:A,'steel Mint data'!D:D,"",0)</f>
        <v>43900</v>
      </c>
      <c r="F3" s="36"/>
      <c r="G3" s="36"/>
      <c r="H3" s="36"/>
      <c r="I3" s="36">
        <f>_xlfn.XLOOKUP(A3,'steel Mint data'!A:A,'steel Mint data'!I:I,"",0)</f>
        <v>42400</v>
      </c>
      <c r="J3" s="36"/>
      <c r="K3" s="36">
        <f>_xlfn.XLOOKUP(A3,'steel Mint data'!A:A,'steel Mint data'!L:L,"",0)</f>
        <v>44900</v>
      </c>
      <c r="L3" s="36"/>
      <c r="M3" s="36"/>
      <c r="N3" s="36"/>
      <c r="O3" s="36"/>
      <c r="P3" s="37">
        <f>_xlfn.XLOOKUP(A3,'steel Mint data'!A:A,'steel Mint data'!Q:Q,"",0)</f>
        <v>39000</v>
      </c>
      <c r="Q3" s="36">
        <f>_xlfn.XLOOKUP(A3,'steel Mint data'!A:A,'steel Mint data'!R:R,"",0)</f>
        <v>40100</v>
      </c>
    </row>
    <row r="4" spans="1:20">
      <c r="A4" s="83">
        <v>45855</v>
      </c>
      <c r="B4" s="36">
        <f>_xlfn.XLOOKUP(A4,'steel Mint data'!A:A,'steel Mint data'!B:B,"",0)</f>
        <v>43000</v>
      </c>
      <c r="C4" s="36"/>
      <c r="D4" s="36"/>
      <c r="E4" s="36">
        <f>_xlfn.XLOOKUP(A4,'steel Mint data'!A:A,'steel Mint data'!D:D,"",0)</f>
        <v>43900</v>
      </c>
      <c r="F4" s="36"/>
      <c r="G4" s="36"/>
      <c r="H4" s="36"/>
      <c r="I4" s="36">
        <f>_xlfn.XLOOKUP(A4,'steel Mint data'!A:A,'steel Mint data'!I:I,"",0)</f>
        <v>42600</v>
      </c>
      <c r="J4" s="36"/>
      <c r="K4" s="36">
        <f>_xlfn.XLOOKUP(A4,'steel Mint data'!A:A,'steel Mint data'!L:L,"",0)</f>
        <v>45100</v>
      </c>
      <c r="L4" s="36"/>
      <c r="M4" s="36"/>
      <c r="N4" s="36"/>
      <c r="O4" s="36"/>
      <c r="P4" s="37">
        <f>_xlfn.XLOOKUP(A4,'steel Mint data'!A:A,'steel Mint data'!Q:Q,"",0)</f>
        <v>39000</v>
      </c>
      <c r="Q4" s="36">
        <f>_xlfn.XLOOKUP(A4,'steel Mint data'!A:A,'steel Mint data'!R:R,"",0)</f>
        <v>40200</v>
      </c>
    </row>
    <row r="5" spans="1:20">
      <c r="A5" s="83">
        <v>45856</v>
      </c>
      <c r="B5" s="36">
        <f>_xlfn.XLOOKUP(A5,'steel Mint data'!A:A,'steel Mint data'!B:B,"",0)</f>
        <v>43200</v>
      </c>
      <c r="C5" s="36"/>
      <c r="D5" s="36"/>
      <c r="E5" s="36">
        <f>_xlfn.XLOOKUP(A5,'steel Mint data'!A:A,'steel Mint data'!D:D,"",0)</f>
        <v>44000</v>
      </c>
      <c r="F5" s="38"/>
      <c r="G5" s="38"/>
      <c r="H5" s="38"/>
      <c r="I5" s="36">
        <f>_xlfn.XLOOKUP(A5,'steel Mint data'!A:A,'steel Mint data'!I:I,"",0)</f>
        <v>42600</v>
      </c>
      <c r="J5" s="38"/>
      <c r="K5" s="36">
        <f>_xlfn.XLOOKUP(A5,'steel Mint data'!A:A,'steel Mint data'!L:L,"",0)</f>
        <v>45100</v>
      </c>
      <c r="L5" s="38"/>
      <c r="M5" s="38"/>
      <c r="N5" s="38"/>
      <c r="O5" s="38"/>
      <c r="P5" s="37">
        <f>_xlfn.XLOOKUP(A5,'steel Mint data'!A:A,'steel Mint data'!Q:Q,"",0)</f>
        <v>39100</v>
      </c>
      <c r="Q5" s="36">
        <f>_xlfn.XLOOKUP(A5,'steel Mint data'!A:A,'steel Mint data'!R:R,"",0)</f>
        <v>40400</v>
      </c>
    </row>
    <row r="6" spans="1:20">
      <c r="A6" s="83">
        <v>45857</v>
      </c>
      <c r="B6" s="36">
        <f>_xlfn.XLOOKUP(A6,'steel Mint data'!A:A,'steel Mint data'!B:B,"",0)</f>
        <v>43200</v>
      </c>
      <c r="C6" s="36"/>
      <c r="D6" s="36"/>
      <c r="E6" s="36">
        <f>_xlfn.XLOOKUP(A6,'steel Mint data'!A:A,'steel Mint data'!D:D,"",0)</f>
        <v>44000</v>
      </c>
      <c r="F6" s="38"/>
      <c r="G6" s="38"/>
      <c r="H6" s="38"/>
      <c r="I6" s="36">
        <f>_xlfn.XLOOKUP(A6,'steel Mint data'!A:A,'steel Mint data'!I:I,"",0)</f>
        <v>42600</v>
      </c>
      <c r="J6" s="38"/>
      <c r="K6" s="36">
        <f>_xlfn.XLOOKUP(A6,'steel Mint data'!A:A,'steel Mint data'!L:L,"",0)</f>
        <v>45100</v>
      </c>
      <c r="L6" s="38"/>
      <c r="M6" s="38"/>
      <c r="N6" s="38"/>
      <c r="O6" s="38"/>
      <c r="P6" s="37">
        <f>_xlfn.XLOOKUP(A6,'steel Mint data'!A:A,'steel Mint data'!Q:Q,"",0)</f>
        <v>39000</v>
      </c>
      <c r="Q6" s="36">
        <f>_xlfn.XLOOKUP(A6,'steel Mint data'!A:A,'steel Mint data'!R:R,"",0)</f>
        <v>40400</v>
      </c>
    </row>
    <row r="7" spans="1:20">
      <c r="A7" s="83">
        <v>45858</v>
      </c>
      <c r="B7" s="36" t="str">
        <f>_xlfn.XLOOKUP(A7,'steel Mint data'!A:A,'steel Mint data'!B:B,"",0)</f>
        <v>H</v>
      </c>
      <c r="C7" s="36"/>
      <c r="D7" s="37"/>
      <c r="E7" s="36" t="str">
        <f>_xlfn.XLOOKUP(A7,'steel Mint data'!A:A,'steel Mint data'!D:D,"",0)</f>
        <v>H</v>
      </c>
      <c r="F7" s="11"/>
      <c r="G7" s="11"/>
      <c r="H7" s="11"/>
      <c r="I7" s="36" t="str">
        <f>_xlfn.XLOOKUP(A7,'steel Mint data'!A:A,'steel Mint data'!I:I,"",0)</f>
        <v>H</v>
      </c>
      <c r="J7" s="11"/>
      <c r="K7" s="36" t="str">
        <f>_xlfn.XLOOKUP(A7,'steel Mint data'!A:A,'steel Mint data'!L:L,"",0)</f>
        <v>H</v>
      </c>
      <c r="L7" s="11"/>
      <c r="M7" s="11"/>
      <c r="N7" s="11"/>
      <c r="O7" s="11"/>
      <c r="P7" s="37" t="str">
        <f>_xlfn.XLOOKUP(A7,'steel Mint data'!A:A,'steel Mint data'!Q:Q,"",0)</f>
        <v>H</v>
      </c>
      <c r="Q7" s="36" t="str">
        <f>_xlfn.XLOOKUP(A7,'steel Mint data'!A:A,'steel Mint data'!R:R,"",0)</f>
        <v>H</v>
      </c>
    </row>
    <row r="8" spans="1:20">
      <c r="A8" s="83">
        <v>45859</v>
      </c>
      <c r="B8" s="36">
        <f>_xlfn.XLOOKUP(A8,'steel Mint data'!A:A,'steel Mint data'!B:B,"",0)</f>
        <v>43200</v>
      </c>
      <c r="C8" s="36"/>
      <c r="D8" s="36"/>
      <c r="E8" s="36">
        <f>_xlfn.XLOOKUP(A8,'steel Mint data'!A:A,'steel Mint data'!D:D,"",0)</f>
        <v>43800</v>
      </c>
      <c r="F8" s="84"/>
      <c r="G8" s="84"/>
      <c r="H8" s="84"/>
      <c r="I8" s="36">
        <f>_xlfn.XLOOKUP(A8,'steel Mint data'!A:A,'steel Mint data'!I:I,"",0)</f>
        <v>42500</v>
      </c>
      <c r="J8" s="84"/>
      <c r="K8" s="36">
        <f>_xlfn.XLOOKUP(A8,'steel Mint data'!A:A,'steel Mint data'!L:L,"",0)</f>
        <v>45000</v>
      </c>
      <c r="L8" s="84"/>
      <c r="M8" s="84"/>
      <c r="N8" s="84"/>
      <c r="O8" s="84"/>
      <c r="P8" s="37">
        <f>_xlfn.XLOOKUP(A8,'steel Mint data'!A:A,'steel Mint data'!Q:Q,"",0)</f>
        <v>39000</v>
      </c>
      <c r="Q8" s="36">
        <f>_xlfn.XLOOKUP(A8,'steel Mint data'!A:A,'steel Mint data'!R:R,"",0)</f>
        <v>40300</v>
      </c>
    </row>
    <row r="9" spans="1:20">
      <c r="A9" s="83">
        <v>45860</v>
      </c>
      <c r="B9" s="36">
        <f>_xlfn.XLOOKUP(A9,'steel Mint data'!A:A,'steel Mint data'!B:B,"",0)</f>
        <v>43200</v>
      </c>
      <c r="C9" s="36"/>
      <c r="D9" s="36"/>
      <c r="E9" s="36">
        <f>_xlfn.XLOOKUP(A9,'steel Mint data'!A:A,'steel Mint data'!D:D,"",0)</f>
        <v>43600</v>
      </c>
      <c r="F9" s="36"/>
      <c r="G9" s="36"/>
      <c r="H9" s="36"/>
      <c r="I9" s="36">
        <f>_xlfn.XLOOKUP(A9,'steel Mint data'!A:A,'steel Mint data'!I:I,"",0)</f>
        <v>42500</v>
      </c>
      <c r="J9" s="36"/>
      <c r="K9" s="36">
        <f>_xlfn.XLOOKUP(A9,'steel Mint data'!A:A,'steel Mint data'!L:L,"",0)</f>
        <v>44900</v>
      </c>
      <c r="L9" s="36"/>
      <c r="M9" s="36"/>
      <c r="N9" s="36"/>
      <c r="O9" s="36"/>
      <c r="P9" s="37">
        <f>_xlfn.XLOOKUP(A9,'steel Mint data'!A:A,'steel Mint data'!Q:Q,"",0)</f>
        <v>39100</v>
      </c>
      <c r="Q9" s="36">
        <f>_xlfn.XLOOKUP(A9,'steel Mint data'!A:A,'steel Mint data'!R:R,"",0)</f>
        <v>40200</v>
      </c>
    </row>
    <row r="10" spans="1:20">
      <c r="A10" s="83">
        <v>45861</v>
      </c>
      <c r="B10" s="36">
        <f>_xlfn.XLOOKUP(A10,'steel Mint data'!A:A,'steel Mint data'!B:B,"",0)</f>
        <v>43400</v>
      </c>
      <c r="C10" s="36"/>
      <c r="D10" s="36"/>
      <c r="E10" s="36">
        <f>_xlfn.XLOOKUP(A10,'steel Mint data'!A:A,'steel Mint data'!D:D,"",0)</f>
        <v>43800</v>
      </c>
      <c r="F10" s="36"/>
      <c r="G10" s="36"/>
      <c r="H10" s="36"/>
      <c r="I10" s="36">
        <f>_xlfn.XLOOKUP(A10,'steel Mint data'!A:A,'steel Mint data'!I:I,"",0)</f>
        <v>42800</v>
      </c>
      <c r="J10" s="36"/>
      <c r="K10" s="36">
        <f>_xlfn.XLOOKUP(A10,'steel Mint data'!A:A,'steel Mint data'!L:L,"",0)</f>
        <v>45100</v>
      </c>
      <c r="L10" s="36"/>
      <c r="M10" s="36"/>
      <c r="N10" s="36"/>
      <c r="O10" s="36"/>
      <c r="P10" s="37">
        <f>_xlfn.XLOOKUP(A10,'steel Mint data'!A:A,'steel Mint data'!Q:Q,"",0)</f>
        <v>39500</v>
      </c>
      <c r="Q10" s="36">
        <f>_xlfn.XLOOKUP(A10,'steel Mint data'!A:A,'steel Mint data'!R:R,"",0)</f>
        <v>40400</v>
      </c>
      <c r="R10" s="33"/>
    </row>
    <row r="11" spans="1:20">
      <c r="A11" s="83">
        <v>45862</v>
      </c>
      <c r="B11" s="36">
        <f>_xlfn.XLOOKUP(A11,'steel Mint data'!A:A,'steel Mint data'!B:B,"",0)</f>
        <v>43800</v>
      </c>
      <c r="C11" s="36"/>
      <c r="D11" s="36"/>
      <c r="E11" s="36">
        <f>_xlfn.XLOOKUP(A11,'steel Mint data'!A:A,'steel Mint data'!D:D,"",0)</f>
        <v>44000</v>
      </c>
      <c r="F11" s="36"/>
      <c r="G11" s="36"/>
      <c r="H11" s="36"/>
      <c r="I11" s="36">
        <f>_xlfn.XLOOKUP(A11,'steel Mint data'!A:A,'steel Mint data'!I:I,"",0)</f>
        <v>43300</v>
      </c>
      <c r="J11" s="36"/>
      <c r="K11" s="36">
        <f>_xlfn.XLOOKUP(A11,'steel Mint data'!A:A,'steel Mint data'!L:L,"",0)</f>
        <v>45200</v>
      </c>
      <c r="L11" s="36"/>
      <c r="M11" s="36"/>
      <c r="N11" s="36"/>
      <c r="O11" s="36"/>
      <c r="P11" s="37">
        <f>_xlfn.XLOOKUP(A11,'steel Mint data'!A:A,'steel Mint data'!Q:Q,"",0)</f>
        <v>40200</v>
      </c>
      <c r="Q11" s="36">
        <f>_xlfn.XLOOKUP(A11,'steel Mint data'!A:A,'steel Mint data'!R:R,"",0)</f>
        <v>40400</v>
      </c>
    </row>
    <row r="12" spans="1:20">
      <c r="A12" s="83">
        <v>45863</v>
      </c>
      <c r="B12" s="36">
        <f>_xlfn.XLOOKUP(A12,'steel Mint data'!A:A,'steel Mint data'!B:B,"",0)</f>
        <v>44500</v>
      </c>
      <c r="C12" s="36"/>
      <c r="D12" s="36"/>
      <c r="E12" s="36">
        <f>_xlfn.XLOOKUP(A12,'steel Mint data'!A:A,'steel Mint data'!D:D,"",0)</f>
        <v>44800</v>
      </c>
      <c r="F12" s="36"/>
      <c r="G12" s="36"/>
      <c r="H12" s="36"/>
      <c r="I12" s="36">
        <f>_xlfn.XLOOKUP(A12,'steel Mint data'!A:A,'steel Mint data'!I:I,"",0)</f>
        <v>43700</v>
      </c>
      <c r="J12" s="36"/>
      <c r="K12" s="36">
        <f>_xlfn.XLOOKUP(A12,'steel Mint data'!A:A,'steel Mint data'!L:L,"",0)</f>
        <v>45500</v>
      </c>
      <c r="L12" s="36"/>
      <c r="M12" s="36"/>
      <c r="N12" s="36"/>
      <c r="O12" s="36"/>
      <c r="P12" s="37">
        <f>_xlfn.XLOOKUP(A12,'steel Mint data'!A:A,'steel Mint data'!Q:Q,"",0)</f>
        <v>41200</v>
      </c>
      <c r="Q12" s="36">
        <f>_xlfn.XLOOKUP(A12,'steel Mint data'!A:A,'steel Mint data'!R:R,"",0)</f>
        <v>41000</v>
      </c>
    </row>
    <row r="13" spans="1:20">
      <c r="A13" s="83">
        <v>45864</v>
      </c>
      <c r="B13" s="36">
        <f>_xlfn.XLOOKUP(A13,'steel Mint data'!A:A,'steel Mint data'!B:B,"",0)</f>
        <v>44500</v>
      </c>
      <c r="C13" s="36"/>
      <c r="D13" s="36"/>
      <c r="E13" s="36">
        <f>_xlfn.XLOOKUP(A13,'steel Mint data'!A:A,'steel Mint data'!D:D,"",0)</f>
        <v>45000</v>
      </c>
      <c r="F13" s="36"/>
      <c r="G13" s="36"/>
      <c r="H13" s="36"/>
      <c r="I13" s="36">
        <f>_xlfn.XLOOKUP(A13,'steel Mint data'!A:A,'steel Mint data'!I:I,"",0)</f>
        <v>43600</v>
      </c>
      <c r="J13" s="36"/>
      <c r="K13" s="36">
        <f>_xlfn.XLOOKUP(A13,'steel Mint data'!A:A,'steel Mint data'!L:L,"",0)</f>
        <v>45600</v>
      </c>
      <c r="L13" s="36"/>
      <c r="M13" s="36"/>
      <c r="N13" s="36"/>
      <c r="O13" s="36"/>
      <c r="P13" s="37">
        <f>_xlfn.XLOOKUP(A13,'steel Mint data'!A:A,'steel Mint data'!Q:Q,"",0)</f>
        <v>41000</v>
      </c>
      <c r="Q13" s="36">
        <f>_xlfn.XLOOKUP(A13,'steel Mint data'!A:A,'steel Mint data'!R:R,"",0)</f>
        <v>41000</v>
      </c>
      <c r="S13" s="33"/>
    </row>
    <row r="14" spans="1:20">
      <c r="A14" s="83">
        <v>45865</v>
      </c>
      <c r="B14" s="36" t="str">
        <f>_xlfn.XLOOKUP(A14,'steel Mint data'!A:A,'steel Mint data'!B:B,"",0)</f>
        <v>H</v>
      </c>
      <c r="C14" s="36"/>
      <c r="D14" s="36"/>
      <c r="E14" s="36" t="str">
        <f>_xlfn.XLOOKUP(A14,'steel Mint data'!A:A,'steel Mint data'!D:D,"",0)</f>
        <v>H</v>
      </c>
      <c r="F14" s="36"/>
      <c r="G14" s="36"/>
      <c r="H14" s="36"/>
      <c r="I14" s="36" t="str">
        <f>_xlfn.XLOOKUP(A14,'steel Mint data'!A:A,'steel Mint data'!I:I,"",0)</f>
        <v>H</v>
      </c>
      <c r="J14" s="36"/>
      <c r="K14" s="36" t="str">
        <f>_xlfn.XLOOKUP(A14,'steel Mint data'!A:A,'steel Mint data'!L:L,"",0)</f>
        <v>H</v>
      </c>
      <c r="L14" s="36"/>
      <c r="M14" s="36"/>
      <c r="N14" s="36"/>
      <c r="O14" s="36"/>
      <c r="P14" s="37" t="str">
        <f>_xlfn.XLOOKUP(A14,'steel Mint data'!A:A,'steel Mint data'!Q:Q,"",0)</f>
        <v>H</v>
      </c>
      <c r="Q14" s="36" t="str">
        <f>_xlfn.XLOOKUP(A14,'steel Mint data'!A:A,'steel Mint data'!R:R,"",0)</f>
        <v>H</v>
      </c>
      <c r="S14" s="33"/>
      <c r="T14" s="33"/>
    </row>
    <row r="15" spans="1:20">
      <c r="A15" s="83">
        <v>45866</v>
      </c>
      <c r="B15" s="36">
        <f>_xlfn.XLOOKUP(A15,'steel Mint data'!A:A,'steel Mint data'!B:B,"",0)</f>
        <v>44500</v>
      </c>
      <c r="C15" s="36"/>
      <c r="D15" s="36"/>
      <c r="E15" s="36">
        <f>_xlfn.XLOOKUP(A15,'steel Mint data'!A:A,'steel Mint data'!D:D,"",0)</f>
        <v>45100</v>
      </c>
      <c r="F15" s="36"/>
      <c r="G15" s="36"/>
      <c r="H15" s="36"/>
      <c r="I15" s="36">
        <f>_xlfn.XLOOKUP(A15,'steel Mint data'!A:A,'steel Mint data'!I:I,"",0)</f>
        <v>43650</v>
      </c>
      <c r="J15" s="36"/>
      <c r="K15" s="36">
        <f>_xlfn.XLOOKUP(A15,'steel Mint data'!A:A,'steel Mint data'!L:L,"",0)</f>
        <v>45600</v>
      </c>
      <c r="L15" s="36"/>
      <c r="M15" s="36"/>
      <c r="N15" s="36"/>
      <c r="O15" s="36"/>
      <c r="P15" s="37">
        <f>_xlfn.XLOOKUP(A15,'steel Mint data'!A:A,'steel Mint data'!Q:Q,"",0)</f>
        <v>40700</v>
      </c>
      <c r="Q15" s="36">
        <f>_xlfn.XLOOKUP(A15,'steel Mint data'!A:A,'steel Mint data'!R:R,"",0)</f>
        <v>40900</v>
      </c>
      <c r="R15" s="33"/>
      <c r="S15" s="33"/>
      <c r="T15" s="33"/>
    </row>
    <row r="16" spans="1:20">
      <c r="A16" s="83">
        <v>45867</v>
      </c>
      <c r="B16" s="36">
        <f>_xlfn.XLOOKUP(A16,'steel Mint data'!A:A,'steel Mint data'!B:B,"",0)</f>
        <v>44300</v>
      </c>
      <c r="C16" s="36"/>
      <c r="D16" s="36"/>
      <c r="E16" s="36">
        <f>_xlfn.XLOOKUP(A16,'steel Mint data'!A:A,'steel Mint data'!D:D,"",0)</f>
        <v>44900</v>
      </c>
      <c r="F16" s="36"/>
      <c r="G16" s="36"/>
      <c r="H16" s="36"/>
      <c r="I16" s="36">
        <f>_xlfn.XLOOKUP(A16,'steel Mint data'!A:A,'steel Mint data'!I:I,"",0)</f>
        <v>43400</v>
      </c>
      <c r="J16" s="36"/>
      <c r="K16" s="36">
        <f>_xlfn.XLOOKUP(A16,'steel Mint data'!A:A,'steel Mint data'!L:L,"",0)</f>
        <v>45600</v>
      </c>
      <c r="L16" s="36"/>
      <c r="M16" s="36"/>
      <c r="N16" s="36"/>
      <c r="O16" s="36"/>
      <c r="P16" s="37">
        <f>_xlfn.XLOOKUP(A16,'steel Mint data'!A:A,'steel Mint data'!Q:Q,"",0)</f>
        <v>40400</v>
      </c>
      <c r="Q16" s="36">
        <f>_xlfn.XLOOKUP(A16,'steel Mint data'!A:A,'steel Mint data'!R:R,"",0)</f>
        <v>40900</v>
      </c>
      <c r="R16" s="33"/>
      <c r="S16" s="33"/>
      <c r="T16" s="33"/>
    </row>
    <row r="17" spans="1:21">
      <c r="A17" s="83">
        <v>45868</v>
      </c>
      <c r="B17" s="36">
        <f>_xlfn.XLOOKUP(A17,'steel Mint data'!A:A,'steel Mint data'!B:B,"",0)</f>
        <v>44100</v>
      </c>
      <c r="C17" s="36"/>
      <c r="D17" s="36"/>
      <c r="E17" s="36">
        <f>_xlfn.XLOOKUP(A17,'steel Mint data'!A:A,'steel Mint data'!D:D,"",0)</f>
        <v>44700</v>
      </c>
      <c r="F17" s="36"/>
      <c r="G17" s="36"/>
      <c r="H17" s="36"/>
      <c r="I17" s="36">
        <f>_xlfn.XLOOKUP(A17,'steel Mint data'!A:A,'steel Mint data'!I:I,"",0)</f>
        <v>43200</v>
      </c>
      <c r="J17" s="36"/>
      <c r="K17" s="36">
        <f>_xlfn.XLOOKUP(A17,'steel Mint data'!A:A,'steel Mint data'!L:L,"",0)</f>
        <v>45400</v>
      </c>
      <c r="L17" s="36"/>
      <c r="M17" s="36"/>
      <c r="N17" s="36"/>
      <c r="O17" s="36"/>
      <c r="P17" s="37">
        <f>_xlfn.XLOOKUP(A17,'steel Mint data'!A:A,'steel Mint data'!Q:Q,"",0)</f>
        <v>40200</v>
      </c>
      <c r="Q17" s="36">
        <f>_xlfn.XLOOKUP(A17,'steel Mint data'!A:A,'steel Mint data'!R:R,"",0)</f>
        <v>40700</v>
      </c>
    </row>
    <row r="18" spans="1:21">
      <c r="A18" s="83"/>
      <c r="B18" s="36" t="str">
        <f>_xlfn.XLOOKUP(A18,'steel Mint data'!A:A,'steel Mint data'!B:B,"",0)</f>
        <v/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7"/>
      <c r="Q18" s="36"/>
      <c r="S18" s="33"/>
      <c r="T18" s="33"/>
    </row>
    <row r="19" spans="1:21">
      <c r="A19" s="14"/>
      <c r="B19" s="15">
        <f>SUM(B3:B18)</f>
        <v>567400</v>
      </c>
      <c r="C19" s="14"/>
      <c r="D19" s="14"/>
      <c r="E19" s="15">
        <f>SUM(E3:E18)</f>
        <v>575500</v>
      </c>
      <c r="F19" s="14"/>
      <c r="G19" s="14"/>
      <c r="H19" s="14"/>
      <c r="I19" s="15">
        <f>SUM(I3:I18)</f>
        <v>558850</v>
      </c>
      <c r="J19" s="14"/>
      <c r="K19" s="15">
        <f>SUM(K3:K18)</f>
        <v>588100</v>
      </c>
      <c r="L19" s="14"/>
      <c r="M19" s="14"/>
      <c r="N19" s="14"/>
      <c r="O19" s="14"/>
      <c r="P19" s="15">
        <f>SUM(P3:P18)</f>
        <v>517400</v>
      </c>
      <c r="Q19" s="15">
        <f>SUM(Q3:Q18)</f>
        <v>526900</v>
      </c>
      <c r="S19" s="33"/>
      <c r="T19" s="33"/>
    </row>
    <row r="20" spans="1:21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23</v>
      </c>
      <c r="H20" s="16" t="s">
        <v>39</v>
      </c>
      <c r="I20" s="16" t="s">
        <v>46</v>
      </c>
      <c r="J20" s="14"/>
      <c r="K20" s="14"/>
      <c r="L20" s="19"/>
      <c r="M20" s="19"/>
      <c r="N20" s="14"/>
      <c r="O20" s="14"/>
      <c r="P20" s="14"/>
      <c r="Q20" s="14"/>
      <c r="S20" s="33"/>
      <c r="T20" s="33"/>
    </row>
    <row r="21" spans="1:21">
      <c r="A21" s="17" t="s">
        <v>25</v>
      </c>
      <c r="B21" s="18">
        <f>E19/O21</f>
        <v>44269.230769230766</v>
      </c>
      <c r="C21" s="18">
        <f>P19/O21</f>
        <v>39800</v>
      </c>
      <c r="D21" s="18">
        <f>K19/O21</f>
        <v>45238.461538461539</v>
      </c>
      <c r="E21" s="18">
        <f>Q19/O21</f>
        <v>40530.769230769234</v>
      </c>
      <c r="F21" s="18">
        <f>C21</f>
        <v>39800</v>
      </c>
      <c r="G21" s="18">
        <f>B21-800</f>
        <v>43469.230769230766</v>
      </c>
      <c r="H21" s="18">
        <f>I19/O21</f>
        <v>42988.461538461539</v>
      </c>
      <c r="I21" s="18">
        <f>B19/O21</f>
        <v>43646.153846153844</v>
      </c>
      <c r="J21" s="19"/>
      <c r="K21" s="19"/>
      <c r="L21" s="19"/>
      <c r="M21" s="19"/>
      <c r="N21" s="19"/>
      <c r="O21" s="20">
        <f>COUNT(P3:P18)</f>
        <v>13</v>
      </c>
      <c r="P21" s="21"/>
      <c r="Q21" s="14"/>
      <c r="R21" s="33"/>
      <c r="S21" s="33"/>
      <c r="T21" s="33"/>
    </row>
    <row r="22" spans="1:21">
      <c r="A22" s="17" t="s">
        <v>26</v>
      </c>
      <c r="B22" s="18">
        <v>1200</v>
      </c>
      <c r="C22" s="18">
        <v>2150</v>
      </c>
      <c r="D22" s="18">
        <v>400</v>
      </c>
      <c r="E22" s="18">
        <v>2200</v>
      </c>
      <c r="F22" s="18">
        <v>1800</v>
      </c>
      <c r="G22" s="18">
        <v>1200</v>
      </c>
      <c r="H22" s="18">
        <v>800</v>
      </c>
      <c r="I22" s="18">
        <v>0</v>
      </c>
      <c r="J22" s="48"/>
      <c r="K22" s="69"/>
      <c r="L22" s="19"/>
      <c r="M22" s="48"/>
      <c r="N22" s="19"/>
      <c r="O22" s="48"/>
      <c r="P22" s="48"/>
      <c r="Q22" s="48"/>
      <c r="R22" s="49"/>
      <c r="S22" s="49"/>
      <c r="T22" s="49"/>
    </row>
    <row r="23" spans="1:21">
      <c r="A23" s="17" t="s">
        <v>27</v>
      </c>
      <c r="B23" s="18">
        <v>200</v>
      </c>
      <c r="C23" s="18">
        <v>265</v>
      </c>
      <c r="D23" s="18">
        <v>250</v>
      </c>
      <c r="E23" s="18">
        <v>275</v>
      </c>
      <c r="F23" s="18">
        <v>275</v>
      </c>
      <c r="G23" s="18">
        <v>200</v>
      </c>
      <c r="H23" s="18">
        <v>270</v>
      </c>
      <c r="I23" s="18">
        <v>200</v>
      </c>
      <c r="J23" s="48"/>
      <c r="K23" s="69"/>
      <c r="L23" s="48"/>
      <c r="M23" s="69"/>
      <c r="N23" s="48"/>
      <c r="O23" s="48"/>
      <c r="P23" s="48"/>
      <c r="Q23" s="48"/>
      <c r="R23" s="49"/>
      <c r="S23" s="49"/>
      <c r="T23" s="49"/>
    </row>
    <row r="24" spans="1:21" ht="24.75">
      <c r="A24" s="22" t="s">
        <v>28</v>
      </c>
      <c r="B24" s="18">
        <f>SUM(B21:B23)</f>
        <v>45669.230769230766</v>
      </c>
      <c r="C24" s="18">
        <f>SUM(C21:C23)</f>
        <v>42215</v>
      </c>
      <c r="D24" s="18">
        <f>SUM(D21:D23)</f>
        <v>45888.461538461539</v>
      </c>
      <c r="E24" s="18">
        <f>SUM(E21:E23)</f>
        <v>43005.769230769234</v>
      </c>
      <c r="F24" s="18">
        <f>SUM(F21:F23)</f>
        <v>41875</v>
      </c>
      <c r="G24" s="18">
        <f>SUM(G21:G23)</f>
        <v>44869.230769230766</v>
      </c>
      <c r="H24" s="18">
        <f>SUM(H21:H23)</f>
        <v>44058.461538461539</v>
      </c>
      <c r="I24" s="18">
        <f>SUM(I21:I23)</f>
        <v>43846.153846153844</v>
      </c>
      <c r="J24" s="48"/>
      <c r="K24" s="69"/>
      <c r="L24" s="48"/>
      <c r="M24" s="48"/>
      <c r="N24" s="48"/>
      <c r="O24" s="48"/>
      <c r="P24" s="48"/>
      <c r="Q24" s="48"/>
      <c r="R24" s="49"/>
      <c r="S24" s="49"/>
      <c r="T24" s="49"/>
    </row>
    <row r="25" spans="1:21">
      <c r="A25" s="22" t="s">
        <v>29</v>
      </c>
      <c r="B25" s="18">
        <v>45300</v>
      </c>
      <c r="C25" s="18">
        <v>41615</v>
      </c>
      <c r="D25" s="18">
        <v>45850</v>
      </c>
      <c r="E25" s="23">
        <v>42675</v>
      </c>
      <c r="F25" s="18">
        <v>41275</v>
      </c>
      <c r="G25" s="18">
        <v>44500</v>
      </c>
      <c r="H25" s="18">
        <v>43770</v>
      </c>
      <c r="I25" s="18">
        <v>43000</v>
      </c>
      <c r="J25" s="48"/>
      <c r="K25" s="48"/>
      <c r="L25" s="48"/>
      <c r="M25" s="48"/>
      <c r="N25" s="48"/>
      <c r="O25" s="48"/>
      <c r="P25" s="48"/>
      <c r="Q25" s="48"/>
      <c r="R25" s="49"/>
      <c r="S25" s="49"/>
      <c r="T25" s="49"/>
    </row>
    <row r="26" spans="1:21">
      <c r="A26" s="22" t="s">
        <v>30</v>
      </c>
      <c r="B26" s="18">
        <f>B24-B25</f>
        <v>369.23076923076587</v>
      </c>
      <c r="C26" s="18">
        <f>C24-C25</f>
        <v>600</v>
      </c>
      <c r="D26" s="18">
        <f>D24-D25</f>
        <v>38.461538461539021</v>
      </c>
      <c r="E26" s="18">
        <f>E24-E25</f>
        <v>330.76923076923413</v>
      </c>
      <c r="F26" s="18">
        <f>F24-F25</f>
        <v>600</v>
      </c>
      <c r="G26" s="18">
        <f>G24-G25</f>
        <v>369.23076923076587</v>
      </c>
      <c r="H26" s="18">
        <f>H24-H25</f>
        <v>288.46153846153902</v>
      </c>
      <c r="I26" s="18">
        <f>I24-I25</f>
        <v>846.15384615384392</v>
      </c>
      <c r="J26" s="48"/>
      <c r="K26" s="48"/>
      <c r="L26" s="48"/>
      <c r="M26" s="48"/>
      <c r="N26" s="48"/>
      <c r="O26" s="48"/>
      <c r="P26" s="48"/>
      <c r="Q26" s="48"/>
      <c r="R26" s="49"/>
      <c r="S26" s="49"/>
      <c r="T26" s="49"/>
    </row>
    <row r="27" spans="1:21">
      <c r="A27" s="14"/>
      <c r="B27" s="14"/>
      <c r="C27" s="14"/>
      <c r="D27" s="14"/>
      <c r="E27" s="14"/>
      <c r="F27" s="14"/>
      <c r="G27" s="14"/>
      <c r="H27" s="14"/>
      <c r="I27" s="14"/>
      <c r="J27" s="48"/>
      <c r="K27" s="48"/>
      <c r="L27" s="48"/>
      <c r="M27" s="48"/>
      <c r="N27" s="48"/>
      <c r="O27" s="48"/>
      <c r="P27" s="48"/>
      <c r="Q27" s="48"/>
      <c r="R27" s="49"/>
      <c r="S27" s="49"/>
      <c r="T27" s="49"/>
    </row>
    <row r="28" spans="1:21">
      <c r="A28" s="22" t="s">
        <v>31</v>
      </c>
      <c r="B28" s="23">
        <v>48300</v>
      </c>
      <c r="C28" s="23">
        <v>45550</v>
      </c>
      <c r="D28" s="18">
        <v>48800</v>
      </c>
      <c r="E28" s="18">
        <v>45550</v>
      </c>
      <c r="F28" s="18">
        <v>45550</v>
      </c>
      <c r="G28" s="18">
        <v>47500</v>
      </c>
      <c r="H28" s="18">
        <v>47800</v>
      </c>
      <c r="I28" s="18">
        <v>48300</v>
      </c>
      <c r="J28" s="48"/>
      <c r="K28" s="48"/>
      <c r="L28" s="50"/>
      <c r="M28" s="48"/>
      <c r="N28" s="48"/>
      <c r="O28" s="48"/>
      <c r="P28" s="48"/>
      <c r="Q28" s="48"/>
      <c r="R28" s="49"/>
      <c r="S28" s="49"/>
      <c r="T28" s="49"/>
    </row>
    <row r="29" spans="1:21">
      <c r="A29" s="22" t="s">
        <v>32</v>
      </c>
      <c r="B29" s="26">
        <f>B28-500-(200+300+300)-250-400</f>
        <v>46350</v>
      </c>
      <c r="C29" s="26">
        <f>C28-500-(200+300+300)-250-400</f>
        <v>43600</v>
      </c>
      <c r="D29" s="26">
        <f>D28-500-(200+300+300)-250-400</f>
        <v>46850</v>
      </c>
      <c r="E29" s="26">
        <f>E28-500-(200+300+300)-250-400</f>
        <v>43600</v>
      </c>
      <c r="F29" s="26">
        <f>F28-500-(200+300+300)-250-400</f>
        <v>43600</v>
      </c>
      <c r="G29" s="26">
        <f>G28-500-(200+300+300)-250-400</f>
        <v>45550</v>
      </c>
      <c r="H29" s="26">
        <f>H28-500-(200+300+300)-250-400</f>
        <v>45850</v>
      </c>
      <c r="I29" s="26">
        <f>I28-500-(200+300+300)-250-400</f>
        <v>46350</v>
      </c>
      <c r="J29" s="48"/>
      <c r="K29" s="48"/>
      <c r="L29" s="50"/>
      <c r="M29" s="48"/>
      <c r="N29" s="48"/>
      <c r="O29" s="48"/>
      <c r="P29" s="48"/>
      <c r="Q29" s="48"/>
      <c r="R29" s="49"/>
      <c r="S29" s="49"/>
      <c r="T29" s="49"/>
    </row>
    <row r="30" spans="1:21">
      <c r="A30" s="25" t="s">
        <v>33</v>
      </c>
      <c r="B30" s="18">
        <f>B29-B24</f>
        <v>680.76923076923413</v>
      </c>
      <c r="C30" s="18">
        <f>C29-C24</f>
        <v>1385</v>
      </c>
      <c r="D30" s="18">
        <f>D29-D24</f>
        <v>961.53846153846098</v>
      </c>
      <c r="E30" s="18">
        <f>E29-E24</f>
        <v>594.23076923076587</v>
      </c>
      <c r="F30" s="18">
        <f>F29-F24</f>
        <v>1725</v>
      </c>
      <c r="G30" s="18">
        <f>G29-G24</f>
        <v>680.76923076923413</v>
      </c>
      <c r="H30" s="18">
        <f>H29-H24</f>
        <v>1791.538461538461</v>
      </c>
      <c r="I30" s="18">
        <f>I29-I24</f>
        <v>2503.8461538461561</v>
      </c>
      <c r="J30" s="48"/>
      <c r="K30" s="48"/>
      <c r="L30" s="50"/>
      <c r="M30" s="48"/>
      <c r="N30" s="48"/>
      <c r="O30" s="48"/>
      <c r="P30" s="48"/>
      <c r="Q30" s="48"/>
      <c r="R30" s="49"/>
      <c r="S30" s="49"/>
      <c r="T30" s="49"/>
      <c r="U30" s="33"/>
    </row>
    <row r="31" spans="1:21">
      <c r="I31" s="33"/>
      <c r="J31" s="49"/>
      <c r="K31" s="49"/>
      <c r="L31" s="49"/>
      <c r="M31" s="48"/>
      <c r="N31" s="49"/>
      <c r="O31" s="48"/>
      <c r="P31" s="49"/>
      <c r="Q31" s="49"/>
      <c r="R31" s="49"/>
      <c r="S31" s="49"/>
      <c r="T31" s="49" t="s">
        <v>47</v>
      </c>
      <c r="U31" s="33"/>
    </row>
    <row r="32" spans="1:21">
      <c r="B32" s="33">
        <f>B28-B24-1000</f>
        <v>1630.7692307692341</v>
      </c>
      <c r="C32" s="33">
        <f t="shared" ref="C32:I32" si="0">C28-C24-1000</f>
        <v>2335</v>
      </c>
      <c r="D32" s="33">
        <f t="shared" si="0"/>
        <v>1911.538461538461</v>
      </c>
      <c r="E32" s="33">
        <f t="shared" si="0"/>
        <v>1544.2307692307659</v>
      </c>
      <c r="F32" s="33">
        <f t="shared" si="0"/>
        <v>2675</v>
      </c>
      <c r="G32" s="33">
        <f t="shared" si="0"/>
        <v>1630.7692307692341</v>
      </c>
      <c r="H32" s="33">
        <f t="shared" si="0"/>
        <v>2741.538461538461</v>
      </c>
      <c r="I32" s="33">
        <f t="shared" si="0"/>
        <v>3453.8461538461561</v>
      </c>
      <c r="J32" s="49"/>
      <c r="K32" s="49"/>
      <c r="L32" s="49"/>
      <c r="M32" s="49"/>
      <c r="N32" s="49"/>
      <c r="O32" s="48"/>
      <c r="P32" s="49"/>
      <c r="Q32" s="49"/>
      <c r="R32" s="49"/>
      <c r="S32" s="49"/>
      <c r="T32" s="49"/>
    </row>
    <row r="33" spans="1:20 16384:16384" ht="36">
      <c r="B33" s="33">
        <f>B24+500+1000</f>
        <v>47169.230769230766</v>
      </c>
      <c r="C33" s="33"/>
      <c r="D33" s="33"/>
      <c r="E33" s="104">
        <f>E8-P8</f>
        <v>4800</v>
      </c>
      <c r="F33" s="33"/>
      <c r="J33" s="49"/>
      <c r="K33" s="98"/>
      <c r="L33" s="94" t="s">
        <v>65</v>
      </c>
      <c r="M33" s="94" t="s">
        <v>66</v>
      </c>
      <c r="N33" s="94" t="s">
        <v>67</v>
      </c>
      <c r="O33" s="94" t="s">
        <v>68</v>
      </c>
      <c r="P33" s="94" t="s">
        <v>69</v>
      </c>
      <c r="Q33" s="99" t="s">
        <v>70</v>
      </c>
      <c r="R33" s="49" t="s">
        <v>71</v>
      </c>
      <c r="S33" s="49" t="s">
        <v>72</v>
      </c>
      <c r="T33" s="49"/>
      <c r="XFD33" s="96" t="s">
        <v>68</v>
      </c>
    </row>
    <row r="34" spans="1:20 16384:16384" ht="15.75">
      <c r="B34" t="s">
        <v>0</v>
      </c>
      <c r="C34" t="s">
        <v>48</v>
      </c>
      <c r="D34" s="33">
        <f>C24+3000+1200</f>
        <v>46415</v>
      </c>
      <c r="G34" s="33">
        <f>F24+1000+3000</f>
        <v>45875</v>
      </c>
      <c r="H34" s="33"/>
      <c r="J34" s="49"/>
      <c r="K34" s="100">
        <v>1</v>
      </c>
      <c r="L34" s="95" t="s">
        <v>73</v>
      </c>
      <c r="M34" s="95">
        <v>200</v>
      </c>
      <c r="N34" s="95" t="s">
        <v>74</v>
      </c>
      <c r="O34" s="95">
        <v>43500</v>
      </c>
      <c r="P34" s="95">
        <v>44000</v>
      </c>
      <c r="Q34" s="101" t="s">
        <v>75</v>
      </c>
      <c r="R34" s="49">
        <f>3200</f>
        <v>3200</v>
      </c>
      <c r="S34" s="49">
        <f>O34-R34-$F$24-1000</f>
        <v>-2575</v>
      </c>
      <c r="T34" s="49"/>
      <c r="XFD34" s="97">
        <v>43500</v>
      </c>
    </row>
    <row r="35" spans="1:20 16384:16384" ht="15.75">
      <c r="A35" s="39" t="s">
        <v>40</v>
      </c>
      <c r="B35" s="40" t="s">
        <v>49</v>
      </c>
      <c r="C35" s="43"/>
      <c r="D35" s="33">
        <f>46500-C24</f>
        <v>4285</v>
      </c>
      <c r="E35" s="33">
        <f>D24+800+1200</f>
        <v>47888.461538461539</v>
      </c>
      <c r="F35" s="33">
        <f>B24+1500</f>
        <v>47169.230769230766</v>
      </c>
      <c r="H35" s="33">
        <f>F24+500+1000+3000</f>
        <v>46375</v>
      </c>
      <c r="I35" s="33"/>
      <c r="J35" s="49"/>
      <c r="K35" s="100">
        <v>2</v>
      </c>
      <c r="L35" s="95" t="s">
        <v>76</v>
      </c>
      <c r="M35" s="95">
        <v>170</v>
      </c>
      <c r="N35" s="95" t="s">
        <v>77</v>
      </c>
      <c r="O35" s="95">
        <v>44000</v>
      </c>
      <c r="P35" s="95">
        <v>45300</v>
      </c>
      <c r="Q35" s="101" t="s">
        <v>78</v>
      </c>
      <c r="R35" s="49">
        <v>3500</v>
      </c>
      <c r="S35" s="49">
        <f t="shared" ref="S35:S45" si="1">O35-R35-$F$24-1000</f>
        <v>-2375</v>
      </c>
      <c r="T35" s="49"/>
      <c r="XFD35" s="97">
        <v>44000</v>
      </c>
    </row>
    <row r="36" spans="1:20 16384:16384" ht="15.75">
      <c r="A36" s="29" t="s">
        <v>42</v>
      </c>
      <c r="B36" s="29">
        <v>46000</v>
      </c>
      <c r="C36" s="43"/>
      <c r="D36" s="33"/>
      <c r="F36" s="85"/>
      <c r="G36" s="86"/>
      <c r="H36" s="33"/>
      <c r="I36" s="33"/>
      <c r="J36" s="49"/>
      <c r="K36" s="100">
        <v>3</v>
      </c>
      <c r="L36" s="95" t="s">
        <v>79</v>
      </c>
      <c r="M36" s="95">
        <v>64</v>
      </c>
      <c r="N36" s="95" t="s">
        <v>80</v>
      </c>
      <c r="O36" s="95">
        <v>43500</v>
      </c>
      <c r="P36" s="95">
        <v>43500</v>
      </c>
      <c r="Q36" s="101" t="s">
        <v>81</v>
      </c>
      <c r="R36" s="49">
        <v>2500</v>
      </c>
      <c r="S36" s="49">
        <f t="shared" si="1"/>
        <v>-1875</v>
      </c>
      <c r="T36" s="49"/>
      <c r="XFD36" s="97">
        <v>43500</v>
      </c>
    </row>
    <row r="37" spans="1:20 16384:16384" ht="15.75">
      <c r="A37" s="29" t="s">
        <v>43</v>
      </c>
      <c r="B37" s="29">
        <v>42615</v>
      </c>
      <c r="C37" s="43">
        <f>B37+1250</f>
        <v>43865</v>
      </c>
      <c r="F37" s="87">
        <f>F24+500+3000</f>
        <v>45375</v>
      </c>
      <c r="G37" s="86"/>
      <c r="H37" s="33">
        <f>45000-1000-F24</f>
        <v>2125</v>
      </c>
      <c r="J37" s="49"/>
      <c r="K37" s="100">
        <v>4</v>
      </c>
      <c r="L37" s="95" t="s">
        <v>82</v>
      </c>
      <c r="M37" s="95">
        <v>300</v>
      </c>
      <c r="N37" s="95" t="s">
        <v>83</v>
      </c>
      <c r="O37" s="95">
        <v>44000</v>
      </c>
      <c r="P37" s="95">
        <v>47500</v>
      </c>
      <c r="Q37" s="101" t="s">
        <v>78</v>
      </c>
      <c r="R37" s="49">
        <v>3500</v>
      </c>
      <c r="S37" s="49">
        <f t="shared" si="1"/>
        <v>-2375</v>
      </c>
      <c r="T37" s="49"/>
      <c r="XFD37" s="97">
        <v>44000</v>
      </c>
    </row>
    <row r="38" spans="1:20 16384:16384" ht="15.75">
      <c r="A38" s="29" t="s">
        <v>44</v>
      </c>
      <c r="B38" s="29">
        <v>42275</v>
      </c>
      <c r="C38" s="43">
        <f>B38+1000</f>
        <v>43275</v>
      </c>
      <c r="E38">
        <f>46700-1200</f>
        <v>45500</v>
      </c>
      <c r="F38" s="85"/>
      <c r="G38" s="86"/>
      <c r="J38" s="49"/>
      <c r="K38" s="100">
        <v>5</v>
      </c>
      <c r="L38" s="95" t="s">
        <v>84</v>
      </c>
      <c r="M38" s="95">
        <v>84</v>
      </c>
      <c r="N38" s="95" t="s">
        <v>85</v>
      </c>
      <c r="O38" s="95">
        <v>43000</v>
      </c>
      <c r="P38" s="95">
        <v>44000</v>
      </c>
      <c r="Q38" s="101" t="s">
        <v>78</v>
      </c>
      <c r="R38" s="49">
        <v>2500</v>
      </c>
      <c r="S38" s="49">
        <f t="shared" si="1"/>
        <v>-2375</v>
      </c>
      <c r="T38" s="49"/>
      <c r="XFD38" s="97">
        <v>43000</v>
      </c>
    </row>
    <row r="39" spans="1:20 16384:16384" ht="15.75">
      <c r="A39" s="29" t="s">
        <v>36</v>
      </c>
      <c r="B39" s="29">
        <v>46450</v>
      </c>
      <c r="C39" s="43">
        <f>B39+800</f>
        <v>47250</v>
      </c>
      <c r="D39" s="33"/>
      <c r="E39" s="33"/>
      <c r="F39" s="85"/>
      <c r="G39" s="86"/>
      <c r="H39" s="33"/>
      <c r="J39" s="49"/>
      <c r="K39" s="100">
        <v>6</v>
      </c>
      <c r="L39" s="95" t="s">
        <v>86</v>
      </c>
      <c r="M39" s="95">
        <v>850</v>
      </c>
      <c r="N39" s="95" t="s">
        <v>87</v>
      </c>
      <c r="O39" s="95">
        <v>43500</v>
      </c>
      <c r="P39" s="95">
        <v>44700</v>
      </c>
      <c r="Q39" s="101" t="s">
        <v>88</v>
      </c>
      <c r="R39" s="49">
        <v>1500</v>
      </c>
      <c r="S39" s="49">
        <f t="shared" si="1"/>
        <v>-875</v>
      </c>
      <c r="T39" s="49"/>
      <c r="XFD39" s="97">
        <v>43500</v>
      </c>
    </row>
    <row r="40" spans="1:20 16384:16384" ht="15.75">
      <c r="A40" s="29" t="s">
        <v>37</v>
      </c>
      <c r="B40" s="29">
        <v>45200</v>
      </c>
      <c r="C40" s="43">
        <f>B40+1000</f>
        <v>46200</v>
      </c>
      <c r="D40">
        <f>C40-C39</f>
        <v>-1050</v>
      </c>
      <c r="F40" s="88"/>
      <c r="G40" s="89"/>
      <c r="I40">
        <f>46200+2000+2000</f>
        <v>50200</v>
      </c>
      <c r="J40" s="49"/>
      <c r="K40" s="100">
        <v>7</v>
      </c>
      <c r="L40" s="95" t="s">
        <v>89</v>
      </c>
      <c r="M40" s="95">
        <v>250</v>
      </c>
      <c r="N40" s="95" t="s">
        <v>90</v>
      </c>
      <c r="O40" s="95">
        <v>44000</v>
      </c>
      <c r="P40" s="95">
        <v>45500</v>
      </c>
      <c r="Q40" s="101" t="s">
        <v>91</v>
      </c>
      <c r="R40" s="49">
        <v>3500</v>
      </c>
      <c r="S40" s="49">
        <f t="shared" si="1"/>
        <v>-2375</v>
      </c>
      <c r="T40" s="49"/>
      <c r="XFD40" s="97">
        <v>44000</v>
      </c>
    </row>
    <row r="41" spans="1:20 16384:16384" ht="15.75">
      <c r="A41" s="29" t="s">
        <v>45</v>
      </c>
      <c r="B41" s="29">
        <v>44470</v>
      </c>
      <c r="C41" s="43"/>
      <c r="F41" s="88"/>
      <c r="G41" s="89"/>
      <c r="H41" s="33"/>
      <c r="J41" s="49"/>
      <c r="K41" s="100">
        <v>8</v>
      </c>
      <c r="L41" s="95" t="s">
        <v>92</v>
      </c>
      <c r="M41" s="95">
        <v>84</v>
      </c>
      <c r="N41" s="95" t="s">
        <v>93</v>
      </c>
      <c r="O41" s="95">
        <v>45000</v>
      </c>
      <c r="P41" s="95">
        <v>45500</v>
      </c>
      <c r="Q41" s="101" t="s">
        <v>94</v>
      </c>
      <c r="R41" s="49">
        <v>3200</v>
      </c>
      <c r="S41" s="49">
        <f t="shared" si="1"/>
        <v>-1075</v>
      </c>
      <c r="T41" s="49"/>
      <c r="XFD41" s="97">
        <v>45000</v>
      </c>
    </row>
    <row r="42" spans="1:20 16384:16384" ht="15.75">
      <c r="A42" s="43" t="s">
        <v>50</v>
      </c>
      <c r="B42" s="43">
        <v>43675</v>
      </c>
      <c r="C42" s="43"/>
      <c r="F42" s="88"/>
      <c r="G42" s="89"/>
      <c r="J42" s="49"/>
      <c r="K42" s="100">
        <v>9</v>
      </c>
      <c r="L42" s="95" t="s">
        <v>95</v>
      </c>
      <c r="M42" s="95">
        <v>300</v>
      </c>
      <c r="N42" s="95" t="s">
        <v>96</v>
      </c>
      <c r="O42" s="95">
        <v>43500</v>
      </c>
      <c r="P42" s="95">
        <v>44500</v>
      </c>
      <c r="Q42" s="101" t="s">
        <v>97</v>
      </c>
      <c r="R42" s="49">
        <v>3200</v>
      </c>
      <c r="S42" s="49">
        <f t="shared" si="1"/>
        <v>-2575</v>
      </c>
      <c r="T42" s="49"/>
      <c r="XFD42" s="97">
        <v>43500</v>
      </c>
    </row>
    <row r="43" spans="1:20 16384:16384" ht="15.75">
      <c r="A43" s="46" t="s">
        <v>46</v>
      </c>
      <c r="B43" s="46">
        <f>44500-1000</f>
        <v>43500</v>
      </c>
      <c r="C43" s="46">
        <f>B43+1000</f>
        <v>44500</v>
      </c>
      <c r="J43" s="49"/>
      <c r="K43" s="100">
        <v>10</v>
      </c>
      <c r="L43" s="95" t="s">
        <v>98</v>
      </c>
      <c r="M43" s="95">
        <v>500</v>
      </c>
      <c r="N43" s="95" t="s">
        <v>99</v>
      </c>
      <c r="O43" s="95">
        <v>44000</v>
      </c>
      <c r="P43" s="95">
        <v>44000</v>
      </c>
      <c r="Q43" s="101" t="s">
        <v>100</v>
      </c>
      <c r="R43" s="49">
        <v>3200</v>
      </c>
      <c r="S43" s="49">
        <f t="shared" si="1"/>
        <v>-2075</v>
      </c>
      <c r="T43" s="49"/>
      <c r="XFD43" s="97">
        <v>44000</v>
      </c>
    </row>
    <row r="44" spans="1:20 16384:16384" ht="15.75">
      <c r="J44" s="49"/>
      <c r="K44" s="100">
        <v>11</v>
      </c>
      <c r="L44" s="95" t="s">
        <v>101</v>
      </c>
      <c r="M44" s="95">
        <v>300</v>
      </c>
      <c r="N44" s="95" t="s">
        <v>102</v>
      </c>
      <c r="O44" s="95">
        <v>44000</v>
      </c>
      <c r="P44" s="95">
        <v>44000</v>
      </c>
      <c r="Q44" s="101" t="s">
        <v>103</v>
      </c>
      <c r="R44" s="49">
        <v>3200</v>
      </c>
      <c r="S44" s="49">
        <f t="shared" si="1"/>
        <v>-2075</v>
      </c>
      <c r="T44" s="49"/>
      <c r="XFD44" s="97">
        <v>44000</v>
      </c>
    </row>
    <row r="45" spans="1:20 16384:16384" ht="15.75">
      <c r="J45" s="49"/>
      <c r="K45" s="100">
        <v>12</v>
      </c>
      <c r="L45" s="95" t="s">
        <v>104</v>
      </c>
      <c r="M45" s="95">
        <v>500</v>
      </c>
      <c r="N45" s="95" t="s">
        <v>105</v>
      </c>
      <c r="O45" s="95">
        <v>44000</v>
      </c>
      <c r="P45" s="95">
        <v>45500</v>
      </c>
      <c r="Q45" s="101" t="s">
        <v>78</v>
      </c>
      <c r="R45" s="49">
        <v>3500</v>
      </c>
      <c r="S45" s="49">
        <f t="shared" si="1"/>
        <v>-2375</v>
      </c>
      <c r="T45" s="49"/>
      <c r="XFD45" s="97">
        <v>44000</v>
      </c>
    </row>
    <row r="46" spans="1:20 16384:16384" ht="15.75">
      <c r="B46" s="23">
        <v>46800</v>
      </c>
      <c r="C46" s="23">
        <v>44050</v>
      </c>
      <c r="D46" s="18">
        <f>B46+500</f>
        <v>47300</v>
      </c>
      <c r="E46" s="18">
        <f>C46</f>
        <v>44050</v>
      </c>
      <c r="F46" s="18">
        <v>44050</v>
      </c>
      <c r="G46" s="18">
        <f>B46-800</f>
        <v>46000</v>
      </c>
      <c r="H46" s="18">
        <f>B46-500</f>
        <v>46300</v>
      </c>
      <c r="I46" s="18">
        <f>B46</f>
        <v>46800</v>
      </c>
      <c r="J46" s="49"/>
      <c r="K46" s="100">
        <v>13</v>
      </c>
      <c r="L46" s="95" t="s">
        <v>106</v>
      </c>
      <c r="M46" s="95">
        <v>200</v>
      </c>
      <c r="N46" s="95" t="s">
        <v>107</v>
      </c>
      <c r="O46" s="95">
        <v>41000</v>
      </c>
      <c r="P46" s="95">
        <v>46000</v>
      </c>
      <c r="Q46" s="101" t="s">
        <v>108</v>
      </c>
      <c r="R46" s="49"/>
      <c r="S46" s="49"/>
      <c r="T46" s="49"/>
      <c r="XFD46" s="97">
        <v>41000</v>
      </c>
    </row>
    <row r="47" spans="1:20 16384:16384" ht="15.75">
      <c r="B47" s="33">
        <f>B46+1500</f>
        <v>48300</v>
      </c>
      <c r="C47" s="33">
        <f t="shared" ref="C47:I47" si="2">C46+1500</f>
        <v>45550</v>
      </c>
      <c r="D47" s="33">
        <f t="shared" si="2"/>
        <v>48800</v>
      </c>
      <c r="E47" s="33">
        <f t="shared" si="2"/>
        <v>45550</v>
      </c>
      <c r="F47" s="33">
        <f t="shared" si="2"/>
        <v>45550</v>
      </c>
      <c r="G47" s="33">
        <f t="shared" si="2"/>
        <v>47500</v>
      </c>
      <c r="H47" s="33">
        <f t="shared" si="2"/>
        <v>47800</v>
      </c>
      <c r="I47" s="33">
        <f t="shared" si="2"/>
        <v>48300</v>
      </c>
      <c r="K47" s="521" t="s">
        <v>109</v>
      </c>
      <c r="L47" s="522"/>
      <c r="M47" s="102">
        <v>3802</v>
      </c>
      <c r="N47" s="102" t="s">
        <v>110</v>
      </c>
      <c r="O47" s="102" t="s">
        <v>110</v>
      </c>
      <c r="P47" s="102" t="s">
        <v>110</v>
      </c>
      <c r="Q47" s="103" t="s">
        <v>110</v>
      </c>
    </row>
    <row r="49" spans="2:14">
      <c r="B49" s="33"/>
    </row>
    <row r="53" spans="2:14">
      <c r="C53" s="52"/>
      <c r="D53" s="520"/>
      <c r="E53" s="520"/>
      <c r="F53" s="53"/>
      <c r="G53" s="520"/>
      <c r="H53" s="520"/>
      <c r="I53" s="14"/>
    </row>
    <row r="54" spans="2:14">
      <c r="C54" s="54"/>
      <c r="D54" s="55"/>
      <c r="E54" s="55"/>
      <c r="F54" s="52"/>
      <c r="G54" s="55"/>
      <c r="H54" s="55"/>
      <c r="K54" s="61"/>
      <c r="L54" s="61"/>
      <c r="M54" s="61"/>
      <c r="N54" s="61"/>
    </row>
    <row r="55" spans="2:14">
      <c r="C55" s="56"/>
      <c r="D55" s="57"/>
      <c r="E55" s="57"/>
      <c r="F55" s="58"/>
      <c r="G55" s="57"/>
      <c r="H55" s="57"/>
      <c r="L55" s="62"/>
      <c r="M55" s="62"/>
      <c r="N55" s="62"/>
    </row>
    <row r="56" spans="2:14">
      <c r="C56" s="56"/>
      <c r="D56" s="57"/>
      <c r="E56" s="57"/>
      <c r="F56" s="58"/>
      <c r="G56" s="57"/>
      <c r="H56" s="57"/>
      <c r="L56" s="62"/>
      <c r="M56" s="62"/>
      <c r="N56" s="62"/>
    </row>
    <row r="57" spans="2:14">
      <c r="C57" s="56"/>
      <c r="D57" s="57"/>
      <c r="E57" s="57"/>
      <c r="F57" s="58"/>
      <c r="G57" s="57"/>
      <c r="H57" s="57"/>
      <c r="L57" s="62"/>
      <c r="M57" s="62"/>
      <c r="N57" s="62"/>
    </row>
    <row r="58" spans="2:14">
      <c r="C58" s="56"/>
      <c r="D58" s="57"/>
      <c r="E58" s="57"/>
      <c r="F58" s="58"/>
      <c r="G58" s="57"/>
      <c r="H58" s="57"/>
      <c r="L58" s="62"/>
      <c r="M58" s="62"/>
      <c r="N58" s="62"/>
    </row>
    <row r="59" spans="2:14">
      <c r="C59" s="56"/>
      <c r="D59" s="57"/>
      <c r="E59" s="57"/>
      <c r="F59" s="58"/>
      <c r="G59" s="57"/>
      <c r="H59" s="57"/>
      <c r="K59" s="63"/>
      <c r="L59" s="64"/>
      <c r="M59" s="64"/>
      <c r="N59" s="64"/>
    </row>
    <row r="60" spans="2:14">
      <c r="C60" s="56"/>
      <c r="D60" s="57"/>
      <c r="E60" s="57"/>
      <c r="F60" s="58"/>
      <c r="G60" s="57"/>
      <c r="H60" s="57"/>
    </row>
    <row r="61" spans="2:14">
      <c r="C61" s="56"/>
      <c r="D61" s="59"/>
      <c r="E61" s="59"/>
      <c r="F61" s="58"/>
      <c r="G61" s="59"/>
      <c r="H61" s="59"/>
    </row>
    <row r="62" spans="2:14">
      <c r="C62" s="56"/>
      <c r="D62" s="59"/>
      <c r="E62" s="59"/>
      <c r="F62" s="58"/>
      <c r="G62" s="59"/>
      <c r="H62" s="59"/>
    </row>
    <row r="63" spans="2:14">
      <c r="C63" s="60"/>
      <c r="D63" s="59"/>
      <c r="E63" s="59"/>
      <c r="F63" s="58"/>
      <c r="G63" s="59"/>
      <c r="H63" s="59"/>
    </row>
    <row r="73" spans="3:12">
      <c r="C73" s="66" t="s">
        <v>57</v>
      </c>
      <c r="D73" s="66" t="s">
        <v>58</v>
      </c>
      <c r="E73" s="66">
        <v>8</v>
      </c>
      <c r="F73" s="66">
        <v>10</v>
      </c>
      <c r="G73" s="66">
        <v>12</v>
      </c>
      <c r="H73" s="66">
        <v>16</v>
      </c>
      <c r="I73" s="66">
        <v>20</v>
      </c>
      <c r="J73" s="66">
        <v>25</v>
      </c>
      <c r="K73" s="66">
        <v>32</v>
      </c>
      <c r="L73" s="66" t="s">
        <v>59</v>
      </c>
    </row>
    <row r="74" spans="3:12">
      <c r="C74" s="66" t="s">
        <v>48</v>
      </c>
      <c r="D74" s="67" t="s">
        <v>60</v>
      </c>
      <c r="E74" s="65">
        <v>171</v>
      </c>
      <c r="F74" s="65">
        <v>179</v>
      </c>
      <c r="G74" s="65">
        <v>288</v>
      </c>
      <c r="H74" s="65">
        <v>242</v>
      </c>
      <c r="I74" s="65">
        <v>393</v>
      </c>
      <c r="J74" s="65">
        <v>72</v>
      </c>
      <c r="K74" s="65"/>
      <c r="L74" s="65">
        <v>1345</v>
      </c>
    </row>
    <row r="75" spans="3:12">
      <c r="C75" s="66"/>
      <c r="D75" s="67" t="s">
        <v>61</v>
      </c>
      <c r="E75" s="65">
        <v>156</v>
      </c>
      <c r="F75" s="65">
        <v>54</v>
      </c>
      <c r="G75" s="65">
        <v>250</v>
      </c>
      <c r="H75" s="65">
        <v>250</v>
      </c>
      <c r="I75" s="65">
        <v>228</v>
      </c>
      <c r="J75" s="65">
        <v>280</v>
      </c>
      <c r="K75" s="65">
        <v>110</v>
      </c>
      <c r="L75" s="65">
        <v>1328</v>
      </c>
    </row>
    <row r="76" spans="3:12">
      <c r="C76" s="66"/>
      <c r="D76" s="67" t="s">
        <v>62</v>
      </c>
      <c r="E76" s="65">
        <v>46</v>
      </c>
      <c r="F76" s="65">
        <v>34</v>
      </c>
      <c r="G76" s="65">
        <v>195</v>
      </c>
      <c r="H76" s="65">
        <v>63</v>
      </c>
      <c r="I76" s="65">
        <v>31</v>
      </c>
      <c r="J76" s="65">
        <v>25</v>
      </c>
      <c r="K76" s="65"/>
      <c r="L76" s="65">
        <v>394</v>
      </c>
    </row>
    <row r="77" spans="3:12">
      <c r="C77" s="66"/>
      <c r="D77" s="67" t="s">
        <v>63</v>
      </c>
      <c r="E77" s="65">
        <v>89</v>
      </c>
      <c r="F77" s="65">
        <v>42</v>
      </c>
      <c r="G77" s="65">
        <v>17</v>
      </c>
      <c r="H77" s="65">
        <v>32</v>
      </c>
      <c r="I77" s="65">
        <v>55</v>
      </c>
      <c r="J77" s="65"/>
      <c r="K77" s="65"/>
      <c r="L77" s="65">
        <v>235</v>
      </c>
    </row>
    <row r="78" spans="3:12">
      <c r="C78" s="66" t="s">
        <v>64</v>
      </c>
      <c r="D78" s="66"/>
      <c r="E78" s="68">
        <v>462</v>
      </c>
      <c r="F78" s="68">
        <v>309</v>
      </c>
      <c r="G78" s="68">
        <v>750</v>
      </c>
      <c r="H78" s="68">
        <v>587</v>
      </c>
      <c r="I78" s="68">
        <v>707</v>
      </c>
      <c r="J78" s="68">
        <v>377</v>
      </c>
      <c r="K78" s="68">
        <v>110</v>
      </c>
      <c r="L78" s="68">
        <v>3302</v>
      </c>
    </row>
  </sheetData>
  <mergeCells count="4">
    <mergeCell ref="B1:Q1"/>
    <mergeCell ref="D53:E53"/>
    <mergeCell ref="G53:H53"/>
    <mergeCell ref="K47:L4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F653-40D7-41A2-BF56-332F46D282FA}">
  <dimension ref="A1:XFD78"/>
  <sheetViews>
    <sheetView workbookViewId="0">
      <pane ySplit="2" topLeftCell="X33" activePane="bottomLeft" state="frozen"/>
      <selection pane="bottomLeft" activeCell="X33" sqref="X33"/>
    </sheetView>
  </sheetViews>
  <sheetFormatPr defaultColWidth="15.85546875" defaultRowHeight="15"/>
  <cols>
    <col min="2" max="2" width="14.85546875" customWidth="1"/>
    <col min="3" max="3" width="20.5703125" customWidth="1"/>
    <col min="4" max="4" width="10.85546875" customWidth="1"/>
    <col min="5" max="5" width="14.28515625" customWidth="1"/>
    <col min="6" max="7" width="10.85546875" customWidth="1"/>
    <col min="8" max="8" width="13.140625" customWidth="1"/>
    <col min="9" max="10" width="10.85546875" customWidth="1"/>
    <col min="11" max="11" width="17.85546875" customWidth="1"/>
    <col min="12" max="16" width="10.85546875" customWidth="1"/>
    <col min="17" max="17" width="12.28515625" customWidth="1"/>
    <col min="18" max="18" width="29.140625" bestFit="1" customWidth="1"/>
    <col min="19" max="19" width="25.28515625" bestFit="1" customWidth="1"/>
    <col min="20" max="20" width="22.5703125" bestFit="1" customWidth="1"/>
    <col min="21" max="21" width="25.28515625" bestFit="1" customWidth="1"/>
  </cols>
  <sheetData>
    <row r="1" spans="1:20">
      <c r="A1" s="81"/>
      <c r="B1" s="519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</row>
    <row r="2" spans="1:20">
      <c r="A2" s="8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</row>
    <row r="3" spans="1:20">
      <c r="A3" s="83">
        <v>45870</v>
      </c>
      <c r="B3" s="36">
        <f>_xlfn.XLOOKUP(A3,'steel Mint data'!A:A,'steel Mint data'!B:B,"",0)</f>
        <v>44100</v>
      </c>
      <c r="C3" s="36"/>
      <c r="D3" s="36"/>
      <c r="E3" s="36">
        <f>_xlfn.XLOOKUP(A3,'steel Mint data'!A:A,'steel Mint data'!D:D,"",0)</f>
        <v>44600</v>
      </c>
      <c r="F3" s="36">
        <f>_xlfn.XLOOKUP(A3,'steel Mint data'!A:A,'steel Mint data'!E:E,"",0)</f>
        <v>40300</v>
      </c>
      <c r="G3" s="36"/>
      <c r="H3" s="36"/>
      <c r="I3" s="36">
        <f>_xlfn.XLOOKUP(A3,'steel Mint data'!A:A,'steel Mint data'!I:I,"",0)</f>
        <v>43200</v>
      </c>
      <c r="J3" s="36"/>
      <c r="K3" s="36">
        <f>_xlfn.XLOOKUP(A3,'steel Mint data'!A:A,'steel Mint data'!L:L,"",0)</f>
        <v>45500</v>
      </c>
      <c r="L3" s="36"/>
      <c r="M3" s="36"/>
      <c r="N3" s="36"/>
      <c r="O3" s="36"/>
      <c r="P3" s="37">
        <f>_xlfn.XLOOKUP(A3,'steel Mint data'!A:A,'steel Mint data'!Q:Q,"",0)</f>
        <v>39600</v>
      </c>
      <c r="Q3" s="36">
        <f>_xlfn.XLOOKUP(A3,'steel Mint data'!A:A,'steel Mint data'!R:R,"",0)</f>
        <v>40700</v>
      </c>
    </row>
    <row r="4" spans="1:20">
      <c r="A4" s="83">
        <v>45871</v>
      </c>
      <c r="B4" s="36">
        <f>_xlfn.XLOOKUP(A4,'steel Mint data'!A:A,'steel Mint data'!B:B,"",0)</f>
        <v>44100</v>
      </c>
      <c r="C4" s="36"/>
      <c r="D4" s="36"/>
      <c r="E4" s="36">
        <f>_xlfn.XLOOKUP(A4,'steel Mint data'!A:A,'steel Mint data'!D:D,"",0)</f>
        <v>44800</v>
      </c>
      <c r="F4" s="36">
        <f>_xlfn.XLOOKUP(A4,'steel Mint data'!A:A,'steel Mint data'!E:E,"",0)</f>
        <v>40500</v>
      </c>
      <c r="G4" s="36"/>
      <c r="H4" s="36"/>
      <c r="I4" s="36">
        <f>_xlfn.XLOOKUP(A4,'steel Mint data'!A:A,'steel Mint data'!I:I,"",0)</f>
        <v>43400</v>
      </c>
      <c r="J4" s="36"/>
      <c r="K4" s="36">
        <f>_xlfn.XLOOKUP(A4,'steel Mint data'!A:A,'steel Mint data'!L:L,"",0)</f>
        <v>45600</v>
      </c>
      <c r="L4" s="36"/>
      <c r="M4" s="36"/>
      <c r="N4" s="36"/>
      <c r="O4" s="36"/>
      <c r="P4" s="37">
        <f>_xlfn.XLOOKUP(A4,'steel Mint data'!A:A,'steel Mint data'!Q:Q,"",0)</f>
        <v>39700</v>
      </c>
      <c r="Q4" s="36">
        <f>_xlfn.XLOOKUP(A4,'steel Mint data'!A:A,'steel Mint data'!R:R,"",0)</f>
        <v>40800</v>
      </c>
    </row>
    <row r="5" spans="1:20">
      <c r="A5" s="83">
        <v>45872</v>
      </c>
      <c r="B5" s="36" t="str">
        <f>_xlfn.XLOOKUP(A5,'steel Mint data'!A:A,'steel Mint data'!B:B,"",0)</f>
        <v>H</v>
      </c>
      <c r="C5" s="36"/>
      <c r="D5" s="36"/>
      <c r="E5" s="36" t="str">
        <f>_xlfn.XLOOKUP(A5,'steel Mint data'!A:A,'steel Mint data'!D:D,"",0)</f>
        <v>H</v>
      </c>
      <c r="F5" s="36" t="str">
        <f>_xlfn.XLOOKUP(A5,'steel Mint data'!A:A,'steel Mint data'!E:E,"",0)</f>
        <v>H</v>
      </c>
      <c r="G5" s="38"/>
      <c r="H5" s="38"/>
      <c r="I5" s="36" t="str">
        <f>_xlfn.XLOOKUP(A5,'steel Mint data'!A:A,'steel Mint data'!I:I,"",0)</f>
        <v>H</v>
      </c>
      <c r="J5" s="38"/>
      <c r="K5" s="36" t="str">
        <f>_xlfn.XLOOKUP(A5,'steel Mint data'!A:A,'steel Mint data'!L:L,"",0)</f>
        <v>H</v>
      </c>
      <c r="L5" s="38"/>
      <c r="M5" s="38"/>
      <c r="N5" s="38"/>
      <c r="O5" s="38"/>
      <c r="P5" s="37" t="str">
        <f>_xlfn.XLOOKUP(A5,'steel Mint data'!A:A,'steel Mint data'!Q:Q,"",0)</f>
        <v>H</v>
      </c>
      <c r="Q5" s="36" t="str">
        <f>_xlfn.XLOOKUP(A5,'steel Mint data'!A:A,'steel Mint data'!R:R,"",0)</f>
        <v>H</v>
      </c>
    </row>
    <row r="6" spans="1:20">
      <c r="A6" s="83">
        <v>45873</v>
      </c>
      <c r="B6" s="36">
        <f>_xlfn.XLOOKUP(A6,'steel Mint data'!A:A,'steel Mint data'!B:B,"",0)</f>
        <v>44600</v>
      </c>
      <c r="C6" s="36"/>
      <c r="D6" s="36"/>
      <c r="E6" s="36">
        <f>_xlfn.XLOOKUP(A6,'steel Mint data'!A:A,'steel Mint data'!D:D,"",0)</f>
        <v>45000</v>
      </c>
      <c r="F6" s="36">
        <f>_xlfn.XLOOKUP(A6,'steel Mint data'!A:A,'steel Mint data'!E:E,"",0)</f>
        <v>40800</v>
      </c>
      <c r="G6" s="38"/>
      <c r="H6" s="38"/>
      <c r="I6" s="36">
        <f>_xlfn.XLOOKUP(A6,'steel Mint data'!A:A,'steel Mint data'!I:I,"",0)</f>
        <v>43500</v>
      </c>
      <c r="J6" s="38"/>
      <c r="K6" s="36">
        <f>_xlfn.XLOOKUP(A6,'steel Mint data'!A:A,'steel Mint data'!L:L,"",0)</f>
        <v>45800</v>
      </c>
      <c r="L6" s="38"/>
      <c r="M6" s="38"/>
      <c r="N6" s="38"/>
      <c r="O6" s="38"/>
      <c r="P6" s="37">
        <f>_xlfn.XLOOKUP(A6,'steel Mint data'!A:A,'steel Mint data'!Q:Q,"",0)</f>
        <v>40300</v>
      </c>
      <c r="Q6" s="36">
        <f>_xlfn.XLOOKUP(A6,'steel Mint data'!A:A,'steel Mint data'!R:R,"",0)</f>
        <v>41000</v>
      </c>
    </row>
    <row r="7" spans="1:20">
      <c r="A7" s="83">
        <v>45874</v>
      </c>
      <c r="B7" s="36">
        <f>_xlfn.XLOOKUP(A7,'steel Mint data'!A:A,'steel Mint data'!B:B,"",0)</f>
        <v>44800</v>
      </c>
      <c r="C7" s="36"/>
      <c r="D7" s="37"/>
      <c r="E7" s="36">
        <f>_xlfn.XLOOKUP(A7,'steel Mint data'!A:A,'steel Mint data'!D:D,"",0)</f>
        <v>45200</v>
      </c>
      <c r="F7" s="36">
        <f>_xlfn.XLOOKUP(A7,'steel Mint data'!A:A,'steel Mint data'!E:E,"",0)</f>
        <v>40500</v>
      </c>
      <c r="G7" s="11"/>
      <c r="H7" s="11"/>
      <c r="I7" s="36">
        <f>_xlfn.XLOOKUP(A7,'steel Mint data'!A:A,'steel Mint data'!I:I,"",0)</f>
        <v>43500</v>
      </c>
      <c r="J7" s="11"/>
      <c r="K7" s="36">
        <f>_xlfn.XLOOKUP(A7,'steel Mint data'!A:A,'steel Mint data'!L:L,"",0)</f>
        <v>46000</v>
      </c>
      <c r="L7" s="11"/>
      <c r="M7" s="11"/>
      <c r="N7" s="11"/>
      <c r="O7" s="11"/>
      <c r="P7" s="37">
        <f>_xlfn.XLOOKUP(A7,'steel Mint data'!A:A,'steel Mint data'!Q:Q,"",0)</f>
        <v>40100</v>
      </c>
      <c r="Q7" s="36">
        <f>_xlfn.XLOOKUP(A7,'steel Mint data'!A:A,'steel Mint data'!R:R,"",0)</f>
        <v>41000</v>
      </c>
    </row>
    <row r="8" spans="1:20">
      <c r="A8" s="83">
        <v>45875</v>
      </c>
      <c r="B8" s="36">
        <f>_xlfn.XLOOKUP(A8,'steel Mint data'!A:A,'steel Mint data'!B:B,"",0)</f>
        <v>44800</v>
      </c>
      <c r="C8" s="36"/>
      <c r="D8" s="36"/>
      <c r="E8" s="36">
        <f>_xlfn.XLOOKUP(A8,'steel Mint data'!A:A,'steel Mint data'!D:D,"",0)</f>
        <v>44900</v>
      </c>
      <c r="F8" s="36">
        <f>_xlfn.XLOOKUP(A8,'steel Mint data'!A:A,'steel Mint data'!E:E,"",0)</f>
        <v>40300</v>
      </c>
      <c r="G8" s="84"/>
      <c r="H8" s="84"/>
      <c r="I8" s="36">
        <f>_xlfn.XLOOKUP(A8,'steel Mint data'!A:A,'steel Mint data'!I:I,"",0)</f>
        <v>43300</v>
      </c>
      <c r="J8" s="84"/>
      <c r="K8" s="36">
        <f>_xlfn.XLOOKUP(A8,'steel Mint data'!A:A,'steel Mint data'!L:L,"",0)</f>
        <v>45900</v>
      </c>
      <c r="L8" s="84"/>
      <c r="M8" s="84"/>
      <c r="N8" s="84"/>
      <c r="O8" s="84"/>
      <c r="P8" s="37">
        <f>_xlfn.XLOOKUP(A8,'steel Mint data'!A:A,'steel Mint data'!Q:Q,"",0)</f>
        <v>39800</v>
      </c>
      <c r="Q8" s="36">
        <f>_xlfn.XLOOKUP(A8,'steel Mint data'!A:A,'steel Mint data'!R:R,"",0)</f>
        <v>41000</v>
      </c>
    </row>
    <row r="9" spans="1:20">
      <c r="A9" s="83">
        <v>45876</v>
      </c>
      <c r="B9" s="36">
        <f>_xlfn.XLOOKUP(A9,'steel Mint data'!A:A,'steel Mint data'!B:B,"",0)</f>
        <v>44600</v>
      </c>
      <c r="C9" s="36"/>
      <c r="D9" s="36"/>
      <c r="E9" s="36">
        <f>_xlfn.XLOOKUP(A9,'steel Mint data'!A:A,'steel Mint data'!D:D,"",0)</f>
        <v>44700</v>
      </c>
      <c r="F9" s="36">
        <f>_xlfn.XLOOKUP(A9,'steel Mint data'!A:A,'steel Mint data'!E:E,"",0)</f>
        <v>39900</v>
      </c>
      <c r="G9" s="36"/>
      <c r="H9" s="36"/>
      <c r="I9" s="36">
        <f>_xlfn.XLOOKUP(A9,'steel Mint data'!A:A,'steel Mint data'!I:I,"",0)</f>
        <v>43150</v>
      </c>
      <c r="J9" s="36"/>
      <c r="K9" s="36">
        <f>_xlfn.XLOOKUP(A9,'steel Mint data'!A:A,'steel Mint data'!L:L,"",0)</f>
        <v>45700</v>
      </c>
      <c r="L9" s="36"/>
      <c r="M9" s="36"/>
      <c r="N9" s="36"/>
      <c r="O9" s="36"/>
      <c r="P9" s="37">
        <f>_xlfn.XLOOKUP(A9,'steel Mint data'!A:A,'steel Mint data'!Q:Q,"",0)</f>
        <v>39700</v>
      </c>
      <c r="Q9" s="36">
        <f>_xlfn.XLOOKUP(A9,'steel Mint data'!A:A,'steel Mint data'!R:R,"",0)</f>
        <v>40800</v>
      </c>
    </row>
    <row r="10" spans="1:20">
      <c r="A10" s="83">
        <v>45877</v>
      </c>
      <c r="B10" s="36">
        <f>_xlfn.XLOOKUP(A10,'steel Mint data'!A:A,'steel Mint data'!B:B,"",0)</f>
        <v>44600</v>
      </c>
      <c r="C10" s="36"/>
      <c r="D10" s="36"/>
      <c r="E10" s="36">
        <f>_xlfn.XLOOKUP(A10,'steel Mint data'!A:A,'steel Mint data'!D:D,"",0)</f>
        <v>44100</v>
      </c>
      <c r="F10" s="36">
        <f>_xlfn.XLOOKUP(A10,'steel Mint data'!A:A,'steel Mint data'!E:E,"",0)</f>
        <v>39800</v>
      </c>
      <c r="G10" s="36"/>
      <c r="H10" s="36"/>
      <c r="I10" s="36">
        <f>_xlfn.XLOOKUP(A10,'steel Mint data'!A:A,'steel Mint data'!I:I,"",0)</f>
        <v>43100</v>
      </c>
      <c r="J10" s="36"/>
      <c r="K10" s="36">
        <f>_xlfn.XLOOKUP(A10,'steel Mint data'!A:A,'steel Mint data'!L:L,"",0)</f>
        <v>45600</v>
      </c>
      <c r="L10" s="36"/>
      <c r="M10" s="36"/>
      <c r="N10" s="36"/>
      <c r="O10" s="36"/>
      <c r="P10" s="37">
        <f>_xlfn.XLOOKUP(A10,'steel Mint data'!A:A,'steel Mint data'!Q:Q,"",0)</f>
        <v>39800</v>
      </c>
      <c r="Q10" s="36">
        <f>_xlfn.XLOOKUP(A10,'steel Mint data'!A:A,'steel Mint data'!R:R,"",0)</f>
        <v>40800</v>
      </c>
      <c r="R10" s="33"/>
    </row>
    <row r="11" spans="1:20">
      <c r="A11" s="83">
        <v>45878</v>
      </c>
      <c r="B11" s="36" t="str">
        <f>_xlfn.XLOOKUP(A11,'steel Mint data'!A:A,'steel Mint data'!B:B,"",0)</f>
        <v>H</v>
      </c>
      <c r="C11" s="36"/>
      <c r="D11" s="36"/>
      <c r="E11" s="36" t="str">
        <f>_xlfn.XLOOKUP(A11,'steel Mint data'!A:A,'steel Mint data'!D:D,"",0)</f>
        <v>H</v>
      </c>
      <c r="F11" s="36" t="str">
        <f>_xlfn.XLOOKUP(A11,'steel Mint data'!A:A,'steel Mint data'!E:E,"",0)</f>
        <v>H</v>
      </c>
      <c r="G11" s="36"/>
      <c r="H11" s="36"/>
      <c r="I11" s="36" t="str">
        <f>_xlfn.XLOOKUP(A11,'steel Mint data'!A:A,'steel Mint data'!I:I,"",0)</f>
        <v>H</v>
      </c>
      <c r="J11" s="36"/>
      <c r="K11" s="36" t="str">
        <f>_xlfn.XLOOKUP(A11,'steel Mint data'!A:A,'steel Mint data'!L:L,"",0)</f>
        <v>H</v>
      </c>
      <c r="L11" s="36"/>
      <c r="M11" s="36"/>
      <c r="N11" s="36"/>
      <c r="O11" s="36"/>
      <c r="P11" s="37" t="str">
        <f>_xlfn.XLOOKUP(A11,'steel Mint data'!A:A,'steel Mint data'!Q:Q,"",0)</f>
        <v>H</v>
      </c>
      <c r="Q11" s="36" t="str">
        <f>_xlfn.XLOOKUP(A11,'steel Mint data'!A:A,'steel Mint data'!R:R,"",0)</f>
        <v>H</v>
      </c>
    </row>
    <row r="12" spans="1:20">
      <c r="A12" s="83">
        <v>45879</v>
      </c>
      <c r="B12" s="36" t="str">
        <f>_xlfn.XLOOKUP(A12,'steel Mint data'!A:A,'steel Mint data'!B:B,"",0)</f>
        <v>H</v>
      </c>
      <c r="C12" s="36"/>
      <c r="D12" s="36"/>
      <c r="E12" s="36" t="str">
        <f>_xlfn.XLOOKUP(A12,'steel Mint data'!A:A,'steel Mint data'!D:D,"",0)</f>
        <v>H</v>
      </c>
      <c r="F12" s="36" t="str">
        <f>_xlfn.XLOOKUP(A12,'steel Mint data'!A:A,'steel Mint data'!E:E,"",0)</f>
        <v>H</v>
      </c>
      <c r="G12" s="36"/>
      <c r="H12" s="36"/>
      <c r="I12" s="36" t="str">
        <f>_xlfn.XLOOKUP(A12,'steel Mint data'!A:A,'steel Mint data'!I:I,"",0)</f>
        <v>H</v>
      </c>
      <c r="J12" s="36"/>
      <c r="K12" s="36" t="str">
        <f>_xlfn.XLOOKUP(A12,'steel Mint data'!A:A,'steel Mint data'!L:L,"",0)</f>
        <v>H</v>
      </c>
      <c r="L12" s="36"/>
      <c r="M12" s="36"/>
      <c r="N12" s="36"/>
      <c r="O12" s="36"/>
      <c r="P12" s="37" t="str">
        <f>_xlfn.XLOOKUP(A12,'steel Mint data'!A:A,'steel Mint data'!Q:Q,"",0)</f>
        <v>H</v>
      </c>
      <c r="Q12" s="36" t="str">
        <f>_xlfn.XLOOKUP(A12,'steel Mint data'!A:A,'steel Mint data'!R:R,"",0)</f>
        <v>H</v>
      </c>
    </row>
    <row r="13" spans="1:20">
      <c r="A13" s="83">
        <v>45880</v>
      </c>
      <c r="B13" s="36">
        <f>_xlfn.XLOOKUP(A13,'steel Mint data'!A:A,'steel Mint data'!B:B,"",0)</f>
        <v>44800</v>
      </c>
      <c r="C13" s="36"/>
      <c r="D13" s="36"/>
      <c r="E13" s="36">
        <f>_xlfn.XLOOKUP(A13,'steel Mint data'!A:A,'steel Mint data'!D:D,"",0)</f>
        <v>44000</v>
      </c>
      <c r="F13" s="36">
        <f>_xlfn.XLOOKUP(A13,'steel Mint data'!A:A,'steel Mint data'!E:E,"",0)</f>
        <v>40000</v>
      </c>
      <c r="G13" s="36"/>
      <c r="H13" s="36"/>
      <c r="I13" s="36">
        <f>_xlfn.XLOOKUP(A13,'steel Mint data'!A:A,'steel Mint data'!I:I,"",0)</f>
        <v>43200</v>
      </c>
      <c r="J13" s="36"/>
      <c r="K13" s="36">
        <f>_xlfn.XLOOKUP(A13,'steel Mint data'!A:A,'steel Mint data'!L:L,"",0)</f>
        <v>45600</v>
      </c>
      <c r="L13" s="36"/>
      <c r="M13" s="36"/>
      <c r="N13" s="36"/>
      <c r="O13" s="36"/>
      <c r="P13" s="37">
        <f>_xlfn.XLOOKUP(A13,'steel Mint data'!A:A,'steel Mint data'!Q:Q,"",0)</f>
        <v>40000</v>
      </c>
      <c r="Q13" s="36">
        <f>_xlfn.XLOOKUP(A13,'steel Mint data'!A:A,'steel Mint data'!R:R,"",0)</f>
        <v>40800</v>
      </c>
      <c r="S13" s="33"/>
    </row>
    <row r="14" spans="1:20">
      <c r="A14" s="83">
        <v>45881</v>
      </c>
      <c r="B14" s="36">
        <f>_xlfn.XLOOKUP(A14,'steel Mint data'!A:A,'steel Mint data'!B:B,"",0)</f>
        <v>44800</v>
      </c>
      <c r="C14" s="36"/>
      <c r="D14" s="36"/>
      <c r="E14" s="36">
        <f>_xlfn.XLOOKUP(A14,'steel Mint data'!A:A,'steel Mint data'!D:D,"",0)</f>
        <v>43700</v>
      </c>
      <c r="F14" s="36">
        <f>_xlfn.XLOOKUP(A14,'steel Mint data'!A:A,'steel Mint data'!E:E,"",0)</f>
        <v>40000</v>
      </c>
      <c r="G14" s="36"/>
      <c r="H14" s="36"/>
      <c r="I14" s="36">
        <f>_xlfn.XLOOKUP(A14,'steel Mint data'!A:A,'steel Mint data'!I:I,"",0)</f>
        <v>43100</v>
      </c>
      <c r="J14" s="36"/>
      <c r="K14" s="36">
        <f>_xlfn.XLOOKUP(A14,'steel Mint data'!A:A,'steel Mint data'!L:L,"",0)</f>
        <v>45500</v>
      </c>
      <c r="L14" s="36"/>
      <c r="M14" s="36"/>
      <c r="N14" s="36"/>
      <c r="O14" s="36"/>
      <c r="P14" s="37">
        <f>_xlfn.XLOOKUP(A14,'steel Mint data'!A:A,'steel Mint data'!Q:Q,"",0)</f>
        <v>39900</v>
      </c>
      <c r="Q14" s="36">
        <f>_xlfn.XLOOKUP(A14,'steel Mint data'!A:A,'steel Mint data'!R:R,"",0)</f>
        <v>40800</v>
      </c>
      <c r="S14" s="33"/>
      <c r="T14" s="33"/>
    </row>
    <row r="15" spans="1:20">
      <c r="A15" s="83">
        <v>45882</v>
      </c>
      <c r="B15" s="36">
        <f>_xlfn.XLOOKUP(A15,'steel Mint data'!A:A,'steel Mint data'!B:B,"",0)</f>
        <v>44600</v>
      </c>
      <c r="C15" s="36"/>
      <c r="D15" s="36"/>
      <c r="E15" s="36">
        <f>_xlfn.XLOOKUP(A15,'steel Mint data'!A:A,'steel Mint data'!D:D,"",0)</f>
        <v>43600</v>
      </c>
      <c r="F15" s="36">
        <f>_xlfn.XLOOKUP(A15,'steel Mint data'!A:A,'steel Mint data'!E:E,"",0)</f>
        <v>39800</v>
      </c>
      <c r="G15" s="36"/>
      <c r="H15" s="36"/>
      <c r="I15" s="36">
        <f>_xlfn.XLOOKUP(A15,'steel Mint data'!A:A,'steel Mint data'!I:I,"",0)</f>
        <v>43000</v>
      </c>
      <c r="J15" s="36"/>
      <c r="K15" s="36">
        <f>_xlfn.XLOOKUP(A15,'steel Mint data'!A:A,'steel Mint data'!L:L,"",0)</f>
        <v>45400</v>
      </c>
      <c r="L15" s="36"/>
      <c r="M15" s="36"/>
      <c r="N15" s="36"/>
      <c r="O15" s="36"/>
      <c r="P15" s="37">
        <f>_xlfn.XLOOKUP(A15,'steel Mint data'!A:A,'steel Mint data'!Q:Q,"",0)</f>
        <v>39700</v>
      </c>
      <c r="Q15" s="36">
        <f>_xlfn.XLOOKUP(A15,'steel Mint data'!A:A,'steel Mint data'!R:R,"",0)</f>
        <v>40500</v>
      </c>
      <c r="R15" s="33"/>
      <c r="S15" s="33"/>
      <c r="T15" s="33"/>
    </row>
    <row r="16" spans="1:20">
      <c r="A16" s="83">
        <v>45883</v>
      </c>
      <c r="B16" s="36">
        <f>_xlfn.XLOOKUP(A16,'steel Mint data'!A:A,'steel Mint data'!B:B,"",0)</f>
        <v>44600</v>
      </c>
      <c r="C16" s="36"/>
      <c r="D16" s="36"/>
      <c r="E16" s="36">
        <f>_xlfn.XLOOKUP(A16,'steel Mint data'!A:A,'steel Mint data'!D:D,"",0)</f>
        <v>43600</v>
      </c>
      <c r="F16" s="36">
        <f>_xlfn.XLOOKUP(A16,'steel Mint data'!A:A,'steel Mint data'!E:E,"",0)</f>
        <v>39800</v>
      </c>
      <c r="G16" s="36"/>
      <c r="H16" s="36"/>
      <c r="I16" s="36">
        <f>_xlfn.XLOOKUP(A16,'steel Mint data'!A:A,'steel Mint data'!I:I,"",0)</f>
        <v>43100</v>
      </c>
      <c r="J16" s="36"/>
      <c r="K16" s="36">
        <f>_xlfn.XLOOKUP(A16,'steel Mint data'!A:A,'steel Mint data'!L:L,"",0)</f>
        <v>45400</v>
      </c>
      <c r="L16" s="36"/>
      <c r="M16" s="36"/>
      <c r="N16" s="36"/>
      <c r="O16" s="36"/>
      <c r="P16" s="37">
        <f>_xlfn.XLOOKUP(A16,'steel Mint data'!A:A,'steel Mint data'!Q:Q,"",0)</f>
        <v>39700</v>
      </c>
      <c r="Q16" s="36">
        <f>_xlfn.XLOOKUP(A16,'steel Mint data'!A:A,'steel Mint data'!R:R,"",0)</f>
        <v>40500</v>
      </c>
      <c r="R16" s="33"/>
      <c r="S16" s="33"/>
      <c r="T16" s="33"/>
    </row>
    <row r="17" spans="1:27">
      <c r="A17" s="83">
        <v>45884</v>
      </c>
      <c r="B17" s="36" t="str">
        <f>_xlfn.XLOOKUP(A17,'steel Mint data'!A:A,'steel Mint data'!B:B,"",0)</f>
        <v>H</v>
      </c>
      <c r="C17" s="36"/>
      <c r="D17" s="36"/>
      <c r="E17" s="36" t="str">
        <f>_xlfn.XLOOKUP(A17,'steel Mint data'!A:A,'steel Mint data'!D:D,"",0)</f>
        <v>H</v>
      </c>
      <c r="F17" s="36" t="str">
        <f>_xlfn.XLOOKUP(A17,'steel Mint data'!A:A,'steel Mint data'!E:E,"",0)</f>
        <v>H</v>
      </c>
      <c r="G17" s="36"/>
      <c r="H17" s="36"/>
      <c r="I17" s="36" t="str">
        <f>_xlfn.XLOOKUP(A17,'steel Mint data'!A:A,'steel Mint data'!I:I,"",0)</f>
        <v>H</v>
      </c>
      <c r="J17" s="36"/>
      <c r="K17" s="36" t="str">
        <f>_xlfn.XLOOKUP(A17,'steel Mint data'!A:A,'steel Mint data'!L:L,"",0)</f>
        <v>H</v>
      </c>
      <c r="L17" s="36"/>
      <c r="M17" s="36"/>
      <c r="N17" s="36"/>
      <c r="O17" s="36"/>
      <c r="P17" s="37" t="str">
        <f>_xlfn.XLOOKUP(A17,'steel Mint data'!A:A,'steel Mint data'!Q:Q,"",0)</f>
        <v>H</v>
      </c>
      <c r="Q17" s="36" t="str">
        <f>_xlfn.XLOOKUP(A17,'steel Mint data'!A:A,'steel Mint data'!R:R,"",0)</f>
        <v>H</v>
      </c>
    </row>
    <row r="18" spans="1:27">
      <c r="A18" s="83"/>
      <c r="B18" s="36" t="str">
        <f>_xlfn.XLOOKUP(A18,'steel Mint data'!A:A,'steel Mint data'!B:B,"",0)</f>
        <v/>
      </c>
      <c r="C18" s="36"/>
      <c r="D18" s="36"/>
      <c r="E18" s="36"/>
      <c r="F18" s="36" t="str">
        <f>_xlfn.XLOOKUP(A18,'steel Mint data'!A:A,'steel Mint data'!E:E,"",0)</f>
        <v/>
      </c>
      <c r="G18" s="36"/>
      <c r="H18" s="36"/>
      <c r="I18" s="36"/>
      <c r="J18" s="36"/>
      <c r="K18" s="36"/>
      <c r="L18" s="36"/>
      <c r="M18" s="36"/>
      <c r="N18" s="36"/>
      <c r="O18" s="36"/>
      <c r="P18" s="37"/>
      <c r="Q18" s="36"/>
      <c r="S18" s="33"/>
      <c r="T18" s="33"/>
    </row>
    <row r="19" spans="1:27">
      <c r="A19" s="14"/>
      <c r="B19" s="15">
        <f>SUM(B3:B18)</f>
        <v>490400</v>
      </c>
      <c r="C19" s="14"/>
      <c r="D19" s="14"/>
      <c r="E19" s="15">
        <f>SUM(E3:E18)</f>
        <v>488200</v>
      </c>
      <c r="F19" s="15">
        <f>SUM(F3:F18)</f>
        <v>441700</v>
      </c>
      <c r="G19" s="14"/>
      <c r="H19" s="14"/>
      <c r="I19" s="15">
        <f>SUM(I3:I18)</f>
        <v>475550</v>
      </c>
      <c r="J19" s="14"/>
      <c r="K19" s="15">
        <f>SUM(K3:K18)</f>
        <v>502000</v>
      </c>
      <c r="L19" s="14"/>
      <c r="M19" s="14"/>
      <c r="N19" s="14"/>
      <c r="O19" s="14"/>
      <c r="P19" s="15">
        <f>SUM(P3:P18)</f>
        <v>438300</v>
      </c>
      <c r="Q19" s="15">
        <f>SUM(Q3:Q18)</f>
        <v>448700</v>
      </c>
      <c r="S19" s="33"/>
      <c r="T19" s="33"/>
    </row>
    <row r="20" spans="1:27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23</v>
      </c>
      <c r="H20" s="16" t="s">
        <v>39</v>
      </c>
      <c r="I20" s="16" t="s">
        <v>46</v>
      </c>
      <c r="J20" s="16" t="s">
        <v>111</v>
      </c>
      <c r="K20" s="14"/>
      <c r="L20" s="19"/>
      <c r="M20" s="19"/>
      <c r="N20" s="14"/>
      <c r="O20" s="14"/>
      <c r="P20" s="14"/>
      <c r="Q20" s="14"/>
      <c r="S20" s="33"/>
      <c r="T20" s="33"/>
    </row>
    <row r="21" spans="1:27">
      <c r="A21" s="17" t="s">
        <v>25</v>
      </c>
      <c r="B21" s="18">
        <f>E19/O21</f>
        <v>44381.818181818184</v>
      </c>
      <c r="C21" s="18">
        <f>P19/O21</f>
        <v>39845.454545454544</v>
      </c>
      <c r="D21" s="18">
        <f>K19/O21</f>
        <v>45636.36363636364</v>
      </c>
      <c r="E21" s="18">
        <f>Q19/O21</f>
        <v>40790.909090909088</v>
      </c>
      <c r="F21" s="18">
        <f>C21</f>
        <v>39845.454545454544</v>
      </c>
      <c r="G21" s="18">
        <f>B21-800</f>
        <v>43581.818181818184</v>
      </c>
      <c r="H21" s="18">
        <f>I19/O21</f>
        <v>43231.818181818184</v>
      </c>
      <c r="I21" s="18">
        <f>B19/O21</f>
        <v>44581.818181818184</v>
      </c>
      <c r="J21" s="18">
        <f>F19/O21</f>
        <v>40154.545454545456</v>
      </c>
      <c r="K21" s="19"/>
      <c r="L21" s="19"/>
      <c r="M21" s="146"/>
      <c r="N21" s="19"/>
      <c r="O21" s="20">
        <f>COUNT(P3:P18)</f>
        <v>11</v>
      </c>
      <c r="P21" s="21"/>
      <c r="Q21" s="19"/>
      <c r="R21" s="33"/>
      <c r="S21" s="33"/>
      <c r="T21" s="33"/>
    </row>
    <row r="22" spans="1:27">
      <c r="A22" s="17" t="s">
        <v>26</v>
      </c>
      <c r="B22" s="18">
        <v>1200</v>
      </c>
      <c r="C22" s="18">
        <v>2150</v>
      </c>
      <c r="D22" s="18">
        <v>400</v>
      </c>
      <c r="E22" s="18">
        <v>2200</v>
      </c>
      <c r="F22" s="18">
        <v>1800</v>
      </c>
      <c r="G22" s="18">
        <v>1200</v>
      </c>
      <c r="H22" s="18">
        <v>800</v>
      </c>
      <c r="I22" s="18">
        <v>0</v>
      </c>
      <c r="J22" s="18">
        <v>2000</v>
      </c>
      <c r="K22" s="69"/>
      <c r="L22" s="19"/>
      <c r="M22" s="48"/>
      <c r="N22" s="19"/>
      <c r="O22" s="48"/>
      <c r="P22" s="48"/>
      <c r="Q22" s="19"/>
      <c r="R22" s="49"/>
      <c r="S22" s="49"/>
      <c r="T22" s="49"/>
    </row>
    <row r="23" spans="1:27">
      <c r="A23" s="17" t="s">
        <v>27</v>
      </c>
      <c r="B23" s="18">
        <v>200</v>
      </c>
      <c r="C23" s="18">
        <v>265</v>
      </c>
      <c r="D23" s="18">
        <v>250</v>
      </c>
      <c r="E23" s="18">
        <v>275</v>
      </c>
      <c r="F23" s="18">
        <v>275</v>
      </c>
      <c r="G23" s="18">
        <v>200</v>
      </c>
      <c r="H23" s="18">
        <v>270</v>
      </c>
      <c r="I23" s="18">
        <v>200</v>
      </c>
      <c r="J23" s="18">
        <v>270</v>
      </c>
      <c r="K23" s="69"/>
      <c r="L23" s="48">
        <f>45200-3400-F24</f>
        <v>-120.45454545454413</v>
      </c>
      <c r="M23" s="69">
        <f>46000-3100-F24</f>
        <v>979.54545454545587</v>
      </c>
      <c r="N23" s="48"/>
      <c r="O23" s="48"/>
      <c r="P23" s="48"/>
      <c r="Q23" s="48"/>
      <c r="R23" s="49"/>
      <c r="S23" s="49"/>
      <c r="T23" s="49"/>
    </row>
    <row r="24" spans="1:27" ht="24.75">
      <c r="A24" s="22" t="s">
        <v>28</v>
      </c>
      <c r="B24" s="18">
        <f>SUM(B21:B23)</f>
        <v>45781.818181818184</v>
      </c>
      <c r="C24" s="18">
        <f>SUM(C21:C23)</f>
        <v>42260.454545454544</v>
      </c>
      <c r="D24" s="18">
        <f>SUM(D21:D23)</f>
        <v>46286.36363636364</v>
      </c>
      <c r="E24" s="18">
        <f>SUM(E21:E23)</f>
        <v>43265.909090909088</v>
      </c>
      <c r="F24" s="18">
        <f>SUM(F21:F23)</f>
        <v>41920.454545454544</v>
      </c>
      <c r="G24" s="18">
        <f>SUM(G21:G23)</f>
        <v>44981.818181818184</v>
      </c>
      <c r="H24" s="18">
        <f>SUM(H21:H23)</f>
        <v>44301.818181818184</v>
      </c>
      <c r="I24" s="18">
        <f>SUM(I21:I23)</f>
        <v>44781.818181818184</v>
      </c>
      <c r="J24" s="18">
        <f>SUM(J21:J23)</f>
        <v>42424.545454545456</v>
      </c>
      <c r="K24" s="69">
        <f>B24+800</f>
        <v>46581.818181818184</v>
      </c>
      <c r="L24" s="48">
        <f>45200-3400-F25</f>
        <v>-475</v>
      </c>
      <c r="M24" s="69">
        <f>46000-3100-F25</f>
        <v>625</v>
      </c>
      <c r="N24" s="48">
        <f>D24+700</f>
        <v>46986.36363636364</v>
      </c>
      <c r="O24" s="48"/>
      <c r="P24" s="48"/>
      <c r="Q24" s="48"/>
      <c r="R24" s="49"/>
      <c r="S24" s="49"/>
      <c r="T24" s="49"/>
    </row>
    <row r="25" spans="1:27">
      <c r="A25" s="22" t="s">
        <v>29</v>
      </c>
      <c r="B25" s="18">
        <v>46400</v>
      </c>
      <c r="C25" s="18">
        <v>42615</v>
      </c>
      <c r="D25" s="18">
        <v>46050</v>
      </c>
      <c r="E25" s="23"/>
      <c r="F25" s="18">
        <v>42275</v>
      </c>
      <c r="G25" s="18">
        <v>45300</v>
      </c>
      <c r="H25" s="18"/>
      <c r="I25" s="18">
        <v>44300</v>
      </c>
      <c r="J25" s="18">
        <v>42870</v>
      </c>
      <c r="K25" s="48"/>
      <c r="L25" s="48"/>
      <c r="M25" s="48"/>
      <c r="N25" s="48"/>
      <c r="O25" s="48"/>
      <c r="P25" s="48"/>
      <c r="Q25" s="48"/>
      <c r="R25" s="49"/>
      <c r="S25" s="49">
        <v>8</v>
      </c>
      <c r="T25">
        <v>10</v>
      </c>
      <c r="U25" s="49">
        <v>46000</v>
      </c>
      <c r="V25">
        <f>U25*T25</f>
        <v>460000</v>
      </c>
      <c r="X25">
        <v>8</v>
      </c>
      <c r="Y25">
        <v>9</v>
      </c>
      <c r="Z25" s="49">
        <f>Z27+2500</f>
        <v>45800</v>
      </c>
      <c r="AA25">
        <f>Z25*Y25</f>
        <v>412200</v>
      </c>
    </row>
    <row r="26" spans="1:27">
      <c r="A26" s="22" t="s">
        <v>30</v>
      </c>
      <c r="B26" s="18">
        <f>B24-B25</f>
        <v>-618.1818181818162</v>
      </c>
      <c r="C26" s="18">
        <f>C24-C25</f>
        <v>-354.54545454545587</v>
      </c>
      <c r="D26" s="18">
        <f>D24-D25</f>
        <v>236.36363636363967</v>
      </c>
      <c r="E26" s="18">
        <f>E24-E25</f>
        <v>43265.909090909088</v>
      </c>
      <c r="F26" s="18">
        <f>F24-F25</f>
        <v>-354.54545454545587</v>
      </c>
      <c r="G26" s="18">
        <f>G24-G25</f>
        <v>-318.1818181818162</v>
      </c>
      <c r="H26" s="18">
        <f>H24-H25</f>
        <v>44301.818181818184</v>
      </c>
      <c r="I26" s="18">
        <f>I24-I25</f>
        <v>481.8181818181838</v>
      </c>
      <c r="J26" s="18">
        <f>J24-J25</f>
        <v>-445.45454545454413</v>
      </c>
      <c r="K26" s="48"/>
      <c r="L26" s="48"/>
      <c r="M26" s="48"/>
      <c r="N26" s="48"/>
      <c r="O26" s="48"/>
      <c r="P26" s="48"/>
      <c r="Q26" s="48"/>
      <c r="R26" s="49"/>
      <c r="S26" s="49">
        <v>10</v>
      </c>
      <c r="T26">
        <v>8</v>
      </c>
      <c r="U26" s="49">
        <v>44000</v>
      </c>
      <c r="V26">
        <f t="shared" ref="V26:V27" si="0">U26*T26</f>
        <v>352000</v>
      </c>
      <c r="X26">
        <v>10</v>
      </c>
      <c r="Y26">
        <v>9</v>
      </c>
      <c r="Z26" s="49">
        <f>Z27+1000</f>
        <v>44300</v>
      </c>
      <c r="AA26">
        <f t="shared" ref="AA26:AA27" si="1">Z26*Y26</f>
        <v>398700</v>
      </c>
    </row>
    <row r="27" spans="1:27">
      <c r="A27" s="14"/>
      <c r="B27" s="19">
        <f>B25-2500</f>
        <v>43900</v>
      </c>
      <c r="C27" s="14"/>
      <c r="D27" s="14"/>
      <c r="E27" s="14"/>
      <c r="F27" s="14"/>
      <c r="G27" s="19">
        <f>G25-2500</f>
        <v>42800</v>
      </c>
      <c r="H27" s="14"/>
      <c r="I27" s="14"/>
      <c r="J27" s="14"/>
      <c r="K27" s="48"/>
      <c r="L27" s="48"/>
      <c r="M27" s="48"/>
      <c r="N27" s="48"/>
      <c r="O27" s="48"/>
      <c r="P27" s="48"/>
      <c r="Q27" s="48"/>
      <c r="R27" s="49"/>
      <c r="S27" s="49">
        <v>12</v>
      </c>
      <c r="T27" s="49">
        <v>14</v>
      </c>
      <c r="U27">
        <v>43000</v>
      </c>
      <c r="V27">
        <f t="shared" si="0"/>
        <v>602000</v>
      </c>
      <c r="X27">
        <v>12</v>
      </c>
      <c r="Y27">
        <v>12</v>
      </c>
      <c r="Z27">
        <v>43300</v>
      </c>
      <c r="AA27">
        <f t="shared" si="1"/>
        <v>519600</v>
      </c>
    </row>
    <row r="28" spans="1:27">
      <c r="A28" s="22" t="s">
        <v>31</v>
      </c>
      <c r="B28" s="23">
        <v>48300</v>
      </c>
      <c r="C28" s="23">
        <v>45550</v>
      </c>
      <c r="D28" s="18">
        <v>48800</v>
      </c>
      <c r="E28" s="18">
        <v>45550</v>
      </c>
      <c r="F28" s="18">
        <v>45550</v>
      </c>
      <c r="G28" s="18">
        <v>47500</v>
      </c>
      <c r="H28" s="18">
        <v>47800</v>
      </c>
      <c r="I28" s="18">
        <v>48300</v>
      </c>
      <c r="J28" s="18"/>
      <c r="K28" s="48"/>
      <c r="L28" s="48"/>
      <c r="M28" s="48"/>
      <c r="N28" s="48"/>
      <c r="O28" s="48">
        <f>45500-3250-F24</f>
        <v>329.54545454545587</v>
      </c>
      <c r="P28" s="48">
        <f>45500-2000-J24</f>
        <v>1075.4545454545441</v>
      </c>
      <c r="Q28" s="48"/>
      <c r="R28" s="49"/>
      <c r="S28" s="49"/>
      <c r="T28" s="49"/>
      <c r="U28" t="s">
        <v>112</v>
      </c>
      <c r="V28">
        <f>SUM(V25:V27)</f>
        <v>1414000</v>
      </c>
      <c r="Y28">
        <f>Y27+Y26+Y25</f>
        <v>30</v>
      </c>
      <c r="Z28" t="s">
        <v>112</v>
      </c>
      <c r="AA28">
        <f>SUM(AA25:AA27)</f>
        <v>1330500</v>
      </c>
    </row>
    <row r="29" spans="1:27">
      <c r="A29" s="22" t="s">
        <v>32</v>
      </c>
      <c r="B29" s="26">
        <f>B28-500-(200+300+300)-250-400</f>
        <v>46350</v>
      </c>
      <c r="C29" s="26">
        <f>C28-500-(200+300+300)-250-400</f>
        <v>43600</v>
      </c>
      <c r="D29" s="26">
        <f>D28-500-(200+300+300)-250-400</f>
        <v>46850</v>
      </c>
      <c r="E29" s="26">
        <f>E28-500-(200+300+300)-250-400</f>
        <v>43600</v>
      </c>
      <c r="F29" s="26">
        <f>F28-500-(200+300+300)-250-400</f>
        <v>43600</v>
      </c>
      <c r="G29" s="26">
        <f>G28-500-(200+300+300)-250-400</f>
        <v>45550</v>
      </c>
      <c r="H29" s="26">
        <f>H28-500-(200+300+300)-250-400</f>
        <v>45850</v>
      </c>
      <c r="I29" s="26">
        <f>I28-500-(200+300+300)-250-400</f>
        <v>46350</v>
      </c>
      <c r="J29" s="26"/>
      <c r="K29" s="48"/>
      <c r="L29" s="50">
        <f>46300-G24</f>
        <v>1318.1818181818162</v>
      </c>
      <c r="M29" s="48"/>
      <c r="N29" s="48"/>
      <c r="O29" s="48"/>
      <c r="P29" s="48"/>
      <c r="Q29" s="48">
        <f>44750+2750</f>
        <v>47500</v>
      </c>
      <c r="R29" s="49"/>
      <c r="S29" s="49"/>
      <c r="T29" s="49"/>
      <c r="U29" t="s">
        <v>113</v>
      </c>
      <c r="V29">
        <f>V28*0.18</f>
        <v>254520</v>
      </c>
      <c r="Z29" t="s">
        <v>113</v>
      </c>
      <c r="AA29">
        <f>AA28*0.18</f>
        <v>239490</v>
      </c>
    </row>
    <row r="30" spans="1:27">
      <c r="A30" s="25" t="s">
        <v>33</v>
      </c>
      <c r="B30" s="18">
        <f>B29-B24</f>
        <v>568.1818181818162</v>
      </c>
      <c r="C30" s="18">
        <f>C29-C24</f>
        <v>1339.5454545454559</v>
      </c>
      <c r="D30" s="18">
        <f>D29-D24</f>
        <v>563.63636363636033</v>
      </c>
      <c r="E30" s="18">
        <f>E29-E24</f>
        <v>334.09090909091174</v>
      </c>
      <c r="F30" s="18">
        <f>F29-F24</f>
        <v>1679.5454545454559</v>
      </c>
      <c r="G30" s="18">
        <f>G29-G24</f>
        <v>568.1818181818162</v>
      </c>
      <c r="H30" s="18">
        <f>H29-H24</f>
        <v>1548.1818181818162</v>
      </c>
      <c r="I30" s="18">
        <f>I29-I24</f>
        <v>1568.1818181818162</v>
      </c>
      <c r="J30" s="18"/>
      <c r="K30" s="48"/>
      <c r="L30" s="50">
        <f>46300-G25</f>
        <v>1000</v>
      </c>
      <c r="M30" s="48"/>
      <c r="N30" s="48"/>
      <c r="O30" s="48"/>
      <c r="P30" s="48"/>
      <c r="Q30" s="48"/>
      <c r="R30" s="49"/>
      <c r="S30" s="49"/>
      <c r="T30" s="49"/>
      <c r="U30" s="33" t="s">
        <v>112</v>
      </c>
      <c r="V30">
        <f>V28+V29</f>
        <v>1668520</v>
      </c>
      <c r="Z30" s="33" t="s">
        <v>112</v>
      </c>
      <c r="AA30">
        <f>AA28+AA29</f>
        <v>1569990</v>
      </c>
    </row>
    <row r="31" spans="1:27">
      <c r="I31" s="33"/>
      <c r="J31" s="49"/>
      <c r="K31" s="49"/>
      <c r="L31" s="49"/>
      <c r="M31" s="48"/>
      <c r="N31" s="48"/>
      <c r="O31" s="48"/>
      <c r="P31" s="48"/>
      <c r="Q31" s="49"/>
      <c r="R31" s="49"/>
      <c r="S31" s="49"/>
      <c r="T31" s="49"/>
      <c r="U31" s="33"/>
    </row>
    <row r="32" spans="1:27">
      <c r="B32" s="33"/>
      <c r="C32" s="33"/>
      <c r="D32" s="33">
        <f>D24+800</f>
        <v>47086.36363636364</v>
      </c>
      <c r="E32" s="33"/>
      <c r="F32" s="33"/>
      <c r="G32" s="33"/>
      <c r="H32" s="33">
        <v>1000</v>
      </c>
      <c r="I32" s="33"/>
      <c r="J32" s="49"/>
      <c r="K32" s="49"/>
      <c r="L32" s="49"/>
      <c r="M32" s="49"/>
      <c r="N32" s="49"/>
      <c r="O32" s="48"/>
      <c r="P32" s="49"/>
      <c r="Q32" s="49"/>
      <c r="R32" s="49"/>
      <c r="S32" s="49"/>
      <c r="T32" s="49"/>
      <c r="Y32">
        <f>AA30-V30</f>
        <v>-98530</v>
      </c>
    </row>
    <row r="33" spans="1:21 16384:16384" ht="36">
      <c r="B33" s="33"/>
      <c r="C33" s="33"/>
      <c r="D33" s="33"/>
      <c r="E33" s="104">
        <v>1250</v>
      </c>
      <c r="F33" s="33"/>
      <c r="G33" s="33"/>
      <c r="J33" s="49"/>
      <c r="K33" s="105"/>
      <c r="L33" s="49"/>
      <c r="M33" s="105"/>
      <c r="N33" s="105"/>
      <c r="O33" s="105"/>
      <c r="P33" s="49"/>
      <c r="Q33" s="105"/>
      <c r="R33" s="49"/>
      <c r="S33" s="49"/>
      <c r="T33" s="49"/>
      <c r="XFD33" s="96" t="s">
        <v>68</v>
      </c>
    </row>
    <row r="34" spans="1:21 16384:16384" ht="15.75">
      <c r="D34" s="33"/>
      <c r="G34" s="33"/>
      <c r="H34" s="33"/>
      <c r="I34" s="33">
        <f>F24+500</f>
        <v>42420.454545454544</v>
      </c>
      <c r="J34" s="49">
        <v>750</v>
      </c>
      <c r="K34" s="125">
        <f>E28-42500</f>
        <v>3050</v>
      </c>
      <c r="L34" s="106"/>
      <c r="M34" s="106"/>
      <c r="N34" s="106"/>
      <c r="O34" s="106"/>
      <c r="P34" s="106"/>
      <c r="Q34" s="106"/>
      <c r="R34" s="49"/>
      <c r="S34" s="49"/>
      <c r="T34" s="49"/>
      <c r="XFD34" s="97">
        <v>43500</v>
      </c>
    </row>
    <row r="35" spans="1:21 16384:16384" ht="15.75">
      <c r="A35" s="39" t="s">
        <v>40</v>
      </c>
      <c r="B35" s="40" t="s">
        <v>49</v>
      </c>
      <c r="C35" s="43"/>
      <c r="D35" s="33"/>
      <c r="E35" s="33"/>
      <c r="F35" s="33"/>
      <c r="H35" s="124"/>
      <c r="I35" s="33"/>
      <c r="J35" s="49" t="s">
        <v>114</v>
      </c>
      <c r="K35" s="106"/>
      <c r="L35" s="106"/>
      <c r="M35" s="145">
        <f>48000-1100-D24-800</f>
        <v>-186.36363636363967</v>
      </c>
      <c r="N35" s="106"/>
      <c r="O35" s="106"/>
      <c r="P35" s="106"/>
      <c r="Q35" s="106"/>
      <c r="R35" s="49"/>
      <c r="S35" s="49"/>
      <c r="T35" s="49"/>
      <c r="XFD35" s="97">
        <v>44000</v>
      </c>
    </row>
    <row r="36" spans="1:21 16384:16384" ht="15.75">
      <c r="A36" s="29" t="s">
        <v>42</v>
      </c>
      <c r="B36" s="29">
        <v>46000</v>
      </c>
      <c r="C36" s="43"/>
      <c r="D36" s="33"/>
      <c r="F36" s="112"/>
      <c r="G36" s="107"/>
      <c r="H36" s="33"/>
      <c r="I36" s="33"/>
      <c r="J36" s="49"/>
      <c r="K36" s="106"/>
      <c r="L36" s="106"/>
      <c r="M36" s="145">
        <f>48000-1100-D25-800</f>
        <v>50</v>
      </c>
      <c r="N36" s="106"/>
      <c r="O36" s="106"/>
      <c r="P36" s="106"/>
      <c r="Q36" s="106"/>
      <c r="R36" s="49"/>
      <c r="S36" s="49"/>
      <c r="T36" s="49"/>
      <c r="XFD36" s="97">
        <v>43500</v>
      </c>
    </row>
    <row r="37" spans="1:21 16384:16384" ht="15.75">
      <c r="A37" s="29" t="s">
        <v>43</v>
      </c>
      <c r="B37" s="29">
        <v>42615</v>
      </c>
      <c r="C37" s="43">
        <f>B37+1250</f>
        <v>43865</v>
      </c>
      <c r="F37" s="113"/>
      <c r="G37" s="107"/>
      <c r="H37" s="33"/>
      <c r="J37" s="49"/>
      <c r="K37" s="106"/>
      <c r="L37" s="106"/>
      <c r="M37" s="106"/>
      <c r="N37" s="106"/>
      <c r="O37" s="106"/>
      <c r="P37" s="106"/>
      <c r="Q37" s="106"/>
      <c r="R37" s="130" t="s">
        <v>115</v>
      </c>
      <c r="S37" s="131" t="s">
        <v>116</v>
      </c>
      <c r="T37" s="131" t="s">
        <v>117</v>
      </c>
      <c r="U37" s="130" t="s">
        <v>118</v>
      </c>
      <c r="XFD37" s="97">
        <v>44000</v>
      </c>
    </row>
    <row r="38" spans="1:21 16384:16384" ht="15.75">
      <c r="A38" s="29" t="s">
        <v>44</v>
      </c>
      <c r="B38" s="29">
        <v>42275</v>
      </c>
      <c r="C38" s="43">
        <f>B38+1000</f>
        <v>43275</v>
      </c>
      <c r="F38" s="112"/>
      <c r="G38" s="107"/>
      <c r="J38" s="49"/>
      <c r="K38" s="106"/>
      <c r="L38" s="106"/>
      <c r="M38" s="106"/>
      <c r="N38" s="106"/>
      <c r="O38" s="106"/>
      <c r="P38" s="106"/>
      <c r="Q38" s="106"/>
      <c r="R38" s="129" t="s">
        <v>119</v>
      </c>
      <c r="S38" s="129">
        <v>815</v>
      </c>
      <c r="T38" s="129">
        <v>207</v>
      </c>
      <c r="U38" s="129">
        <f>S38-T38</f>
        <v>608</v>
      </c>
      <c r="XFD38" s="97">
        <v>43000</v>
      </c>
    </row>
    <row r="39" spans="1:21 16384:16384" ht="15.75">
      <c r="A39" s="29" t="s">
        <v>36</v>
      </c>
      <c r="B39" s="29">
        <v>46450</v>
      </c>
      <c r="C39" s="43">
        <f>B39+800</f>
        <v>47250</v>
      </c>
      <c r="D39" s="33"/>
      <c r="E39" s="33"/>
      <c r="F39" s="112"/>
      <c r="G39" s="107"/>
      <c r="H39" s="33"/>
      <c r="J39" s="49"/>
      <c r="K39" s="106"/>
      <c r="L39" s="125"/>
      <c r="M39" s="125"/>
      <c r="N39" s="106"/>
      <c r="O39" s="106"/>
      <c r="P39" s="106"/>
      <c r="Q39" s="106"/>
      <c r="R39" s="129" t="s">
        <v>120</v>
      </c>
      <c r="S39" s="129">
        <v>46000</v>
      </c>
      <c r="T39" s="129">
        <v>46000</v>
      </c>
      <c r="U39" s="29">
        <v>46000</v>
      </c>
      <c r="XFD39" s="97">
        <v>43500</v>
      </c>
    </row>
    <row r="40" spans="1:21 16384:16384" ht="15.75">
      <c r="A40" s="29" t="s">
        <v>37</v>
      </c>
      <c r="B40" s="29">
        <v>45200</v>
      </c>
      <c r="C40" s="43">
        <f>B40+1000</f>
        <v>46200</v>
      </c>
      <c r="F40" s="114"/>
      <c r="G40" s="108"/>
      <c r="J40" s="49"/>
      <c r="K40" s="106"/>
      <c r="L40" s="126"/>
      <c r="M40" s="127"/>
      <c r="N40" s="128"/>
      <c r="O40" s="106"/>
      <c r="P40" s="106"/>
      <c r="Q40" s="106"/>
      <c r="R40" s="129" t="s">
        <v>121</v>
      </c>
      <c r="S40" s="129">
        <v>3300</v>
      </c>
      <c r="T40" s="129">
        <v>1450</v>
      </c>
      <c r="U40" s="29">
        <v>3350</v>
      </c>
      <c r="XFD40" s="97">
        <v>44000</v>
      </c>
    </row>
    <row r="41" spans="1:21 16384:16384" ht="15.75">
      <c r="A41" s="29" t="s">
        <v>45</v>
      </c>
      <c r="B41" s="29">
        <v>44470</v>
      </c>
      <c r="C41" s="43"/>
      <c r="F41" s="114"/>
      <c r="G41" s="108"/>
      <c r="H41" s="33"/>
      <c r="J41" s="49"/>
      <c r="K41" s="106"/>
      <c r="L41" s="106"/>
      <c r="M41" s="106"/>
      <c r="N41" s="106"/>
      <c r="O41" s="106"/>
      <c r="P41" s="106"/>
      <c r="Q41" s="106"/>
      <c r="R41" s="129" t="s">
        <v>122</v>
      </c>
      <c r="S41" s="129">
        <v>1000</v>
      </c>
      <c r="T41" s="129">
        <v>1000</v>
      </c>
      <c r="U41" s="129">
        <v>1250</v>
      </c>
      <c r="XFD41" s="97">
        <v>45000</v>
      </c>
    </row>
    <row r="42" spans="1:21 16384:16384" ht="15.75">
      <c r="A42" s="43" t="s">
        <v>50</v>
      </c>
      <c r="B42" s="43">
        <v>43675</v>
      </c>
      <c r="C42" s="43"/>
      <c r="F42" s="114"/>
      <c r="G42" s="108"/>
      <c r="J42" s="49"/>
      <c r="K42" s="106"/>
      <c r="L42" s="106"/>
      <c r="M42" s="106"/>
      <c r="N42" s="106"/>
      <c r="O42" s="106"/>
      <c r="P42" s="106"/>
      <c r="Q42" s="106"/>
      <c r="R42" s="129" t="s">
        <v>123</v>
      </c>
      <c r="S42" s="129">
        <f>S39-S40-S41</f>
        <v>41700</v>
      </c>
      <c r="T42" s="129">
        <f t="shared" ref="T42:U42" si="2">T39-T40-T41</f>
        <v>43550</v>
      </c>
      <c r="U42" s="129">
        <f t="shared" si="2"/>
        <v>41400</v>
      </c>
      <c r="XFD42" s="97">
        <v>43500</v>
      </c>
    </row>
    <row r="43" spans="1:21 16384:16384" ht="15.75">
      <c r="A43" s="46" t="s">
        <v>46</v>
      </c>
      <c r="B43" s="46">
        <f>44500-1000</f>
        <v>43500</v>
      </c>
      <c r="C43" s="46">
        <f>B43+1000</f>
        <v>44500</v>
      </c>
      <c r="J43" s="49"/>
      <c r="K43" s="106"/>
      <c r="L43" s="106"/>
      <c r="M43" s="106"/>
      <c r="N43" s="106"/>
      <c r="O43" s="106"/>
      <c r="P43" s="106"/>
      <c r="Q43" s="106"/>
      <c r="R43" s="129" t="s">
        <v>124</v>
      </c>
      <c r="S43" s="129">
        <f>S42-F24</f>
        <v>-220.45454545454413</v>
      </c>
      <c r="T43" s="129">
        <f>T42-G24</f>
        <v>-1431.8181818181838</v>
      </c>
      <c r="U43" s="129">
        <f>U42-C24</f>
        <v>-860.45454545454413</v>
      </c>
      <c r="XFD43" s="97">
        <v>44000</v>
      </c>
    </row>
    <row r="44" spans="1:21 16384:16384" ht="15.75">
      <c r="J44" s="49"/>
      <c r="K44" s="106"/>
      <c r="L44" s="106"/>
      <c r="M44" s="106"/>
      <c r="N44" s="106"/>
      <c r="O44" s="106"/>
      <c r="P44" s="106"/>
      <c r="Q44" s="106"/>
      <c r="R44" s="129" t="s">
        <v>125</v>
      </c>
      <c r="S44" s="129"/>
      <c r="T44" s="525">
        <f>SUMPRODUCT(T43:U43,T38:U38)/SUM(T38:U38)</f>
        <v>-1005.5738984941434</v>
      </c>
      <c r="U44" s="525"/>
      <c r="XFD44" s="97">
        <v>44000</v>
      </c>
    </row>
    <row r="45" spans="1:21 16384:16384" ht="15.75">
      <c r="J45" s="49"/>
      <c r="K45" s="106"/>
      <c r="L45" s="106"/>
      <c r="M45" s="106"/>
      <c r="N45" s="106"/>
      <c r="O45" s="106"/>
      <c r="P45" s="106"/>
      <c r="Q45" s="106"/>
      <c r="R45" s="49"/>
      <c r="S45" s="49"/>
      <c r="T45" s="49"/>
      <c r="XFD45" s="97">
        <v>44000</v>
      </c>
    </row>
    <row r="46" spans="1:21 16384:16384" ht="15.75">
      <c r="B46" s="24"/>
      <c r="C46" s="24"/>
      <c r="D46" s="24"/>
      <c r="E46" s="24"/>
      <c r="F46" s="24"/>
      <c r="G46" s="24"/>
      <c r="H46" s="24"/>
      <c r="I46" s="24"/>
      <c r="J46" s="49"/>
      <c r="K46" s="106"/>
      <c r="L46" s="106"/>
      <c r="M46" s="106"/>
      <c r="N46" s="106"/>
      <c r="O46" s="106"/>
      <c r="P46" s="106"/>
      <c r="Q46" s="106"/>
      <c r="R46" s="49"/>
      <c r="S46" s="49"/>
      <c r="T46" s="49"/>
      <c r="XFD46" s="97">
        <v>41000</v>
      </c>
    </row>
    <row r="47" spans="1:21 16384:16384" ht="15.75">
      <c r="B47" s="33"/>
      <c r="C47" s="33"/>
      <c r="D47" s="33"/>
      <c r="E47" s="33"/>
      <c r="F47" s="33"/>
      <c r="G47" s="33"/>
      <c r="H47" s="33"/>
      <c r="I47" s="33"/>
      <c r="K47" s="523"/>
      <c r="L47" s="523"/>
      <c r="M47" s="106"/>
      <c r="N47" s="106"/>
      <c r="O47" s="106"/>
      <c r="P47" s="106"/>
      <c r="Q47" s="106"/>
    </row>
    <row r="49" spans="2:14">
      <c r="B49" s="33"/>
    </row>
    <row r="53" spans="2:14">
      <c r="C53" s="52"/>
      <c r="D53" s="524"/>
      <c r="E53" s="524"/>
      <c r="F53" s="53"/>
      <c r="G53" s="524"/>
      <c r="H53" s="524"/>
      <c r="I53" s="14"/>
    </row>
    <row r="54" spans="2:14">
      <c r="C54" s="115"/>
      <c r="D54" s="109"/>
      <c r="E54" s="109"/>
      <c r="F54" s="52"/>
      <c r="G54" s="109"/>
      <c r="H54" s="109"/>
      <c r="K54" s="110"/>
      <c r="L54" s="110"/>
      <c r="M54" s="110"/>
      <c r="N54" s="110"/>
    </row>
    <row r="55" spans="2:14">
      <c r="C55" s="52"/>
      <c r="D55" s="111"/>
      <c r="E55" s="111"/>
      <c r="F55" s="58"/>
      <c r="G55" s="111"/>
      <c r="H55" s="111"/>
      <c r="L55" s="62"/>
      <c r="M55" s="62"/>
      <c r="N55" s="62"/>
    </row>
    <row r="56" spans="2:14">
      <c r="C56" s="52"/>
      <c r="D56" s="111"/>
      <c r="E56" s="111"/>
      <c r="F56" s="58"/>
      <c r="G56" s="111"/>
      <c r="H56" s="111"/>
      <c r="L56" s="62"/>
      <c r="M56" s="62"/>
      <c r="N56" s="62"/>
    </row>
    <row r="57" spans="2:14">
      <c r="C57" s="52"/>
      <c r="D57" s="111"/>
      <c r="E57" s="111"/>
      <c r="F57" s="58"/>
      <c r="G57" s="111"/>
      <c r="H57" s="111"/>
      <c r="L57" s="62"/>
      <c r="M57" s="62"/>
      <c r="N57" s="62"/>
    </row>
    <row r="58" spans="2:14">
      <c r="C58" s="52"/>
      <c r="D58" s="111"/>
      <c r="E58" s="111"/>
      <c r="F58" s="58"/>
      <c r="G58" s="111"/>
      <c r="H58" s="111"/>
      <c r="L58" s="62"/>
      <c r="M58" s="62"/>
      <c r="N58" s="62"/>
    </row>
    <row r="59" spans="2:14">
      <c r="C59" s="52"/>
      <c r="D59" s="111"/>
      <c r="E59" s="111"/>
      <c r="F59" s="58"/>
      <c r="G59" s="111"/>
      <c r="H59" s="111"/>
      <c r="K59" s="116"/>
      <c r="L59" s="117"/>
      <c r="M59" s="117"/>
      <c r="N59" s="117"/>
    </row>
    <row r="60" spans="2:14">
      <c r="C60" s="52"/>
      <c r="D60" s="111"/>
      <c r="E60" s="111"/>
      <c r="F60" s="58"/>
      <c r="G60" s="111"/>
      <c r="H60" s="111"/>
    </row>
    <row r="61" spans="2:14">
      <c r="C61" s="52"/>
      <c r="D61" s="118"/>
      <c r="E61" s="118"/>
      <c r="F61" s="58"/>
      <c r="G61" s="118"/>
      <c r="H61" s="118"/>
    </row>
    <row r="62" spans="2:14">
      <c r="C62" s="52"/>
      <c r="D62" s="118"/>
      <c r="E62" s="118"/>
      <c r="F62" s="58"/>
      <c r="G62" s="118"/>
      <c r="H62" s="118"/>
    </row>
    <row r="63" spans="2:14">
      <c r="C63" s="119"/>
      <c r="D63" s="118"/>
      <c r="E63" s="118"/>
      <c r="F63" s="58"/>
      <c r="G63" s="118"/>
      <c r="H63" s="118"/>
    </row>
    <row r="73" spans="3:12">
      <c r="C73" s="120"/>
      <c r="D73" s="120"/>
      <c r="E73" s="120"/>
      <c r="F73" s="120"/>
      <c r="G73" s="120"/>
      <c r="H73" s="120"/>
      <c r="I73" s="120"/>
      <c r="J73" s="120"/>
      <c r="K73" s="120"/>
      <c r="L73" s="120"/>
    </row>
    <row r="74" spans="3:12">
      <c r="C74" s="120"/>
      <c r="D74" s="121"/>
      <c r="E74" s="122"/>
      <c r="F74" s="122"/>
      <c r="G74" s="122"/>
      <c r="H74" s="122"/>
      <c r="I74" s="122"/>
      <c r="J74" s="122"/>
      <c r="K74" s="122"/>
      <c r="L74" s="122"/>
    </row>
    <row r="75" spans="3:12">
      <c r="C75" s="120"/>
      <c r="D75" s="121"/>
      <c r="E75" s="122"/>
      <c r="F75" s="122"/>
      <c r="G75" s="122"/>
      <c r="H75" s="122"/>
      <c r="I75" s="122"/>
      <c r="J75" s="122"/>
      <c r="K75" s="122"/>
      <c r="L75" s="122"/>
    </row>
    <row r="76" spans="3:12">
      <c r="C76" s="120"/>
      <c r="D76" s="121"/>
      <c r="E76" s="122"/>
      <c r="F76" s="122"/>
      <c r="G76" s="122"/>
      <c r="H76" s="122"/>
      <c r="I76" s="122"/>
      <c r="J76" s="122"/>
      <c r="K76" s="122"/>
      <c r="L76" s="122"/>
    </row>
    <row r="77" spans="3:12">
      <c r="C77" s="120"/>
      <c r="D77" s="121"/>
      <c r="E77" s="122"/>
      <c r="F77" s="122"/>
      <c r="G77" s="122"/>
      <c r="H77" s="122"/>
      <c r="I77" s="122"/>
      <c r="J77" s="122"/>
      <c r="K77" s="122"/>
      <c r="L77" s="122"/>
    </row>
    <row r="78" spans="3:12">
      <c r="C78" s="120"/>
      <c r="D78" s="120"/>
      <c r="E78" s="123"/>
      <c r="F78" s="123"/>
      <c r="G78" s="123"/>
      <c r="H78" s="123"/>
      <c r="I78" s="123"/>
      <c r="J78" s="123"/>
      <c r="K78" s="123"/>
      <c r="L78" s="123"/>
    </row>
  </sheetData>
  <mergeCells count="5">
    <mergeCell ref="B1:Q1"/>
    <mergeCell ref="K47:L47"/>
    <mergeCell ref="D53:E53"/>
    <mergeCell ref="G53:H53"/>
    <mergeCell ref="T44:U44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253F-340B-4851-9495-9ECECFD19409}">
  <dimension ref="A1:XFD78"/>
  <sheetViews>
    <sheetView workbookViewId="0">
      <pane ySplit="2" topLeftCell="M26" activePane="bottomLeft" state="frozen"/>
      <selection pane="bottomLeft" activeCell="M26" sqref="M26"/>
    </sheetView>
  </sheetViews>
  <sheetFormatPr defaultColWidth="15.85546875" defaultRowHeight="15"/>
  <cols>
    <col min="2" max="2" width="14.85546875" customWidth="1"/>
    <col min="3" max="3" width="20.5703125" customWidth="1"/>
    <col min="4" max="4" width="10.85546875" customWidth="1"/>
    <col min="5" max="5" width="14.28515625" customWidth="1"/>
    <col min="6" max="7" width="10.85546875" customWidth="1"/>
    <col min="8" max="8" width="13.140625" customWidth="1"/>
    <col min="9" max="10" width="10.85546875" customWidth="1"/>
    <col min="11" max="11" width="17.85546875" customWidth="1"/>
    <col min="12" max="16" width="10.85546875" customWidth="1"/>
    <col min="17" max="17" width="12.28515625" customWidth="1"/>
    <col min="18" max="18" width="29.140625" bestFit="1" customWidth="1"/>
    <col min="19" max="19" width="25.28515625" bestFit="1" customWidth="1"/>
    <col min="20" max="20" width="22.5703125" bestFit="1" customWidth="1"/>
    <col min="21" max="21" width="25.28515625" bestFit="1" customWidth="1"/>
  </cols>
  <sheetData>
    <row r="1" spans="1:20">
      <c r="A1" s="81"/>
      <c r="B1" s="519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</row>
    <row r="2" spans="1:20">
      <c r="A2" s="8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</row>
    <row r="3" spans="1:20">
      <c r="A3" s="83">
        <v>45870</v>
      </c>
      <c r="B3" s="36">
        <f>_xlfn.XLOOKUP(A3,'steel Mint data'!A:A,'steel Mint data'!B:B,"",0)</f>
        <v>44100</v>
      </c>
      <c r="C3" s="36"/>
      <c r="D3" s="36"/>
      <c r="E3" s="36">
        <f>_xlfn.XLOOKUP(A3,'steel Mint data'!A:A,'steel Mint data'!D:D,"",0)</f>
        <v>44600</v>
      </c>
      <c r="F3" s="36">
        <f>_xlfn.XLOOKUP(A3,'steel Mint data'!A:A,'steel Mint data'!E:E,"",0)</f>
        <v>40300</v>
      </c>
      <c r="G3" s="36"/>
      <c r="H3" s="36"/>
      <c r="I3" s="36">
        <f>_xlfn.XLOOKUP(A3,'steel Mint data'!A:A,'steel Mint data'!I:I,"",0)</f>
        <v>43200</v>
      </c>
      <c r="J3" s="36"/>
      <c r="K3" s="36">
        <f>_xlfn.XLOOKUP(A3,'steel Mint data'!A:A,'steel Mint data'!L:L,"",0)</f>
        <v>45500</v>
      </c>
      <c r="L3" s="36"/>
      <c r="M3" s="36"/>
      <c r="N3" s="36"/>
      <c r="O3" s="36"/>
      <c r="P3" s="37">
        <f>_xlfn.XLOOKUP(A3,'steel Mint data'!A:A,'steel Mint data'!Q:Q,"",0)</f>
        <v>39600</v>
      </c>
      <c r="Q3" s="36">
        <f>_xlfn.XLOOKUP(A3,'steel Mint data'!A:A,'steel Mint data'!R:R,"",0)</f>
        <v>40700</v>
      </c>
    </row>
    <row r="4" spans="1:20">
      <c r="A4" s="83">
        <v>45871</v>
      </c>
      <c r="B4" s="36">
        <f>_xlfn.XLOOKUP(A4,'steel Mint data'!A:A,'steel Mint data'!B:B,"",0)</f>
        <v>44100</v>
      </c>
      <c r="C4" s="36"/>
      <c r="D4" s="36"/>
      <c r="E4" s="36">
        <f>_xlfn.XLOOKUP(A4,'steel Mint data'!A:A,'steel Mint data'!D:D,"",0)</f>
        <v>44800</v>
      </c>
      <c r="F4" s="36">
        <f>_xlfn.XLOOKUP(A4,'steel Mint data'!A:A,'steel Mint data'!E:E,"",0)</f>
        <v>40500</v>
      </c>
      <c r="G4" s="36"/>
      <c r="H4" s="36"/>
      <c r="I4" s="36">
        <f>_xlfn.XLOOKUP(A4,'steel Mint data'!A:A,'steel Mint data'!I:I,"",0)</f>
        <v>43400</v>
      </c>
      <c r="J4" s="36"/>
      <c r="K4" s="36">
        <f>_xlfn.XLOOKUP(A4,'steel Mint data'!A:A,'steel Mint data'!L:L,"",0)</f>
        <v>45600</v>
      </c>
      <c r="L4" s="36"/>
      <c r="M4" s="36"/>
      <c r="N4" s="36"/>
      <c r="O4" s="36"/>
      <c r="P4" s="37">
        <f>_xlfn.XLOOKUP(A4,'steel Mint data'!A:A,'steel Mint data'!Q:Q,"",0)</f>
        <v>39700</v>
      </c>
      <c r="Q4" s="36">
        <f>_xlfn.XLOOKUP(A4,'steel Mint data'!A:A,'steel Mint data'!R:R,"",0)</f>
        <v>40800</v>
      </c>
    </row>
    <row r="5" spans="1:20">
      <c r="A5" s="83">
        <v>45872</v>
      </c>
      <c r="B5" s="36" t="str">
        <f>_xlfn.XLOOKUP(A5,'steel Mint data'!A:A,'steel Mint data'!B:B,"",0)</f>
        <v>H</v>
      </c>
      <c r="C5" s="36"/>
      <c r="D5" s="36"/>
      <c r="E5" s="36" t="str">
        <f>_xlfn.XLOOKUP(A5,'steel Mint data'!A:A,'steel Mint data'!D:D,"",0)</f>
        <v>H</v>
      </c>
      <c r="F5" s="36" t="str">
        <f>_xlfn.XLOOKUP(A5,'steel Mint data'!A:A,'steel Mint data'!E:E,"",0)</f>
        <v>H</v>
      </c>
      <c r="G5" s="38"/>
      <c r="H5" s="38"/>
      <c r="I5" s="36" t="str">
        <f>_xlfn.XLOOKUP(A5,'steel Mint data'!A:A,'steel Mint data'!I:I,"",0)</f>
        <v>H</v>
      </c>
      <c r="J5" s="38"/>
      <c r="K5" s="36" t="str">
        <f>_xlfn.XLOOKUP(A5,'steel Mint data'!A:A,'steel Mint data'!L:L,"",0)</f>
        <v>H</v>
      </c>
      <c r="L5" s="38"/>
      <c r="M5" s="38"/>
      <c r="N5" s="38"/>
      <c r="O5" s="38"/>
      <c r="P5" s="37" t="str">
        <f>_xlfn.XLOOKUP(A5,'steel Mint data'!A:A,'steel Mint data'!Q:Q,"",0)</f>
        <v>H</v>
      </c>
      <c r="Q5" s="36" t="str">
        <f>_xlfn.XLOOKUP(A5,'steel Mint data'!A:A,'steel Mint data'!R:R,"",0)</f>
        <v>H</v>
      </c>
    </row>
    <row r="6" spans="1:20">
      <c r="A6" s="83">
        <v>45873</v>
      </c>
      <c r="B6" s="36">
        <f>_xlfn.XLOOKUP(A6,'steel Mint data'!A:A,'steel Mint data'!B:B,"",0)</f>
        <v>44600</v>
      </c>
      <c r="C6" s="36"/>
      <c r="D6" s="36"/>
      <c r="E6" s="36">
        <f>_xlfn.XLOOKUP(A6,'steel Mint data'!A:A,'steel Mint data'!D:D,"",0)</f>
        <v>45000</v>
      </c>
      <c r="F6" s="36">
        <f>_xlfn.XLOOKUP(A6,'steel Mint data'!A:A,'steel Mint data'!E:E,"",0)</f>
        <v>40800</v>
      </c>
      <c r="G6" s="38"/>
      <c r="H6" s="38"/>
      <c r="I6" s="36">
        <f>_xlfn.XLOOKUP(A6,'steel Mint data'!A:A,'steel Mint data'!I:I,"",0)</f>
        <v>43500</v>
      </c>
      <c r="J6" s="38"/>
      <c r="K6" s="36">
        <f>_xlfn.XLOOKUP(A6,'steel Mint data'!A:A,'steel Mint data'!L:L,"",0)</f>
        <v>45800</v>
      </c>
      <c r="L6" s="38"/>
      <c r="M6" s="38"/>
      <c r="N6" s="38"/>
      <c r="O6" s="38"/>
      <c r="P6" s="37">
        <f>_xlfn.XLOOKUP(A6,'steel Mint data'!A:A,'steel Mint data'!Q:Q,"",0)</f>
        <v>40300</v>
      </c>
      <c r="Q6" s="36">
        <f>_xlfn.XLOOKUP(A6,'steel Mint data'!A:A,'steel Mint data'!R:R,"",0)</f>
        <v>41000</v>
      </c>
    </row>
    <row r="7" spans="1:20">
      <c r="A7" s="83">
        <v>45874</v>
      </c>
      <c r="B7" s="36">
        <f>_xlfn.XLOOKUP(A7,'steel Mint data'!A:A,'steel Mint data'!B:B,"",0)</f>
        <v>44800</v>
      </c>
      <c r="C7" s="36"/>
      <c r="D7" s="37"/>
      <c r="E7" s="36">
        <f>_xlfn.XLOOKUP(A7,'steel Mint data'!A:A,'steel Mint data'!D:D,"",0)</f>
        <v>45200</v>
      </c>
      <c r="F7" s="36">
        <f>_xlfn.XLOOKUP(A7,'steel Mint data'!A:A,'steel Mint data'!E:E,"",0)</f>
        <v>40500</v>
      </c>
      <c r="G7" s="11"/>
      <c r="H7" s="11"/>
      <c r="I7" s="36">
        <f>_xlfn.XLOOKUP(A7,'steel Mint data'!A:A,'steel Mint data'!I:I,"",0)</f>
        <v>43500</v>
      </c>
      <c r="J7" s="11"/>
      <c r="K7" s="36">
        <f>_xlfn.XLOOKUP(A7,'steel Mint data'!A:A,'steel Mint data'!L:L,"",0)</f>
        <v>46000</v>
      </c>
      <c r="L7" s="11"/>
      <c r="M7" s="11"/>
      <c r="N7" s="11"/>
      <c r="O7" s="11"/>
      <c r="P7" s="37">
        <f>_xlfn.XLOOKUP(A7,'steel Mint data'!A:A,'steel Mint data'!Q:Q,"",0)</f>
        <v>40100</v>
      </c>
      <c r="Q7" s="36">
        <f>_xlfn.XLOOKUP(A7,'steel Mint data'!A:A,'steel Mint data'!R:R,"",0)</f>
        <v>41000</v>
      </c>
    </row>
    <row r="8" spans="1:20">
      <c r="A8" s="83">
        <v>45875</v>
      </c>
      <c r="B8" s="36">
        <f>_xlfn.XLOOKUP(A8,'steel Mint data'!A:A,'steel Mint data'!B:B,"",0)</f>
        <v>44800</v>
      </c>
      <c r="C8" s="36"/>
      <c r="D8" s="36"/>
      <c r="E8" s="36">
        <f>_xlfn.XLOOKUP(A8,'steel Mint data'!A:A,'steel Mint data'!D:D,"",0)</f>
        <v>44900</v>
      </c>
      <c r="F8" s="36">
        <f>_xlfn.XLOOKUP(A8,'steel Mint data'!A:A,'steel Mint data'!E:E,"",0)</f>
        <v>40300</v>
      </c>
      <c r="G8" s="84"/>
      <c r="H8" s="84"/>
      <c r="I8" s="36">
        <f>_xlfn.XLOOKUP(A8,'steel Mint data'!A:A,'steel Mint data'!I:I,"",0)</f>
        <v>43300</v>
      </c>
      <c r="J8" s="84"/>
      <c r="K8" s="36">
        <f>_xlfn.XLOOKUP(A8,'steel Mint data'!A:A,'steel Mint data'!L:L,"",0)</f>
        <v>45900</v>
      </c>
      <c r="L8" s="84"/>
      <c r="M8" s="84"/>
      <c r="N8" s="84"/>
      <c r="O8" s="84"/>
      <c r="P8" s="37">
        <f>_xlfn.XLOOKUP(A8,'steel Mint data'!A:A,'steel Mint data'!Q:Q,"",0)</f>
        <v>39800</v>
      </c>
      <c r="Q8" s="36">
        <f>_xlfn.XLOOKUP(A8,'steel Mint data'!A:A,'steel Mint data'!R:R,"",0)</f>
        <v>41000</v>
      </c>
    </row>
    <row r="9" spans="1:20">
      <c r="A9" s="83">
        <v>45875</v>
      </c>
      <c r="B9" s="36">
        <f>_xlfn.XLOOKUP(A9,'steel Mint data'!A:A,'steel Mint data'!B:B,"",0)</f>
        <v>44800</v>
      </c>
      <c r="C9" s="36"/>
      <c r="D9" s="36"/>
      <c r="E9" s="36">
        <f>_xlfn.XLOOKUP(A9,'steel Mint data'!A:A,'steel Mint data'!D:D,"",0)</f>
        <v>44900</v>
      </c>
      <c r="F9" s="36">
        <f>_xlfn.XLOOKUP(A9,'steel Mint data'!A:A,'steel Mint data'!E:E,"",0)</f>
        <v>40300</v>
      </c>
      <c r="G9" s="36"/>
      <c r="H9" s="36"/>
      <c r="I9" s="36">
        <f>_xlfn.XLOOKUP(A9,'steel Mint data'!A:A,'steel Mint data'!I:I,"",0)</f>
        <v>43300</v>
      </c>
      <c r="J9" s="36"/>
      <c r="K9" s="36">
        <f>_xlfn.XLOOKUP(A9,'steel Mint data'!A:A,'steel Mint data'!L:L,"",0)</f>
        <v>45900</v>
      </c>
      <c r="L9" s="36"/>
      <c r="M9" s="36"/>
      <c r="N9" s="36"/>
      <c r="O9" s="36"/>
      <c r="P9" s="37">
        <f>_xlfn.XLOOKUP(A9,'steel Mint data'!A:A,'steel Mint data'!Q:Q,"",0)</f>
        <v>39800</v>
      </c>
      <c r="Q9" s="36">
        <f>_xlfn.XLOOKUP(A9,'steel Mint data'!A:A,'steel Mint data'!R:R,"",0)</f>
        <v>41000</v>
      </c>
    </row>
    <row r="10" spans="1:20">
      <c r="A10" s="83">
        <v>45875</v>
      </c>
      <c r="B10" s="36">
        <f>_xlfn.XLOOKUP(A10,'steel Mint data'!A:A,'steel Mint data'!B:B,"",0)</f>
        <v>44800</v>
      </c>
      <c r="C10" s="36"/>
      <c r="D10" s="36"/>
      <c r="E10" s="36">
        <f>_xlfn.XLOOKUP(A10,'steel Mint data'!A:A,'steel Mint data'!D:D,"",0)</f>
        <v>44900</v>
      </c>
      <c r="F10" s="36">
        <f>_xlfn.XLOOKUP(A10,'steel Mint data'!A:A,'steel Mint data'!E:E,"",0)</f>
        <v>40300</v>
      </c>
      <c r="G10" s="36"/>
      <c r="H10" s="36"/>
      <c r="I10" s="36">
        <f>_xlfn.XLOOKUP(A10,'steel Mint data'!A:A,'steel Mint data'!I:I,"",0)</f>
        <v>43300</v>
      </c>
      <c r="J10" s="36"/>
      <c r="K10" s="36">
        <f>_xlfn.XLOOKUP(A10,'steel Mint data'!A:A,'steel Mint data'!L:L,"",0)</f>
        <v>45900</v>
      </c>
      <c r="L10" s="36"/>
      <c r="M10" s="36"/>
      <c r="N10" s="36"/>
      <c r="O10" s="36"/>
      <c r="P10" s="37">
        <f>_xlfn.XLOOKUP(A10,'steel Mint data'!A:A,'steel Mint data'!Q:Q,"",0)</f>
        <v>39800</v>
      </c>
      <c r="Q10" s="36">
        <f>_xlfn.XLOOKUP(A10,'steel Mint data'!A:A,'steel Mint data'!R:R,"",0)</f>
        <v>41000</v>
      </c>
      <c r="R10" s="33"/>
    </row>
    <row r="11" spans="1:20">
      <c r="A11" s="83">
        <v>45875</v>
      </c>
      <c r="B11" s="36">
        <f>_xlfn.XLOOKUP(A11,'steel Mint data'!A:A,'steel Mint data'!B:B,"",0)</f>
        <v>44800</v>
      </c>
      <c r="C11" s="36"/>
      <c r="D11" s="36"/>
      <c r="E11" s="36">
        <f>_xlfn.XLOOKUP(A11,'steel Mint data'!A:A,'steel Mint data'!D:D,"",0)</f>
        <v>44900</v>
      </c>
      <c r="F11" s="36">
        <f>_xlfn.XLOOKUP(A11,'steel Mint data'!A:A,'steel Mint data'!E:E,"",0)</f>
        <v>40300</v>
      </c>
      <c r="G11" s="36"/>
      <c r="H11" s="36"/>
      <c r="I11" s="36">
        <f>_xlfn.XLOOKUP(A11,'steel Mint data'!A:A,'steel Mint data'!I:I,"",0)</f>
        <v>43300</v>
      </c>
      <c r="J11" s="36"/>
      <c r="K11" s="36">
        <f>_xlfn.XLOOKUP(A11,'steel Mint data'!A:A,'steel Mint data'!L:L,"",0)</f>
        <v>45900</v>
      </c>
      <c r="L11" s="36"/>
      <c r="M11" s="36"/>
      <c r="N11" s="36"/>
      <c r="O11" s="36"/>
      <c r="P11" s="37">
        <f>_xlfn.XLOOKUP(A11,'steel Mint data'!A:A,'steel Mint data'!Q:Q,"",0)</f>
        <v>39800</v>
      </c>
      <c r="Q11" s="36">
        <f>_xlfn.XLOOKUP(A11,'steel Mint data'!A:A,'steel Mint data'!R:R,"",0)</f>
        <v>41000</v>
      </c>
    </row>
    <row r="12" spans="1:20">
      <c r="A12" s="83">
        <v>45875</v>
      </c>
      <c r="B12" s="36">
        <f>_xlfn.XLOOKUP(A12,'steel Mint data'!A:A,'steel Mint data'!B:B,"",0)</f>
        <v>44800</v>
      </c>
      <c r="C12" s="36"/>
      <c r="D12" s="36"/>
      <c r="E12" s="36">
        <f>_xlfn.XLOOKUP(A12,'steel Mint data'!A:A,'steel Mint data'!D:D,"",0)</f>
        <v>44900</v>
      </c>
      <c r="F12" s="36">
        <f>_xlfn.XLOOKUP(A12,'steel Mint data'!A:A,'steel Mint data'!E:E,"",0)</f>
        <v>40300</v>
      </c>
      <c r="G12" s="36"/>
      <c r="H12" s="36"/>
      <c r="I12" s="36">
        <f>_xlfn.XLOOKUP(A12,'steel Mint data'!A:A,'steel Mint data'!I:I,"",0)</f>
        <v>43300</v>
      </c>
      <c r="J12" s="36"/>
      <c r="K12" s="36">
        <f>_xlfn.XLOOKUP(A12,'steel Mint data'!A:A,'steel Mint data'!L:L,"",0)</f>
        <v>45900</v>
      </c>
      <c r="L12" s="36"/>
      <c r="M12" s="36"/>
      <c r="N12" s="36"/>
      <c r="O12" s="36"/>
      <c r="P12" s="37">
        <f>_xlfn.XLOOKUP(A12,'steel Mint data'!A:A,'steel Mint data'!Q:Q,"",0)</f>
        <v>39800</v>
      </c>
      <c r="Q12" s="36">
        <f>_xlfn.XLOOKUP(A12,'steel Mint data'!A:A,'steel Mint data'!R:R,"",0)</f>
        <v>41000</v>
      </c>
    </row>
    <row r="13" spans="1:20">
      <c r="A13" s="83">
        <v>45875</v>
      </c>
      <c r="B13" s="36">
        <f>_xlfn.XLOOKUP(A13,'steel Mint data'!A:A,'steel Mint data'!B:B,"",0)</f>
        <v>44800</v>
      </c>
      <c r="C13" s="36"/>
      <c r="D13" s="36"/>
      <c r="E13" s="36">
        <f>_xlfn.XLOOKUP(A13,'steel Mint data'!A:A,'steel Mint data'!D:D,"",0)</f>
        <v>44900</v>
      </c>
      <c r="F13" s="36">
        <f>_xlfn.XLOOKUP(A13,'steel Mint data'!A:A,'steel Mint data'!E:E,"",0)</f>
        <v>40300</v>
      </c>
      <c r="G13" s="36"/>
      <c r="H13" s="36"/>
      <c r="I13" s="36">
        <f>_xlfn.XLOOKUP(A13,'steel Mint data'!A:A,'steel Mint data'!I:I,"",0)</f>
        <v>43300</v>
      </c>
      <c r="J13" s="36"/>
      <c r="K13" s="36">
        <f>_xlfn.XLOOKUP(A13,'steel Mint data'!A:A,'steel Mint data'!L:L,"",0)</f>
        <v>45900</v>
      </c>
      <c r="L13" s="36"/>
      <c r="M13" s="36"/>
      <c r="N13" s="36"/>
      <c r="O13" s="36"/>
      <c r="P13" s="37">
        <f>_xlfn.XLOOKUP(A13,'steel Mint data'!A:A,'steel Mint data'!Q:Q,"",0)</f>
        <v>39800</v>
      </c>
      <c r="Q13" s="36">
        <f>_xlfn.XLOOKUP(A13,'steel Mint data'!A:A,'steel Mint data'!R:R,"",0)</f>
        <v>41000</v>
      </c>
      <c r="S13" s="33"/>
    </row>
    <row r="14" spans="1:20">
      <c r="A14" s="83">
        <v>45875</v>
      </c>
      <c r="B14" s="36">
        <f>_xlfn.XLOOKUP(A14,'steel Mint data'!A:A,'steel Mint data'!B:B,"",0)</f>
        <v>44800</v>
      </c>
      <c r="C14" s="36"/>
      <c r="D14" s="36"/>
      <c r="E14" s="36">
        <f>_xlfn.XLOOKUP(A14,'steel Mint data'!A:A,'steel Mint data'!D:D,"",0)</f>
        <v>44900</v>
      </c>
      <c r="F14" s="36">
        <f>_xlfn.XLOOKUP(A14,'steel Mint data'!A:A,'steel Mint data'!E:E,"",0)</f>
        <v>40300</v>
      </c>
      <c r="G14" s="36"/>
      <c r="H14" s="36"/>
      <c r="I14" s="36">
        <f>_xlfn.XLOOKUP(A14,'steel Mint data'!A:A,'steel Mint data'!I:I,"",0)</f>
        <v>43300</v>
      </c>
      <c r="J14" s="36"/>
      <c r="K14" s="36">
        <f>_xlfn.XLOOKUP(A14,'steel Mint data'!A:A,'steel Mint data'!L:L,"",0)</f>
        <v>45900</v>
      </c>
      <c r="L14" s="36"/>
      <c r="M14" s="36"/>
      <c r="N14" s="36"/>
      <c r="O14" s="36"/>
      <c r="P14" s="37">
        <f>_xlfn.XLOOKUP(A14,'steel Mint data'!A:A,'steel Mint data'!Q:Q,"",0)</f>
        <v>39800</v>
      </c>
      <c r="Q14" s="36">
        <f>_xlfn.XLOOKUP(A14,'steel Mint data'!A:A,'steel Mint data'!R:R,"",0)</f>
        <v>41000</v>
      </c>
      <c r="S14" s="33"/>
      <c r="T14" s="33"/>
    </row>
    <row r="15" spans="1:20">
      <c r="A15" s="83">
        <v>45875</v>
      </c>
      <c r="B15" s="36">
        <f>_xlfn.XLOOKUP(A15,'steel Mint data'!A:A,'steel Mint data'!B:B,"",0)</f>
        <v>44800</v>
      </c>
      <c r="C15" s="36"/>
      <c r="D15" s="36"/>
      <c r="E15" s="36">
        <f>_xlfn.XLOOKUP(A15,'steel Mint data'!A:A,'steel Mint data'!D:D,"",0)</f>
        <v>44900</v>
      </c>
      <c r="F15" s="36">
        <f>_xlfn.XLOOKUP(A15,'steel Mint data'!A:A,'steel Mint data'!E:E,"",0)</f>
        <v>40300</v>
      </c>
      <c r="G15" s="36"/>
      <c r="H15" s="36"/>
      <c r="I15" s="36">
        <f>_xlfn.XLOOKUP(A15,'steel Mint data'!A:A,'steel Mint data'!I:I,"",0)</f>
        <v>43300</v>
      </c>
      <c r="J15" s="36"/>
      <c r="K15" s="36">
        <f>_xlfn.XLOOKUP(A15,'steel Mint data'!A:A,'steel Mint data'!L:L,"",0)</f>
        <v>45900</v>
      </c>
      <c r="L15" s="36"/>
      <c r="M15" s="36"/>
      <c r="N15" s="36"/>
      <c r="O15" s="36"/>
      <c r="P15" s="37">
        <f>_xlfn.XLOOKUP(A15,'steel Mint data'!A:A,'steel Mint data'!Q:Q,"",0)</f>
        <v>39800</v>
      </c>
      <c r="Q15" s="36">
        <f>_xlfn.XLOOKUP(A15,'steel Mint data'!A:A,'steel Mint data'!R:R,"",0)</f>
        <v>41000</v>
      </c>
      <c r="R15" s="33"/>
      <c r="S15" s="33"/>
      <c r="T15" s="33"/>
    </row>
    <row r="16" spans="1:20">
      <c r="A16" s="83">
        <v>45875</v>
      </c>
      <c r="B16" s="36">
        <f>_xlfn.XLOOKUP(A16,'steel Mint data'!A:A,'steel Mint data'!B:B,"",0)</f>
        <v>44800</v>
      </c>
      <c r="C16" s="36"/>
      <c r="D16" s="36"/>
      <c r="E16" s="36">
        <f>_xlfn.XLOOKUP(A16,'steel Mint data'!A:A,'steel Mint data'!D:D,"",0)</f>
        <v>44900</v>
      </c>
      <c r="F16" s="36">
        <f>_xlfn.XLOOKUP(A16,'steel Mint data'!A:A,'steel Mint data'!E:E,"",0)</f>
        <v>40300</v>
      </c>
      <c r="G16" s="36"/>
      <c r="H16" s="36"/>
      <c r="I16" s="36">
        <f>_xlfn.XLOOKUP(A16,'steel Mint data'!A:A,'steel Mint data'!I:I,"",0)</f>
        <v>43300</v>
      </c>
      <c r="J16" s="36"/>
      <c r="K16" s="36">
        <f>_xlfn.XLOOKUP(A16,'steel Mint data'!A:A,'steel Mint data'!L:L,"",0)</f>
        <v>45900</v>
      </c>
      <c r="L16" s="36"/>
      <c r="M16" s="36"/>
      <c r="N16" s="36"/>
      <c r="O16" s="36"/>
      <c r="P16" s="37">
        <f>_xlfn.XLOOKUP(A16,'steel Mint data'!A:A,'steel Mint data'!Q:Q,"",0)</f>
        <v>39800</v>
      </c>
      <c r="Q16" s="36">
        <f>_xlfn.XLOOKUP(A16,'steel Mint data'!A:A,'steel Mint data'!R:R,"",0)</f>
        <v>41000</v>
      </c>
      <c r="R16" s="33"/>
      <c r="S16" s="33"/>
      <c r="T16" s="33"/>
    </row>
    <row r="17" spans="1:21">
      <c r="A17" s="83">
        <v>45875</v>
      </c>
      <c r="B17" s="36">
        <f>_xlfn.XLOOKUP(A17,'steel Mint data'!A:A,'steel Mint data'!B:B,"",0)</f>
        <v>44800</v>
      </c>
      <c r="C17" s="36"/>
      <c r="D17" s="36"/>
      <c r="E17" s="36">
        <f>_xlfn.XLOOKUP(A17,'steel Mint data'!A:A,'steel Mint data'!D:D,"",0)</f>
        <v>44900</v>
      </c>
      <c r="F17" s="36">
        <f>_xlfn.XLOOKUP(A17,'steel Mint data'!A:A,'steel Mint data'!E:E,"",0)</f>
        <v>40300</v>
      </c>
      <c r="G17" s="36"/>
      <c r="H17" s="36"/>
      <c r="I17" s="36">
        <f>_xlfn.XLOOKUP(A17,'steel Mint data'!A:A,'steel Mint data'!I:I,"",0)</f>
        <v>43300</v>
      </c>
      <c r="J17" s="36"/>
      <c r="K17" s="36">
        <f>_xlfn.XLOOKUP(A17,'steel Mint data'!A:A,'steel Mint data'!L:L,"",0)</f>
        <v>45900</v>
      </c>
      <c r="L17" s="36"/>
      <c r="M17" s="36"/>
      <c r="N17" s="36"/>
      <c r="O17" s="36"/>
      <c r="P17" s="37">
        <f>_xlfn.XLOOKUP(A17,'steel Mint data'!A:A,'steel Mint data'!Q:Q,"",0)</f>
        <v>39800</v>
      </c>
      <c r="Q17" s="36">
        <f>_xlfn.XLOOKUP(A17,'steel Mint data'!A:A,'steel Mint data'!R:R,"",0)</f>
        <v>41000</v>
      </c>
    </row>
    <row r="18" spans="1:21">
      <c r="A18" s="83"/>
      <c r="B18" s="36" t="str">
        <f>_xlfn.XLOOKUP(A18,'steel Mint data'!A:A,'steel Mint data'!B:B,"",0)</f>
        <v/>
      </c>
      <c r="C18" s="36"/>
      <c r="D18" s="36"/>
      <c r="E18" s="36"/>
      <c r="F18" s="36" t="str">
        <f>_xlfn.XLOOKUP(A18,'steel Mint data'!A:A,'steel Mint data'!E:E,"",0)</f>
        <v/>
      </c>
      <c r="G18" s="36"/>
      <c r="H18" s="36"/>
      <c r="I18" s="36"/>
      <c r="J18" s="36"/>
      <c r="K18" s="36"/>
      <c r="L18" s="36"/>
      <c r="M18" s="36"/>
      <c r="N18" s="36"/>
      <c r="O18" s="36"/>
      <c r="P18" s="37"/>
      <c r="Q18" s="36"/>
      <c r="S18" s="33"/>
      <c r="T18" s="33"/>
    </row>
    <row r="19" spans="1:21">
      <c r="A19" s="14"/>
      <c r="B19" s="15">
        <f>SUM(B3:B18)</f>
        <v>625600</v>
      </c>
      <c r="C19" s="14"/>
      <c r="D19" s="14"/>
      <c r="E19" s="15">
        <f>SUM(E3:E18)</f>
        <v>628600</v>
      </c>
      <c r="F19" s="15">
        <f>SUM(F3:F18)</f>
        <v>565100</v>
      </c>
      <c r="G19" s="14"/>
      <c r="H19" s="14"/>
      <c r="I19" s="15">
        <f>SUM(I3:I18)</f>
        <v>606600</v>
      </c>
      <c r="J19" s="14"/>
      <c r="K19" s="15">
        <f>SUM(K3:K18)</f>
        <v>641900</v>
      </c>
      <c r="L19" s="14"/>
      <c r="M19" s="14"/>
      <c r="N19" s="14"/>
      <c r="O19" s="14"/>
      <c r="P19" s="15">
        <f>SUM(P3:P18)</f>
        <v>557700</v>
      </c>
      <c r="Q19" s="15">
        <f>SUM(Q3:Q18)</f>
        <v>573500</v>
      </c>
      <c r="S19" s="33"/>
      <c r="T19" s="33"/>
    </row>
    <row r="20" spans="1:21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23</v>
      </c>
      <c r="H20" s="16" t="s">
        <v>39</v>
      </c>
      <c r="I20" s="16" t="s">
        <v>46</v>
      </c>
      <c r="J20" s="16" t="s">
        <v>111</v>
      </c>
      <c r="K20" s="14"/>
      <c r="L20" s="19"/>
      <c r="M20" s="19"/>
      <c r="N20" s="14"/>
      <c r="O20" s="14"/>
      <c r="P20" s="14"/>
      <c r="Q20" s="14"/>
      <c r="S20" s="33"/>
      <c r="T20" s="33"/>
    </row>
    <row r="21" spans="1:21">
      <c r="A21" s="17" t="s">
        <v>25</v>
      </c>
      <c r="B21" s="18">
        <f>E19/O21</f>
        <v>44900</v>
      </c>
      <c r="C21" s="18">
        <f>P19/O21</f>
        <v>39835.714285714283</v>
      </c>
      <c r="D21" s="18">
        <f>K19/O21</f>
        <v>45850</v>
      </c>
      <c r="E21" s="18">
        <f>Q19/O21</f>
        <v>40964.285714285717</v>
      </c>
      <c r="F21" s="18">
        <f>C21</f>
        <v>39835.714285714283</v>
      </c>
      <c r="G21" s="18">
        <f>B21-800</f>
        <v>44100</v>
      </c>
      <c r="H21" s="18">
        <f>I19/O21</f>
        <v>43328.571428571428</v>
      </c>
      <c r="I21" s="18">
        <f>B19/O21</f>
        <v>44685.714285714283</v>
      </c>
      <c r="J21" s="18">
        <f>F19/O21</f>
        <v>40364.285714285717</v>
      </c>
      <c r="K21" s="19"/>
      <c r="L21" s="19"/>
      <c r="M21" s="19"/>
      <c r="N21" s="19"/>
      <c r="O21" s="20">
        <f>COUNT(P3:P18)</f>
        <v>14</v>
      </c>
      <c r="P21" s="21"/>
      <c r="Q21" s="14"/>
      <c r="R21" s="33"/>
      <c r="S21" s="33"/>
      <c r="T21" s="33"/>
    </row>
    <row r="22" spans="1:21">
      <c r="A22" s="17" t="s">
        <v>26</v>
      </c>
      <c r="B22" s="18">
        <v>1200</v>
      </c>
      <c r="C22" s="18">
        <v>2150</v>
      </c>
      <c r="D22" s="18">
        <v>400</v>
      </c>
      <c r="E22" s="18">
        <v>2200</v>
      </c>
      <c r="F22" s="18">
        <v>1800</v>
      </c>
      <c r="G22" s="18">
        <v>1200</v>
      </c>
      <c r="H22" s="18">
        <v>800</v>
      </c>
      <c r="I22" s="18">
        <v>0</v>
      </c>
      <c r="J22" s="18">
        <v>2000</v>
      </c>
      <c r="K22" s="69"/>
      <c r="L22" s="19"/>
      <c r="M22" s="48"/>
      <c r="N22" s="19"/>
      <c r="O22" s="48"/>
      <c r="P22" s="48"/>
      <c r="Q22" s="48"/>
      <c r="R22" s="49"/>
      <c r="S22" s="49"/>
      <c r="T22" s="49"/>
    </row>
    <row r="23" spans="1:21">
      <c r="A23" s="17" t="s">
        <v>27</v>
      </c>
      <c r="B23" s="18">
        <v>200</v>
      </c>
      <c r="C23" s="18">
        <v>265</v>
      </c>
      <c r="D23" s="18">
        <v>250</v>
      </c>
      <c r="E23" s="18">
        <v>275</v>
      </c>
      <c r="F23" s="18">
        <v>275</v>
      </c>
      <c r="G23" s="18">
        <v>200</v>
      </c>
      <c r="H23" s="18">
        <v>270</v>
      </c>
      <c r="I23" s="18">
        <v>200</v>
      </c>
      <c r="J23" s="18">
        <v>270</v>
      </c>
      <c r="K23" s="69">
        <f>F24+1000+3500</f>
        <v>46410.714285714283</v>
      </c>
      <c r="L23" s="48"/>
      <c r="M23" s="69"/>
      <c r="N23" s="48"/>
      <c r="O23" s="48"/>
      <c r="P23" s="48"/>
      <c r="Q23" s="48"/>
      <c r="R23" s="49"/>
      <c r="S23" s="49"/>
      <c r="T23" s="49"/>
    </row>
    <row r="24" spans="1:21" ht="24.75">
      <c r="A24" s="22" t="s">
        <v>28</v>
      </c>
      <c r="B24" s="18">
        <f>SUM(B21:B23)</f>
        <v>46300</v>
      </c>
      <c r="C24" s="18">
        <f>SUM(C21:C23)</f>
        <v>42250.714285714283</v>
      </c>
      <c r="D24" s="18">
        <f>SUM(D21:D23)</f>
        <v>46500</v>
      </c>
      <c r="E24" s="18">
        <f>SUM(E21:E23)</f>
        <v>43439.285714285717</v>
      </c>
      <c r="F24" s="18">
        <f>SUM(F21:F23)</f>
        <v>41910.714285714283</v>
      </c>
      <c r="G24" s="18">
        <f>SUM(G21:G23)</f>
        <v>45500</v>
      </c>
      <c r="H24" s="18">
        <f>SUM(H21:H23)</f>
        <v>44398.571428571428</v>
      </c>
      <c r="I24" s="18">
        <f>SUM(I21:I23)</f>
        <v>44885.714285714283</v>
      </c>
      <c r="J24" s="18">
        <f>SUM(J21:J23)</f>
        <v>42634.285714285717</v>
      </c>
      <c r="K24" s="69"/>
      <c r="L24" s="48"/>
      <c r="M24" s="48"/>
      <c r="N24" s="48"/>
      <c r="O24" s="48"/>
      <c r="P24" s="48"/>
      <c r="Q24" s="48"/>
      <c r="R24" s="49"/>
      <c r="S24" s="49"/>
      <c r="T24" s="49"/>
    </row>
    <row r="25" spans="1:21">
      <c r="A25" s="22" t="s">
        <v>29</v>
      </c>
      <c r="B25" s="18">
        <v>46400</v>
      </c>
      <c r="C25" s="18">
        <v>42615</v>
      </c>
      <c r="D25" s="18">
        <v>46050</v>
      </c>
      <c r="E25" s="23"/>
      <c r="F25" s="18">
        <v>42275</v>
      </c>
      <c r="G25" s="18">
        <v>45300</v>
      </c>
      <c r="H25" s="18"/>
      <c r="I25" s="18">
        <v>44300</v>
      </c>
      <c r="J25" s="18">
        <v>42870</v>
      </c>
      <c r="K25" s="48"/>
      <c r="L25" s="48"/>
      <c r="M25" s="48"/>
      <c r="N25" s="48"/>
      <c r="O25" s="48"/>
      <c r="P25" s="48"/>
      <c r="Q25" s="48"/>
      <c r="R25" s="49"/>
      <c r="S25" s="49"/>
      <c r="T25" s="49"/>
    </row>
    <row r="26" spans="1:21">
      <c r="A26" s="22" t="s">
        <v>30</v>
      </c>
      <c r="B26" s="18">
        <f>B24-B25</f>
        <v>-100</v>
      </c>
      <c r="C26" s="18">
        <f>C24-C25</f>
        <v>-364.2857142857174</v>
      </c>
      <c r="D26" s="18">
        <f>D24-D25</f>
        <v>450</v>
      </c>
      <c r="E26" s="18">
        <f>E24-E25</f>
        <v>43439.285714285717</v>
      </c>
      <c r="F26" s="18">
        <f>F24-F25</f>
        <v>-364.2857142857174</v>
      </c>
      <c r="G26" s="18">
        <f>G24-G25</f>
        <v>200</v>
      </c>
      <c r="H26" s="18">
        <f>H24-H25</f>
        <v>44398.571428571428</v>
      </c>
      <c r="I26" s="18">
        <f>I24-I25</f>
        <v>585.7142857142826</v>
      </c>
      <c r="J26" s="18"/>
      <c r="K26" s="48"/>
      <c r="L26" s="48"/>
      <c r="M26" s="48">
        <f>45500-3200-1000-C24</f>
        <v>-950.7142857142826</v>
      </c>
      <c r="N26" s="48"/>
      <c r="O26" s="48"/>
      <c r="P26" s="48"/>
      <c r="Q26" s="48"/>
      <c r="R26" s="49"/>
      <c r="S26" s="49"/>
      <c r="T26" s="49"/>
    </row>
    <row r="27" spans="1:21">
      <c r="A27" s="14"/>
      <c r="B27" s="19">
        <f>B25-2500</f>
        <v>43900</v>
      </c>
      <c r="C27" s="14"/>
      <c r="D27" s="14"/>
      <c r="E27" s="14"/>
      <c r="F27" s="14"/>
      <c r="G27" s="19">
        <f>G25-2500</f>
        <v>42800</v>
      </c>
      <c r="H27" s="14"/>
      <c r="I27" s="14"/>
      <c r="J27" s="14"/>
      <c r="K27" s="48"/>
      <c r="L27" s="48">
        <f>44000-1000-F24</f>
        <v>1089.2857142857174</v>
      </c>
      <c r="M27" s="48"/>
      <c r="N27" s="48"/>
      <c r="O27" s="48"/>
      <c r="P27" s="48"/>
      <c r="Q27" s="48"/>
      <c r="R27" s="49"/>
      <c r="S27" s="49"/>
      <c r="T27" s="49"/>
    </row>
    <row r="28" spans="1:21">
      <c r="A28" s="22" t="s">
        <v>31</v>
      </c>
      <c r="B28" s="23">
        <v>48300</v>
      </c>
      <c r="C28" s="23">
        <v>45550</v>
      </c>
      <c r="D28" s="18">
        <v>48800</v>
      </c>
      <c r="E28" s="18">
        <v>45550</v>
      </c>
      <c r="F28" s="18">
        <v>45550</v>
      </c>
      <c r="G28" s="18">
        <v>47500</v>
      </c>
      <c r="H28" s="18">
        <v>47800</v>
      </c>
      <c r="I28" s="18">
        <v>48300</v>
      </c>
      <c r="J28" s="18"/>
      <c r="K28" s="48"/>
      <c r="L28" s="50"/>
      <c r="M28" s="48"/>
      <c r="N28" s="48"/>
      <c r="O28" s="48">
        <f>J24+1250</f>
        <v>43884.285714285717</v>
      </c>
      <c r="P28" s="48"/>
      <c r="Q28" s="48"/>
      <c r="R28" s="49"/>
      <c r="S28" s="49"/>
      <c r="T28" s="49"/>
    </row>
    <row r="29" spans="1:21">
      <c r="A29" s="22" t="s">
        <v>32</v>
      </c>
      <c r="B29" s="26">
        <f>B28-500-(200+300+300)-250-400</f>
        <v>46350</v>
      </c>
      <c r="C29" s="26">
        <f>C28-500-(200+300+300)-250-400</f>
        <v>43600</v>
      </c>
      <c r="D29" s="26">
        <f>D28-500-(200+300+300)-250-400</f>
        <v>46850</v>
      </c>
      <c r="E29" s="26">
        <f>E28-500-(200+300+300)-250-400</f>
        <v>43600</v>
      </c>
      <c r="F29" s="26">
        <f>F28-500-(200+300+300)-250-400</f>
        <v>43600</v>
      </c>
      <c r="G29" s="26">
        <f>G28-500-(200+300+300)-250-400</f>
        <v>45550</v>
      </c>
      <c r="H29" s="26">
        <f>H28-500-(200+300+300)-250-400</f>
        <v>45850</v>
      </c>
      <c r="I29" s="26">
        <f>I28-500-(200+300+300)-250-400</f>
        <v>46350</v>
      </c>
      <c r="J29" s="26"/>
      <c r="K29" s="48"/>
      <c r="L29" s="50"/>
      <c r="M29" s="48"/>
      <c r="N29" s="48"/>
      <c r="O29" s="48"/>
      <c r="P29" s="48"/>
      <c r="Q29" s="48"/>
      <c r="R29" s="49"/>
      <c r="S29" s="49"/>
      <c r="T29" s="49"/>
    </row>
    <row r="30" spans="1:21">
      <c r="A30" s="25" t="s">
        <v>33</v>
      </c>
      <c r="B30" s="18">
        <f>B29-B24</f>
        <v>50</v>
      </c>
      <c r="C30" s="18">
        <f>C29-C24</f>
        <v>1349.2857142857174</v>
      </c>
      <c r="D30" s="18">
        <f>D29-D24</f>
        <v>350</v>
      </c>
      <c r="E30" s="18">
        <f>E29-E24</f>
        <v>160.7142857142826</v>
      </c>
      <c r="F30" s="18">
        <f>F29-F24</f>
        <v>1689.2857142857174</v>
      </c>
      <c r="G30" s="18">
        <f>G29-G24</f>
        <v>50</v>
      </c>
      <c r="H30" s="18">
        <f>H29-H24</f>
        <v>1451.4285714285725</v>
      </c>
      <c r="I30" s="18">
        <f>I29-I24</f>
        <v>1464.2857142857174</v>
      </c>
      <c r="J30" s="18"/>
      <c r="K30" s="48"/>
      <c r="L30" s="50"/>
      <c r="M30" s="48">
        <f>44500-3200-1000-F24</f>
        <v>-1610.7142857142826</v>
      </c>
      <c r="N30" s="48"/>
      <c r="O30" s="48"/>
      <c r="P30" s="48"/>
      <c r="Q30" s="48"/>
      <c r="R30" s="49"/>
      <c r="S30" s="49"/>
      <c r="T30" s="49"/>
      <c r="U30" s="33"/>
    </row>
    <row r="31" spans="1:21">
      <c r="I31" s="33"/>
      <c r="J31" s="49"/>
      <c r="K31" s="49"/>
      <c r="L31" s="49"/>
      <c r="M31" s="48"/>
      <c r="N31" s="49"/>
      <c r="O31" s="48">
        <f>F24+1000-500+3500</f>
        <v>45910.714285714283</v>
      </c>
      <c r="P31" s="49"/>
      <c r="Q31" s="49"/>
      <c r="R31" s="49"/>
      <c r="S31" s="49"/>
      <c r="T31" s="49"/>
      <c r="U31" s="33"/>
    </row>
    <row r="32" spans="1:21">
      <c r="B32" s="33">
        <f>B28-B24-1000</f>
        <v>1000</v>
      </c>
      <c r="C32" s="33">
        <f>C28-C24</f>
        <v>3299.2857142857174</v>
      </c>
      <c r="D32" s="33">
        <f>D28-D24-1000</f>
        <v>1300</v>
      </c>
      <c r="E32" s="33">
        <f>E28-E24-1000</f>
        <v>1110.7142857142826</v>
      </c>
      <c r="F32" s="33">
        <f>F28-F24-1000</f>
        <v>2639.2857142857174</v>
      </c>
      <c r="G32" s="33">
        <f>G28-G24-1000</f>
        <v>1000</v>
      </c>
      <c r="H32" s="33">
        <f>H28-H24-1000</f>
        <v>2401.4285714285725</v>
      </c>
      <c r="I32" s="33">
        <f>I28-I24-1000</f>
        <v>2414.2857142857174</v>
      </c>
      <c r="J32" s="49"/>
      <c r="K32" s="49"/>
      <c r="L32" s="49"/>
      <c r="M32" s="49"/>
      <c r="N32" s="49"/>
      <c r="O32" s="48"/>
      <c r="P32" s="49"/>
      <c r="Q32" s="49"/>
      <c r="R32" s="49"/>
      <c r="S32" s="49"/>
      <c r="T32" s="49"/>
    </row>
    <row r="33" spans="1:21 16384:16384" ht="36">
      <c r="B33" s="33"/>
      <c r="C33" s="33"/>
      <c r="D33" s="33"/>
      <c r="E33" s="104"/>
      <c r="F33" s="33">
        <f>F24+2500-45450</f>
        <v>-1039.2857142857174</v>
      </c>
      <c r="G33" s="33"/>
      <c r="J33" s="49"/>
      <c r="K33" s="105"/>
      <c r="L33" s="105"/>
      <c r="M33" s="105"/>
      <c r="N33" s="105"/>
      <c r="O33" s="105"/>
      <c r="P33" s="49"/>
      <c r="Q33" s="105"/>
      <c r="R33" s="49"/>
      <c r="S33" s="49"/>
      <c r="T33" s="49"/>
      <c r="XFD33" s="96" t="s">
        <v>68</v>
      </c>
    </row>
    <row r="34" spans="1:21 16384:16384" ht="15.75">
      <c r="D34" s="33"/>
      <c r="G34" s="33"/>
      <c r="H34" s="33"/>
      <c r="J34" s="49"/>
      <c r="K34" s="106"/>
      <c r="L34" s="106"/>
      <c r="M34" s="106"/>
      <c r="N34" s="106"/>
      <c r="O34" s="106"/>
      <c r="P34" s="106"/>
      <c r="Q34" s="106"/>
      <c r="R34" s="49"/>
      <c r="S34" s="49"/>
      <c r="T34" s="49"/>
      <c r="XFD34" s="97">
        <v>43500</v>
      </c>
    </row>
    <row r="35" spans="1:21 16384:16384" ht="15.75">
      <c r="A35" s="39" t="s">
        <v>40</v>
      </c>
      <c r="B35" s="40" t="s">
        <v>49</v>
      </c>
      <c r="C35" s="43"/>
      <c r="D35" s="33"/>
      <c r="E35" s="33"/>
      <c r="F35" s="33"/>
      <c r="H35" s="124"/>
      <c r="I35" s="33"/>
      <c r="J35" s="49"/>
      <c r="K35" s="106"/>
      <c r="L35" s="106"/>
      <c r="M35" s="106"/>
      <c r="N35" s="106"/>
      <c r="O35" s="106"/>
      <c r="P35" s="106"/>
      <c r="Q35" s="106"/>
      <c r="R35" s="49"/>
      <c r="S35" s="49"/>
      <c r="T35" s="49"/>
      <c r="XFD35" s="97">
        <v>44000</v>
      </c>
    </row>
    <row r="36" spans="1:21 16384:16384" ht="15.75">
      <c r="A36" s="29" t="s">
        <v>42</v>
      </c>
      <c r="B36" s="29">
        <v>46000</v>
      </c>
      <c r="C36" s="43"/>
      <c r="D36" s="33"/>
      <c r="F36" s="112"/>
      <c r="G36" s="107"/>
      <c r="H36" s="33"/>
      <c r="I36" s="33"/>
      <c r="J36" s="49"/>
      <c r="K36" s="106"/>
      <c r="L36" s="106"/>
      <c r="M36" s="106"/>
      <c r="N36" s="106"/>
      <c r="O36" s="106"/>
      <c r="P36" s="106"/>
      <c r="Q36" s="106"/>
      <c r="R36" s="49"/>
      <c r="S36" s="49"/>
      <c r="T36" s="49"/>
      <c r="XFD36" s="97">
        <v>43500</v>
      </c>
    </row>
    <row r="37" spans="1:21 16384:16384" ht="15.75">
      <c r="A37" s="29" t="s">
        <v>43</v>
      </c>
      <c r="B37" s="29">
        <v>42615</v>
      </c>
      <c r="C37" s="43">
        <f>B37+1250</f>
        <v>43865</v>
      </c>
      <c r="F37" s="113"/>
      <c r="G37" s="107"/>
      <c r="H37" s="33"/>
      <c r="J37" s="49"/>
      <c r="K37" s="106"/>
      <c r="L37" s="106"/>
      <c r="M37" s="106"/>
      <c r="N37" s="106"/>
      <c r="O37" s="106"/>
      <c r="P37" s="106"/>
      <c r="Q37" s="106"/>
      <c r="R37" s="130" t="s">
        <v>115</v>
      </c>
      <c r="S37" s="131" t="s">
        <v>116</v>
      </c>
      <c r="T37" s="131" t="s">
        <v>117</v>
      </c>
      <c r="U37" s="130" t="s">
        <v>118</v>
      </c>
      <c r="XFD37" s="97">
        <v>44000</v>
      </c>
    </row>
    <row r="38" spans="1:21 16384:16384" ht="15.75">
      <c r="A38" s="29" t="s">
        <v>44</v>
      </c>
      <c r="B38" s="29">
        <v>42275</v>
      </c>
      <c r="C38" s="43">
        <f>B38+1000</f>
        <v>43275</v>
      </c>
      <c r="F38" s="112"/>
      <c r="G38" s="107"/>
      <c r="J38" s="49"/>
      <c r="K38" s="106"/>
      <c r="L38" s="106"/>
      <c r="M38" s="106"/>
      <c r="N38" s="106"/>
      <c r="O38" s="106"/>
      <c r="P38" s="106"/>
      <c r="Q38" s="106"/>
      <c r="R38" s="129" t="s">
        <v>119</v>
      </c>
      <c r="S38" s="129">
        <v>815</v>
      </c>
      <c r="T38" s="129">
        <v>207</v>
      </c>
      <c r="U38" s="129">
        <f>S38-T38</f>
        <v>608</v>
      </c>
      <c r="XFD38" s="97">
        <v>43000</v>
      </c>
    </row>
    <row r="39" spans="1:21 16384:16384" ht="15.75">
      <c r="A39" s="29" t="s">
        <v>36</v>
      </c>
      <c r="B39" s="29">
        <v>46450</v>
      </c>
      <c r="C39" s="43">
        <f>B39+800</f>
        <v>47250</v>
      </c>
      <c r="D39" s="33"/>
      <c r="E39" s="33"/>
      <c r="F39" s="112"/>
      <c r="G39" s="107"/>
      <c r="H39" s="33"/>
      <c r="J39" s="49"/>
      <c r="K39" s="106"/>
      <c r="L39" s="125">
        <v>207</v>
      </c>
      <c r="M39" s="125">
        <f>815-L39</f>
        <v>608</v>
      </c>
      <c r="N39" s="106"/>
      <c r="O39" s="106"/>
      <c r="P39" s="106"/>
      <c r="Q39" s="106"/>
      <c r="R39" s="129" t="s">
        <v>120</v>
      </c>
      <c r="S39" s="129">
        <v>46000</v>
      </c>
      <c r="T39" s="129">
        <v>46000</v>
      </c>
      <c r="U39" s="29">
        <v>46000</v>
      </c>
      <c r="XFD39" s="97">
        <v>43500</v>
      </c>
    </row>
    <row r="40" spans="1:21 16384:16384" ht="15.75">
      <c r="A40" s="29" t="s">
        <v>37</v>
      </c>
      <c r="B40" s="29">
        <v>45200</v>
      </c>
      <c r="C40" s="43">
        <f>B40+1000</f>
        <v>46200</v>
      </c>
      <c r="F40" s="114"/>
      <c r="G40" s="108"/>
      <c r="J40" s="49"/>
      <c r="K40" s="106"/>
      <c r="L40" s="126">
        <f>46000-1450-1000-G24</f>
        <v>-1950</v>
      </c>
      <c r="M40" s="127">
        <f>46000-3350-1000-F24</f>
        <v>-260.7142857142826</v>
      </c>
      <c r="N40" s="128">
        <f>SUMPRODUCT(L40:M40,L39:M39)/SUM(L39:M39)</f>
        <v>-689.77212971077768</v>
      </c>
      <c r="O40" s="106"/>
      <c r="P40" s="106"/>
      <c r="Q40" s="106"/>
      <c r="R40" s="129" t="s">
        <v>121</v>
      </c>
      <c r="S40" s="129">
        <v>3300</v>
      </c>
      <c r="T40" s="129">
        <v>1450</v>
      </c>
      <c r="U40" s="29">
        <v>3350</v>
      </c>
      <c r="XFD40" s="97">
        <v>44000</v>
      </c>
    </row>
    <row r="41" spans="1:21 16384:16384" ht="15.75">
      <c r="A41" s="29" t="s">
        <v>45</v>
      </c>
      <c r="B41" s="29">
        <v>44470</v>
      </c>
      <c r="C41" s="43"/>
      <c r="F41" s="114"/>
      <c r="G41" s="108"/>
      <c r="H41" s="33"/>
      <c r="J41" s="49"/>
      <c r="K41" s="106"/>
      <c r="L41" s="106"/>
      <c r="M41" s="106"/>
      <c r="N41" s="106"/>
      <c r="O41" s="106"/>
      <c r="P41" s="106"/>
      <c r="Q41" s="106"/>
      <c r="R41" s="129" t="s">
        <v>122</v>
      </c>
      <c r="S41" s="129">
        <v>1000</v>
      </c>
      <c r="T41" s="129">
        <v>1000</v>
      </c>
      <c r="U41" s="129">
        <v>1250</v>
      </c>
      <c r="XFD41" s="97">
        <v>45000</v>
      </c>
    </row>
    <row r="42" spans="1:21 16384:16384" ht="15.75">
      <c r="A42" s="43" t="s">
        <v>50</v>
      </c>
      <c r="B42" s="43">
        <v>43675</v>
      </c>
      <c r="C42" s="43"/>
      <c r="F42" s="114"/>
      <c r="G42" s="108"/>
      <c r="J42" s="49"/>
      <c r="K42" s="106"/>
      <c r="L42" s="106"/>
      <c r="M42" s="106"/>
      <c r="N42" s="106"/>
      <c r="O42" s="106"/>
      <c r="P42" s="106"/>
      <c r="Q42" s="106"/>
      <c r="R42" s="129" t="s">
        <v>123</v>
      </c>
      <c r="S42" s="129">
        <f>S39-S40-S41</f>
        <v>41700</v>
      </c>
      <c r="T42" s="129">
        <f t="shared" ref="T42:U42" si="0">T39-T40-T41</f>
        <v>43550</v>
      </c>
      <c r="U42" s="129">
        <f t="shared" si="0"/>
        <v>41400</v>
      </c>
      <c r="XFD42" s="97">
        <v>43500</v>
      </c>
    </row>
    <row r="43" spans="1:21 16384:16384" ht="15.75">
      <c r="A43" s="46" t="s">
        <v>46</v>
      </c>
      <c r="B43" s="46">
        <f>44500-1000</f>
        <v>43500</v>
      </c>
      <c r="C43" s="46">
        <f>B43+1000</f>
        <v>44500</v>
      </c>
      <c r="J43" s="49"/>
      <c r="K43" s="106"/>
      <c r="L43" s="106"/>
      <c r="M43" s="106"/>
      <c r="N43" s="106"/>
      <c r="O43" s="106"/>
      <c r="P43" s="106"/>
      <c r="Q43" s="106"/>
      <c r="R43" s="129" t="s">
        <v>124</v>
      </c>
      <c r="S43" s="129">
        <f>S42-F24</f>
        <v>-210.7142857142826</v>
      </c>
      <c r="T43" s="129">
        <f>T42-G24</f>
        <v>-1950</v>
      </c>
      <c r="U43" s="129">
        <f>U42-C24</f>
        <v>-850.7142857142826</v>
      </c>
      <c r="XFD43" s="97">
        <v>44000</v>
      </c>
    </row>
    <row r="44" spans="1:21 16384:16384" ht="15.75">
      <c r="J44" s="49"/>
      <c r="K44" s="106"/>
      <c r="L44" s="106"/>
      <c r="M44" s="106"/>
      <c r="N44" s="106"/>
      <c r="O44" s="106"/>
      <c r="P44" s="106"/>
      <c r="Q44" s="106"/>
      <c r="R44" s="129" t="s">
        <v>125</v>
      </c>
      <c r="S44" s="129"/>
      <c r="T44" s="525">
        <f>SUMPRODUCT(T43:U43,T38:U38)/SUM(T38:U38)</f>
        <v>-1129.9193689745814</v>
      </c>
      <c r="U44" s="525"/>
      <c r="XFD44" s="97">
        <v>44000</v>
      </c>
    </row>
    <row r="45" spans="1:21 16384:16384" ht="15.75">
      <c r="J45" s="49"/>
      <c r="K45" s="106"/>
      <c r="L45" s="106"/>
      <c r="M45" s="106"/>
      <c r="N45" s="106"/>
      <c r="O45" s="106"/>
      <c r="P45" s="106"/>
      <c r="Q45" s="106"/>
      <c r="R45" s="49"/>
      <c r="S45" s="49"/>
      <c r="T45" s="49"/>
      <c r="XFD45" s="97">
        <v>44000</v>
      </c>
    </row>
    <row r="46" spans="1:21 16384:16384" ht="15.75">
      <c r="B46" s="24"/>
      <c r="C46" s="24"/>
      <c r="D46" s="24"/>
      <c r="E46" s="24"/>
      <c r="F46" s="24"/>
      <c r="G46" s="24"/>
      <c r="H46" s="24"/>
      <c r="I46" s="24"/>
      <c r="J46" s="49"/>
      <c r="K46" s="106"/>
      <c r="L46" s="106"/>
      <c r="M46" s="106"/>
      <c r="N46" s="106"/>
      <c r="O46" s="106"/>
      <c r="P46" s="106"/>
      <c r="Q46" s="106"/>
      <c r="R46" s="49"/>
      <c r="S46" s="49"/>
      <c r="T46" s="49"/>
      <c r="XFD46" s="97">
        <v>41000</v>
      </c>
    </row>
    <row r="47" spans="1:21 16384:16384" ht="15.75">
      <c r="B47" s="33"/>
      <c r="C47" s="33"/>
      <c r="D47" s="33"/>
      <c r="E47" s="33"/>
      <c r="F47" s="33"/>
      <c r="G47" s="33"/>
      <c r="H47" s="33"/>
      <c r="I47" s="33"/>
      <c r="K47" s="523"/>
      <c r="L47" s="523"/>
      <c r="M47" s="106"/>
      <c r="N47" s="106"/>
      <c r="O47" s="106"/>
      <c r="P47" s="106"/>
      <c r="Q47" s="106"/>
    </row>
    <row r="49" spans="2:14">
      <c r="B49" s="33"/>
    </row>
    <row r="53" spans="2:14">
      <c r="C53" s="52"/>
      <c r="D53" s="524"/>
      <c r="E53" s="524"/>
      <c r="F53" s="53"/>
      <c r="G53" s="524"/>
      <c r="H53" s="524"/>
      <c r="I53" s="14"/>
    </row>
    <row r="54" spans="2:14">
      <c r="C54" s="115"/>
      <c r="D54" s="109"/>
      <c r="E54" s="109"/>
      <c r="F54" s="52"/>
      <c r="G54" s="109"/>
      <c r="H54" s="109"/>
      <c r="K54" s="110"/>
      <c r="L54" s="110"/>
      <c r="M54" s="110"/>
      <c r="N54" s="110"/>
    </row>
    <row r="55" spans="2:14">
      <c r="C55" s="52"/>
      <c r="D55" s="111"/>
      <c r="E55" s="111"/>
      <c r="F55" s="58"/>
      <c r="G55" s="111"/>
      <c r="H55" s="111"/>
      <c r="L55" s="62"/>
      <c r="M55" s="62"/>
      <c r="N55" s="62"/>
    </row>
    <row r="56" spans="2:14">
      <c r="C56" s="52"/>
      <c r="D56" s="111"/>
      <c r="E56" s="111"/>
      <c r="F56" s="58"/>
      <c r="G56" s="111"/>
      <c r="H56" s="111"/>
      <c r="L56" s="62"/>
      <c r="M56" s="62"/>
      <c r="N56" s="62"/>
    </row>
    <row r="57" spans="2:14">
      <c r="C57" s="52"/>
      <c r="D57" s="111"/>
      <c r="E57" s="111"/>
      <c r="F57" s="58"/>
      <c r="G57" s="111"/>
      <c r="H57" s="111"/>
      <c r="L57" s="62"/>
      <c r="M57" s="62"/>
      <c r="N57" s="62"/>
    </row>
    <row r="58" spans="2:14">
      <c r="C58" s="52"/>
      <c r="D58" s="111"/>
      <c r="E58" s="111"/>
      <c r="F58" s="58"/>
      <c r="G58" s="111"/>
      <c r="H58" s="111"/>
      <c r="L58" s="62"/>
      <c r="M58" s="62"/>
      <c r="N58" s="62"/>
    </row>
    <row r="59" spans="2:14">
      <c r="C59" s="52"/>
      <c r="D59" s="111"/>
      <c r="E59" s="111"/>
      <c r="F59" s="58"/>
      <c r="G59" s="111"/>
      <c r="H59" s="111"/>
      <c r="K59" s="116"/>
      <c r="L59" s="117"/>
      <c r="M59" s="117"/>
      <c r="N59" s="117"/>
    </row>
    <row r="60" spans="2:14">
      <c r="C60" s="52"/>
      <c r="D60" s="111"/>
      <c r="E60" s="111"/>
      <c r="F60" s="58"/>
      <c r="G60" s="111"/>
      <c r="H60" s="111"/>
    </row>
    <row r="61" spans="2:14">
      <c r="C61" s="52"/>
      <c r="D61" s="118"/>
      <c r="E61" s="118"/>
      <c r="F61" s="58"/>
      <c r="G61" s="118"/>
      <c r="H61" s="118"/>
    </row>
    <row r="62" spans="2:14">
      <c r="C62" s="52"/>
      <c r="D62" s="118"/>
      <c r="E62" s="118"/>
      <c r="F62" s="58"/>
      <c r="G62" s="118"/>
      <c r="H62" s="118"/>
    </row>
    <row r="63" spans="2:14">
      <c r="C63" s="119"/>
      <c r="D63" s="118"/>
      <c r="E63" s="118"/>
      <c r="F63" s="58"/>
      <c r="G63" s="118"/>
      <c r="H63" s="118"/>
    </row>
    <row r="73" spans="3:12">
      <c r="C73" s="120"/>
      <c r="D73" s="120"/>
      <c r="E73" s="120"/>
      <c r="F73" s="120"/>
      <c r="G73" s="120"/>
      <c r="H73" s="120"/>
      <c r="I73" s="120"/>
      <c r="J73" s="120"/>
      <c r="K73" s="120"/>
      <c r="L73" s="120"/>
    </row>
    <row r="74" spans="3:12">
      <c r="C74" s="120"/>
      <c r="D74" s="121"/>
      <c r="E74" s="122"/>
      <c r="F74" s="122"/>
      <c r="G74" s="122"/>
      <c r="H74" s="122"/>
      <c r="I74" s="122"/>
      <c r="J74" s="122"/>
      <c r="K74" s="122"/>
      <c r="L74" s="122"/>
    </row>
    <row r="75" spans="3:12">
      <c r="C75" s="120"/>
      <c r="D75" s="121"/>
      <c r="E75" s="122"/>
      <c r="F75" s="122"/>
      <c r="G75" s="122"/>
      <c r="H75" s="122"/>
      <c r="I75" s="122"/>
      <c r="J75" s="122"/>
      <c r="K75" s="122"/>
      <c r="L75" s="122"/>
    </row>
    <row r="76" spans="3:12">
      <c r="C76" s="120"/>
      <c r="D76" s="121"/>
      <c r="E76" s="122"/>
      <c r="F76" s="122"/>
      <c r="G76" s="122"/>
      <c r="H76" s="122"/>
      <c r="I76" s="122"/>
      <c r="J76" s="122"/>
      <c r="K76" s="122"/>
      <c r="L76" s="122"/>
    </row>
    <row r="77" spans="3:12">
      <c r="C77" s="120"/>
      <c r="D77" s="121"/>
      <c r="E77" s="122"/>
      <c r="F77" s="122"/>
      <c r="G77" s="122"/>
      <c r="H77" s="122"/>
      <c r="I77" s="122"/>
      <c r="J77" s="122"/>
      <c r="K77" s="122"/>
      <c r="L77" s="122"/>
    </row>
    <row r="78" spans="3:12">
      <c r="C78" s="120"/>
      <c r="D78" s="120"/>
      <c r="E78" s="123"/>
      <c r="F78" s="123"/>
      <c r="G78" s="123"/>
      <c r="H78" s="123"/>
      <c r="I78" s="123"/>
      <c r="J78" s="123"/>
      <c r="K78" s="123"/>
      <c r="L78" s="123"/>
    </row>
  </sheetData>
  <mergeCells count="5">
    <mergeCell ref="B1:Q1"/>
    <mergeCell ref="T44:U44"/>
    <mergeCell ref="K47:L47"/>
    <mergeCell ref="D53:E53"/>
    <mergeCell ref="G53:H53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2BFD9-70B1-4C01-BCFF-D63FE4C21563}">
  <dimension ref="A1:XFD78"/>
  <sheetViews>
    <sheetView workbookViewId="0">
      <pane ySplit="2" topLeftCell="A13" activePane="bottomLeft" state="frozen"/>
      <selection pane="bottomLeft" activeCell="J48" sqref="J48"/>
    </sheetView>
  </sheetViews>
  <sheetFormatPr defaultColWidth="15.85546875" defaultRowHeight="15"/>
  <cols>
    <col min="2" max="2" width="14.85546875" customWidth="1"/>
    <col min="3" max="3" width="20.5703125" customWidth="1"/>
    <col min="4" max="4" width="10.85546875" customWidth="1"/>
    <col min="5" max="5" width="14.28515625" customWidth="1"/>
    <col min="6" max="7" width="10.85546875" customWidth="1"/>
    <col min="8" max="8" width="13.140625" customWidth="1"/>
    <col min="9" max="10" width="10.85546875" customWidth="1"/>
    <col min="11" max="11" width="17.85546875" customWidth="1"/>
    <col min="12" max="16" width="10.85546875" customWidth="1"/>
    <col min="17" max="17" width="12.28515625" customWidth="1"/>
    <col min="18" max="18" width="29.140625" bestFit="1" customWidth="1"/>
    <col min="19" max="19" width="25.28515625" bestFit="1" customWidth="1"/>
    <col min="20" max="20" width="22.5703125" bestFit="1" customWidth="1"/>
    <col min="21" max="21" width="25.28515625" bestFit="1" customWidth="1"/>
  </cols>
  <sheetData>
    <row r="1" spans="1:20">
      <c r="A1" s="81"/>
      <c r="B1" s="519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</row>
    <row r="2" spans="1:20">
      <c r="A2" s="8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</row>
    <row r="3" spans="1:20">
      <c r="A3" s="83">
        <v>45885</v>
      </c>
      <c r="B3" s="36" t="str">
        <f>_xlfn.XLOOKUP(A3,'steel Mint data'!A:A,'steel Mint data'!B:B,"",0)</f>
        <v>H</v>
      </c>
      <c r="C3" s="36"/>
      <c r="D3" s="36"/>
      <c r="E3" s="36" t="str">
        <f>_xlfn.XLOOKUP(A3,'steel Mint data'!A:A,'steel Mint data'!D:D,"",0)</f>
        <v>H</v>
      </c>
      <c r="F3" s="36" t="str">
        <f>_xlfn.XLOOKUP(A3,'steel Mint data'!A:A,'steel Mint data'!E:E,"",0)</f>
        <v>H</v>
      </c>
      <c r="G3" s="36"/>
      <c r="H3" s="36"/>
      <c r="I3" s="36" t="str">
        <f>_xlfn.XLOOKUP(A3,'steel Mint data'!A:A,'steel Mint data'!I:I,"",0)</f>
        <v>H</v>
      </c>
      <c r="J3" s="36"/>
      <c r="K3" s="36" t="str">
        <f>_xlfn.XLOOKUP(A3,'steel Mint data'!A:A,'steel Mint data'!L:L,"",0)</f>
        <v>H</v>
      </c>
      <c r="L3" s="36"/>
      <c r="M3" s="36"/>
      <c r="N3" s="36"/>
      <c r="O3" s="36"/>
      <c r="P3" s="37" t="str">
        <f>_xlfn.XLOOKUP(A3,'steel Mint data'!A:A,'steel Mint data'!Q:Q,"",0)</f>
        <v>H</v>
      </c>
      <c r="Q3" s="36" t="str">
        <f>_xlfn.XLOOKUP(A3,'steel Mint data'!A:A,'steel Mint data'!R:R,"",0)</f>
        <v>H</v>
      </c>
    </row>
    <row r="4" spans="1:20">
      <c r="A4" s="83">
        <v>45886</v>
      </c>
      <c r="B4" s="36" t="str">
        <f>_xlfn.XLOOKUP(A4,'steel Mint data'!A:A,'steel Mint data'!B:B,"",0)</f>
        <v>H</v>
      </c>
      <c r="C4" s="36"/>
      <c r="D4" s="36"/>
      <c r="E4" s="36" t="str">
        <f>_xlfn.XLOOKUP(A4,'steel Mint data'!A:A,'steel Mint data'!D:D,"",0)</f>
        <v>H</v>
      </c>
      <c r="F4" s="36" t="str">
        <f>_xlfn.XLOOKUP(A4,'steel Mint data'!A:A,'steel Mint data'!E:E,"",0)</f>
        <v>H</v>
      </c>
      <c r="G4" s="36"/>
      <c r="H4" s="36"/>
      <c r="I4" s="36" t="str">
        <f>_xlfn.XLOOKUP(A4,'steel Mint data'!A:A,'steel Mint data'!I:I,"",0)</f>
        <v>H</v>
      </c>
      <c r="J4" s="36"/>
      <c r="K4" s="36" t="str">
        <f>_xlfn.XLOOKUP(A4,'steel Mint data'!A:A,'steel Mint data'!L:L,"",0)</f>
        <v>H</v>
      </c>
      <c r="L4" s="36"/>
      <c r="M4" s="36"/>
      <c r="N4" s="36"/>
      <c r="O4" s="36"/>
      <c r="P4" s="37" t="str">
        <f>_xlfn.XLOOKUP(A4,'steel Mint data'!A:A,'steel Mint data'!Q:Q,"",0)</f>
        <v>H</v>
      </c>
      <c r="Q4" s="36" t="str">
        <f>_xlfn.XLOOKUP(A4,'steel Mint data'!A:A,'steel Mint data'!R:R,"",0)</f>
        <v>H</v>
      </c>
    </row>
    <row r="5" spans="1:20">
      <c r="A5" s="83">
        <v>45887</v>
      </c>
      <c r="B5" s="36">
        <f>_xlfn.XLOOKUP(A5,'steel Mint data'!A:A,'steel Mint data'!B:B,"",0)</f>
        <v>44500</v>
      </c>
      <c r="C5" s="36"/>
      <c r="D5" s="36"/>
      <c r="E5" s="36">
        <f>_xlfn.XLOOKUP(A5,'steel Mint data'!A:A,'steel Mint data'!D:D,"",0)</f>
        <v>43400</v>
      </c>
      <c r="F5" s="36">
        <f>_xlfn.XLOOKUP(A5,'steel Mint data'!A:A,'steel Mint data'!E:E,"",0)</f>
        <v>39800</v>
      </c>
      <c r="G5" s="38"/>
      <c r="H5" s="38"/>
      <c r="I5" s="36">
        <f>_xlfn.XLOOKUP(A5,'steel Mint data'!A:A,'steel Mint data'!I:I,"",0)</f>
        <v>43000</v>
      </c>
      <c r="J5" s="38"/>
      <c r="K5" s="36">
        <f>_xlfn.XLOOKUP(A5,'steel Mint data'!A:A,'steel Mint data'!L:L,"",0)</f>
        <v>45400</v>
      </c>
      <c r="L5" s="38"/>
      <c r="M5" s="38"/>
      <c r="N5" s="38"/>
      <c r="O5" s="38"/>
      <c r="P5" s="37">
        <f>_xlfn.XLOOKUP(A5,'steel Mint data'!A:A,'steel Mint data'!Q:Q,"",0)</f>
        <v>40000</v>
      </c>
      <c r="Q5" s="36">
        <f>_xlfn.XLOOKUP(A5,'steel Mint data'!A:A,'steel Mint data'!R:R,"",0)</f>
        <v>40300</v>
      </c>
    </row>
    <row r="6" spans="1:20">
      <c r="A6" s="83">
        <v>45888</v>
      </c>
      <c r="B6" s="36">
        <f>_xlfn.XLOOKUP(A6,'steel Mint data'!A:A,'steel Mint data'!B:B,"",0)</f>
        <v>44700</v>
      </c>
      <c r="C6" s="36"/>
      <c r="D6" s="36"/>
      <c r="E6" s="36">
        <f>_xlfn.XLOOKUP(A6,'steel Mint data'!A:A,'steel Mint data'!D:D,"",0)</f>
        <v>43600</v>
      </c>
      <c r="F6" s="36">
        <f>_xlfn.XLOOKUP(A6,'steel Mint data'!A:A,'steel Mint data'!E:E,"",0)</f>
        <v>39800</v>
      </c>
      <c r="G6" s="38"/>
      <c r="H6" s="38"/>
      <c r="I6" s="36">
        <f>_xlfn.XLOOKUP(A6,'steel Mint data'!A:A,'steel Mint data'!I:I,"",0)</f>
        <v>43100</v>
      </c>
      <c r="J6" s="38"/>
      <c r="K6" s="36">
        <f>_xlfn.XLOOKUP(A6,'steel Mint data'!A:A,'steel Mint data'!L:L,"",0)</f>
        <v>45500</v>
      </c>
      <c r="L6" s="38"/>
      <c r="M6" s="38"/>
      <c r="N6" s="38"/>
      <c r="O6" s="38"/>
      <c r="P6" s="37">
        <f>_xlfn.XLOOKUP(A6,'steel Mint data'!A:A,'steel Mint data'!Q:Q,"",0)</f>
        <v>40300</v>
      </c>
      <c r="Q6" s="36">
        <f>_xlfn.XLOOKUP(A6,'steel Mint data'!A:A,'steel Mint data'!R:R,"",0)</f>
        <v>40500</v>
      </c>
    </row>
    <row r="7" spans="1:20">
      <c r="A7" s="83">
        <v>45889</v>
      </c>
      <c r="B7" s="36">
        <f>_xlfn.XLOOKUP(A7,'steel Mint data'!A:A,'steel Mint data'!B:B,"",0)</f>
        <v>44700</v>
      </c>
      <c r="C7" s="36"/>
      <c r="D7" s="37"/>
      <c r="E7" s="36">
        <f>_xlfn.XLOOKUP(A7,'steel Mint data'!A:A,'steel Mint data'!D:D,"",0)</f>
        <v>43500</v>
      </c>
      <c r="F7" s="36">
        <f>_xlfn.XLOOKUP(A7,'steel Mint data'!A:A,'steel Mint data'!E:E,"",0)</f>
        <v>39700</v>
      </c>
      <c r="G7" s="11"/>
      <c r="H7" s="11"/>
      <c r="I7" s="36">
        <f>_xlfn.XLOOKUP(A7,'steel Mint data'!A:A,'steel Mint data'!I:I,"",0)</f>
        <v>43100</v>
      </c>
      <c r="J7" s="11"/>
      <c r="K7" s="36">
        <f>_xlfn.XLOOKUP(A7,'steel Mint data'!A:A,'steel Mint data'!L:L,"",0)</f>
        <v>45500</v>
      </c>
      <c r="L7" s="11"/>
      <c r="M7" s="11"/>
      <c r="N7" s="11"/>
      <c r="O7" s="11"/>
      <c r="P7" s="37">
        <f>_xlfn.XLOOKUP(A7,'steel Mint data'!A:A,'steel Mint data'!Q:Q,"",0)</f>
        <v>40300</v>
      </c>
      <c r="Q7" s="36">
        <f>_xlfn.XLOOKUP(A7,'steel Mint data'!A:A,'steel Mint data'!R:R,"",0)</f>
        <v>40500</v>
      </c>
    </row>
    <row r="8" spans="1:20">
      <c r="A8" s="83">
        <v>45890</v>
      </c>
      <c r="B8" s="36">
        <f>_xlfn.XLOOKUP(A8,'steel Mint data'!A:A,'steel Mint data'!B:B,"",0)</f>
        <v>44500</v>
      </c>
      <c r="C8" s="36"/>
      <c r="D8" s="36"/>
      <c r="E8" s="36">
        <f>_xlfn.XLOOKUP(A8,'steel Mint data'!A:A,'steel Mint data'!D:D,"",0)</f>
        <v>43300</v>
      </c>
      <c r="F8" s="36">
        <f>_xlfn.XLOOKUP(A8,'steel Mint data'!A:A,'steel Mint data'!E:E,"",0)</f>
        <v>39800</v>
      </c>
      <c r="G8" s="84"/>
      <c r="H8" s="84"/>
      <c r="I8" s="36">
        <f>_xlfn.XLOOKUP(A8,'steel Mint data'!A:A,'steel Mint data'!I:I,"",0)</f>
        <v>42800</v>
      </c>
      <c r="J8" s="84"/>
      <c r="K8" s="36">
        <f>_xlfn.XLOOKUP(A8,'steel Mint data'!A:A,'steel Mint data'!L:L,"",0)</f>
        <v>45300</v>
      </c>
      <c r="L8" s="84"/>
      <c r="M8" s="84"/>
      <c r="N8" s="84"/>
      <c r="O8" s="84"/>
      <c r="P8" s="37">
        <f>_xlfn.XLOOKUP(A8,'steel Mint data'!A:A,'steel Mint data'!Q:Q,"",0)</f>
        <v>40200</v>
      </c>
      <c r="Q8" s="36">
        <f>_xlfn.XLOOKUP(A8,'steel Mint data'!A:A,'steel Mint data'!R:R,"",0)</f>
        <v>40400</v>
      </c>
    </row>
    <row r="9" spans="1:20">
      <c r="A9" s="83">
        <v>45891</v>
      </c>
      <c r="B9" s="36">
        <f>_xlfn.XLOOKUP(A9,'steel Mint data'!A:A,'steel Mint data'!B:B,"",0)</f>
        <v>44300</v>
      </c>
      <c r="C9" s="36"/>
      <c r="D9" s="36"/>
      <c r="E9" s="36">
        <f>_xlfn.XLOOKUP(A9,'steel Mint data'!A:A,'steel Mint data'!D:D,"",0)</f>
        <v>43000</v>
      </c>
      <c r="F9" s="36">
        <f>_xlfn.XLOOKUP(A9,'steel Mint data'!A:A,'steel Mint data'!E:E,"",0)</f>
        <v>39700</v>
      </c>
      <c r="G9" s="36"/>
      <c r="H9" s="36"/>
      <c r="I9" s="36">
        <f>_xlfn.XLOOKUP(A9,'steel Mint data'!A:A,'steel Mint data'!I:I,"",0)</f>
        <v>42700</v>
      </c>
      <c r="J9" s="36"/>
      <c r="K9" s="36">
        <f>_xlfn.XLOOKUP(A9,'steel Mint data'!A:A,'steel Mint data'!L:L,"",0)</f>
        <v>45200</v>
      </c>
      <c r="L9" s="36"/>
      <c r="M9" s="36"/>
      <c r="N9" s="36"/>
      <c r="O9" s="36"/>
      <c r="P9" s="37">
        <f>_xlfn.XLOOKUP(A9,'steel Mint data'!A:A,'steel Mint data'!Q:Q,"",0)</f>
        <v>39900</v>
      </c>
      <c r="Q9" s="36">
        <f>_xlfn.XLOOKUP(A9,'steel Mint data'!A:A,'steel Mint data'!R:R,"",0)</f>
        <v>40300</v>
      </c>
    </row>
    <row r="10" spans="1:20">
      <c r="A10" s="83">
        <v>45892</v>
      </c>
      <c r="B10" s="36">
        <f>_xlfn.XLOOKUP(A10,'steel Mint data'!A:A,'steel Mint data'!B:B,"",0)</f>
        <v>44300</v>
      </c>
      <c r="C10" s="36"/>
      <c r="D10" s="36"/>
      <c r="E10" s="36">
        <f>_xlfn.XLOOKUP(A10,'steel Mint data'!A:A,'steel Mint data'!D:D,"",0)</f>
        <v>42900</v>
      </c>
      <c r="F10" s="36">
        <f>_xlfn.XLOOKUP(A10,'steel Mint data'!A:A,'steel Mint data'!E:E,"",0)</f>
        <v>39700</v>
      </c>
      <c r="G10" s="36"/>
      <c r="H10" s="36"/>
      <c r="I10" s="36">
        <f>_xlfn.XLOOKUP(A10,'steel Mint data'!A:A,'steel Mint data'!I:I,"",0)</f>
        <v>42700</v>
      </c>
      <c r="J10" s="36"/>
      <c r="K10" s="36">
        <f>_xlfn.XLOOKUP(A10,'steel Mint data'!A:A,'steel Mint data'!L:L,"",0)</f>
        <v>45100</v>
      </c>
      <c r="L10" s="36"/>
      <c r="M10" s="36"/>
      <c r="N10" s="36"/>
      <c r="O10" s="36"/>
      <c r="P10" s="37">
        <f>_xlfn.XLOOKUP(A10,'steel Mint data'!A:A,'steel Mint data'!Q:Q,"",0)</f>
        <v>39900</v>
      </c>
      <c r="Q10" s="36">
        <f>_xlfn.XLOOKUP(A10,'steel Mint data'!A:A,'steel Mint data'!R:R,"",0)</f>
        <v>40200</v>
      </c>
      <c r="R10" s="33"/>
    </row>
    <row r="11" spans="1:20">
      <c r="A11" s="83">
        <v>45893</v>
      </c>
      <c r="B11" s="36" t="str">
        <f>_xlfn.XLOOKUP(A11,'steel Mint data'!A:A,'steel Mint data'!B:B,"",0)</f>
        <v>H</v>
      </c>
      <c r="C11" s="36"/>
      <c r="D11" s="36"/>
      <c r="E11" s="36" t="str">
        <f>_xlfn.XLOOKUP(A11,'steel Mint data'!A:A,'steel Mint data'!D:D,"",0)</f>
        <v>H</v>
      </c>
      <c r="F11" s="36" t="str">
        <f>_xlfn.XLOOKUP(A11,'steel Mint data'!A:A,'steel Mint data'!E:E,"",0)</f>
        <v>H</v>
      </c>
      <c r="G11" s="36"/>
      <c r="H11" s="36"/>
      <c r="I11" s="36" t="str">
        <f>_xlfn.XLOOKUP(A11,'steel Mint data'!A:A,'steel Mint data'!I:I,"",0)</f>
        <v>H</v>
      </c>
      <c r="J11" s="36"/>
      <c r="K11" s="36" t="str">
        <f>_xlfn.XLOOKUP(A11,'steel Mint data'!A:A,'steel Mint data'!L:L,"",0)</f>
        <v>H</v>
      </c>
      <c r="L11" s="36"/>
      <c r="M11" s="36"/>
      <c r="N11" s="36"/>
      <c r="O11" s="36"/>
      <c r="P11" s="37" t="str">
        <f>_xlfn.XLOOKUP(A11,'steel Mint data'!A:A,'steel Mint data'!Q:Q,"",0)</f>
        <v>H</v>
      </c>
      <c r="Q11" s="36" t="str">
        <f>_xlfn.XLOOKUP(A11,'steel Mint data'!A:A,'steel Mint data'!R:R,"",0)</f>
        <v>H</v>
      </c>
    </row>
    <row r="12" spans="1:20">
      <c r="A12" s="83">
        <v>45894</v>
      </c>
      <c r="B12" s="36">
        <f>_xlfn.XLOOKUP(A12,'steel Mint data'!A:A,'steel Mint data'!B:B,"",0)</f>
        <v>44000</v>
      </c>
      <c r="C12" s="36"/>
      <c r="D12" s="36"/>
      <c r="E12" s="36">
        <f>_xlfn.XLOOKUP(A12,'steel Mint data'!A:A,'steel Mint data'!D:D,"",0)</f>
        <v>42700</v>
      </c>
      <c r="F12" s="36">
        <f>_xlfn.XLOOKUP(A12,'steel Mint data'!A:A,'steel Mint data'!E:E,"",0)</f>
        <v>39400</v>
      </c>
      <c r="G12" s="36"/>
      <c r="H12" s="36"/>
      <c r="I12" s="36">
        <f>_xlfn.XLOOKUP(A12,'steel Mint data'!A:A,'steel Mint data'!I:I,"",0)</f>
        <v>42600</v>
      </c>
      <c r="J12" s="36"/>
      <c r="K12" s="36">
        <f>_xlfn.XLOOKUP(A12,'steel Mint data'!A:A,'steel Mint data'!L:L,"",0)</f>
        <v>45000</v>
      </c>
      <c r="L12" s="36"/>
      <c r="M12" s="36"/>
      <c r="N12" s="36"/>
      <c r="O12" s="36"/>
      <c r="P12" s="37">
        <f>_xlfn.XLOOKUP(A12,'steel Mint data'!A:A,'steel Mint data'!Q:Q,"",0)</f>
        <v>39600</v>
      </c>
      <c r="Q12" s="36">
        <f>_xlfn.XLOOKUP(A12,'steel Mint data'!A:A,'steel Mint data'!R:R,"",0)</f>
        <v>40000</v>
      </c>
    </row>
    <row r="13" spans="1:20">
      <c r="A13" s="83">
        <v>45895</v>
      </c>
      <c r="B13" s="36">
        <f>_xlfn.XLOOKUP(A13,'steel Mint data'!A:A,'steel Mint data'!B:B,"",0)</f>
        <v>43800</v>
      </c>
      <c r="C13" s="36"/>
      <c r="D13" s="36"/>
      <c r="E13" s="36">
        <f>_xlfn.XLOOKUP(A13,'steel Mint data'!A:A,'steel Mint data'!D:D,"",0)</f>
        <v>42500</v>
      </c>
      <c r="F13" s="36">
        <f>_xlfn.XLOOKUP(A13,'steel Mint data'!A:A,'steel Mint data'!E:E,"",0)</f>
        <v>39300</v>
      </c>
      <c r="G13" s="36"/>
      <c r="H13" s="36"/>
      <c r="I13" s="36">
        <f>_xlfn.XLOOKUP(A13,'steel Mint data'!A:A,'steel Mint data'!I:I,"",0)</f>
        <v>42200</v>
      </c>
      <c r="J13" s="36"/>
      <c r="K13" s="36">
        <f>_xlfn.XLOOKUP(A13,'steel Mint data'!A:A,'steel Mint data'!L:L,"",0)</f>
        <v>44800</v>
      </c>
      <c r="L13" s="36"/>
      <c r="M13" s="36"/>
      <c r="N13" s="36"/>
      <c r="O13" s="36"/>
      <c r="P13" s="37">
        <f>_xlfn.XLOOKUP(A13,'steel Mint data'!A:A,'steel Mint data'!Q:Q,"",0)</f>
        <v>39400</v>
      </c>
      <c r="Q13" s="36">
        <f>_xlfn.XLOOKUP(A13,'steel Mint data'!A:A,'steel Mint data'!R:R,"",0)</f>
        <v>39800</v>
      </c>
      <c r="S13" s="33"/>
    </row>
    <row r="14" spans="1:20">
      <c r="A14" s="83">
        <v>45896</v>
      </c>
      <c r="B14" s="36">
        <f>_xlfn.XLOOKUP(A14,'steel Mint data'!A:A,'steel Mint data'!B:B,"",0)</f>
        <v>43800</v>
      </c>
      <c r="C14" s="36"/>
      <c r="D14" s="36"/>
      <c r="E14" s="36">
        <f>_xlfn.XLOOKUP(A14,'steel Mint data'!A:A,'steel Mint data'!D:D,"",0)</f>
        <v>42500</v>
      </c>
      <c r="F14" s="36">
        <f>_xlfn.XLOOKUP(A14,'steel Mint data'!A:A,'steel Mint data'!E:E,"",0)</f>
        <v>39200</v>
      </c>
      <c r="G14" s="36"/>
      <c r="H14" s="36"/>
      <c r="I14" s="36">
        <f>_xlfn.XLOOKUP(A14,'steel Mint data'!A:A,'steel Mint data'!I:I,"",0)</f>
        <v>42200</v>
      </c>
      <c r="J14" s="36"/>
      <c r="K14" s="36">
        <f>_xlfn.XLOOKUP(A14,'steel Mint data'!A:A,'steel Mint data'!L:L,"",0)</f>
        <v>44500</v>
      </c>
      <c r="L14" s="36"/>
      <c r="M14" s="36"/>
      <c r="N14" s="36"/>
      <c r="O14" s="36"/>
      <c r="P14" s="37">
        <f>_xlfn.XLOOKUP(A14,'steel Mint data'!A:A,'steel Mint data'!Q:Q,"",0)</f>
        <v>39500</v>
      </c>
      <c r="Q14" s="36">
        <f>_xlfn.XLOOKUP(A14,'steel Mint data'!A:A,'steel Mint data'!R:R,"",0)</f>
        <v>39800</v>
      </c>
      <c r="S14" s="33"/>
      <c r="T14" s="33"/>
    </row>
    <row r="15" spans="1:20">
      <c r="A15" s="83">
        <v>45897</v>
      </c>
      <c r="B15" s="36">
        <f>_xlfn.XLOOKUP(A15,'steel Mint data'!A:A,'steel Mint data'!B:B,"",0)</f>
        <v>43800</v>
      </c>
      <c r="C15" s="36"/>
      <c r="D15" s="36"/>
      <c r="E15" s="36">
        <f>_xlfn.XLOOKUP(A15,'steel Mint data'!A:A,'steel Mint data'!D:D,"",0)</f>
        <v>42500</v>
      </c>
      <c r="F15" s="36">
        <f>_xlfn.XLOOKUP(A15,'steel Mint data'!A:A,'steel Mint data'!E:E,"",0)</f>
        <v>39100</v>
      </c>
      <c r="G15" s="36"/>
      <c r="H15" s="36"/>
      <c r="I15" s="36">
        <f>_xlfn.XLOOKUP(A15,'steel Mint data'!A:A,'steel Mint data'!I:I,"",0)</f>
        <v>42100</v>
      </c>
      <c r="J15" s="36"/>
      <c r="K15" s="36">
        <f>_xlfn.XLOOKUP(A15,'steel Mint data'!A:A,'steel Mint data'!L:L,"",0)</f>
        <v>44500</v>
      </c>
      <c r="L15" s="36"/>
      <c r="M15" s="36"/>
      <c r="N15" s="36"/>
      <c r="O15" s="36"/>
      <c r="P15" s="37">
        <f>_xlfn.XLOOKUP(A15,'steel Mint data'!A:A,'steel Mint data'!Q:Q,"",0)</f>
        <v>39500</v>
      </c>
      <c r="Q15" s="36">
        <f>_xlfn.XLOOKUP(A15,'steel Mint data'!A:A,'steel Mint data'!R:R,"",0)</f>
        <v>39800</v>
      </c>
      <c r="R15" s="33"/>
      <c r="S15" s="33"/>
      <c r="T15" s="33"/>
    </row>
    <row r="16" spans="1:20">
      <c r="A16" s="83">
        <v>45898</v>
      </c>
      <c r="B16" s="36">
        <f>_xlfn.XLOOKUP(A16,'steel Mint data'!A:A,'steel Mint data'!B:B,"",0)</f>
        <v>43600</v>
      </c>
      <c r="C16" s="36"/>
      <c r="D16" s="36"/>
      <c r="E16" s="36">
        <f>_xlfn.XLOOKUP(A16,'steel Mint data'!A:A,'steel Mint data'!D:D,"",0)</f>
        <v>42400</v>
      </c>
      <c r="F16" s="36">
        <f>_xlfn.XLOOKUP(A16,'steel Mint data'!A:A,'steel Mint data'!E:E,"",0)</f>
        <v>39000</v>
      </c>
      <c r="G16" s="36"/>
      <c r="H16" s="36"/>
      <c r="I16" s="36">
        <f>_xlfn.XLOOKUP(A16,'steel Mint data'!A:A,'steel Mint data'!I:I,"",0)</f>
        <v>42000</v>
      </c>
      <c r="J16" s="36"/>
      <c r="K16" s="36">
        <f>_xlfn.XLOOKUP(A16,'steel Mint data'!A:A,'steel Mint data'!L:L,"",0)</f>
        <v>44400</v>
      </c>
      <c r="L16" s="36"/>
      <c r="M16" s="36"/>
      <c r="N16" s="36"/>
      <c r="O16" s="36"/>
      <c r="P16" s="37">
        <f>_xlfn.XLOOKUP(A16,'steel Mint data'!A:A,'steel Mint data'!Q:Q,"",0)</f>
        <v>39500</v>
      </c>
      <c r="Q16" s="36">
        <f>_xlfn.XLOOKUP(A16,'steel Mint data'!A:A,'steel Mint data'!R:R,"",0)</f>
        <v>39700</v>
      </c>
      <c r="R16" s="33"/>
      <c r="S16" s="33"/>
      <c r="T16" s="33"/>
    </row>
    <row r="17" spans="1:21">
      <c r="A17" s="83">
        <v>45899</v>
      </c>
      <c r="B17" s="36">
        <f>_xlfn.XLOOKUP(A17,'steel Mint data'!A:A,'steel Mint data'!B:B,"",0)</f>
        <v>43600</v>
      </c>
      <c r="C17" s="36"/>
      <c r="D17" s="36"/>
      <c r="E17" s="36">
        <f>_xlfn.XLOOKUP(A17,'steel Mint data'!A:A,'steel Mint data'!D:D,"",0)</f>
        <v>42100</v>
      </c>
      <c r="F17" s="36">
        <f>_xlfn.XLOOKUP(A17,'steel Mint data'!A:A,'steel Mint data'!E:E,"",0)</f>
        <v>39000</v>
      </c>
      <c r="G17" s="36"/>
      <c r="H17" s="36"/>
      <c r="I17" s="36">
        <f>_xlfn.XLOOKUP(A17,'steel Mint data'!A:A,'steel Mint data'!I:I,"",0)</f>
        <v>41900</v>
      </c>
      <c r="J17" s="36"/>
      <c r="K17" s="36">
        <f>_xlfn.XLOOKUP(A17,'steel Mint data'!A:A,'steel Mint data'!L:L,"",0)</f>
        <v>44300</v>
      </c>
      <c r="L17" s="36"/>
      <c r="M17" s="36"/>
      <c r="N17" s="36"/>
      <c r="O17" s="36"/>
      <c r="P17" s="37">
        <f>_xlfn.XLOOKUP(A17,'steel Mint data'!A:A,'steel Mint data'!Q:Q,"",0)</f>
        <v>39500</v>
      </c>
      <c r="Q17" s="36">
        <f>_xlfn.XLOOKUP(A17,'steel Mint data'!A:A,'steel Mint data'!R:R,"",0)</f>
        <v>39700</v>
      </c>
    </row>
    <row r="18" spans="1:21">
      <c r="A18" s="83">
        <v>45900</v>
      </c>
      <c r="B18" s="36" t="str">
        <f>_xlfn.XLOOKUP(A18,'steel Mint data'!A:A,'steel Mint data'!B:B,"",0)</f>
        <v>H</v>
      </c>
      <c r="C18" s="36"/>
      <c r="D18" s="36"/>
      <c r="E18" s="36" t="str">
        <f>_xlfn.XLOOKUP(A18,'steel Mint data'!A:A,'steel Mint data'!D:D,"",0)</f>
        <v>H</v>
      </c>
      <c r="F18" s="36" t="str">
        <f>_xlfn.XLOOKUP(A18,'steel Mint data'!A:A,'steel Mint data'!E:E,"",0)</f>
        <v>H</v>
      </c>
      <c r="G18" s="36"/>
      <c r="H18" s="36"/>
      <c r="I18" s="36" t="str">
        <f>_xlfn.XLOOKUP(A18,'steel Mint data'!A:A,'steel Mint data'!I:I,"",0)</f>
        <v>H</v>
      </c>
      <c r="J18" s="36"/>
      <c r="K18" s="36" t="str">
        <f>_xlfn.XLOOKUP(A18,'steel Mint data'!A:A,'steel Mint data'!L:L,"",0)</f>
        <v>H</v>
      </c>
      <c r="L18" s="36"/>
      <c r="M18" s="36"/>
      <c r="N18" s="36"/>
      <c r="O18" s="36"/>
      <c r="P18" s="37" t="str">
        <f>_xlfn.XLOOKUP(A18,'steel Mint data'!A:A,'steel Mint data'!Q:Q,"",0)</f>
        <v>H</v>
      </c>
      <c r="Q18" s="36" t="str">
        <f>_xlfn.XLOOKUP(A18,'steel Mint data'!A:A,'steel Mint data'!R:R,"",0)</f>
        <v>H</v>
      </c>
      <c r="S18" s="33"/>
      <c r="T18" s="33"/>
    </row>
    <row r="19" spans="1:21">
      <c r="A19" s="83"/>
      <c r="B19" s="15">
        <f>SUM(B3:B18)</f>
        <v>529600</v>
      </c>
      <c r="C19" s="14"/>
      <c r="D19" s="14"/>
      <c r="E19" s="15">
        <f>SUM(E3:E18)</f>
        <v>514400</v>
      </c>
      <c r="F19" s="15">
        <f>SUM(F3:F18)</f>
        <v>473500</v>
      </c>
      <c r="G19" s="14"/>
      <c r="H19" s="14"/>
      <c r="I19" s="15">
        <f>SUM(I3:I18)</f>
        <v>510400</v>
      </c>
      <c r="J19" s="14"/>
      <c r="K19" s="15">
        <f>SUM(K3:K18)</f>
        <v>539500</v>
      </c>
      <c r="L19" s="14"/>
      <c r="M19" s="14"/>
      <c r="N19" s="14"/>
      <c r="O19" s="14"/>
      <c r="P19" s="15">
        <f>SUM(P3:P18)</f>
        <v>477600</v>
      </c>
      <c r="Q19" s="15">
        <f>SUM(Q3:Q18)</f>
        <v>481000</v>
      </c>
      <c r="S19" s="33"/>
      <c r="T19" s="33"/>
    </row>
    <row r="20" spans="1:21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23</v>
      </c>
      <c r="H20" s="16" t="s">
        <v>39</v>
      </c>
      <c r="I20" s="16" t="s">
        <v>46</v>
      </c>
      <c r="J20" s="16" t="s">
        <v>126</v>
      </c>
      <c r="K20" s="14"/>
      <c r="L20" s="19">
        <f>F24+2200</f>
        <v>44075</v>
      </c>
      <c r="M20" s="19">
        <f>44000-2200</f>
        <v>41800</v>
      </c>
      <c r="N20" s="19">
        <f>M20-F24</f>
        <v>-75</v>
      </c>
      <c r="O20" s="14"/>
      <c r="P20" s="14"/>
      <c r="Q20" s="14"/>
      <c r="S20" s="33"/>
      <c r="T20" s="33"/>
    </row>
    <row r="21" spans="1:21">
      <c r="A21" s="17" t="s">
        <v>25</v>
      </c>
      <c r="B21" s="18">
        <f>E19/O21</f>
        <v>42866.666666666664</v>
      </c>
      <c r="C21" s="18">
        <f>P19/O21</f>
        <v>39800</v>
      </c>
      <c r="D21" s="18">
        <f>K19/O21</f>
        <v>44958.333333333336</v>
      </c>
      <c r="E21" s="18">
        <f>Q19/O21</f>
        <v>40083.333333333336</v>
      </c>
      <c r="F21" s="18">
        <f>C21</f>
        <v>39800</v>
      </c>
      <c r="G21" s="18">
        <f>B21-800</f>
        <v>42066.666666666664</v>
      </c>
      <c r="H21" s="18">
        <f>I19/O21</f>
        <v>42533.333333333336</v>
      </c>
      <c r="I21" s="18">
        <f>B19/O21</f>
        <v>44133.333333333336</v>
      </c>
      <c r="J21" s="18">
        <f>F19/O21</f>
        <v>39458.333333333336</v>
      </c>
      <c r="K21" s="19"/>
      <c r="L21" s="19"/>
      <c r="M21" s="146"/>
      <c r="N21" s="19"/>
      <c r="O21" s="20">
        <f>COUNT(P3:P18)</f>
        <v>12</v>
      </c>
      <c r="P21" s="21"/>
      <c r="Q21" s="19"/>
      <c r="R21" s="33"/>
      <c r="S21" s="33"/>
      <c r="T21" s="33"/>
    </row>
    <row r="22" spans="1:21">
      <c r="A22" s="17" t="s">
        <v>26</v>
      </c>
      <c r="B22" s="18">
        <v>1200</v>
      </c>
      <c r="C22" s="18">
        <v>2150</v>
      </c>
      <c r="D22" s="18">
        <v>400</v>
      </c>
      <c r="E22" s="18">
        <v>2200</v>
      </c>
      <c r="F22" s="18">
        <v>1800</v>
      </c>
      <c r="G22" s="18">
        <v>1200</v>
      </c>
      <c r="H22" s="18">
        <v>800</v>
      </c>
      <c r="I22" s="18">
        <v>0</v>
      </c>
      <c r="J22" s="18">
        <v>2000</v>
      </c>
      <c r="K22" s="69"/>
      <c r="L22" s="19"/>
      <c r="M22" s="48"/>
      <c r="N22" s="19"/>
      <c r="O22" s="48"/>
      <c r="P22" s="48"/>
      <c r="Q22" s="176"/>
      <c r="R22" s="49"/>
      <c r="S22" s="49"/>
      <c r="T22" s="49"/>
    </row>
    <row r="23" spans="1:21">
      <c r="A23" s="17" t="s">
        <v>27</v>
      </c>
      <c r="B23" s="18">
        <v>200</v>
      </c>
      <c r="C23" s="18">
        <v>265</v>
      </c>
      <c r="D23" s="18">
        <v>250</v>
      </c>
      <c r="E23" s="18">
        <v>275</v>
      </c>
      <c r="F23" s="18">
        <v>275</v>
      </c>
      <c r="G23" s="18">
        <v>200</v>
      </c>
      <c r="H23" s="18">
        <v>270</v>
      </c>
      <c r="I23" s="18">
        <v>200</v>
      </c>
      <c r="J23" s="18">
        <v>270</v>
      </c>
      <c r="K23" s="69"/>
      <c r="L23" s="19"/>
      <c r="M23" s="69"/>
      <c r="N23" s="48"/>
      <c r="O23" s="48"/>
      <c r="P23" s="48"/>
      <c r="Q23" s="176"/>
      <c r="R23" s="48">
        <v>3550</v>
      </c>
      <c r="S23" s="48" t="s">
        <v>127</v>
      </c>
      <c r="T23" s="49"/>
    </row>
    <row r="24" spans="1:21" ht="24.75">
      <c r="A24" s="22" t="s">
        <v>28</v>
      </c>
      <c r="B24" s="18">
        <f>SUM(B21:B23)</f>
        <v>44266.666666666664</v>
      </c>
      <c r="C24" s="18">
        <f>SUM(C21:C23)</f>
        <v>42215</v>
      </c>
      <c r="D24" s="18">
        <f>SUM(D21:D23)</f>
        <v>45608.333333333336</v>
      </c>
      <c r="E24" s="18">
        <f>SUM(E21:E23)</f>
        <v>42558.333333333336</v>
      </c>
      <c r="F24" s="18">
        <f>SUM(F21:F23)</f>
        <v>41875</v>
      </c>
      <c r="G24" s="18">
        <f>SUM(G21:G23)</f>
        <v>43466.666666666664</v>
      </c>
      <c r="H24" s="18">
        <f>SUM(H21:H23)</f>
        <v>43603.333333333336</v>
      </c>
      <c r="I24" s="18">
        <f>SUM(I21:I23)</f>
        <v>44333.333333333336</v>
      </c>
      <c r="J24" s="18">
        <f>SUM(J21:J23)</f>
        <v>41728.333333333336</v>
      </c>
      <c r="K24" s="69">
        <f>G24-F24</f>
        <v>1591.6666666666642</v>
      </c>
      <c r="L24" s="48"/>
      <c r="M24" s="69">
        <f>46000-3400-1000-F24</f>
        <v>-275</v>
      </c>
      <c r="N24" s="48"/>
      <c r="O24" s="48"/>
      <c r="P24" s="48"/>
      <c r="Q24" s="176"/>
      <c r="R24" s="49"/>
      <c r="S24" s="49">
        <f>45000-3450-1000-F24</f>
        <v>-1325</v>
      </c>
      <c r="T24" s="49"/>
    </row>
    <row r="25" spans="1:21">
      <c r="A25" s="22" t="s">
        <v>29</v>
      </c>
      <c r="B25" s="18">
        <v>45100</v>
      </c>
      <c r="C25" s="18">
        <v>42315</v>
      </c>
      <c r="D25" s="18">
        <v>46150</v>
      </c>
      <c r="E25" s="23"/>
      <c r="F25" s="18">
        <v>41975</v>
      </c>
      <c r="G25" s="18">
        <v>44300</v>
      </c>
      <c r="H25" s="18"/>
      <c r="I25" s="18">
        <v>44300</v>
      </c>
      <c r="J25" s="18">
        <v>42470</v>
      </c>
      <c r="K25" s="48"/>
      <c r="L25" s="48">
        <f>F24+1000+2500+500</f>
        <v>45875</v>
      </c>
      <c r="M25" s="69">
        <f>46000-3400-1000-F25</f>
        <v>-375</v>
      </c>
      <c r="N25" s="175"/>
      <c r="O25">
        <f>45500-3400</f>
        <v>42100</v>
      </c>
      <c r="P25" s="48">
        <f>45500-3400-F24</f>
        <v>225</v>
      </c>
      <c r="Q25" s="48"/>
      <c r="R25" s="49"/>
      <c r="S25" s="49">
        <f>45000-3450-1000-F25</f>
        <v>-1425</v>
      </c>
      <c r="T25" s="49"/>
    </row>
    <row r="26" spans="1:21">
      <c r="A26" s="22" t="s">
        <v>30</v>
      </c>
      <c r="B26" s="18">
        <f>B24-B25</f>
        <v>-833.33333333333576</v>
      </c>
      <c r="C26" s="18">
        <f>C24-C25</f>
        <v>-100</v>
      </c>
      <c r="D26" s="18">
        <f>D24-D25</f>
        <v>-541.66666666666424</v>
      </c>
      <c r="E26" s="18">
        <f>E24-E25</f>
        <v>42558.333333333336</v>
      </c>
      <c r="F26" s="18">
        <f>F24-F25</f>
        <v>-100</v>
      </c>
      <c r="G26" s="18">
        <f>G24-G25</f>
        <v>-833.33333333333576</v>
      </c>
      <c r="H26" s="18">
        <f>H24-H25</f>
        <v>43603.333333333336</v>
      </c>
      <c r="I26" s="18">
        <f>I24-I25</f>
        <v>33.333333333335759</v>
      </c>
      <c r="J26" s="18">
        <f>J24-J25</f>
        <v>-741.66666666666424</v>
      </c>
      <c r="K26" s="48"/>
      <c r="L26" s="48"/>
      <c r="M26" s="48"/>
      <c r="N26" s="174"/>
      <c r="O26" s="48"/>
      <c r="P26" s="48"/>
      <c r="Q26" s="48"/>
      <c r="R26" s="49"/>
      <c r="S26" s="49"/>
      <c r="T26" s="49"/>
    </row>
    <row r="27" spans="1:21">
      <c r="A27" s="14"/>
      <c r="B27" s="19">
        <f>B25-2500</f>
        <v>42600</v>
      </c>
      <c r="C27" s="14"/>
      <c r="D27" s="14"/>
      <c r="E27" s="14"/>
      <c r="F27" s="14"/>
      <c r="G27" s="19">
        <f>G25-2500</f>
        <v>41800</v>
      </c>
      <c r="H27" s="14"/>
      <c r="I27" s="14"/>
      <c r="J27" s="14"/>
      <c r="K27" s="48"/>
      <c r="L27" s="48"/>
      <c r="M27" s="48"/>
      <c r="N27" s="48"/>
      <c r="Q27" s="48"/>
      <c r="R27" s="49"/>
      <c r="S27" s="49"/>
      <c r="T27" s="49"/>
    </row>
    <row r="28" spans="1:21">
      <c r="A28" s="22" t="s">
        <v>31</v>
      </c>
      <c r="B28" s="23">
        <v>48300</v>
      </c>
      <c r="C28" s="23">
        <v>45550</v>
      </c>
      <c r="D28" s="18">
        <v>48800</v>
      </c>
      <c r="E28" s="18">
        <v>45550</v>
      </c>
      <c r="F28" s="18">
        <v>45550</v>
      </c>
      <c r="G28" s="18">
        <v>47500</v>
      </c>
      <c r="H28" s="18">
        <v>47800</v>
      </c>
      <c r="I28" s="18">
        <v>48300</v>
      </c>
      <c r="J28" s="18"/>
      <c r="K28" s="48"/>
      <c r="L28" s="48"/>
      <c r="M28" s="48"/>
      <c r="N28" s="48"/>
      <c r="O28" s="48"/>
      <c r="P28" s="48"/>
      <c r="Q28" s="48"/>
      <c r="R28" s="49"/>
      <c r="S28" s="49"/>
      <c r="T28" s="49"/>
    </row>
    <row r="29" spans="1:21">
      <c r="A29" s="22" t="s">
        <v>32</v>
      </c>
      <c r="B29" s="26">
        <f>B28-500-(200+300+300)-250-400</f>
        <v>46350</v>
      </c>
      <c r="C29" s="26">
        <f>C28-500-(200+300+300)-250-400</f>
        <v>43600</v>
      </c>
      <c r="D29" s="26">
        <f>D28-500-(200+300+300)-250-400</f>
        <v>46850</v>
      </c>
      <c r="E29" s="26">
        <f>E28-500-(200+300+300)-250-400</f>
        <v>43600</v>
      </c>
      <c r="F29" s="26">
        <f>F28-500-(200+300+300)-250-400</f>
        <v>43600</v>
      </c>
      <c r="G29" s="26">
        <f>G28-500-(200+300+300)-250-400</f>
        <v>45550</v>
      </c>
      <c r="H29" s="26">
        <f>H28-500-(200+300+300)-250-400</f>
        <v>45850</v>
      </c>
      <c r="I29" s="26">
        <f>I28-500-(200+300+300)-250-400</f>
        <v>46350</v>
      </c>
      <c r="J29" s="26"/>
      <c r="K29" s="48"/>
      <c r="L29" s="48"/>
      <c r="M29" s="48"/>
      <c r="N29" s="48"/>
      <c r="O29" s="48"/>
      <c r="P29" s="48"/>
      <c r="Q29" s="48"/>
      <c r="R29" s="49"/>
      <c r="S29" s="49"/>
      <c r="T29" s="49"/>
    </row>
    <row r="30" spans="1:21">
      <c r="A30" s="25" t="s">
        <v>33</v>
      </c>
      <c r="B30" s="18">
        <f>B29-B24</f>
        <v>2083.3333333333358</v>
      </c>
      <c r="C30" s="18">
        <f>C29-C24</f>
        <v>1385</v>
      </c>
      <c r="D30" s="18">
        <f>D29-D24</f>
        <v>1241.6666666666642</v>
      </c>
      <c r="E30" s="18">
        <f>E29-E24</f>
        <v>1041.6666666666642</v>
      </c>
      <c r="F30" s="18">
        <f>F29-F24</f>
        <v>1725</v>
      </c>
      <c r="G30" s="18">
        <f>G29-G24</f>
        <v>2083.3333333333358</v>
      </c>
      <c r="H30" s="18">
        <f>H29-H24</f>
        <v>2246.6666666666642</v>
      </c>
      <c r="I30" s="18">
        <f>I29-I24</f>
        <v>2016.6666666666642</v>
      </c>
      <c r="J30" s="18"/>
      <c r="K30" s="48"/>
      <c r="L30" s="50"/>
      <c r="M30" s="48"/>
      <c r="N30" s="48"/>
      <c r="O30" s="48"/>
      <c r="P30" s="48"/>
      <c r="Q30" s="48"/>
      <c r="R30" s="49"/>
      <c r="S30" s="49"/>
      <c r="T30" s="49"/>
      <c r="U30" s="33"/>
    </row>
    <row r="31" spans="1:21">
      <c r="I31" s="33"/>
      <c r="J31" s="49"/>
      <c r="K31" s="49"/>
      <c r="L31" s="49"/>
      <c r="M31" s="48"/>
      <c r="N31" s="48"/>
      <c r="O31" s="48"/>
      <c r="P31" s="48"/>
      <c r="Q31" s="49"/>
      <c r="R31" s="49"/>
      <c r="S31" s="49"/>
      <c r="T31" s="49"/>
      <c r="U31" s="33"/>
    </row>
    <row r="32" spans="1:21">
      <c r="B32" s="33"/>
      <c r="C32" s="33"/>
      <c r="D32" s="33">
        <f>D24+800</f>
        <v>46408.333333333336</v>
      </c>
      <c r="E32" s="33">
        <f>46000-D24-750</f>
        <v>-358.33333333333576</v>
      </c>
      <c r="F32" s="33"/>
      <c r="G32" s="33"/>
      <c r="H32" s="33"/>
      <c r="I32" s="33"/>
      <c r="J32" s="49"/>
      <c r="K32" s="49"/>
      <c r="L32" s="49"/>
      <c r="M32" s="49"/>
      <c r="N32" s="49"/>
      <c r="O32" s="48"/>
      <c r="P32" s="49"/>
      <c r="Q32" s="49"/>
      <c r="R32" s="49"/>
      <c r="S32" s="49"/>
      <c r="T32" s="49"/>
    </row>
    <row r="33" spans="1:21 16384:16384" ht="36">
      <c r="B33" s="33"/>
      <c r="C33" s="33"/>
      <c r="D33" s="33">
        <f>D24+800</f>
        <v>46408.333333333336</v>
      </c>
      <c r="E33" s="104"/>
      <c r="F33" s="33">
        <f>42500-F24</f>
        <v>625</v>
      </c>
      <c r="G33" s="33">
        <f>C24+750</f>
        <v>42965</v>
      </c>
      <c r="H33">
        <v>500</v>
      </c>
      <c r="I33" s="33">
        <f>C28-G33</f>
        <v>2585</v>
      </c>
      <c r="J33" s="49" t="s">
        <v>128</v>
      </c>
      <c r="K33" s="105"/>
      <c r="L33" s="49"/>
      <c r="M33" s="105"/>
      <c r="N33" s="105"/>
      <c r="O33" s="105"/>
      <c r="P33" s="49"/>
      <c r="Q33" s="105"/>
      <c r="R33" s="49"/>
      <c r="S33" s="49"/>
      <c r="T33" s="49"/>
      <c r="XFD33" s="96" t="s">
        <v>68</v>
      </c>
    </row>
    <row r="34" spans="1:21 16384:16384" ht="15.75">
      <c r="D34" s="33"/>
      <c r="G34" s="33"/>
      <c r="H34" s="33"/>
      <c r="J34" s="49" t="s">
        <v>114</v>
      </c>
      <c r="K34" s="106"/>
      <c r="L34" s="106"/>
      <c r="M34" s="106">
        <v>500</v>
      </c>
      <c r="N34" s="106"/>
      <c r="O34" s="106"/>
      <c r="P34" s="106"/>
      <c r="Q34" s="106"/>
      <c r="R34" s="49"/>
      <c r="S34" s="49"/>
      <c r="T34" s="49"/>
      <c r="XFD34" s="97">
        <v>43500</v>
      </c>
    </row>
    <row r="35" spans="1:21 16384:16384" ht="15.75">
      <c r="A35" s="39" t="s">
        <v>40</v>
      </c>
      <c r="B35" s="40" t="s">
        <v>49</v>
      </c>
      <c r="C35" s="43"/>
      <c r="D35" s="33"/>
      <c r="E35" s="33"/>
      <c r="F35" s="33"/>
      <c r="H35" s="124"/>
      <c r="I35" s="33"/>
      <c r="J35" s="49" t="s">
        <v>129</v>
      </c>
      <c r="K35" s="106"/>
      <c r="L35" s="125"/>
      <c r="M35" s="145"/>
      <c r="N35" s="106"/>
      <c r="O35" s="106"/>
      <c r="P35" s="106"/>
      <c r="Q35" s="106"/>
      <c r="R35" s="49"/>
      <c r="S35" s="49"/>
      <c r="T35" s="49"/>
      <c r="XFD35" s="97">
        <v>44000</v>
      </c>
    </row>
    <row r="36" spans="1:21 16384:16384" ht="15.75">
      <c r="A36" s="29" t="s">
        <v>42</v>
      </c>
      <c r="B36" s="29">
        <v>46000</v>
      </c>
      <c r="C36" s="43"/>
      <c r="D36" s="33"/>
      <c r="F36" s="112"/>
      <c r="G36" s="107" t="s">
        <v>130</v>
      </c>
      <c r="H36" s="33" t="s">
        <v>131</v>
      </c>
      <c r="I36" s="33"/>
      <c r="J36" s="49" t="s">
        <v>132</v>
      </c>
      <c r="K36" s="106">
        <v>1500</v>
      </c>
      <c r="L36" s="106"/>
      <c r="M36" s="145"/>
      <c r="N36" s="106"/>
      <c r="O36" s="106"/>
      <c r="P36" s="106"/>
      <c r="Q36" s="106"/>
      <c r="R36" s="49"/>
      <c r="S36" s="49"/>
      <c r="T36" s="49"/>
      <c r="XFD36" s="97">
        <v>43500</v>
      </c>
    </row>
    <row r="37" spans="1:21 16384:16384" ht="27">
      <c r="A37" s="29" t="s">
        <v>43</v>
      </c>
      <c r="B37" s="29">
        <v>42615</v>
      </c>
      <c r="C37" s="43">
        <f>B37+1250</f>
        <v>43865</v>
      </c>
      <c r="F37" s="165" t="s">
        <v>133</v>
      </c>
      <c r="G37" s="166">
        <f>G24+1000</f>
        <v>44466.666666666664</v>
      </c>
      <c r="H37" s="167">
        <f>G37</f>
        <v>44466.666666666664</v>
      </c>
      <c r="J37" s="49"/>
      <c r="K37" s="106"/>
      <c r="L37" s="106"/>
      <c r="M37" s="106"/>
      <c r="N37" s="106"/>
      <c r="O37" s="106"/>
      <c r="P37" s="106"/>
      <c r="Q37" s="106"/>
      <c r="R37" s="130" t="s">
        <v>115</v>
      </c>
      <c r="S37" s="131" t="s">
        <v>116</v>
      </c>
      <c r="T37" s="131" t="s">
        <v>117</v>
      </c>
      <c r="U37" s="130" t="s">
        <v>118</v>
      </c>
      <c r="XFD37" s="97">
        <v>44000</v>
      </c>
    </row>
    <row r="38" spans="1:21 16384:16384" ht="15.75">
      <c r="A38" s="29" t="s">
        <v>44</v>
      </c>
      <c r="B38" s="29">
        <v>42275</v>
      </c>
      <c r="C38" s="43">
        <f>B38+1000</f>
        <v>43275</v>
      </c>
      <c r="F38" s="112" t="s">
        <v>71</v>
      </c>
      <c r="G38" s="168">
        <v>1000</v>
      </c>
      <c r="H38" s="169">
        <v>1400</v>
      </c>
      <c r="J38" s="49"/>
      <c r="K38" s="106"/>
      <c r="L38" s="106"/>
      <c r="M38" s="106"/>
      <c r="N38" s="106"/>
      <c r="O38" s="106"/>
      <c r="P38" s="106"/>
      <c r="Q38" s="106"/>
      <c r="R38" s="129" t="s">
        <v>119</v>
      </c>
      <c r="S38" s="129">
        <v>815</v>
      </c>
      <c r="T38" s="129">
        <v>207</v>
      </c>
      <c r="U38" s="129">
        <f>S38-T38</f>
        <v>608</v>
      </c>
      <c r="XFD38" s="97">
        <v>43000</v>
      </c>
    </row>
    <row r="39" spans="1:21 16384:16384" ht="15.75">
      <c r="A39" s="29" t="s">
        <v>36</v>
      </c>
      <c r="B39" s="29">
        <v>46450</v>
      </c>
      <c r="C39" s="43">
        <f>B39+800</f>
        <v>47250</v>
      </c>
      <c r="D39" s="33"/>
      <c r="E39" s="33"/>
      <c r="F39" s="112"/>
      <c r="G39" s="170">
        <f>G37+G38</f>
        <v>45466.666666666664</v>
      </c>
      <c r="H39" s="170">
        <f>H37+H38</f>
        <v>45866.666666666664</v>
      </c>
      <c r="J39" s="49"/>
      <c r="K39" s="106"/>
      <c r="L39" s="125"/>
      <c r="M39" s="125"/>
      <c r="N39" s="106"/>
      <c r="O39" s="106"/>
      <c r="P39" s="106"/>
      <c r="Q39" s="106"/>
      <c r="R39" s="129" t="s">
        <v>120</v>
      </c>
      <c r="S39" s="129">
        <v>46000</v>
      </c>
      <c r="T39" s="129">
        <v>46000</v>
      </c>
      <c r="U39" s="29">
        <v>46000</v>
      </c>
      <c r="XFD39" s="97">
        <v>43500</v>
      </c>
    </row>
    <row r="40" spans="1:21 16384:16384" ht="15.75">
      <c r="A40" s="29" t="s">
        <v>37</v>
      </c>
      <c r="B40" s="29">
        <v>45200</v>
      </c>
      <c r="C40" s="43">
        <f>B40+1000</f>
        <v>46200</v>
      </c>
      <c r="F40" s="114" t="s">
        <v>134</v>
      </c>
      <c r="G40" s="171">
        <f>45400</f>
        <v>45400</v>
      </c>
      <c r="H40" s="171">
        <f>45400</f>
        <v>45400</v>
      </c>
      <c r="J40" s="49"/>
      <c r="K40" s="106"/>
      <c r="L40" s="126"/>
      <c r="M40" s="127"/>
      <c r="N40" s="128"/>
      <c r="O40" s="106"/>
      <c r="P40" s="106"/>
      <c r="Q40" s="106"/>
      <c r="R40" s="129" t="s">
        <v>121</v>
      </c>
      <c r="S40" s="129">
        <v>3300</v>
      </c>
      <c r="T40" s="129">
        <v>1450</v>
      </c>
      <c r="U40" s="29">
        <v>3350</v>
      </c>
      <c r="XFD40" s="97">
        <v>44000</v>
      </c>
    </row>
    <row r="41" spans="1:21 16384:16384" ht="15.75">
      <c r="A41" s="29" t="s">
        <v>45</v>
      </c>
      <c r="B41" s="29">
        <v>44470</v>
      </c>
      <c r="C41" s="43"/>
      <c r="F41" s="114" t="s">
        <v>135</v>
      </c>
      <c r="G41" s="172">
        <f>G39-G40</f>
        <v>66.666666666664241</v>
      </c>
      <c r="H41" s="172">
        <f>H39-H40</f>
        <v>466.66666666666424</v>
      </c>
      <c r="I41" s="33">
        <f>SUMPRODUCT(G41:H41,G42:H42)/I42</f>
        <v>306.66666666666424</v>
      </c>
      <c r="J41" s="49"/>
      <c r="K41" s="106"/>
      <c r="L41" s="106"/>
      <c r="M41" s="106"/>
      <c r="N41" s="106"/>
      <c r="O41" s="106"/>
      <c r="P41" s="106"/>
      <c r="Q41" s="106"/>
      <c r="R41" s="129" t="s">
        <v>122</v>
      </c>
      <c r="S41" s="129">
        <v>1000</v>
      </c>
      <c r="T41" s="129">
        <v>1000</v>
      </c>
      <c r="U41" s="129">
        <v>1250</v>
      </c>
      <c r="XFD41" s="97">
        <v>45000</v>
      </c>
    </row>
    <row r="42" spans="1:21 16384:16384" ht="15.75">
      <c r="A42" s="43" t="s">
        <v>50</v>
      </c>
      <c r="B42" s="43">
        <v>43675</v>
      </c>
      <c r="C42" s="43"/>
      <c r="F42" s="114" t="s">
        <v>136</v>
      </c>
      <c r="G42" s="171">
        <v>800</v>
      </c>
      <c r="H42" s="173">
        <v>1200</v>
      </c>
      <c r="I42">
        <f>SUM(G42:H42)</f>
        <v>2000</v>
      </c>
      <c r="J42" s="49"/>
      <c r="K42" s="106"/>
      <c r="L42" s="106"/>
      <c r="M42" s="106"/>
      <c r="N42" s="106"/>
      <c r="O42" s="106"/>
      <c r="P42" s="106"/>
      <c r="Q42" s="106"/>
      <c r="R42" s="129" t="s">
        <v>123</v>
      </c>
      <c r="S42" s="129">
        <f>S39-S40-S41</f>
        <v>41700</v>
      </c>
      <c r="T42" s="129">
        <f t="shared" ref="T42:U42" si="0">T39-T40-T41</f>
        <v>43550</v>
      </c>
      <c r="U42" s="129">
        <f t="shared" si="0"/>
        <v>41400</v>
      </c>
      <c r="XFD42" s="97">
        <v>43500</v>
      </c>
    </row>
    <row r="43" spans="1:21 16384:16384" ht="15.75">
      <c r="A43" s="46" t="s">
        <v>46</v>
      </c>
      <c r="B43" s="46">
        <f>44500-1000</f>
        <v>43500</v>
      </c>
      <c r="C43" s="46">
        <f>B43+1000</f>
        <v>44500</v>
      </c>
      <c r="J43" s="49"/>
      <c r="K43" s="106"/>
      <c r="L43" s="106"/>
      <c r="M43" s="106" t="s">
        <v>137</v>
      </c>
      <c r="N43" s="106" t="s">
        <v>138</v>
      </c>
      <c r="O43" s="106" t="s">
        <v>139</v>
      </c>
      <c r="P43" s="106"/>
      <c r="Q43" s="106"/>
      <c r="R43" s="129" t="s">
        <v>124</v>
      </c>
      <c r="S43" s="129">
        <f>S42-F24</f>
        <v>-175</v>
      </c>
      <c r="T43" s="129">
        <f>T42-G24</f>
        <v>83.333333333335759</v>
      </c>
      <c r="U43" s="129">
        <f>U42-C24</f>
        <v>-815</v>
      </c>
      <c r="XFD43" s="97">
        <v>44000</v>
      </c>
    </row>
    <row r="44" spans="1:21 16384:16384" ht="15.75">
      <c r="J44" s="49"/>
      <c r="K44" s="106"/>
      <c r="L44" s="106"/>
      <c r="M44" s="106"/>
      <c r="N44" s="106"/>
      <c r="O44" s="106"/>
      <c r="P44" s="106"/>
      <c r="Q44" s="106"/>
      <c r="R44" s="129" t="s">
        <v>125</v>
      </c>
      <c r="S44" s="129"/>
      <c r="T44" s="525">
        <f>SUMPRODUCT(T43:U43,T38:U38)/SUM(T38:U38)</f>
        <v>-586.83435582822017</v>
      </c>
      <c r="U44" s="525"/>
      <c r="XFD44" s="97">
        <v>44000</v>
      </c>
    </row>
    <row r="45" spans="1:21 16384:16384" ht="15.75">
      <c r="H45">
        <v>500</v>
      </c>
      <c r="J45" s="49"/>
      <c r="K45" s="106"/>
      <c r="L45" s="106"/>
      <c r="M45" s="106"/>
      <c r="N45" s="106"/>
      <c r="O45" s="106"/>
      <c r="P45" s="106"/>
      <c r="Q45" s="106"/>
      <c r="R45" s="49"/>
      <c r="S45" s="49"/>
      <c r="T45" s="49"/>
      <c r="XFD45" s="97">
        <v>44000</v>
      </c>
    </row>
    <row r="46" spans="1:21 16384:16384" ht="15.75">
      <c r="B46" s="24"/>
      <c r="C46" s="24"/>
      <c r="D46" s="24"/>
      <c r="E46" s="24"/>
      <c r="F46" s="24"/>
      <c r="G46" s="24"/>
      <c r="H46" s="24"/>
      <c r="I46" s="24"/>
      <c r="J46" s="49"/>
      <c r="K46" s="106"/>
      <c r="L46" s="106"/>
      <c r="M46" s="106"/>
      <c r="N46" s="106"/>
      <c r="O46" s="106"/>
      <c r="P46" s="106"/>
      <c r="Q46" s="106"/>
      <c r="R46" s="49"/>
      <c r="S46" s="49"/>
      <c r="T46" s="49"/>
      <c r="XFD46" s="97">
        <v>41000</v>
      </c>
    </row>
    <row r="47" spans="1:21 16384:16384" ht="15.75">
      <c r="B47" s="33"/>
      <c r="C47" s="33"/>
      <c r="D47" s="33"/>
      <c r="E47" s="33"/>
      <c r="F47" s="33"/>
      <c r="G47" s="33"/>
      <c r="H47" s="33"/>
      <c r="I47" s="33"/>
      <c r="K47" s="523"/>
      <c r="L47" s="523"/>
      <c r="M47" s="106"/>
      <c r="N47" s="106"/>
      <c r="O47" s="106"/>
      <c r="P47" s="106"/>
      <c r="Q47" s="106"/>
    </row>
    <row r="49" spans="2:14">
      <c r="B49" s="33"/>
    </row>
    <row r="53" spans="2:14">
      <c r="C53" s="52"/>
      <c r="D53" s="524"/>
      <c r="E53" s="524"/>
      <c r="F53" s="53"/>
      <c r="G53" s="524"/>
      <c r="H53" s="524"/>
      <c r="I53" s="14"/>
    </row>
    <row r="54" spans="2:14">
      <c r="C54" s="115"/>
      <c r="D54" s="109"/>
      <c r="E54" s="109"/>
      <c r="F54" s="52"/>
      <c r="G54" s="109"/>
      <c r="H54" s="109"/>
      <c r="K54" s="110"/>
      <c r="L54" s="110"/>
      <c r="M54" s="110"/>
      <c r="N54" s="110"/>
    </row>
    <row r="55" spans="2:14">
      <c r="C55" s="52"/>
      <c r="D55" s="111"/>
      <c r="E55" s="111"/>
      <c r="F55" s="58"/>
      <c r="G55" s="111"/>
      <c r="H55" s="111"/>
      <c r="L55" s="62"/>
      <c r="M55" s="62"/>
      <c r="N55" s="62"/>
    </row>
    <row r="56" spans="2:14">
      <c r="C56" s="52"/>
      <c r="D56" s="111"/>
      <c r="E56" s="111"/>
      <c r="F56" s="58"/>
      <c r="G56" s="111"/>
      <c r="H56" s="111"/>
      <c r="L56" s="62"/>
      <c r="M56" s="62"/>
      <c r="N56" s="62"/>
    </row>
    <row r="57" spans="2:14">
      <c r="C57" s="52"/>
      <c r="D57" s="111"/>
      <c r="E57" s="111"/>
      <c r="F57" s="58"/>
      <c r="G57" s="111"/>
      <c r="H57" s="111"/>
      <c r="L57" s="62"/>
      <c r="M57" s="62"/>
      <c r="N57" s="62"/>
    </row>
    <row r="58" spans="2:14">
      <c r="C58" s="52"/>
      <c r="D58" s="111"/>
      <c r="E58" s="111"/>
      <c r="F58" s="58"/>
      <c r="G58" s="111"/>
      <c r="H58" s="111"/>
      <c r="L58" s="62"/>
      <c r="M58" s="62"/>
      <c r="N58" s="62"/>
    </row>
    <row r="59" spans="2:14">
      <c r="C59" s="52"/>
      <c r="D59" s="111"/>
      <c r="E59" s="111"/>
      <c r="F59" s="58"/>
      <c r="G59" s="111"/>
      <c r="H59" s="111"/>
      <c r="K59" s="116"/>
      <c r="L59" s="117"/>
      <c r="M59" s="117"/>
      <c r="N59" s="117"/>
    </row>
    <row r="60" spans="2:14">
      <c r="C60" s="52"/>
      <c r="D60" s="111"/>
      <c r="E60" s="111"/>
      <c r="F60" s="58"/>
      <c r="G60" s="111"/>
      <c r="H60" s="111"/>
    </row>
    <row r="61" spans="2:14">
      <c r="C61" s="52"/>
      <c r="D61" s="118"/>
      <c r="E61" s="118"/>
      <c r="F61" s="58"/>
      <c r="G61" s="118"/>
      <c r="H61" s="118"/>
    </row>
    <row r="62" spans="2:14">
      <c r="C62" s="52"/>
      <c r="D62" s="118"/>
      <c r="E62" s="118"/>
      <c r="F62" s="58"/>
      <c r="G62" s="118"/>
      <c r="H62" s="118"/>
    </row>
    <row r="63" spans="2:14">
      <c r="C63" s="119"/>
      <c r="D63" s="118"/>
      <c r="E63" s="118"/>
      <c r="F63" s="58"/>
      <c r="G63" s="118"/>
      <c r="H63" s="118"/>
    </row>
    <row r="73" spans="3:12">
      <c r="C73" s="120"/>
      <c r="D73" s="120"/>
      <c r="E73" s="120"/>
      <c r="F73" s="120"/>
      <c r="G73" s="120"/>
      <c r="H73" s="120"/>
      <c r="I73" s="120"/>
      <c r="J73" s="120"/>
      <c r="K73" s="120"/>
      <c r="L73" s="120"/>
    </row>
    <row r="74" spans="3:12">
      <c r="C74" s="120"/>
      <c r="D74" s="121"/>
      <c r="E74" s="122"/>
      <c r="F74" s="122"/>
      <c r="G74" s="122"/>
      <c r="H74" s="122"/>
      <c r="I74" s="122"/>
      <c r="J74" s="122"/>
      <c r="K74" s="122"/>
      <c r="L74" s="122"/>
    </row>
    <row r="75" spans="3:12">
      <c r="C75" s="120"/>
      <c r="D75" s="121"/>
      <c r="E75" s="122"/>
      <c r="F75" s="122"/>
      <c r="G75" s="122"/>
      <c r="H75" s="122"/>
      <c r="I75" s="122"/>
      <c r="J75" s="122"/>
      <c r="K75" s="122"/>
      <c r="L75" s="122"/>
    </row>
    <row r="76" spans="3:12">
      <c r="C76" s="120"/>
      <c r="D76" s="121"/>
      <c r="E76" s="122"/>
      <c r="F76" s="122"/>
      <c r="G76" s="122"/>
      <c r="H76" s="122"/>
      <c r="I76" s="122"/>
      <c r="J76" s="122"/>
      <c r="K76" s="122"/>
      <c r="L76" s="122"/>
    </row>
    <row r="77" spans="3:12">
      <c r="C77" s="120"/>
      <c r="D77" s="121"/>
      <c r="E77" s="122"/>
      <c r="F77" s="122"/>
      <c r="G77" s="122"/>
      <c r="H77" s="122"/>
      <c r="I77" s="122"/>
      <c r="J77" s="122"/>
      <c r="K77" s="122"/>
      <c r="L77" s="122"/>
    </row>
    <row r="78" spans="3:12">
      <c r="C78" s="120"/>
      <c r="D78" s="120"/>
      <c r="E78" s="123"/>
      <c r="F78" s="123"/>
      <c r="G78" s="123"/>
      <c r="H78" s="123"/>
      <c r="I78" s="123"/>
      <c r="J78" s="123"/>
      <c r="K78" s="123"/>
      <c r="L78" s="123"/>
    </row>
  </sheetData>
  <mergeCells count="5">
    <mergeCell ref="B1:Q1"/>
    <mergeCell ref="T44:U44"/>
    <mergeCell ref="K47:L47"/>
    <mergeCell ref="D53:E53"/>
    <mergeCell ref="G53:H53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4DC4C-F533-4C40-9F79-EEFC4DFDEE80}">
  <dimension ref="A1:XFD78"/>
  <sheetViews>
    <sheetView workbookViewId="0">
      <pane ySplit="2" topLeftCell="P23" activePane="bottomLeft" state="frozen"/>
      <selection pane="bottomLeft" activeCell="P23" sqref="P23"/>
    </sheetView>
  </sheetViews>
  <sheetFormatPr defaultColWidth="15.85546875" defaultRowHeight="15"/>
  <cols>
    <col min="2" max="2" width="14.85546875" customWidth="1"/>
    <col min="3" max="3" width="20.5703125" customWidth="1"/>
    <col min="4" max="4" width="10.85546875" customWidth="1"/>
    <col min="5" max="5" width="14.28515625" customWidth="1"/>
    <col min="6" max="7" width="10.85546875" customWidth="1"/>
    <col min="8" max="8" width="13.140625" customWidth="1"/>
    <col min="9" max="10" width="10.85546875" customWidth="1"/>
    <col min="11" max="11" width="17.85546875" customWidth="1"/>
    <col min="12" max="16" width="10.85546875" customWidth="1"/>
    <col min="17" max="17" width="12.28515625" customWidth="1"/>
    <col min="18" max="18" width="29.140625" bestFit="1" customWidth="1"/>
    <col min="19" max="19" width="25.28515625" bestFit="1" customWidth="1"/>
    <col min="20" max="20" width="22.5703125" bestFit="1" customWidth="1"/>
    <col min="21" max="21" width="25.28515625" bestFit="1" customWidth="1"/>
  </cols>
  <sheetData>
    <row r="1" spans="1:20">
      <c r="A1" s="81"/>
      <c r="B1" s="519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</row>
    <row r="2" spans="1:20">
      <c r="A2" s="8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</row>
    <row r="3" spans="1:20">
      <c r="A3" s="83">
        <v>45901</v>
      </c>
      <c r="B3" s="36">
        <f>_xlfn.XLOOKUP(A3,'steel Mint data'!A:A,'steel Mint data'!B:B,"",0)</f>
        <v>43500</v>
      </c>
      <c r="C3" s="36"/>
      <c r="D3" s="36"/>
      <c r="E3" s="36">
        <f>_xlfn.XLOOKUP(A3,'steel Mint data'!A:A,'steel Mint data'!D:D,"",0)</f>
        <v>42100</v>
      </c>
      <c r="F3" s="36">
        <f>_xlfn.XLOOKUP(A3,'steel Mint data'!A:A,'steel Mint data'!E:E,"",0)</f>
        <v>38900</v>
      </c>
      <c r="G3" s="36"/>
      <c r="H3" s="36"/>
      <c r="I3" s="36">
        <f>_xlfn.XLOOKUP(A3,'steel Mint data'!A:A,'steel Mint data'!I:I,"",0)</f>
        <v>41800</v>
      </c>
      <c r="J3" s="36"/>
      <c r="K3" s="36">
        <f>_xlfn.XLOOKUP(A3,'steel Mint data'!A:A,'steel Mint data'!L:L,"",0)</f>
        <v>44100</v>
      </c>
      <c r="L3" s="36"/>
      <c r="M3" s="36"/>
      <c r="N3" s="36"/>
      <c r="O3" s="36"/>
      <c r="P3" s="37">
        <f>_xlfn.XLOOKUP(A3,'steel Mint data'!A:A,'steel Mint data'!Q:Q,"",0)</f>
        <v>39600</v>
      </c>
      <c r="Q3" s="36">
        <f>_xlfn.XLOOKUP(A3,'steel Mint data'!A:A,'steel Mint data'!R:R,"",0)</f>
        <v>39700</v>
      </c>
    </row>
    <row r="4" spans="1:20">
      <c r="A4" s="83">
        <v>45902</v>
      </c>
      <c r="B4" s="36">
        <f>_xlfn.XLOOKUP(A4,'steel Mint data'!A:A,'steel Mint data'!B:B,"",0)</f>
        <v>43400</v>
      </c>
      <c r="C4" s="36"/>
      <c r="D4" s="36"/>
      <c r="E4" s="36">
        <f>_xlfn.XLOOKUP(A4,'steel Mint data'!A:A,'steel Mint data'!D:D,"",0)</f>
        <v>41900</v>
      </c>
      <c r="F4" s="36">
        <f>_xlfn.XLOOKUP(A4,'steel Mint data'!A:A,'steel Mint data'!E:E,"",0)</f>
        <v>38800</v>
      </c>
      <c r="G4" s="36"/>
      <c r="H4" s="36"/>
      <c r="I4" s="36">
        <f>_xlfn.XLOOKUP(A4,'steel Mint data'!A:A,'steel Mint data'!I:I,"",0)</f>
        <v>41500</v>
      </c>
      <c r="J4" s="36"/>
      <c r="K4" s="36">
        <f>_xlfn.XLOOKUP(A4,'steel Mint data'!A:A,'steel Mint data'!L:L,"",0)</f>
        <v>43900</v>
      </c>
      <c r="L4" s="36"/>
      <c r="M4" s="36"/>
      <c r="N4" s="36"/>
      <c r="O4" s="36"/>
      <c r="P4" s="37">
        <f>_xlfn.XLOOKUP(A4,'steel Mint data'!A:A,'steel Mint data'!Q:Q,"",0)</f>
        <v>39400</v>
      </c>
      <c r="Q4" s="36">
        <f>_xlfn.XLOOKUP(A4,'steel Mint data'!A:A,'steel Mint data'!R:R,"",0)</f>
        <v>39700</v>
      </c>
    </row>
    <row r="5" spans="1:20">
      <c r="A5" s="83">
        <v>45903</v>
      </c>
      <c r="B5" s="36">
        <f>_xlfn.XLOOKUP(A5,'steel Mint data'!A:A,'steel Mint data'!B:B,"",0)</f>
        <v>43200</v>
      </c>
      <c r="C5" s="36"/>
      <c r="D5" s="36"/>
      <c r="E5" s="36">
        <f>_xlfn.XLOOKUP(A5,'steel Mint data'!A:A,'steel Mint data'!D:D,"",0)</f>
        <v>41500</v>
      </c>
      <c r="F5" s="36">
        <f>_xlfn.XLOOKUP(A5,'steel Mint data'!A:A,'steel Mint data'!E:E,"",0)</f>
        <v>38700</v>
      </c>
      <c r="G5" s="36"/>
      <c r="H5" s="36"/>
      <c r="I5" s="36">
        <f>_xlfn.XLOOKUP(A5,'steel Mint data'!A:A,'steel Mint data'!I:I,"",0)</f>
        <v>41300</v>
      </c>
      <c r="J5" s="36"/>
      <c r="K5" s="36">
        <f>_xlfn.XLOOKUP(A5,'steel Mint data'!A:A,'steel Mint data'!L:L,"",0)</f>
        <v>43700</v>
      </c>
      <c r="L5" s="36"/>
      <c r="M5" s="36"/>
      <c r="N5" s="36"/>
      <c r="O5" s="36"/>
      <c r="P5" s="37">
        <f>_xlfn.XLOOKUP(A5,'steel Mint data'!A:A,'steel Mint data'!Q:Q,"",0)</f>
        <v>39300</v>
      </c>
      <c r="Q5" s="36">
        <f>_xlfn.XLOOKUP(A5,'steel Mint data'!A:A,'steel Mint data'!R:R,"",0)</f>
        <v>39500</v>
      </c>
    </row>
    <row r="6" spans="1:20">
      <c r="A6" s="83">
        <v>45904</v>
      </c>
      <c r="B6" s="36">
        <f>_xlfn.XLOOKUP(A6,'steel Mint data'!A:A,'steel Mint data'!B:B,"",0)</f>
        <v>43400</v>
      </c>
      <c r="C6" s="36"/>
      <c r="D6" s="36"/>
      <c r="E6" s="36">
        <f>_xlfn.XLOOKUP(A6,'steel Mint data'!A:A,'steel Mint data'!D:D,"",0)</f>
        <v>41500</v>
      </c>
      <c r="F6" s="36">
        <f>_xlfn.XLOOKUP(A6,'steel Mint data'!A:A,'steel Mint data'!E:E,"",0)</f>
        <v>39100</v>
      </c>
      <c r="G6" s="36"/>
      <c r="H6" s="36"/>
      <c r="I6" s="36">
        <f>_xlfn.XLOOKUP(A6,'steel Mint data'!A:A,'steel Mint data'!I:I,"",0)</f>
        <v>41600</v>
      </c>
      <c r="J6" s="36"/>
      <c r="K6" s="36">
        <f>_xlfn.XLOOKUP(A6,'steel Mint data'!A:A,'steel Mint data'!L:L,"",0)</f>
        <v>43800</v>
      </c>
      <c r="L6" s="36"/>
      <c r="M6" s="36"/>
      <c r="N6" s="36"/>
      <c r="O6" s="36"/>
      <c r="P6" s="37">
        <f>_xlfn.XLOOKUP(A6,'steel Mint data'!A:A,'steel Mint data'!Q:Q,"",0)</f>
        <v>39400</v>
      </c>
      <c r="Q6" s="36">
        <f>_xlfn.XLOOKUP(A6,'steel Mint data'!A:A,'steel Mint data'!R:R,"",0)</f>
        <v>39700</v>
      </c>
    </row>
    <row r="7" spans="1:20">
      <c r="A7" s="83">
        <v>45905</v>
      </c>
      <c r="B7" s="36">
        <f>_xlfn.XLOOKUP(A7,'steel Mint data'!A:A,'steel Mint data'!B:B,"",0)</f>
        <v>43500</v>
      </c>
      <c r="C7" s="36"/>
      <c r="D7" s="36"/>
      <c r="E7" s="36">
        <f>_xlfn.XLOOKUP(A7,'steel Mint data'!A:A,'steel Mint data'!D:D,"",0)</f>
        <v>42000</v>
      </c>
      <c r="F7" s="36">
        <f>_xlfn.XLOOKUP(A7,'steel Mint data'!A:A,'steel Mint data'!E:E,"",0)</f>
        <v>39100</v>
      </c>
      <c r="G7" s="36"/>
      <c r="H7" s="36"/>
      <c r="I7" s="36">
        <f>_xlfn.XLOOKUP(A7,'steel Mint data'!A:A,'steel Mint data'!I:I,"",0)</f>
        <v>42000</v>
      </c>
      <c r="J7" s="36"/>
      <c r="K7" s="36">
        <f>_xlfn.XLOOKUP(A7,'steel Mint data'!A:A,'steel Mint data'!L:L,"",0)</f>
        <v>43600</v>
      </c>
      <c r="L7" s="36"/>
      <c r="M7" s="36"/>
      <c r="N7" s="36"/>
      <c r="O7" s="36"/>
      <c r="P7" s="37">
        <f>_xlfn.XLOOKUP(A7,'steel Mint data'!A:A,'steel Mint data'!Q:Q,"",0)</f>
        <v>39500</v>
      </c>
      <c r="Q7" s="36">
        <f>_xlfn.XLOOKUP(A7,'steel Mint data'!A:A,'steel Mint data'!R:R,"",0)</f>
        <v>39700</v>
      </c>
    </row>
    <row r="8" spans="1:20">
      <c r="A8" s="83">
        <v>45906</v>
      </c>
      <c r="B8" s="36">
        <f>_xlfn.XLOOKUP(A8,'steel Mint data'!A:A,'steel Mint data'!B:B,"",0)</f>
        <v>43500</v>
      </c>
      <c r="C8" s="36"/>
      <c r="D8" s="36"/>
      <c r="E8" s="36">
        <f>_xlfn.XLOOKUP(A8,'steel Mint data'!A:A,'steel Mint data'!D:D,"",0)</f>
        <v>42000</v>
      </c>
      <c r="F8" s="36">
        <f>_xlfn.XLOOKUP(A8,'steel Mint data'!A:A,'steel Mint data'!E:E,"",0)</f>
        <v>39300</v>
      </c>
      <c r="G8" s="36"/>
      <c r="H8" s="36"/>
      <c r="I8" s="36">
        <f>_xlfn.XLOOKUP(A8,'steel Mint data'!A:A,'steel Mint data'!I:I,"",0)</f>
        <v>42200</v>
      </c>
      <c r="J8" s="36"/>
      <c r="K8" s="36">
        <f>_xlfn.XLOOKUP(A8,'steel Mint data'!A:A,'steel Mint data'!L:L,"",0)</f>
        <v>44000</v>
      </c>
      <c r="L8" s="36"/>
      <c r="M8" s="36"/>
      <c r="N8" s="36"/>
      <c r="O8" s="36"/>
      <c r="P8" s="37">
        <f>_xlfn.XLOOKUP(A8,'steel Mint data'!A:A,'steel Mint data'!Q:Q,"",0)</f>
        <v>39700</v>
      </c>
      <c r="Q8" s="36">
        <f>_xlfn.XLOOKUP(A8,'steel Mint data'!A:A,'steel Mint data'!R:R,"",0)</f>
        <v>39700</v>
      </c>
    </row>
    <row r="9" spans="1:20">
      <c r="A9" s="83">
        <v>45907</v>
      </c>
      <c r="B9" s="36" t="str">
        <f>_xlfn.XLOOKUP(A9,'steel Mint data'!A:A,'steel Mint data'!B:B,"",0)</f>
        <v>H</v>
      </c>
      <c r="C9" s="36"/>
      <c r="D9" s="36"/>
      <c r="E9" s="36" t="str">
        <f>_xlfn.XLOOKUP(A9,'steel Mint data'!A:A,'steel Mint data'!D:D,"",0)</f>
        <v>H</v>
      </c>
      <c r="F9" s="36" t="str">
        <f>_xlfn.XLOOKUP(A9,'steel Mint data'!A:A,'steel Mint data'!E:E,"",0)</f>
        <v>H</v>
      </c>
      <c r="G9" s="36"/>
      <c r="H9" s="36"/>
      <c r="I9" s="36" t="str">
        <f>_xlfn.XLOOKUP(A9,'steel Mint data'!A:A,'steel Mint data'!I:I,"",0)</f>
        <v>H</v>
      </c>
      <c r="J9" s="36"/>
      <c r="K9" s="36" t="str">
        <f>_xlfn.XLOOKUP(A9,'steel Mint data'!A:A,'steel Mint data'!L:L,"",0)</f>
        <v>H</v>
      </c>
      <c r="L9" s="36"/>
      <c r="M9" s="36"/>
      <c r="N9" s="36"/>
      <c r="O9" s="36"/>
      <c r="P9" s="37" t="str">
        <f>_xlfn.XLOOKUP(A9,'steel Mint data'!A:A,'steel Mint data'!Q:Q,"",0)</f>
        <v>H</v>
      </c>
      <c r="Q9" s="36" t="str">
        <f>_xlfn.XLOOKUP(A9,'steel Mint data'!A:A,'steel Mint data'!R:R,"",0)</f>
        <v>H</v>
      </c>
    </row>
    <row r="10" spans="1:20">
      <c r="A10" s="83">
        <v>45908</v>
      </c>
      <c r="B10" s="36">
        <f>_xlfn.XLOOKUP(A10,'steel Mint data'!A:A,'steel Mint data'!B:B,"",0)</f>
        <v>43800</v>
      </c>
      <c r="C10" s="36"/>
      <c r="D10" s="36"/>
      <c r="E10" s="36">
        <f>_xlfn.XLOOKUP(A10,'steel Mint data'!A:A,'steel Mint data'!D:D,"",0)</f>
        <v>42800</v>
      </c>
      <c r="F10" s="36">
        <f>_xlfn.XLOOKUP(A10,'steel Mint data'!A:A,'steel Mint data'!E:E,"",0)</f>
        <v>39550</v>
      </c>
      <c r="G10" s="36"/>
      <c r="H10" s="36"/>
      <c r="I10" s="36">
        <f>_xlfn.XLOOKUP(A10,'steel Mint data'!A:A,'steel Mint data'!I:I,"",0)</f>
        <v>42700</v>
      </c>
      <c r="J10" s="36"/>
      <c r="K10" s="36">
        <f>_xlfn.XLOOKUP(A10,'steel Mint data'!A:A,'steel Mint data'!L:L,"",0)</f>
        <v>44200</v>
      </c>
      <c r="L10" s="36"/>
      <c r="M10" s="36"/>
      <c r="N10" s="36"/>
      <c r="O10" s="36"/>
      <c r="P10" s="37">
        <f>_xlfn.XLOOKUP(A10,'steel Mint data'!A:A,'steel Mint data'!Q:Q,"",0)</f>
        <v>40000</v>
      </c>
      <c r="Q10" s="36">
        <f>_xlfn.XLOOKUP(A10,'steel Mint data'!A:A,'steel Mint data'!R:R,"",0)</f>
        <v>39900</v>
      </c>
      <c r="R10" s="33"/>
    </row>
    <row r="11" spans="1:20">
      <c r="A11" s="83">
        <v>45909</v>
      </c>
      <c r="B11" s="36">
        <f>_xlfn.XLOOKUP(A11,'steel Mint data'!A:A,'steel Mint data'!B:B,"",0)</f>
        <v>43800</v>
      </c>
      <c r="C11" s="36"/>
      <c r="D11" s="36"/>
      <c r="E11" s="36">
        <f>_xlfn.XLOOKUP(A11,'steel Mint data'!A:A,'steel Mint data'!D:D,"",0)</f>
        <v>43500</v>
      </c>
      <c r="F11" s="36">
        <f>_xlfn.XLOOKUP(A11,'steel Mint data'!A:A,'steel Mint data'!E:E,"",0)</f>
        <v>39450</v>
      </c>
      <c r="G11" s="36"/>
      <c r="H11" s="36"/>
      <c r="I11" s="36">
        <f>_xlfn.XLOOKUP(A11,'steel Mint data'!A:A,'steel Mint data'!I:I,"",0)</f>
        <v>42400</v>
      </c>
      <c r="J11" s="36"/>
      <c r="K11" s="36">
        <f>_xlfn.XLOOKUP(A11,'steel Mint data'!A:A,'steel Mint data'!L:L,"",0)</f>
        <v>44400</v>
      </c>
      <c r="L11" s="36"/>
      <c r="M11" s="36"/>
      <c r="N11" s="36"/>
      <c r="O11" s="36"/>
      <c r="P11" s="37">
        <f>_xlfn.XLOOKUP(A11,'steel Mint data'!A:A,'steel Mint data'!Q:Q,"",0)</f>
        <v>40200</v>
      </c>
      <c r="Q11" s="36">
        <f>_xlfn.XLOOKUP(A11,'steel Mint data'!A:A,'steel Mint data'!R:R,"",0)</f>
        <v>40100</v>
      </c>
      <c r="R11" t="s">
        <v>140</v>
      </c>
    </row>
    <row r="12" spans="1:20">
      <c r="A12" s="83">
        <v>45910</v>
      </c>
      <c r="B12" s="36">
        <f>_xlfn.XLOOKUP(A12,'steel Mint data'!A:A,'steel Mint data'!B:B,"",0)</f>
        <v>43800</v>
      </c>
      <c r="C12" s="36"/>
      <c r="D12" s="36"/>
      <c r="E12" s="36">
        <f>_xlfn.XLOOKUP(A12,'steel Mint data'!A:A,'steel Mint data'!D:D,"",0)</f>
        <v>43200</v>
      </c>
      <c r="F12" s="36">
        <f>_xlfn.XLOOKUP(A12,'steel Mint data'!A:A,'steel Mint data'!E:E,"",0)</f>
        <v>39300</v>
      </c>
      <c r="G12" s="36"/>
      <c r="H12" s="36"/>
      <c r="I12" s="36">
        <f>_xlfn.XLOOKUP(A12,'steel Mint data'!A:A,'steel Mint data'!I:I,"",0)</f>
        <v>42200</v>
      </c>
      <c r="J12" s="36"/>
      <c r="K12" s="36">
        <f>_xlfn.XLOOKUP(A12,'steel Mint data'!A:A,'steel Mint data'!L:L,"",0)</f>
        <v>44400</v>
      </c>
      <c r="L12" s="36"/>
      <c r="M12" s="36"/>
      <c r="N12" s="36"/>
      <c r="O12" s="36"/>
      <c r="P12" s="37">
        <f>_xlfn.XLOOKUP(A12,'steel Mint data'!A:A,'steel Mint data'!Q:Q,"",0)</f>
        <v>39900</v>
      </c>
      <c r="Q12" s="36">
        <f>_xlfn.XLOOKUP(A12,'steel Mint data'!A:A,'steel Mint data'!R:R,"",0)</f>
        <v>40100</v>
      </c>
    </row>
    <row r="13" spans="1:20">
      <c r="A13" s="83">
        <v>45911</v>
      </c>
      <c r="B13" s="36">
        <f>_xlfn.XLOOKUP(A13,'steel Mint data'!A:A,'steel Mint data'!B:B,"",0)</f>
        <v>43600</v>
      </c>
      <c r="C13" s="36"/>
      <c r="D13" s="36"/>
      <c r="E13" s="36">
        <f>_xlfn.XLOOKUP(A13,'steel Mint data'!A:A,'steel Mint data'!D:D,"",0)</f>
        <v>42800</v>
      </c>
      <c r="F13" s="36">
        <f>_xlfn.XLOOKUP(A13,'steel Mint data'!A:A,'steel Mint data'!E:E,"",0)</f>
        <v>39200</v>
      </c>
      <c r="G13" s="36"/>
      <c r="H13" s="36"/>
      <c r="I13" s="36">
        <f>_xlfn.XLOOKUP(A13,'steel Mint data'!A:A,'steel Mint data'!I:I,"",0)</f>
        <v>42000</v>
      </c>
      <c r="J13" s="36"/>
      <c r="K13" s="36">
        <f>_xlfn.XLOOKUP(A13,'steel Mint data'!A:A,'steel Mint data'!L:L,"",0)</f>
        <v>44200</v>
      </c>
      <c r="L13" s="36"/>
      <c r="M13" s="36"/>
      <c r="N13" s="36"/>
      <c r="O13" s="36"/>
      <c r="P13" s="37">
        <f>_xlfn.XLOOKUP(A13,'steel Mint data'!A:A,'steel Mint data'!Q:Q,"",0)</f>
        <v>39700</v>
      </c>
      <c r="Q13" s="36">
        <f>_xlfn.XLOOKUP(A13,'steel Mint data'!A:A,'steel Mint data'!R:R,"",0)</f>
        <v>39900</v>
      </c>
      <c r="S13" s="33"/>
    </row>
    <row r="14" spans="1:20">
      <c r="A14" s="83">
        <v>45912</v>
      </c>
      <c r="B14" s="36">
        <f>_xlfn.XLOOKUP(A14,'steel Mint data'!A:A,'steel Mint data'!B:B,"",0)</f>
        <v>43500</v>
      </c>
      <c r="C14" s="36"/>
      <c r="D14" s="36"/>
      <c r="E14" s="36">
        <f>_xlfn.XLOOKUP(A14,'steel Mint data'!A:A,'steel Mint data'!D:D,"",0)</f>
        <v>42500</v>
      </c>
      <c r="F14" s="36">
        <f>_xlfn.XLOOKUP(A14,'steel Mint data'!A:A,'steel Mint data'!E:E,"",0)</f>
        <v>39200</v>
      </c>
      <c r="G14" s="36"/>
      <c r="H14" s="36"/>
      <c r="I14" s="36">
        <f>_xlfn.XLOOKUP(A14,'steel Mint data'!A:A,'steel Mint data'!I:I,"",0)</f>
        <v>42000</v>
      </c>
      <c r="J14" s="36"/>
      <c r="K14" s="36">
        <f>_xlfn.XLOOKUP(A14,'steel Mint data'!A:A,'steel Mint data'!L:L,"",0)</f>
        <v>44100</v>
      </c>
      <c r="L14" s="36"/>
      <c r="M14" s="36"/>
      <c r="N14" s="36"/>
      <c r="O14" s="36"/>
      <c r="P14" s="37">
        <f>_xlfn.XLOOKUP(A14,'steel Mint data'!A:A,'steel Mint data'!Q:Q,"",0)</f>
        <v>39700</v>
      </c>
      <c r="Q14" s="36">
        <f>_xlfn.XLOOKUP(A14,'steel Mint data'!A:A,'steel Mint data'!R:R,"",0)</f>
        <v>39900</v>
      </c>
      <c r="S14" s="33"/>
      <c r="T14" s="33"/>
    </row>
    <row r="15" spans="1:20">
      <c r="A15" s="83">
        <v>45913</v>
      </c>
      <c r="B15" s="36">
        <f>_xlfn.XLOOKUP(A15,'steel Mint data'!A:A,'steel Mint data'!B:B,"",0)</f>
        <v>43500</v>
      </c>
      <c r="C15" s="36"/>
      <c r="D15" s="36"/>
      <c r="E15" s="36">
        <f>_xlfn.XLOOKUP(A15,'steel Mint data'!A:A,'steel Mint data'!D:D,"",0)</f>
        <v>42400</v>
      </c>
      <c r="F15" s="36">
        <f>_xlfn.XLOOKUP(A15,'steel Mint data'!A:A,'steel Mint data'!E:E,"",0)</f>
        <v>39200</v>
      </c>
      <c r="G15" s="36"/>
      <c r="H15" s="36"/>
      <c r="I15" s="36">
        <f>_xlfn.XLOOKUP(A15,'steel Mint data'!A:A,'steel Mint data'!I:I,"",0)</f>
        <v>42200</v>
      </c>
      <c r="J15" s="36"/>
      <c r="K15" s="36">
        <f>_xlfn.XLOOKUP(A15,'steel Mint data'!A:A,'steel Mint data'!L:L,"",0)</f>
        <v>44100</v>
      </c>
      <c r="L15" s="36"/>
      <c r="M15" s="36"/>
      <c r="N15" s="36"/>
      <c r="O15" s="36"/>
      <c r="P15" s="37">
        <f>_xlfn.XLOOKUP(A15,'steel Mint data'!A:A,'steel Mint data'!Q:Q,"",0)</f>
        <v>39700</v>
      </c>
      <c r="Q15" s="36">
        <f>_xlfn.XLOOKUP(A15,'steel Mint data'!A:A,'steel Mint data'!R:R,"",0)</f>
        <v>39900</v>
      </c>
      <c r="R15" s="33"/>
      <c r="S15" s="33"/>
      <c r="T15" s="33"/>
    </row>
    <row r="16" spans="1:20">
      <c r="A16" s="83">
        <v>45914</v>
      </c>
      <c r="B16" s="36" t="str">
        <f>_xlfn.XLOOKUP(A16,'steel Mint data'!A:A,'steel Mint data'!B:B,"",0)</f>
        <v>H</v>
      </c>
      <c r="C16" s="36"/>
      <c r="D16" s="36"/>
      <c r="E16" s="36" t="str">
        <f>_xlfn.XLOOKUP(A16,'steel Mint data'!A:A,'steel Mint data'!D:D,"",0)</f>
        <v>H</v>
      </c>
      <c r="F16" s="36" t="str">
        <f>_xlfn.XLOOKUP(A16,'steel Mint data'!A:A,'steel Mint data'!E:E,"",0)</f>
        <v>H</v>
      </c>
      <c r="G16" s="36"/>
      <c r="H16" s="36"/>
      <c r="I16" s="36" t="str">
        <f>_xlfn.XLOOKUP(A16,'steel Mint data'!A:A,'steel Mint data'!I:I,"",0)</f>
        <v>H</v>
      </c>
      <c r="J16" s="36"/>
      <c r="K16" s="36" t="str">
        <f>_xlfn.XLOOKUP(A16,'steel Mint data'!A:A,'steel Mint data'!L:L,"",0)</f>
        <v>H</v>
      </c>
      <c r="L16" s="36"/>
      <c r="M16" s="36"/>
      <c r="N16" s="36"/>
      <c r="O16" s="36"/>
      <c r="P16" s="37" t="str">
        <f>_xlfn.XLOOKUP(A16,'steel Mint data'!A:A,'steel Mint data'!Q:Q,"",0)</f>
        <v>H</v>
      </c>
      <c r="Q16" s="36" t="str">
        <f>_xlfn.XLOOKUP(A16,'steel Mint data'!A:A,'steel Mint data'!R:R,"",0)</f>
        <v>H</v>
      </c>
      <c r="R16" s="33"/>
      <c r="S16" s="33"/>
      <c r="T16" s="33"/>
    </row>
    <row r="17" spans="1:21">
      <c r="A17" s="83">
        <v>45915</v>
      </c>
      <c r="B17" s="36">
        <f>_xlfn.XLOOKUP(A17,'steel Mint data'!A:A,'steel Mint data'!B:B,"",0)</f>
        <v>43500</v>
      </c>
      <c r="C17" s="36"/>
      <c r="D17" s="36"/>
      <c r="E17" s="36">
        <f>_xlfn.XLOOKUP(A17,'steel Mint data'!A:A,'steel Mint data'!D:D,"",0)</f>
        <v>42400</v>
      </c>
      <c r="F17" s="36">
        <f>_xlfn.XLOOKUP(A17,'steel Mint data'!A:A,'steel Mint data'!E:E,"",0)</f>
        <v>38900</v>
      </c>
      <c r="G17" s="36"/>
      <c r="H17" s="36"/>
      <c r="I17" s="36">
        <f>_xlfn.XLOOKUP(A17,'steel Mint data'!A:A,'steel Mint data'!I:I,"",0)</f>
        <v>42200</v>
      </c>
      <c r="J17" s="36"/>
      <c r="K17" s="36">
        <f>_xlfn.XLOOKUP(A17,'steel Mint data'!A:A,'steel Mint data'!L:L,"",0)</f>
        <v>44100</v>
      </c>
      <c r="L17" s="36"/>
      <c r="M17" s="36"/>
      <c r="N17" s="36"/>
      <c r="O17" s="36"/>
      <c r="P17" s="37">
        <f>_xlfn.XLOOKUP(A17,'steel Mint data'!A:A,'steel Mint data'!Q:Q,"",0)</f>
        <v>39600</v>
      </c>
      <c r="Q17" s="36">
        <f>_xlfn.XLOOKUP(A17,'steel Mint data'!A:A,'steel Mint data'!R:R,"",0)</f>
        <v>39700</v>
      </c>
    </row>
    <row r="18" spans="1:21">
      <c r="A18" s="83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7"/>
      <c r="Q18" s="36"/>
      <c r="S18" s="33"/>
      <c r="T18" s="33"/>
    </row>
    <row r="19" spans="1:21">
      <c r="A19" s="83"/>
      <c r="B19" s="15">
        <f>SUM(B3:B18)</f>
        <v>566000</v>
      </c>
      <c r="C19" s="14"/>
      <c r="D19" s="14"/>
      <c r="E19" s="15">
        <f>SUM(E3:E18)</f>
        <v>550600</v>
      </c>
      <c r="F19" s="15">
        <f>SUM(F3:F18)</f>
        <v>508700</v>
      </c>
      <c r="G19" s="14"/>
      <c r="H19" s="14"/>
      <c r="I19" s="15">
        <f>SUM(I3:I18)</f>
        <v>546100</v>
      </c>
      <c r="J19" s="14"/>
      <c r="K19" s="15">
        <f>SUM(K3:K18)</f>
        <v>572600</v>
      </c>
      <c r="L19" s="14"/>
      <c r="M19" s="14"/>
      <c r="N19" s="14"/>
      <c r="O19" s="14"/>
      <c r="P19" s="15">
        <f>SUM(P3:P18)</f>
        <v>515700</v>
      </c>
      <c r="Q19" s="15">
        <f>SUM(Q3:Q18)</f>
        <v>517500</v>
      </c>
      <c r="S19" s="33"/>
      <c r="T19" s="33"/>
    </row>
    <row r="20" spans="1:21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23</v>
      </c>
      <c r="H20" s="16" t="s">
        <v>39</v>
      </c>
      <c r="I20" s="16" t="s">
        <v>46</v>
      </c>
      <c r="J20" s="16" t="s">
        <v>126</v>
      </c>
      <c r="K20" s="14"/>
      <c r="L20" s="19"/>
      <c r="M20" s="19"/>
      <c r="N20" s="19"/>
      <c r="O20" s="14"/>
      <c r="P20" s="14"/>
      <c r="Q20" s="14"/>
      <c r="S20" s="33"/>
      <c r="T20" s="33"/>
    </row>
    <row r="21" spans="1:21">
      <c r="A21" s="17" t="s">
        <v>25</v>
      </c>
      <c r="B21" s="18">
        <f>E19/O21</f>
        <v>42353.846153846156</v>
      </c>
      <c r="C21" s="18">
        <f>P19/O21</f>
        <v>39669.230769230766</v>
      </c>
      <c r="D21" s="18">
        <f>K19/O21</f>
        <v>44046.153846153844</v>
      </c>
      <c r="E21" s="18">
        <f>Q19/O21</f>
        <v>39807.692307692305</v>
      </c>
      <c r="F21" s="18">
        <f>C21</f>
        <v>39669.230769230766</v>
      </c>
      <c r="G21" s="18">
        <f>B21-800</f>
        <v>41553.846153846156</v>
      </c>
      <c r="H21" s="18">
        <f>I19/O21</f>
        <v>42007.692307692305</v>
      </c>
      <c r="I21" s="18">
        <f>B19/O21</f>
        <v>43538.461538461539</v>
      </c>
      <c r="J21" s="18">
        <f>F19/O21</f>
        <v>39130.769230769234</v>
      </c>
      <c r="K21" s="19"/>
      <c r="L21" s="19"/>
      <c r="M21" s="146"/>
      <c r="N21" s="19"/>
      <c r="O21" s="20">
        <f>COUNT(P3:P18)</f>
        <v>13</v>
      </c>
      <c r="P21" s="21"/>
      <c r="Q21" s="19"/>
      <c r="R21" s="33"/>
      <c r="S21" s="33"/>
      <c r="T21" s="33"/>
    </row>
    <row r="22" spans="1:21">
      <c r="A22" s="17" t="s">
        <v>26</v>
      </c>
      <c r="B22" s="18">
        <v>1200</v>
      </c>
      <c r="C22" s="18">
        <v>2150</v>
      </c>
      <c r="D22" s="18">
        <v>400</v>
      </c>
      <c r="E22" s="18">
        <v>2200</v>
      </c>
      <c r="F22" s="18">
        <v>1800</v>
      </c>
      <c r="G22" s="18">
        <v>1200</v>
      </c>
      <c r="H22" s="18">
        <v>800</v>
      </c>
      <c r="I22" s="18">
        <v>0</v>
      </c>
      <c r="J22" s="18">
        <v>2000</v>
      </c>
      <c r="K22" s="69"/>
      <c r="L22" s="19"/>
      <c r="M22" s="146"/>
      <c r="N22" s="19"/>
      <c r="O22" s="48"/>
      <c r="P22" s="48"/>
      <c r="Q22" s="176"/>
      <c r="R22" s="49">
        <f>43000-1400-F24</f>
        <v>-144.23076923076587</v>
      </c>
      <c r="S22" s="49"/>
      <c r="T22" s="49"/>
    </row>
    <row r="23" spans="1:21">
      <c r="A23" s="17" t="s">
        <v>27</v>
      </c>
      <c r="B23" s="18">
        <v>200</v>
      </c>
      <c r="C23" s="18">
        <v>265</v>
      </c>
      <c r="D23" s="18">
        <v>250</v>
      </c>
      <c r="E23" s="18">
        <v>275</v>
      </c>
      <c r="F23" s="18">
        <v>275</v>
      </c>
      <c r="G23" s="18">
        <v>200</v>
      </c>
      <c r="H23" s="18">
        <v>270</v>
      </c>
      <c r="I23" s="18">
        <v>200</v>
      </c>
      <c r="J23" s="18">
        <v>270</v>
      </c>
      <c r="K23" s="69"/>
      <c r="L23" s="19"/>
      <c r="M23" s="69"/>
      <c r="N23" s="48"/>
      <c r="O23" s="48"/>
      <c r="P23" s="48">
        <f>45000-3000-F24</f>
        <v>255.76923076923413</v>
      </c>
      <c r="Q23" s="48"/>
      <c r="R23" s="49"/>
      <c r="S23" s="48" t="s">
        <v>127</v>
      </c>
      <c r="T23" s="49"/>
    </row>
    <row r="24" spans="1:21" ht="24.75">
      <c r="A24" s="22" t="s">
        <v>28</v>
      </c>
      <c r="B24" s="18">
        <f>SUM(B21:B23)</f>
        <v>43753.846153846156</v>
      </c>
      <c r="C24" s="18">
        <f>SUM(C21:C23)</f>
        <v>42084.230769230766</v>
      </c>
      <c r="D24" s="18">
        <f>SUM(D21:D23)</f>
        <v>44696.153846153844</v>
      </c>
      <c r="E24" s="18">
        <f>SUM(E21:E23)</f>
        <v>42282.692307692305</v>
      </c>
      <c r="F24" s="18">
        <f>SUM(F21:F23)</f>
        <v>41744.230769230766</v>
      </c>
      <c r="G24" s="18">
        <f>SUM(G21:G23)</f>
        <v>42953.846153846156</v>
      </c>
      <c r="H24" s="18">
        <f>SUM(H21:H23)</f>
        <v>43077.692307692305</v>
      </c>
      <c r="I24" s="18">
        <f>SUM(I21:I23)</f>
        <v>43738.461538461539</v>
      </c>
      <c r="J24" s="18">
        <f>SUM(J21:J23)</f>
        <v>41400.769230769234</v>
      </c>
      <c r="K24" s="69"/>
      <c r="L24" s="219"/>
      <c r="M24" s="69"/>
      <c r="N24" s="48"/>
      <c r="O24" s="48"/>
      <c r="P24" s="48">
        <f>45000-3000-F25</f>
        <v>25</v>
      </c>
      <c r="Q24" s="176"/>
      <c r="R24" s="49"/>
      <c r="S24" s="49">
        <f>45000-3450-1000-F24</f>
        <v>-1194.2307692307659</v>
      </c>
      <c r="T24" s="49"/>
    </row>
    <row r="25" spans="1:21">
      <c r="A25" s="22" t="s">
        <v>29</v>
      </c>
      <c r="B25" s="18">
        <v>45100</v>
      </c>
      <c r="C25" s="18">
        <v>42315</v>
      </c>
      <c r="D25" s="18">
        <v>46150</v>
      </c>
      <c r="E25" s="23"/>
      <c r="F25" s="18">
        <v>41975</v>
      </c>
      <c r="G25" s="18">
        <v>44300</v>
      </c>
      <c r="H25" s="18"/>
      <c r="I25" s="18">
        <v>44300</v>
      </c>
      <c r="J25" s="18">
        <v>42470</v>
      </c>
      <c r="K25" s="48"/>
      <c r="L25" s="48"/>
      <c r="M25" s="69"/>
      <c r="N25" s="174"/>
      <c r="O25" s="48">
        <f>46000-1800-1000-G24</f>
        <v>246.15384615384392</v>
      </c>
      <c r="P25" s="48"/>
      <c r="Q25" s="48"/>
      <c r="R25" s="49"/>
      <c r="S25" s="49">
        <f>45000-3450-1000-F25</f>
        <v>-1425</v>
      </c>
      <c r="T25" s="49"/>
    </row>
    <row r="26" spans="1:21">
      <c r="A26" s="22" t="s">
        <v>30</v>
      </c>
      <c r="B26" s="18">
        <f>B24-B25</f>
        <v>-1346.1538461538439</v>
      </c>
      <c r="C26" s="18">
        <f>C24-C25</f>
        <v>-230.76923076923413</v>
      </c>
      <c r="D26" s="18">
        <f>D24-D25</f>
        <v>-1453.8461538461561</v>
      </c>
      <c r="E26" s="18">
        <f>E24-E25</f>
        <v>42282.692307692305</v>
      </c>
      <c r="F26" s="18">
        <f>F24-F25</f>
        <v>-230.76923076923413</v>
      </c>
      <c r="G26" s="18">
        <f>G24-G25</f>
        <v>-1346.1538461538439</v>
      </c>
      <c r="H26" s="18">
        <f>H24-H25</f>
        <v>43077.692307692305</v>
      </c>
      <c r="I26" s="18">
        <f>I24-I25</f>
        <v>-561.53846153846098</v>
      </c>
      <c r="J26" s="18">
        <f>J24-J25</f>
        <v>-1069.2307692307659</v>
      </c>
      <c r="K26" s="48"/>
      <c r="L26" s="48"/>
      <c r="M26" s="69"/>
      <c r="N26" s="174"/>
      <c r="O26" s="48"/>
      <c r="P26" s="48"/>
      <c r="Q26" s="48"/>
      <c r="R26" s="49"/>
      <c r="S26" s="49"/>
      <c r="T26" s="49"/>
    </row>
    <row r="27" spans="1:21">
      <c r="A27" s="14"/>
      <c r="B27" s="19">
        <f>B25-2500</f>
        <v>42600</v>
      </c>
      <c r="C27" s="14"/>
      <c r="D27" s="14"/>
      <c r="E27" s="14"/>
      <c r="F27" s="14"/>
      <c r="G27" s="19">
        <f>G25-2500</f>
        <v>41800</v>
      </c>
      <c r="H27" s="14"/>
      <c r="I27" s="14"/>
      <c r="J27" s="14"/>
      <c r="K27" s="48"/>
      <c r="L27" s="48"/>
      <c r="M27" s="69"/>
      <c r="N27" s="174">
        <f>46500-2250-1000-G24</f>
        <v>296.15384615384392</v>
      </c>
      <c r="O27" s="48"/>
      <c r="P27" s="48"/>
      <c r="Q27" s="48"/>
      <c r="R27" s="49"/>
      <c r="S27" s="49"/>
      <c r="T27" s="49"/>
    </row>
    <row r="28" spans="1:21">
      <c r="A28" s="22" t="s">
        <v>31</v>
      </c>
      <c r="B28" s="23">
        <v>48300</v>
      </c>
      <c r="C28" s="23">
        <v>45550</v>
      </c>
      <c r="D28" s="18">
        <v>48800</v>
      </c>
      <c r="E28" s="18">
        <v>45550</v>
      </c>
      <c r="F28" s="18">
        <v>45550</v>
      </c>
      <c r="G28" s="18">
        <v>47500</v>
      </c>
      <c r="H28" s="18">
        <v>47800</v>
      </c>
      <c r="I28" s="18">
        <v>48300</v>
      </c>
      <c r="J28" s="18"/>
      <c r="K28" s="48"/>
      <c r="L28" s="48"/>
      <c r="M28" s="48"/>
      <c r="N28" s="48"/>
      <c r="O28" s="48"/>
      <c r="P28" s="48"/>
      <c r="Q28" s="48"/>
      <c r="R28" s="49"/>
      <c r="S28" s="49"/>
      <c r="T28" s="49"/>
    </row>
    <row r="29" spans="1:21">
      <c r="A29" s="22" t="s">
        <v>32</v>
      </c>
      <c r="B29" s="26">
        <f>B28-500-(200+300+300)-250-400</f>
        <v>46350</v>
      </c>
      <c r="C29" s="26">
        <f>C28-500-(200+300+300)-250-400</f>
        <v>43600</v>
      </c>
      <c r="D29" s="26">
        <f>D28-500-(200+300+300)-250-400</f>
        <v>46850</v>
      </c>
      <c r="E29" s="26">
        <f>E28-500-(200+300+300)-250-400</f>
        <v>43600</v>
      </c>
      <c r="F29" s="26">
        <f>F28-500-(200+300+300)-250-400</f>
        <v>43600</v>
      </c>
      <c r="G29" s="26">
        <f>G28-500-(200+300+300)-250-400</f>
        <v>45550</v>
      </c>
      <c r="H29" s="26">
        <f>H28-500-(200+300+300)-250-400</f>
        <v>45850</v>
      </c>
      <c r="I29" s="26">
        <f>I28-500-(200+300+300)-250-400</f>
        <v>46350</v>
      </c>
      <c r="J29" s="26"/>
      <c r="K29" s="48"/>
      <c r="L29" s="48"/>
      <c r="M29" s="48"/>
      <c r="N29" s="48"/>
      <c r="O29" s="48"/>
      <c r="P29" s="48"/>
      <c r="Q29" s="48"/>
      <c r="R29" s="49"/>
      <c r="S29" s="49"/>
      <c r="T29" s="49"/>
    </row>
    <row r="30" spans="1:21">
      <c r="A30" s="25" t="s">
        <v>33</v>
      </c>
      <c r="B30" s="18">
        <f>B29-B24</f>
        <v>2596.1538461538439</v>
      </c>
      <c r="C30" s="18">
        <f>C29-C24</f>
        <v>1515.7692307692341</v>
      </c>
      <c r="D30" s="18">
        <f>D29-D24</f>
        <v>2153.8461538461561</v>
      </c>
      <c r="E30" s="18">
        <f>E29-E24</f>
        <v>1317.3076923076951</v>
      </c>
      <c r="F30" s="18">
        <f>F29-F24</f>
        <v>1855.7692307692341</v>
      </c>
      <c r="G30" s="18">
        <f>G29-G24</f>
        <v>2596.1538461538439</v>
      </c>
      <c r="H30" s="18">
        <f>H29-H24</f>
        <v>2772.3076923076951</v>
      </c>
      <c r="I30" s="18">
        <f>I29-I24</f>
        <v>2611.538461538461</v>
      </c>
      <c r="J30" s="18"/>
      <c r="K30" s="48"/>
      <c r="L30" s="48"/>
      <c r="M30" s="48"/>
      <c r="N30" s="48"/>
      <c r="O30" s="48"/>
      <c r="P30" s="48"/>
      <c r="Q30" s="48"/>
      <c r="R30" s="49"/>
      <c r="S30" s="49"/>
      <c r="T30" s="49"/>
      <c r="U30" s="33"/>
    </row>
    <row r="31" spans="1:21">
      <c r="I31" s="33"/>
      <c r="J31" s="49"/>
      <c r="K31" s="48"/>
      <c r="L31" s="49"/>
      <c r="M31" s="48"/>
      <c r="N31" s="48"/>
      <c r="O31" s="48"/>
      <c r="P31" s="48"/>
      <c r="Q31" s="49"/>
      <c r="R31" s="49"/>
      <c r="S31" s="49"/>
      <c r="T31" s="49"/>
      <c r="U31" s="33"/>
    </row>
    <row r="32" spans="1:21">
      <c r="B32" s="33"/>
      <c r="C32" s="33">
        <f>G24+1000+2000</f>
        <v>45953.846153846156</v>
      </c>
      <c r="D32" s="33"/>
      <c r="E32" s="33">
        <f>45000-1750-G24-1000</f>
        <v>-703.84615384615608</v>
      </c>
      <c r="F32" s="33"/>
      <c r="G32" s="33">
        <f>45200-G24-1000-1200</f>
        <v>46.153846153843915</v>
      </c>
      <c r="H32" s="33">
        <f>F24+3000</f>
        <v>44744.230769230766</v>
      </c>
      <c r="I32" s="33"/>
      <c r="J32" s="49"/>
      <c r="K32" s="49"/>
      <c r="L32" s="49"/>
      <c r="M32" s="48"/>
      <c r="N32" s="49"/>
      <c r="O32" s="48"/>
      <c r="P32" s="49"/>
      <c r="Q32" s="49"/>
      <c r="R32" s="49"/>
      <c r="S32" s="49"/>
      <c r="T32" s="49"/>
    </row>
    <row r="33" spans="1:21 16384:16384" ht="22.5" customHeight="1">
      <c r="B33" s="33"/>
      <c r="C33" s="33"/>
      <c r="D33" s="33"/>
      <c r="E33" s="104">
        <f>51500/1.18</f>
        <v>43644.067796610172</v>
      </c>
      <c r="F33" s="33">
        <f>42200*1.18</f>
        <v>49796</v>
      </c>
      <c r="G33" s="33">
        <f>51500/0.18</f>
        <v>286111.11111111112</v>
      </c>
      <c r="H33" s="33">
        <f>45500-G24-1000-1000</f>
        <v>546.15384615384392</v>
      </c>
      <c r="I33" s="33"/>
      <c r="J33" s="49"/>
      <c r="K33" s="105"/>
      <c r="L33" s="49"/>
      <c r="M33" s="220"/>
      <c r="N33" s="49"/>
      <c r="O33" s="214"/>
      <c r="P33" s="49"/>
      <c r="Q33" s="105"/>
      <c r="R33" s="49"/>
      <c r="S33" s="49"/>
      <c r="T33" s="49"/>
      <c r="XFD33" s="96" t="s">
        <v>68</v>
      </c>
    </row>
    <row r="34" spans="1:21 16384:16384" ht="15.75">
      <c r="D34" s="33"/>
      <c r="G34" s="33"/>
      <c r="H34" s="33"/>
      <c r="J34" s="49">
        <f>46200-1600-D24</f>
        <v>-96.153846153843915</v>
      </c>
      <c r="K34" s="125"/>
      <c r="L34" s="106"/>
      <c r="M34" s="220">
        <f>45000-700-G25</f>
        <v>0</v>
      </c>
      <c r="N34" s="106"/>
      <c r="O34" s="106"/>
      <c r="P34" s="106"/>
      <c r="Q34" s="106"/>
      <c r="R34" s="49"/>
      <c r="S34" s="49"/>
      <c r="T34" s="49"/>
      <c r="XFD34" s="97">
        <v>43500</v>
      </c>
    </row>
    <row r="35" spans="1:21 16384:16384" ht="15.75">
      <c r="A35" s="39" t="s">
        <v>40</v>
      </c>
      <c r="B35" s="40" t="s">
        <v>49</v>
      </c>
      <c r="C35" s="43"/>
      <c r="D35" s="33"/>
      <c r="E35" s="33"/>
      <c r="F35" s="33"/>
      <c r="H35" s="124"/>
      <c r="I35" s="33"/>
      <c r="J35" s="49"/>
      <c r="K35" s="106"/>
      <c r="L35" s="125"/>
      <c r="M35" s="145"/>
      <c r="N35" s="106"/>
      <c r="O35" s="106"/>
      <c r="P35" s="125">
        <f>45000-700-G24</f>
        <v>1346.1538461538439</v>
      </c>
      <c r="Q35" s="106"/>
      <c r="R35" s="49"/>
      <c r="S35" s="49"/>
      <c r="T35" s="49"/>
      <c r="XFD35" s="97">
        <v>44000</v>
      </c>
    </row>
    <row r="36" spans="1:21 16384:16384" ht="15.75">
      <c r="A36" s="29" t="s">
        <v>42</v>
      </c>
      <c r="B36" s="29">
        <v>46000</v>
      </c>
      <c r="C36" s="43"/>
      <c r="D36" s="33"/>
      <c r="F36" s="112"/>
      <c r="G36" s="218">
        <f>F24+3200</f>
        <v>44944.230769230766</v>
      </c>
      <c r="H36" s="33"/>
      <c r="I36" s="33"/>
      <c r="J36" s="49"/>
      <c r="K36" s="125"/>
      <c r="L36" s="125"/>
      <c r="M36" s="145"/>
      <c r="N36" s="106"/>
      <c r="O36" s="125"/>
      <c r="P36" s="125">
        <f>45000-700-G25</f>
        <v>0</v>
      </c>
      <c r="Q36" s="106"/>
      <c r="R36" s="49"/>
      <c r="S36" s="49"/>
      <c r="T36" s="49"/>
      <c r="XFD36" s="97">
        <v>43500</v>
      </c>
    </row>
    <row r="37" spans="1:21 16384:16384" ht="15.75">
      <c r="A37" s="29" t="s">
        <v>43</v>
      </c>
      <c r="B37" s="29">
        <v>42615</v>
      </c>
      <c r="C37" s="43">
        <f>B37+1250</f>
        <v>43865</v>
      </c>
      <c r="F37" s="113"/>
      <c r="G37" s="170">
        <f>43550-500-200</f>
        <v>42850</v>
      </c>
      <c r="H37" s="167"/>
      <c r="J37" s="49"/>
      <c r="K37" s="106"/>
      <c r="L37" s="106"/>
      <c r="M37" s="106"/>
      <c r="N37" s="106"/>
      <c r="O37" s="106"/>
      <c r="P37" s="106"/>
      <c r="Q37" s="106"/>
      <c r="R37" s="130" t="s">
        <v>115</v>
      </c>
      <c r="S37" s="131" t="s">
        <v>116</v>
      </c>
      <c r="T37" s="131" t="s">
        <v>117</v>
      </c>
      <c r="U37" s="130" t="s">
        <v>118</v>
      </c>
      <c r="XFD37" s="97">
        <v>44000</v>
      </c>
    </row>
    <row r="38" spans="1:21 16384:16384" ht="15.75">
      <c r="A38" s="29" t="s">
        <v>44</v>
      </c>
      <c r="B38" s="29">
        <v>42275</v>
      </c>
      <c r="C38" s="43">
        <f>B38+1000</f>
        <v>43275</v>
      </c>
      <c r="F38" s="112"/>
      <c r="G38" s="170">
        <f>G36-G37</f>
        <v>2094.2307692307659</v>
      </c>
      <c r="H38" s="169"/>
      <c r="J38" s="49"/>
      <c r="K38" s="106"/>
      <c r="L38" s="106"/>
      <c r="M38" s="106"/>
      <c r="N38" s="106"/>
      <c r="O38" s="106"/>
      <c r="P38" s="106"/>
      <c r="Q38" s="106"/>
      <c r="R38" s="129" t="s">
        <v>119</v>
      </c>
      <c r="S38" s="129">
        <v>815</v>
      </c>
      <c r="T38" s="129">
        <v>207</v>
      </c>
      <c r="U38" s="129">
        <f>S38-T38</f>
        <v>608</v>
      </c>
      <c r="XFD38" s="97">
        <v>43000</v>
      </c>
    </row>
    <row r="39" spans="1:21 16384:16384" ht="15.75">
      <c r="A39" s="29" t="s">
        <v>36</v>
      </c>
      <c r="B39" s="29">
        <v>46450</v>
      </c>
      <c r="C39" s="43">
        <f>B39+800</f>
        <v>47250</v>
      </c>
      <c r="D39" s="33"/>
      <c r="E39" s="33"/>
      <c r="F39" s="112"/>
      <c r="G39" s="170"/>
      <c r="H39" s="170"/>
      <c r="J39" s="49"/>
      <c r="K39" s="106"/>
      <c r="L39" s="125"/>
      <c r="M39" s="125"/>
      <c r="N39" s="106"/>
      <c r="O39" s="106"/>
      <c r="P39" s="106"/>
      <c r="Q39" s="106"/>
      <c r="R39" s="129" t="s">
        <v>120</v>
      </c>
      <c r="S39" s="129">
        <v>46000</v>
      </c>
      <c r="T39" s="129">
        <v>46000</v>
      </c>
      <c r="U39" s="29">
        <v>46000</v>
      </c>
      <c r="XFD39" s="97">
        <v>43500</v>
      </c>
    </row>
    <row r="40" spans="1:21 16384:16384" ht="15.75">
      <c r="A40" s="29" t="s">
        <v>37</v>
      </c>
      <c r="B40" s="29">
        <v>45200</v>
      </c>
      <c r="C40" s="43">
        <f>B40+1000</f>
        <v>46200</v>
      </c>
      <c r="F40" s="114"/>
      <c r="G40" s="171"/>
      <c r="H40" s="171"/>
      <c r="J40" s="49"/>
      <c r="K40" s="106"/>
      <c r="L40" s="126"/>
      <c r="M40" s="127"/>
      <c r="N40" s="128"/>
      <c r="O40" s="106"/>
      <c r="P40" s="106"/>
      <c r="Q40" s="106"/>
      <c r="R40" s="129" t="s">
        <v>121</v>
      </c>
      <c r="S40" s="129">
        <v>3300</v>
      </c>
      <c r="T40" s="129">
        <v>1450</v>
      </c>
      <c r="U40" s="29">
        <v>3350</v>
      </c>
      <c r="XFD40" s="97">
        <v>44000</v>
      </c>
    </row>
    <row r="41" spans="1:21 16384:16384" ht="15.75">
      <c r="A41" s="29" t="s">
        <v>45</v>
      </c>
      <c r="B41" s="29">
        <v>44470</v>
      </c>
      <c r="C41" s="43"/>
      <c r="F41" s="114"/>
      <c r="G41" s="172"/>
      <c r="H41" s="172"/>
      <c r="I41" s="33"/>
      <c r="J41" s="49"/>
      <c r="K41" s="106"/>
      <c r="L41" s="106"/>
      <c r="M41" s="106"/>
      <c r="N41" s="106"/>
      <c r="O41" s="106"/>
      <c r="P41" s="106"/>
      <c r="Q41" s="106"/>
      <c r="R41" s="129" t="s">
        <v>122</v>
      </c>
      <c r="S41" s="129">
        <v>1000</v>
      </c>
      <c r="T41" s="129">
        <v>1000</v>
      </c>
      <c r="U41" s="129">
        <v>1250</v>
      </c>
      <c r="XFD41" s="97">
        <v>45000</v>
      </c>
    </row>
    <row r="42" spans="1:21 16384:16384" ht="15.75">
      <c r="A42" s="43" t="s">
        <v>50</v>
      </c>
      <c r="B42" s="43">
        <v>43675</v>
      </c>
      <c r="C42" s="43"/>
      <c r="F42" s="114"/>
      <c r="G42" s="171"/>
      <c r="H42" s="173"/>
      <c r="J42" s="49"/>
      <c r="K42" s="106"/>
      <c r="L42" s="106"/>
      <c r="M42" s="106"/>
      <c r="N42" s="106"/>
      <c r="O42" s="106"/>
      <c r="P42" s="106"/>
      <c r="Q42" s="106"/>
      <c r="R42" s="129" t="s">
        <v>123</v>
      </c>
      <c r="S42" s="129">
        <f>S39-S40-S41</f>
        <v>41700</v>
      </c>
      <c r="T42" s="129">
        <f t="shared" ref="T42:U42" si="0">T39-T40-T41</f>
        <v>43550</v>
      </c>
      <c r="U42" s="129">
        <f t="shared" si="0"/>
        <v>41400</v>
      </c>
      <c r="XFD42" s="97">
        <v>43500</v>
      </c>
    </row>
    <row r="43" spans="1:21 16384:16384" ht="15.75">
      <c r="A43" s="46" t="s">
        <v>46</v>
      </c>
      <c r="B43" s="46">
        <f>44500-1000</f>
        <v>43500</v>
      </c>
      <c r="C43" s="46">
        <f>B43+1000</f>
        <v>44500</v>
      </c>
      <c r="J43" s="49"/>
      <c r="K43" s="106"/>
      <c r="L43" s="106"/>
      <c r="M43" s="106"/>
      <c r="N43" s="106"/>
      <c r="O43" s="106"/>
      <c r="P43" s="106"/>
      <c r="Q43" s="106"/>
      <c r="R43" s="129" t="s">
        <v>124</v>
      </c>
      <c r="S43" s="129">
        <f>S42-F24</f>
        <v>-44.230769230765873</v>
      </c>
      <c r="T43" s="129">
        <f>T42-G24</f>
        <v>596.15384615384392</v>
      </c>
      <c r="U43" s="129">
        <f>U42-C24</f>
        <v>-684.23076923076587</v>
      </c>
      <c r="XFD43" s="97">
        <v>44000</v>
      </c>
    </row>
    <row r="44" spans="1:21 16384:16384" ht="15.75">
      <c r="J44" s="49"/>
      <c r="K44" s="106"/>
      <c r="L44" s="106"/>
      <c r="M44" s="106"/>
      <c r="N44" s="106"/>
      <c r="O44" s="106"/>
      <c r="P44" s="106"/>
      <c r="Q44" s="106"/>
      <c r="R44" s="129" t="s">
        <v>125</v>
      </c>
      <c r="S44" s="129"/>
      <c r="T44" s="525">
        <f>SUMPRODUCT(T43:U43,T38:U38)/SUM(T38:U38)</f>
        <v>-359.0287871637546</v>
      </c>
      <c r="U44" s="525"/>
      <c r="XFD44" s="97">
        <v>44000</v>
      </c>
    </row>
    <row r="45" spans="1:21 16384:16384" ht="15.75">
      <c r="J45" s="49"/>
      <c r="K45" s="106"/>
      <c r="L45" s="106"/>
      <c r="M45" s="106"/>
      <c r="N45" s="106"/>
      <c r="O45" s="106"/>
      <c r="P45" s="106"/>
      <c r="Q45" s="106"/>
      <c r="R45" s="49"/>
      <c r="S45" s="49"/>
      <c r="T45" s="49"/>
      <c r="XFD45" s="97">
        <v>44000</v>
      </c>
    </row>
    <row r="46" spans="1:21 16384:16384" ht="15.75">
      <c r="B46" s="24"/>
      <c r="C46" s="24"/>
      <c r="D46" s="24"/>
      <c r="E46" s="24"/>
      <c r="F46" s="24"/>
      <c r="G46" s="24"/>
      <c r="H46" s="24"/>
      <c r="I46" s="24"/>
      <c r="J46" s="49"/>
      <c r="K46" s="106"/>
      <c r="L46" s="106"/>
      <c r="M46" s="106"/>
      <c r="N46" s="106"/>
      <c r="O46" s="106"/>
      <c r="P46" s="106"/>
      <c r="Q46" s="106"/>
      <c r="R46" s="49"/>
      <c r="S46" s="49"/>
      <c r="T46" s="49"/>
      <c r="XFD46" s="97">
        <v>41000</v>
      </c>
    </row>
    <row r="47" spans="1:21 16384:16384" ht="15.75">
      <c r="B47" s="33"/>
      <c r="C47" s="33"/>
      <c r="D47" s="33"/>
      <c r="E47" s="33"/>
      <c r="F47" s="33"/>
      <c r="G47" s="33"/>
      <c r="H47" s="33"/>
      <c r="I47" s="33"/>
      <c r="K47" s="523"/>
      <c r="L47" s="523"/>
      <c r="M47" s="106"/>
      <c r="N47" s="106"/>
      <c r="O47" s="106"/>
      <c r="P47" s="106"/>
      <c r="Q47" s="106"/>
    </row>
    <row r="49" spans="2:14">
      <c r="B49" s="33"/>
    </row>
    <row r="53" spans="2:14">
      <c r="C53" s="52"/>
      <c r="D53" s="524"/>
      <c r="E53" s="524"/>
      <c r="F53" s="53"/>
      <c r="G53" s="524"/>
      <c r="H53" s="524"/>
      <c r="I53" s="14"/>
    </row>
    <row r="54" spans="2:14">
      <c r="C54" s="115"/>
      <c r="D54" s="109"/>
      <c r="E54" s="109"/>
      <c r="F54" s="52"/>
      <c r="G54" s="109"/>
      <c r="H54" s="109"/>
      <c r="K54" s="110"/>
      <c r="L54" s="110"/>
      <c r="M54" s="110"/>
      <c r="N54" s="110"/>
    </row>
    <row r="55" spans="2:14">
      <c r="C55" s="52"/>
      <c r="D55" s="111"/>
      <c r="E55" s="111"/>
      <c r="F55" s="58"/>
      <c r="G55" s="111"/>
      <c r="H55" s="111"/>
      <c r="L55" s="62"/>
      <c r="M55" s="62"/>
      <c r="N55" s="62"/>
    </row>
    <row r="56" spans="2:14">
      <c r="C56" s="52"/>
      <c r="D56" s="111"/>
      <c r="E56" s="111"/>
      <c r="F56" s="58"/>
      <c r="G56" s="111"/>
      <c r="H56" s="111"/>
      <c r="L56" s="62"/>
      <c r="M56" s="62"/>
      <c r="N56" s="62"/>
    </row>
    <row r="57" spans="2:14">
      <c r="C57" s="52"/>
      <c r="D57" s="111"/>
      <c r="E57" s="111"/>
      <c r="F57" s="58"/>
      <c r="G57" s="111"/>
      <c r="H57" s="111"/>
      <c r="L57" s="62"/>
      <c r="M57" s="62"/>
      <c r="N57" s="62"/>
    </row>
    <row r="58" spans="2:14">
      <c r="C58" s="52"/>
      <c r="D58" s="111"/>
      <c r="E58" s="111"/>
      <c r="F58" s="58"/>
      <c r="G58" s="111"/>
      <c r="H58" s="111"/>
      <c r="L58" s="62"/>
      <c r="M58" s="62"/>
      <c r="N58" s="62"/>
    </row>
    <row r="59" spans="2:14">
      <c r="C59" s="52"/>
      <c r="D59" s="111"/>
      <c r="E59" s="111"/>
      <c r="F59" s="58"/>
      <c r="G59" s="111"/>
      <c r="H59" s="111"/>
      <c r="K59" s="116"/>
      <c r="L59" s="117"/>
      <c r="M59" s="117"/>
      <c r="N59" s="117"/>
    </row>
    <row r="60" spans="2:14">
      <c r="C60" s="52"/>
      <c r="D60" s="111"/>
      <c r="E60" s="111"/>
      <c r="F60" s="58"/>
      <c r="G60" s="111"/>
      <c r="H60" s="111"/>
    </row>
    <row r="61" spans="2:14">
      <c r="C61" s="52"/>
      <c r="D61" s="118"/>
      <c r="E61" s="118"/>
      <c r="F61" s="58"/>
      <c r="G61" s="118"/>
      <c r="H61" s="118"/>
    </row>
    <row r="62" spans="2:14">
      <c r="C62" s="52"/>
      <c r="D62" s="118"/>
      <c r="E62" s="118"/>
      <c r="F62" s="58"/>
      <c r="G62" s="118"/>
      <c r="H62" s="118"/>
    </row>
    <row r="63" spans="2:14">
      <c r="C63" s="119"/>
      <c r="D63" s="118"/>
      <c r="E63" s="118"/>
      <c r="F63" s="58"/>
      <c r="G63" s="118"/>
      <c r="H63" s="118"/>
    </row>
    <row r="73" spans="3:12">
      <c r="C73" s="120"/>
      <c r="D73" s="120"/>
      <c r="E73" s="120"/>
      <c r="F73" s="120"/>
      <c r="G73" s="120"/>
      <c r="H73" s="120"/>
      <c r="I73" s="120"/>
      <c r="J73" s="120"/>
      <c r="K73" s="120"/>
      <c r="L73" s="120"/>
    </row>
    <row r="74" spans="3:12">
      <c r="C74" s="120"/>
      <c r="D74" s="121"/>
      <c r="E74" s="122"/>
      <c r="F74" s="122"/>
      <c r="G74" s="122"/>
      <c r="H74" s="122"/>
      <c r="I74" s="122"/>
      <c r="J74" s="122"/>
      <c r="K74" s="122"/>
      <c r="L74" s="122"/>
    </row>
    <row r="75" spans="3:12">
      <c r="C75" s="120"/>
      <c r="D75" s="121"/>
      <c r="E75" s="122"/>
      <c r="F75" s="122"/>
      <c r="G75" s="122"/>
      <c r="H75" s="122"/>
      <c r="I75" s="122"/>
      <c r="J75" s="122"/>
      <c r="K75" s="122"/>
      <c r="L75" s="122"/>
    </row>
    <row r="76" spans="3:12">
      <c r="C76" s="120"/>
      <c r="D76" s="121"/>
      <c r="E76" s="122"/>
      <c r="F76" s="122"/>
      <c r="G76" s="122"/>
      <c r="H76" s="122"/>
      <c r="I76" s="122"/>
      <c r="J76" s="122"/>
      <c r="K76" s="122"/>
      <c r="L76" s="122"/>
    </row>
    <row r="77" spans="3:12">
      <c r="C77" s="120"/>
      <c r="D77" s="121"/>
      <c r="E77" s="122"/>
      <c r="F77" s="122"/>
      <c r="G77" s="122"/>
      <c r="H77" s="122"/>
      <c r="I77" s="122"/>
      <c r="J77" s="122"/>
      <c r="K77" s="122"/>
      <c r="L77" s="122"/>
    </row>
    <row r="78" spans="3:12">
      <c r="C78" s="120"/>
      <c r="D78" s="120"/>
      <c r="E78" s="123"/>
      <c r="F78" s="123"/>
      <c r="G78" s="123"/>
      <c r="H78" s="123"/>
      <c r="I78" s="123"/>
      <c r="J78" s="123"/>
      <c r="K78" s="123"/>
      <c r="L78" s="123"/>
    </row>
  </sheetData>
  <mergeCells count="5">
    <mergeCell ref="B1:Q1"/>
    <mergeCell ref="T44:U44"/>
    <mergeCell ref="K47:L47"/>
    <mergeCell ref="D53:E53"/>
    <mergeCell ref="G53:H53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2D99-4845-4AFD-B8EB-A241983C273C}">
  <dimension ref="A1:XFD78"/>
  <sheetViews>
    <sheetView workbookViewId="0">
      <pane ySplit="2" topLeftCell="U33" activePane="bottomLeft" state="frozen"/>
      <selection pane="bottomLeft" activeCell="O32" sqref="O32"/>
    </sheetView>
  </sheetViews>
  <sheetFormatPr defaultColWidth="15.85546875" defaultRowHeight="15"/>
  <cols>
    <col min="1" max="1" width="22" customWidth="1"/>
    <col min="2" max="2" width="14.85546875" customWidth="1"/>
    <col min="3" max="3" width="20.5703125" customWidth="1"/>
    <col min="4" max="4" width="10.85546875" customWidth="1"/>
    <col min="5" max="5" width="14.28515625" customWidth="1"/>
    <col min="6" max="7" width="10.85546875" customWidth="1"/>
    <col min="8" max="8" width="13.140625" customWidth="1"/>
    <col min="9" max="10" width="10.85546875" customWidth="1"/>
    <col min="11" max="11" width="17.85546875" customWidth="1"/>
    <col min="12" max="16" width="10.85546875" customWidth="1"/>
    <col min="17" max="17" width="12.28515625" customWidth="1"/>
    <col min="18" max="18" width="11.28515625" customWidth="1"/>
    <col min="19" max="19" width="25.28515625" bestFit="1" customWidth="1"/>
    <col min="20" max="20" width="22.5703125" bestFit="1" customWidth="1"/>
    <col min="21" max="21" width="25.28515625" bestFit="1" customWidth="1"/>
  </cols>
  <sheetData>
    <row r="1" spans="1:22">
      <c r="A1" s="81"/>
      <c r="B1" s="519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</row>
    <row r="2" spans="1:22">
      <c r="A2" s="8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</row>
    <row r="3" spans="1:22">
      <c r="A3" s="83">
        <v>45916</v>
      </c>
      <c r="B3" s="36">
        <f>_xlfn.XLOOKUP(A3,'steel Mint data'!A:A,'steel Mint data'!B:B,"",0)</f>
        <v>43300</v>
      </c>
      <c r="C3" s="36"/>
      <c r="D3" s="36"/>
      <c r="E3" s="36">
        <f>_xlfn.XLOOKUP(A3,'steel Mint data'!A:A,'steel Mint data'!D:D,"",0)</f>
        <v>42200</v>
      </c>
      <c r="F3" s="36">
        <f>_xlfn.XLOOKUP(A3,'steel Mint data'!A:A,'steel Mint data'!E:E,"",0)</f>
        <v>38800</v>
      </c>
      <c r="G3" s="36"/>
      <c r="H3" s="36"/>
      <c r="I3" s="36">
        <f>_xlfn.XLOOKUP(A3,'steel Mint data'!A:A,'steel Mint data'!I:I,"",0)</f>
        <v>42000</v>
      </c>
      <c r="J3" s="36"/>
      <c r="K3" s="36">
        <f>_xlfn.XLOOKUP(A3,'steel Mint data'!A:A,'steel Mint data'!L:L,"",0)</f>
        <v>44000</v>
      </c>
      <c r="L3" s="36"/>
      <c r="M3" s="36"/>
      <c r="N3" s="36"/>
      <c r="O3" s="36"/>
      <c r="P3" s="37">
        <f>_xlfn.XLOOKUP(A3,'steel Mint data'!A:A,'steel Mint data'!Q:Q,"",0)</f>
        <v>39400</v>
      </c>
      <c r="Q3" s="36">
        <f>_xlfn.XLOOKUP(A3,'steel Mint data'!A:A,'steel Mint data'!R:R,"",0)</f>
        <v>39400</v>
      </c>
    </row>
    <row r="4" spans="1:22">
      <c r="A4" s="83">
        <v>45917</v>
      </c>
      <c r="B4" s="36">
        <f>_xlfn.XLOOKUP(A4,'steel Mint data'!A:A,'steel Mint data'!B:B,"",0)</f>
        <v>43200</v>
      </c>
      <c r="C4" s="36"/>
      <c r="D4" s="36"/>
      <c r="E4" s="36">
        <f>_xlfn.XLOOKUP(A4,'steel Mint data'!A:A,'steel Mint data'!D:D,"",0)</f>
        <v>41900</v>
      </c>
      <c r="F4" s="36">
        <f>_xlfn.XLOOKUP(A4,'steel Mint data'!A:A,'steel Mint data'!E:E,"",0)</f>
        <v>38700</v>
      </c>
      <c r="G4" s="36"/>
      <c r="H4" s="36"/>
      <c r="I4" s="36">
        <f>_xlfn.XLOOKUP(A4,'steel Mint data'!A:A,'steel Mint data'!I:I,"",0)</f>
        <v>42000</v>
      </c>
      <c r="J4" s="36"/>
      <c r="K4" s="36">
        <f>_xlfn.XLOOKUP(A4,'steel Mint data'!A:A,'steel Mint data'!L:L,"",0)</f>
        <v>43700</v>
      </c>
      <c r="L4" s="36"/>
      <c r="M4" s="36"/>
      <c r="N4" s="36"/>
      <c r="O4" s="36"/>
      <c r="P4" s="37">
        <f>_xlfn.XLOOKUP(A4,'steel Mint data'!A:A,'steel Mint data'!Q:Q,"",0)</f>
        <v>39400</v>
      </c>
      <c r="Q4" s="36">
        <f>_xlfn.XLOOKUP(A4,'steel Mint data'!A:A,'steel Mint data'!R:R,"",0)</f>
        <v>39400</v>
      </c>
    </row>
    <row r="5" spans="1:22">
      <c r="A5" s="83">
        <v>45918</v>
      </c>
      <c r="B5" s="36">
        <f>_xlfn.XLOOKUP(A5,'steel Mint data'!A:A,'steel Mint data'!B:B,"",0)</f>
        <v>43300</v>
      </c>
      <c r="C5" s="36"/>
      <c r="D5" s="36"/>
      <c r="E5" s="36">
        <f>_xlfn.XLOOKUP(A5,'steel Mint data'!A:A,'steel Mint data'!D:D,"",0)</f>
        <v>41900</v>
      </c>
      <c r="F5" s="36">
        <f>_xlfn.XLOOKUP(A5,'steel Mint data'!A:A,'steel Mint data'!E:E,"",0)</f>
        <v>38900</v>
      </c>
      <c r="G5" s="38"/>
      <c r="H5" s="38"/>
      <c r="I5" s="36">
        <f>_xlfn.XLOOKUP(A5,'steel Mint data'!A:A,'steel Mint data'!I:I,"",0)</f>
        <v>42200</v>
      </c>
      <c r="J5" s="38"/>
      <c r="K5" s="36">
        <f>_xlfn.XLOOKUP(A5,'steel Mint data'!A:A,'steel Mint data'!L:L,"",0)</f>
        <v>43800</v>
      </c>
      <c r="L5" s="38"/>
      <c r="M5" s="38"/>
      <c r="N5" s="38"/>
      <c r="O5" s="38"/>
      <c r="P5" s="37">
        <f>_xlfn.XLOOKUP(A5,'steel Mint data'!A:A,'steel Mint data'!Q:Q,"",0)</f>
        <v>39800</v>
      </c>
      <c r="Q5" s="36">
        <f>_xlfn.XLOOKUP(A5,'steel Mint data'!A:A,'steel Mint data'!R:R,"",0)</f>
        <v>39400</v>
      </c>
      <c r="T5" s="27" t="s">
        <v>40</v>
      </c>
      <c r="U5" s="27" t="s">
        <v>141</v>
      </c>
      <c r="V5" s="27" t="s">
        <v>48</v>
      </c>
    </row>
    <row r="6" spans="1:22">
      <c r="A6" s="83">
        <v>45919</v>
      </c>
      <c r="B6" s="36">
        <f>_xlfn.XLOOKUP(A6,'steel Mint data'!A:A,'steel Mint data'!B:B,"",0)</f>
        <v>43500</v>
      </c>
      <c r="C6" s="36"/>
      <c r="D6" s="36"/>
      <c r="E6" s="36">
        <f>_xlfn.XLOOKUP(A6,'steel Mint data'!A:A,'steel Mint data'!D:D,"",0)</f>
        <v>42200</v>
      </c>
      <c r="F6" s="36">
        <f>_xlfn.XLOOKUP(A6,'steel Mint data'!A:A,'steel Mint data'!E:E,"",0)</f>
        <v>38900</v>
      </c>
      <c r="G6" s="38"/>
      <c r="H6" s="38"/>
      <c r="I6" s="36">
        <f>_xlfn.XLOOKUP(A6,'steel Mint data'!A:A,'steel Mint data'!I:I,"",0)</f>
        <v>42250</v>
      </c>
      <c r="J6" s="38"/>
      <c r="K6" s="36">
        <f>_xlfn.XLOOKUP(A6,'steel Mint data'!A:A,'steel Mint data'!L:L,"",0)</f>
        <v>44000</v>
      </c>
      <c r="L6" s="38"/>
      <c r="M6" s="38"/>
      <c r="N6" s="38"/>
      <c r="O6" s="38"/>
      <c r="P6" s="37">
        <f>_xlfn.XLOOKUP(A6,'steel Mint data'!A:A,'steel Mint data'!Q:Q,"",0)</f>
        <v>39600</v>
      </c>
      <c r="Q6" s="36">
        <f>_xlfn.XLOOKUP(A6,'steel Mint data'!A:A,'steel Mint data'!R:R,"",0)</f>
        <v>39500</v>
      </c>
      <c r="T6" s="27" t="s">
        <v>42</v>
      </c>
      <c r="U6" s="27">
        <v>47800</v>
      </c>
      <c r="V6" s="27">
        <f>U6+700</f>
        <v>48500</v>
      </c>
    </row>
    <row r="7" spans="1:22">
      <c r="A7" s="83">
        <v>45920</v>
      </c>
      <c r="B7" s="36">
        <f>_xlfn.XLOOKUP(A7,'steel Mint data'!A:A,'steel Mint data'!B:B,"",0)</f>
        <v>43500</v>
      </c>
      <c r="C7" s="36"/>
      <c r="D7" s="37"/>
      <c r="E7" s="36">
        <f>_xlfn.XLOOKUP(A7,'steel Mint data'!A:A,'steel Mint data'!D:D,"",0)</f>
        <v>42200</v>
      </c>
      <c r="F7" s="36">
        <f>_xlfn.XLOOKUP(A7,'steel Mint data'!A:A,'steel Mint data'!E:E,"",0)</f>
        <v>38900</v>
      </c>
      <c r="G7" s="11"/>
      <c r="H7" s="11"/>
      <c r="I7" s="36">
        <f>_xlfn.XLOOKUP(A7,'steel Mint data'!A:A,'steel Mint data'!I:I,"",0)</f>
        <v>42100</v>
      </c>
      <c r="J7" s="11"/>
      <c r="K7" s="36">
        <f>_xlfn.XLOOKUP(A7,'steel Mint data'!A:A,'steel Mint data'!L:L,"",0)</f>
        <v>44100</v>
      </c>
      <c r="L7" s="11"/>
      <c r="M7" s="11"/>
      <c r="N7" s="11"/>
      <c r="O7" s="11"/>
      <c r="P7" s="37">
        <f>_xlfn.XLOOKUP(A7,'steel Mint data'!A:A,'steel Mint data'!Q:Q,"",0)</f>
        <v>39600</v>
      </c>
      <c r="Q7" s="36">
        <f>_xlfn.XLOOKUP(A7,'steel Mint data'!A:A,'steel Mint data'!R:R,"",0)</f>
        <v>39500</v>
      </c>
      <c r="T7" s="27" t="s">
        <v>37</v>
      </c>
      <c r="U7" s="27">
        <v>47000</v>
      </c>
      <c r="V7" s="27">
        <f>U7+1000</f>
        <v>48000</v>
      </c>
    </row>
    <row r="8" spans="1:22">
      <c r="A8" s="83">
        <v>45921</v>
      </c>
      <c r="B8" s="36" t="str">
        <f>_xlfn.XLOOKUP(A8,'steel Mint data'!A:A,'steel Mint data'!B:B,"",0)</f>
        <v>H</v>
      </c>
      <c r="C8" s="36"/>
      <c r="D8" s="37"/>
      <c r="E8" s="36" t="str">
        <f>_xlfn.XLOOKUP(A8,'steel Mint data'!A:A,'steel Mint data'!D:D,"",0)</f>
        <v>H</v>
      </c>
      <c r="F8" s="36" t="str">
        <f>_xlfn.XLOOKUP(A8,'steel Mint data'!A:A,'steel Mint data'!E:E,"",0)</f>
        <v>H</v>
      </c>
      <c r="G8" s="11"/>
      <c r="H8" s="11"/>
      <c r="I8" s="36" t="str">
        <f>_xlfn.XLOOKUP(A8,'steel Mint data'!A:A,'steel Mint data'!I:I,"",0)</f>
        <v>H</v>
      </c>
      <c r="J8" s="11"/>
      <c r="K8" s="36" t="str">
        <f>_xlfn.XLOOKUP(A8,'steel Mint data'!A:A,'steel Mint data'!L:L,"",0)</f>
        <v>H</v>
      </c>
      <c r="L8" s="11"/>
      <c r="M8" s="11"/>
      <c r="N8" s="11"/>
      <c r="O8" s="11"/>
      <c r="P8" s="37" t="str">
        <f>_xlfn.XLOOKUP(A8,'steel Mint data'!A:A,'steel Mint data'!Q:Q,"",0)</f>
        <v>H</v>
      </c>
      <c r="Q8" s="36" t="str">
        <f>_xlfn.XLOOKUP(A8,'steel Mint data'!A:A,'steel Mint data'!R:R,"",0)</f>
        <v>H</v>
      </c>
      <c r="T8" s="27" t="s">
        <v>142</v>
      </c>
      <c r="U8" s="27">
        <v>45050</v>
      </c>
      <c r="V8" s="27">
        <f>U8+1750</f>
        <v>46800</v>
      </c>
    </row>
    <row r="9" spans="1:22">
      <c r="A9" s="83">
        <v>45922</v>
      </c>
      <c r="B9" s="36">
        <f>_xlfn.XLOOKUP(A9,'steel Mint data'!A:A,'steel Mint data'!B:B,"",0)</f>
        <v>43300</v>
      </c>
      <c r="C9" s="36"/>
      <c r="D9" s="37"/>
      <c r="E9" s="36">
        <f>_xlfn.XLOOKUP(A9,'steel Mint data'!A:A,'steel Mint data'!D:D,"",0)</f>
        <v>42500</v>
      </c>
      <c r="F9" s="36">
        <f>_xlfn.XLOOKUP(A9,'steel Mint data'!A:A,'steel Mint data'!E:E,"",0)</f>
        <v>39000</v>
      </c>
      <c r="G9" s="11"/>
      <c r="H9" s="11"/>
      <c r="I9" s="36">
        <f>_xlfn.XLOOKUP(A9,'steel Mint data'!A:A,'steel Mint data'!I:I,"",0)</f>
        <v>42300</v>
      </c>
      <c r="J9" s="11"/>
      <c r="K9" s="36">
        <f>_xlfn.XLOOKUP(A9,'steel Mint data'!A:A,'steel Mint data'!L:L,"",0)</f>
        <v>44200</v>
      </c>
      <c r="L9" s="11"/>
      <c r="M9" s="11"/>
      <c r="N9" s="11"/>
      <c r="O9" s="11"/>
      <c r="P9" s="37">
        <f>_xlfn.XLOOKUP(A9,'steel Mint data'!A:A,'steel Mint data'!Q:Q,"",0)</f>
        <v>39600</v>
      </c>
      <c r="Q9" s="36">
        <f>_xlfn.XLOOKUP(A9,'steel Mint data'!A:A,'steel Mint data'!R:R,"",0)</f>
        <v>39500</v>
      </c>
      <c r="R9" s="33"/>
      <c r="T9" s="27"/>
      <c r="U9" s="27"/>
      <c r="V9" s="27"/>
    </row>
    <row r="10" spans="1:22">
      <c r="A10" s="83">
        <v>45923</v>
      </c>
      <c r="B10" s="36">
        <f>_xlfn.XLOOKUP(A10,'steel Mint data'!A:A,'steel Mint data'!B:B,"",0)</f>
        <v>43500</v>
      </c>
      <c r="C10" s="36"/>
      <c r="D10" s="37"/>
      <c r="E10" s="36">
        <f>_xlfn.XLOOKUP(A10,'steel Mint data'!A:A,'steel Mint data'!D:D,"",0)</f>
        <v>42700</v>
      </c>
      <c r="F10" s="36">
        <f>_xlfn.XLOOKUP(A10,'steel Mint data'!A:A,'steel Mint data'!E:E,"",0)</f>
        <v>38900</v>
      </c>
      <c r="G10" s="11"/>
      <c r="H10" s="11"/>
      <c r="I10" s="36">
        <f>_xlfn.XLOOKUP(A10,'steel Mint data'!A:A,'steel Mint data'!I:I,"",0)</f>
        <v>42400</v>
      </c>
      <c r="J10" s="11"/>
      <c r="K10" s="36">
        <f>_xlfn.XLOOKUP(A10,'steel Mint data'!A:A,'steel Mint data'!L:L,"",0)</f>
        <v>44300</v>
      </c>
      <c r="L10" s="11"/>
      <c r="M10" s="11"/>
      <c r="N10" s="11"/>
      <c r="O10" s="11"/>
      <c r="P10" s="37">
        <f>_xlfn.XLOOKUP(A10,'steel Mint data'!A:A,'steel Mint data'!Q:Q,"",0)</f>
        <v>39900</v>
      </c>
      <c r="Q10" s="36">
        <f>_xlfn.XLOOKUP(A10,'steel Mint data'!A:A,'steel Mint data'!R:R,"",0)</f>
        <v>39600</v>
      </c>
      <c r="R10" s="33"/>
    </row>
    <row r="11" spans="1:22">
      <c r="A11" s="83">
        <v>45924</v>
      </c>
      <c r="B11" s="36">
        <f>_xlfn.XLOOKUP(A11,'steel Mint data'!A:A,'steel Mint data'!B:B,"",0)</f>
        <v>43500</v>
      </c>
      <c r="C11" s="36"/>
      <c r="D11" s="37"/>
      <c r="E11" s="36">
        <f>_xlfn.XLOOKUP(A11,'steel Mint data'!A:A,'steel Mint data'!D:D,"",0)</f>
        <v>42600</v>
      </c>
      <c r="F11" s="36">
        <f>_xlfn.XLOOKUP(A11,'steel Mint data'!A:A,'steel Mint data'!E:E,"",0)</f>
        <v>38700</v>
      </c>
      <c r="G11" s="11"/>
      <c r="H11" s="11"/>
      <c r="I11" s="36">
        <f>_xlfn.XLOOKUP(A11,'steel Mint data'!A:A,'steel Mint data'!I:I,"",0)</f>
        <v>42200</v>
      </c>
      <c r="J11" s="11"/>
      <c r="K11" s="36">
        <f>_xlfn.XLOOKUP(A11,'steel Mint data'!A:A,'steel Mint data'!L:L,"",0)</f>
        <v>44200</v>
      </c>
      <c r="L11" s="11"/>
      <c r="M11" s="11"/>
      <c r="N11" s="11"/>
      <c r="O11" s="11"/>
      <c r="P11" s="37">
        <f>_xlfn.XLOOKUP(A11,'steel Mint data'!A:A,'steel Mint data'!Q:Q,"",0)</f>
        <v>39800</v>
      </c>
      <c r="Q11" s="36">
        <f>_xlfn.XLOOKUP(A11,'steel Mint data'!A:A,'steel Mint data'!R:R,"",0)</f>
        <v>39600</v>
      </c>
    </row>
    <row r="12" spans="1:22">
      <c r="A12" s="83">
        <v>45925</v>
      </c>
      <c r="B12" s="36">
        <f>_xlfn.XLOOKUP(A12,'steel Mint data'!A:A,'steel Mint data'!B:B,"",0)</f>
        <v>43500</v>
      </c>
      <c r="C12" s="36"/>
      <c r="D12" s="37"/>
      <c r="E12" s="36">
        <f>_xlfn.XLOOKUP(A12,'steel Mint data'!A:A,'steel Mint data'!D:D,"",0)</f>
        <v>42600</v>
      </c>
      <c r="F12" s="36">
        <f>_xlfn.XLOOKUP(A12,'steel Mint data'!A:A,'steel Mint data'!E:E,"",0)</f>
        <v>38800</v>
      </c>
      <c r="G12" s="11"/>
      <c r="H12" s="11"/>
      <c r="I12" s="36">
        <f>_xlfn.XLOOKUP(A12,'steel Mint data'!A:A,'steel Mint data'!I:I,"",0)</f>
        <v>42200</v>
      </c>
      <c r="J12" s="11"/>
      <c r="K12" s="36">
        <f>_xlfn.XLOOKUP(A12,'steel Mint data'!A:A,'steel Mint data'!L:L,"",0)</f>
        <v>44200</v>
      </c>
      <c r="L12" s="11"/>
      <c r="M12" s="11"/>
      <c r="N12" s="11"/>
      <c r="O12" s="11"/>
      <c r="P12" s="37">
        <f>_xlfn.XLOOKUP(A12,'steel Mint data'!A:A,'steel Mint data'!Q:Q,"",0)</f>
        <v>39800</v>
      </c>
      <c r="Q12" s="36">
        <f>_xlfn.XLOOKUP(A12,'steel Mint data'!A:A,'steel Mint data'!R:R,"",0)</f>
        <v>39600</v>
      </c>
    </row>
    <row r="13" spans="1:22">
      <c r="A13" s="83">
        <v>45926</v>
      </c>
      <c r="B13" s="36">
        <f>_xlfn.XLOOKUP(A13,'steel Mint data'!A:A,'steel Mint data'!B:B,"",0)</f>
        <v>43500</v>
      </c>
      <c r="C13" s="36"/>
      <c r="D13" s="37"/>
      <c r="E13" s="36">
        <f>_xlfn.XLOOKUP(A13,'steel Mint data'!A:A,'steel Mint data'!D:D,"",0)</f>
        <v>42600</v>
      </c>
      <c r="F13" s="36">
        <f>_xlfn.XLOOKUP(A13,'steel Mint data'!A:A,'steel Mint data'!E:E,"",0)</f>
        <v>38800</v>
      </c>
      <c r="G13" s="11"/>
      <c r="H13" s="11"/>
      <c r="I13" s="36">
        <f>_xlfn.XLOOKUP(A13,'steel Mint data'!A:A,'steel Mint data'!I:I,"",0)</f>
        <v>42000</v>
      </c>
      <c r="J13" s="11"/>
      <c r="K13" s="36">
        <f>_xlfn.XLOOKUP(A13,'steel Mint data'!A:A,'steel Mint data'!L:L,"",0)</f>
        <v>44100</v>
      </c>
      <c r="L13" s="11"/>
      <c r="M13" s="11"/>
      <c r="N13" s="11"/>
      <c r="O13" s="11"/>
      <c r="P13" s="37">
        <f>_xlfn.XLOOKUP(A13,'steel Mint data'!A:A,'steel Mint data'!Q:Q,"",0)</f>
        <v>39700</v>
      </c>
      <c r="Q13" s="36">
        <f>_xlfn.XLOOKUP(A13,'steel Mint data'!A:A,'steel Mint data'!R:R,"",0)</f>
        <v>39400</v>
      </c>
      <c r="S13" s="33"/>
    </row>
    <row r="14" spans="1:22">
      <c r="A14" s="83">
        <v>45927</v>
      </c>
      <c r="B14" s="36">
        <f>_xlfn.XLOOKUP(A14,'steel Mint data'!A:A,'steel Mint data'!B:B,"",0)</f>
        <v>43500</v>
      </c>
      <c r="C14" s="36"/>
      <c r="D14" s="37"/>
      <c r="E14" s="36">
        <f>_xlfn.XLOOKUP(A14,'steel Mint data'!A:A,'steel Mint data'!D:D,"",0)</f>
        <v>42800</v>
      </c>
      <c r="F14" s="36">
        <f>_xlfn.XLOOKUP(A14,'steel Mint data'!A:A,'steel Mint data'!E:E,"",0)</f>
        <v>38800</v>
      </c>
      <c r="G14" s="11"/>
      <c r="H14" s="11"/>
      <c r="I14" s="36">
        <f>_xlfn.XLOOKUP(A14,'steel Mint data'!A:A,'steel Mint data'!I:I,"",0)</f>
        <v>42000</v>
      </c>
      <c r="J14" s="11"/>
      <c r="K14" s="36">
        <f>_xlfn.XLOOKUP(A14,'steel Mint data'!A:A,'steel Mint data'!L:L,"",0)</f>
        <v>44300</v>
      </c>
      <c r="L14" s="11"/>
      <c r="M14" s="11"/>
      <c r="N14" s="11"/>
      <c r="O14" s="11"/>
      <c r="P14" s="37">
        <f>_xlfn.XLOOKUP(A14,'steel Mint data'!A:A,'steel Mint data'!Q:Q,"",0)</f>
        <v>39600</v>
      </c>
      <c r="Q14" s="36">
        <f>_xlfn.XLOOKUP(A14,'steel Mint data'!A:A,'steel Mint data'!R:R,"",0)</f>
        <v>39400</v>
      </c>
      <c r="S14" s="33"/>
      <c r="T14" s="33"/>
    </row>
    <row r="15" spans="1:22">
      <c r="A15" s="83">
        <v>45928</v>
      </c>
      <c r="B15" s="36" t="str">
        <f>_xlfn.XLOOKUP(A15,'steel Mint data'!A:A,'steel Mint data'!B:B,"",0)</f>
        <v>H</v>
      </c>
      <c r="C15" s="36"/>
      <c r="D15" s="37"/>
      <c r="E15" s="36" t="str">
        <f>_xlfn.XLOOKUP(A15,'steel Mint data'!A:A,'steel Mint data'!D:D,"",0)</f>
        <v>H</v>
      </c>
      <c r="F15" s="36" t="str">
        <f>_xlfn.XLOOKUP(A15,'steel Mint data'!A:A,'steel Mint data'!E:E,"",0)</f>
        <v>H</v>
      </c>
      <c r="G15" s="11"/>
      <c r="H15" s="11"/>
      <c r="I15" s="36" t="str">
        <f>_xlfn.XLOOKUP(A15,'steel Mint data'!A:A,'steel Mint data'!I:I,"",0)</f>
        <v>H</v>
      </c>
      <c r="J15" s="11"/>
      <c r="K15" s="36" t="str">
        <f>_xlfn.XLOOKUP(A15,'steel Mint data'!A:A,'steel Mint data'!L:L,"",0)</f>
        <v>H</v>
      </c>
      <c r="L15" s="11"/>
      <c r="M15" s="11"/>
      <c r="N15" s="11"/>
      <c r="O15" s="11"/>
      <c r="P15" s="37" t="str">
        <f>_xlfn.XLOOKUP(A15,'steel Mint data'!A:A,'steel Mint data'!Q:Q,"",0)</f>
        <v>H</v>
      </c>
      <c r="Q15" s="36" t="str">
        <f>_xlfn.XLOOKUP(A15,'steel Mint data'!A:A,'steel Mint data'!R:R,"",0)</f>
        <v>H</v>
      </c>
      <c r="R15" s="33"/>
      <c r="S15" s="33"/>
      <c r="T15" s="33"/>
    </row>
    <row r="16" spans="1:22">
      <c r="A16" s="83">
        <v>45929</v>
      </c>
      <c r="B16" s="36">
        <f>_xlfn.XLOOKUP(A16,'steel Mint data'!A:A,'steel Mint data'!B:B,"",0)</f>
        <v>43200</v>
      </c>
      <c r="C16" s="36"/>
      <c r="D16" s="37"/>
      <c r="E16" s="36">
        <f>_xlfn.XLOOKUP(A16,'steel Mint data'!A:A,'steel Mint data'!D:D,"",0)</f>
        <v>42800</v>
      </c>
      <c r="F16" s="36" t="str">
        <f>_xlfn.XLOOKUP(A16,'steel Mint data'!A:A,'steel Mint data'!E:E,"",0)</f>
        <v>-</v>
      </c>
      <c r="G16" s="11"/>
      <c r="H16" s="11"/>
      <c r="I16" s="36">
        <f>_xlfn.XLOOKUP(A16,'steel Mint data'!A:A,'steel Mint data'!I:I,"",0)</f>
        <v>41800</v>
      </c>
      <c r="J16" s="11"/>
      <c r="K16" s="36">
        <f>_xlfn.XLOOKUP(A16,'steel Mint data'!A:A,'steel Mint data'!L:L,"",0)</f>
        <v>44300</v>
      </c>
      <c r="L16" s="11"/>
      <c r="M16" s="11"/>
      <c r="N16" s="11"/>
      <c r="O16" s="11"/>
      <c r="P16" s="37">
        <f>_xlfn.XLOOKUP(A16,'steel Mint data'!A:A,'steel Mint data'!Q:Q,"",0)</f>
        <v>39400</v>
      </c>
      <c r="Q16" s="36">
        <f>_xlfn.XLOOKUP(A16,'steel Mint data'!A:A,'steel Mint data'!R:R,"",0)</f>
        <v>39400</v>
      </c>
      <c r="R16" s="33"/>
      <c r="S16" s="33"/>
      <c r="T16" s="33"/>
    </row>
    <row r="17" spans="1:21">
      <c r="A17" s="83">
        <v>45930</v>
      </c>
      <c r="B17" s="36">
        <f>_xlfn.XLOOKUP(A17,'steel Mint data'!A:A,'steel Mint data'!B:B,"",0)</f>
        <v>43000</v>
      </c>
      <c r="C17" s="36"/>
      <c r="D17" s="37"/>
      <c r="E17" s="36">
        <f>_xlfn.XLOOKUP(A17,'steel Mint data'!A:A,'steel Mint data'!D:D,"",0)</f>
        <v>42300</v>
      </c>
      <c r="F17" s="36" t="str">
        <f>_xlfn.XLOOKUP(A17,'steel Mint data'!A:A,'steel Mint data'!E:E,"",0)</f>
        <v>-</v>
      </c>
      <c r="G17" s="11"/>
      <c r="H17" s="11"/>
      <c r="I17" s="36">
        <f>_xlfn.XLOOKUP(A17,'steel Mint data'!A:A,'steel Mint data'!I:I,"",0)</f>
        <v>41800</v>
      </c>
      <c r="J17" s="11"/>
      <c r="K17" s="36">
        <f>_xlfn.XLOOKUP(A17,'steel Mint data'!A:A,'steel Mint data'!L:L,"",0)</f>
        <v>44100</v>
      </c>
      <c r="L17" s="11"/>
      <c r="M17" s="11"/>
      <c r="N17" s="11"/>
      <c r="O17" s="11"/>
      <c r="P17" s="37">
        <f>_xlfn.XLOOKUP(A17,'steel Mint data'!A:A,'steel Mint data'!Q:Q,"",0)</f>
        <v>39300</v>
      </c>
      <c r="Q17" s="36">
        <f>_xlfn.XLOOKUP(A17,'steel Mint data'!A:A,'steel Mint data'!R:R,"",0)</f>
        <v>39400</v>
      </c>
    </row>
    <row r="18" spans="1:21">
      <c r="A18" s="83"/>
      <c r="B18" s="36"/>
      <c r="C18" s="36"/>
      <c r="D18" s="37"/>
      <c r="E18" s="36"/>
      <c r="F18" s="36"/>
      <c r="G18" s="11"/>
      <c r="H18" s="11"/>
      <c r="I18" s="36"/>
      <c r="J18" s="11"/>
      <c r="K18" s="36"/>
      <c r="L18" s="11"/>
      <c r="M18" s="11"/>
      <c r="N18" s="11"/>
      <c r="O18" s="11"/>
      <c r="P18" s="37"/>
      <c r="Q18" s="36"/>
      <c r="S18" s="33"/>
      <c r="T18" s="33"/>
    </row>
    <row r="19" spans="1:21">
      <c r="A19" s="83"/>
      <c r="B19" s="15">
        <f>SUM(B3:B18)</f>
        <v>563800</v>
      </c>
      <c r="C19" s="14"/>
      <c r="D19" s="14"/>
      <c r="E19" s="15">
        <f>SUM(E3:E18)</f>
        <v>551300</v>
      </c>
      <c r="F19" s="15">
        <f>SUM(F3:F18)</f>
        <v>427200</v>
      </c>
      <c r="G19" s="14"/>
      <c r="H19" s="14"/>
      <c r="I19" s="15">
        <f>SUM(I3:I18)</f>
        <v>547250</v>
      </c>
      <c r="J19" s="14"/>
      <c r="K19" s="15">
        <f>SUM(K3:K18)</f>
        <v>573300</v>
      </c>
      <c r="L19" s="14"/>
      <c r="M19" s="14"/>
      <c r="N19" s="14"/>
      <c r="O19" s="14"/>
      <c r="P19" s="15">
        <f>SUM(P3:P18)</f>
        <v>514900</v>
      </c>
      <c r="Q19" s="15">
        <f>SUM(Q3:Q18)</f>
        <v>513100</v>
      </c>
      <c r="S19" s="33"/>
      <c r="T19" s="33"/>
    </row>
    <row r="20" spans="1:21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23</v>
      </c>
      <c r="H20" s="16" t="s">
        <v>39</v>
      </c>
      <c r="I20" s="16" t="s">
        <v>46</v>
      </c>
      <c r="J20" s="16" t="s">
        <v>126</v>
      </c>
      <c r="K20" s="14"/>
      <c r="L20" s="19"/>
      <c r="M20" s="19"/>
      <c r="N20" s="19"/>
      <c r="O20" s="14"/>
      <c r="P20" s="14"/>
      <c r="Q20" s="14"/>
      <c r="S20" s="33"/>
      <c r="T20" s="33"/>
    </row>
    <row r="21" spans="1:21">
      <c r="A21" s="17" t="s">
        <v>25</v>
      </c>
      <c r="B21" s="18">
        <f>E19/O21</f>
        <v>42407.692307692305</v>
      </c>
      <c r="C21" s="18">
        <f>P19/O21</f>
        <v>39607.692307692305</v>
      </c>
      <c r="D21" s="18">
        <f>K19/O21</f>
        <v>44100</v>
      </c>
      <c r="E21" s="18">
        <f>Q19/O21</f>
        <v>39469.230769230766</v>
      </c>
      <c r="F21" s="18">
        <f>C21</f>
        <v>39607.692307692305</v>
      </c>
      <c r="G21" s="18">
        <f>B21-800</f>
        <v>41607.692307692305</v>
      </c>
      <c r="H21" s="18">
        <f>I19/O21</f>
        <v>42096.153846153844</v>
      </c>
      <c r="I21" s="18">
        <f>B19/O21</f>
        <v>43369.230769230766</v>
      </c>
      <c r="J21" s="18">
        <f>F19/O21</f>
        <v>32861.538461538461</v>
      </c>
      <c r="K21" s="19"/>
      <c r="L21" s="19"/>
      <c r="M21" s="146"/>
      <c r="N21" s="19"/>
      <c r="O21" s="20">
        <f>COUNT(P3:P18)</f>
        <v>13</v>
      </c>
      <c r="P21" s="21"/>
      <c r="Q21" s="19"/>
      <c r="R21" s="33"/>
      <c r="S21" s="33"/>
      <c r="T21" s="33"/>
    </row>
    <row r="22" spans="1:21">
      <c r="A22" s="17" t="s">
        <v>26</v>
      </c>
      <c r="B22" s="18">
        <v>1200</v>
      </c>
      <c r="C22" s="18">
        <v>2150</v>
      </c>
      <c r="D22" s="18">
        <v>400</v>
      </c>
      <c r="E22" s="18">
        <v>2200</v>
      </c>
      <c r="F22" s="18">
        <v>1800</v>
      </c>
      <c r="G22" s="18">
        <v>1200</v>
      </c>
      <c r="H22" s="18">
        <v>800</v>
      </c>
      <c r="I22" s="18">
        <v>0</v>
      </c>
      <c r="J22" s="18">
        <v>2000</v>
      </c>
      <c r="K22" s="69"/>
      <c r="L22" s="19"/>
      <c r="M22" s="146"/>
      <c r="N22" s="19"/>
      <c r="O22" s="48"/>
      <c r="P22" s="48"/>
      <c r="Q22" s="176"/>
      <c r="R22" s="49"/>
      <c r="S22" s="49">
        <v>46000</v>
      </c>
      <c r="T22" s="49"/>
    </row>
    <row r="23" spans="1:21">
      <c r="A23" s="17" t="s">
        <v>27</v>
      </c>
      <c r="B23" s="18">
        <v>200</v>
      </c>
      <c r="C23" s="18">
        <v>265</v>
      </c>
      <c r="D23" s="18">
        <v>250</v>
      </c>
      <c r="E23" s="18">
        <v>275</v>
      </c>
      <c r="F23" s="18">
        <v>275</v>
      </c>
      <c r="G23" s="18">
        <v>200</v>
      </c>
      <c r="H23" s="18">
        <v>270</v>
      </c>
      <c r="I23" s="18">
        <v>200</v>
      </c>
      <c r="J23" s="18">
        <v>270</v>
      </c>
      <c r="K23" s="69"/>
      <c r="L23" s="19"/>
      <c r="M23" s="146"/>
      <c r="N23" s="48">
        <f>46000-1800-1000-G24</f>
        <v>192.30769230769511</v>
      </c>
      <c r="O23" s="48"/>
      <c r="P23" s="48">
        <f>45000-3000-F24</f>
        <v>317.30769230769511</v>
      </c>
      <c r="Q23" s="48"/>
      <c r="R23" s="49"/>
      <c r="S23" s="48">
        <v>94</v>
      </c>
      <c r="T23" s="49"/>
    </row>
    <row r="24" spans="1:21" ht="19.5" customHeight="1">
      <c r="A24" s="22" t="s">
        <v>28</v>
      </c>
      <c r="B24" s="18">
        <f>SUM(B21:B23)</f>
        <v>43807.692307692305</v>
      </c>
      <c r="C24" s="18">
        <f>SUM(C21:C23)</f>
        <v>42022.692307692305</v>
      </c>
      <c r="D24" s="18">
        <f>SUM(D21:D23)</f>
        <v>44750</v>
      </c>
      <c r="E24" s="18">
        <f>SUM(E21:E23)</f>
        <v>41944.230769230766</v>
      </c>
      <c r="F24" s="18">
        <f>SUM(F21:F23)</f>
        <v>41682.692307692305</v>
      </c>
      <c r="G24" s="18">
        <f>SUM(G21:G23)</f>
        <v>43007.692307692305</v>
      </c>
      <c r="H24" s="18">
        <f>SUM(H21:H23)</f>
        <v>43166.153846153844</v>
      </c>
      <c r="I24" s="18">
        <f>SUM(I21:I23)</f>
        <v>43569.230769230766</v>
      </c>
      <c r="J24" s="18">
        <f>SUM(J21:J23)</f>
        <v>35131.538461538461</v>
      </c>
      <c r="K24" s="69"/>
      <c r="L24" s="176">
        <f>41600-2600-J24</f>
        <v>3868.461538461539</v>
      </c>
      <c r="M24" s="69"/>
      <c r="N24" s="48">
        <f>46000-1800-1000-G25</f>
        <v>-1100</v>
      </c>
      <c r="O24" s="48"/>
      <c r="P24" s="48">
        <f>45000-3000-F25</f>
        <v>25</v>
      </c>
      <c r="Q24" s="48"/>
      <c r="R24" s="49"/>
      <c r="S24" s="49">
        <f>46000-1500-1000-G24</f>
        <v>492.30769230769511</v>
      </c>
      <c r="T24" s="49"/>
    </row>
    <row r="25" spans="1:21">
      <c r="A25" s="22" t="s">
        <v>29</v>
      </c>
      <c r="B25" s="18">
        <v>45100</v>
      </c>
      <c r="C25" s="18">
        <v>42315</v>
      </c>
      <c r="D25" s="18">
        <v>46150</v>
      </c>
      <c r="E25" s="23"/>
      <c r="F25" s="18">
        <v>41975</v>
      </c>
      <c r="G25" s="18">
        <v>44300</v>
      </c>
      <c r="H25" s="18"/>
      <c r="I25" s="18">
        <v>44300</v>
      </c>
      <c r="J25" s="18">
        <v>42470</v>
      </c>
      <c r="K25" s="48">
        <f>42000-317</f>
        <v>41683</v>
      </c>
      <c r="L25" s="176">
        <f>44500-1750-1000-G24</f>
        <v>-1257.6923076923049</v>
      </c>
      <c r="M25" s="69"/>
      <c r="N25" s="174"/>
      <c r="O25" s="48"/>
      <c r="P25" s="48"/>
      <c r="Q25" s="48"/>
      <c r="R25" s="49"/>
      <c r="S25" s="49">
        <v>46000</v>
      </c>
      <c r="T25" s="49"/>
    </row>
    <row r="26" spans="1:21">
      <c r="A26" s="22" t="s">
        <v>30</v>
      </c>
      <c r="B26" s="18">
        <f>B24-B25</f>
        <v>-1292.3076923076951</v>
      </c>
      <c r="C26" s="18">
        <f>C24-C25</f>
        <v>-292.30769230769511</v>
      </c>
      <c r="D26" s="18">
        <f>D24-D25</f>
        <v>-1400</v>
      </c>
      <c r="E26" s="18">
        <f>E24-E25</f>
        <v>41944.230769230766</v>
      </c>
      <c r="F26" s="18">
        <f>F24-F25</f>
        <v>-292.30769230769511</v>
      </c>
      <c r="G26" s="18">
        <f>G24-G25</f>
        <v>-1292.3076923076951</v>
      </c>
      <c r="H26" s="18">
        <f>H24-H25</f>
        <v>43166.153846153844</v>
      </c>
      <c r="I26" s="18">
        <f>I24-I25</f>
        <v>-730.76923076923413</v>
      </c>
      <c r="J26" s="18">
        <f>J24-J25</f>
        <v>-7338.461538461539</v>
      </c>
      <c r="K26" s="48"/>
      <c r="L26" s="19"/>
      <c r="M26" s="69"/>
      <c r="N26" s="174">
        <f>44200-3100-1000-F24</f>
        <v>-1582.6923076923049</v>
      </c>
      <c r="O26" s="48"/>
      <c r="P26" s="48"/>
      <c r="Q26" s="48"/>
      <c r="R26" s="49"/>
      <c r="S26" s="49"/>
      <c r="T26" s="49"/>
    </row>
    <row r="27" spans="1:21">
      <c r="A27" s="14"/>
      <c r="B27" s="19">
        <f>B25-2500</f>
        <v>42600</v>
      </c>
      <c r="C27" s="14"/>
      <c r="D27" s="14"/>
      <c r="E27" s="14"/>
      <c r="F27" s="14"/>
      <c r="G27" s="19">
        <f>G25-2500</f>
        <v>41800</v>
      </c>
      <c r="H27" s="14"/>
      <c r="I27" s="14"/>
      <c r="J27" s="14"/>
      <c r="K27" s="48"/>
      <c r="L27" s="48">
        <f>44000-3600-1000-F24</f>
        <v>-2282.6923076923049</v>
      </c>
      <c r="M27" s="69">
        <f>46500-1450-1000-G24</f>
        <v>1042.3076923076951</v>
      </c>
      <c r="N27" s="174"/>
      <c r="O27" s="48">
        <f>44500-2000-1000-G24</f>
        <v>-1507.6923076923049</v>
      </c>
      <c r="P27" s="48"/>
      <c r="Q27" s="48"/>
      <c r="R27" s="49"/>
      <c r="S27" s="49"/>
      <c r="T27" s="49"/>
    </row>
    <row r="28" spans="1:21">
      <c r="A28" s="22" t="s">
        <v>31</v>
      </c>
      <c r="B28" s="23">
        <v>48300</v>
      </c>
      <c r="C28" s="23">
        <v>45550</v>
      </c>
      <c r="D28" s="18">
        <v>48800</v>
      </c>
      <c r="E28" s="18">
        <v>45550</v>
      </c>
      <c r="F28" s="18">
        <v>45550</v>
      </c>
      <c r="G28" s="18">
        <v>47500</v>
      </c>
      <c r="H28" s="18">
        <v>47800</v>
      </c>
      <c r="I28" s="18">
        <v>48300</v>
      </c>
      <c r="J28" s="18"/>
      <c r="K28" s="48"/>
      <c r="L28" s="48"/>
      <c r="M28" s="69"/>
      <c r="N28" s="48"/>
      <c r="O28" s="48"/>
      <c r="P28" s="48"/>
      <c r="Q28" s="48"/>
      <c r="R28" s="49"/>
      <c r="S28" s="49"/>
      <c r="T28" s="49"/>
    </row>
    <row r="29" spans="1:21">
      <c r="A29" s="22" t="s">
        <v>32</v>
      </c>
      <c r="B29" s="26">
        <f>B28-500-(200+300+300)-250-400</f>
        <v>46350</v>
      </c>
      <c r="C29" s="26">
        <f>C28-500-(200+300+300)-250-400</f>
        <v>43600</v>
      </c>
      <c r="D29" s="26">
        <f>D28-500-(200+300+300)-250-400</f>
        <v>46850</v>
      </c>
      <c r="E29" s="26">
        <f>E28-500-(200+300+300)-250-400</f>
        <v>43600</v>
      </c>
      <c r="F29" s="26">
        <f>F28-500-(200+300+300)-250-400</f>
        <v>43600</v>
      </c>
      <c r="G29" s="26">
        <f>G28-500-(200+300+300)-250-400</f>
        <v>45550</v>
      </c>
      <c r="H29" s="26">
        <f>H28-500-(200+300+300)-250-400</f>
        <v>45850</v>
      </c>
      <c r="I29" s="26">
        <f>I28-500-(200+300+300)-250-400</f>
        <v>46350</v>
      </c>
      <c r="J29" s="26"/>
      <c r="K29" s="48"/>
      <c r="L29" s="48">
        <f>44500-2550-1000-G24</f>
        <v>-2057.6923076923049</v>
      </c>
      <c r="M29" s="48">
        <f>45250-1600-1000-G24</f>
        <v>-357.69230769230489</v>
      </c>
      <c r="N29" s="48">
        <f>44200-1700-1000-G24</f>
        <v>-1507.6923076923049</v>
      </c>
      <c r="O29" s="48"/>
      <c r="P29" s="48"/>
      <c r="Q29" s="48"/>
      <c r="R29" s="49"/>
      <c r="S29" s="49"/>
      <c r="T29" s="49"/>
    </row>
    <row r="30" spans="1:21">
      <c r="A30" s="25" t="s">
        <v>33</v>
      </c>
      <c r="B30" s="18">
        <f>B29-B24</f>
        <v>2542.3076923076951</v>
      </c>
      <c r="C30" s="18">
        <f>C29-C24</f>
        <v>1577.3076923076951</v>
      </c>
      <c r="D30" s="18">
        <f>D29-D24</f>
        <v>2100</v>
      </c>
      <c r="E30" s="18">
        <f>E29-E24</f>
        <v>1655.7692307692341</v>
      </c>
      <c r="F30" s="18">
        <f>F29-F24</f>
        <v>1917.3076923076951</v>
      </c>
      <c r="G30" s="18">
        <f>G29-G24</f>
        <v>2542.3076923076951</v>
      </c>
      <c r="H30" s="18">
        <f>H29-H24</f>
        <v>2683.8461538461561</v>
      </c>
      <c r="I30" s="18">
        <f>I29-I24</f>
        <v>2780.7692307692341</v>
      </c>
      <c r="J30" s="18"/>
      <c r="K30" s="48"/>
      <c r="L30" s="48"/>
      <c r="M30" s="48">
        <f>45500-900-800-D24</f>
        <v>-950</v>
      </c>
      <c r="N30" s="48"/>
      <c r="O30" s="48"/>
      <c r="P30" s="48"/>
      <c r="Q30" s="48"/>
      <c r="R30" s="49"/>
      <c r="S30" s="49"/>
      <c r="T30" s="49"/>
      <c r="U30" s="33"/>
    </row>
    <row r="31" spans="1:21">
      <c r="I31" s="33"/>
      <c r="J31" s="49"/>
      <c r="K31" s="48"/>
      <c r="L31" s="49"/>
      <c r="M31" s="48">
        <f>45500-900-800-D25</f>
        <v>-2350</v>
      </c>
      <c r="N31" s="48"/>
      <c r="O31" s="48">
        <f>42000-F24</f>
        <v>317.30769230769511</v>
      </c>
      <c r="P31" s="48"/>
      <c r="Q31" s="49"/>
      <c r="R31" s="49"/>
      <c r="S31" s="49"/>
      <c r="T31" s="49"/>
      <c r="U31" s="33"/>
    </row>
    <row r="32" spans="1:21">
      <c r="B32" s="33"/>
      <c r="C32" s="33">
        <f>G24+1000+2000</f>
        <v>46007.692307692305</v>
      </c>
      <c r="D32" s="33"/>
      <c r="E32" s="33">
        <f>45000-1750-G24-1000</f>
        <v>-757.69230769230489</v>
      </c>
      <c r="F32" s="33"/>
      <c r="G32" s="33">
        <f>45200-G24-1000-1200</f>
        <v>-7.6923076923048939</v>
      </c>
      <c r="H32" s="33">
        <f>F24+3000</f>
        <v>44682.692307692305</v>
      </c>
      <c r="I32" s="33"/>
      <c r="J32" s="49">
        <f>G24+1400</f>
        <v>44407.692307692305</v>
      </c>
      <c r="K32" s="49"/>
      <c r="L32" s="49"/>
      <c r="M32" s="48"/>
      <c r="N32" s="49"/>
      <c r="O32" s="48"/>
      <c r="P32" s="49"/>
      <c r="Q32" s="49"/>
      <c r="R32" s="49"/>
      <c r="S32" s="49"/>
      <c r="T32" s="49"/>
    </row>
    <row r="33" spans="1:21 16384:16384" ht="22.5" customHeight="1">
      <c r="B33" s="33"/>
      <c r="C33" s="33"/>
      <c r="D33" s="33">
        <f>46400-2000-D24-800</f>
        <v>-1150</v>
      </c>
      <c r="E33" s="104">
        <f>51500/1.18</f>
        <v>43644.067796610172</v>
      </c>
      <c r="F33" s="33">
        <f>42200*1.18</f>
        <v>49796</v>
      </c>
      <c r="G33" s="33">
        <f>51500/0.18</f>
        <v>286111.11111111112</v>
      </c>
      <c r="H33" s="33">
        <f>45500-G24-1000-1000</f>
        <v>492.30769230769511</v>
      </c>
      <c r="I33" s="33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XFD33" s="96" t="s">
        <v>68</v>
      </c>
    </row>
    <row r="34" spans="1:21 16384:16384" ht="15.75">
      <c r="D34" s="33"/>
      <c r="G34" s="33"/>
      <c r="H34" s="33"/>
      <c r="J34" s="49">
        <f>46200-1600-D24</f>
        <v>-150</v>
      </c>
      <c r="K34" s="125"/>
      <c r="L34" s="106"/>
      <c r="M34" s="48"/>
      <c r="N34" s="125"/>
      <c r="O34" s="106"/>
      <c r="P34" s="106"/>
      <c r="Q34" s="128"/>
      <c r="R34" s="49"/>
      <c r="S34" s="49"/>
      <c r="T34" s="49"/>
      <c r="XFD34" s="97">
        <v>43500</v>
      </c>
    </row>
    <row r="35" spans="1:21 16384:16384" ht="15.75">
      <c r="A35" s="39" t="s">
        <v>40</v>
      </c>
      <c r="B35" s="40" t="s">
        <v>49</v>
      </c>
      <c r="C35" s="43"/>
      <c r="D35" s="33"/>
      <c r="E35" s="33"/>
      <c r="F35" s="33"/>
      <c r="H35" s="124"/>
      <c r="I35" s="33"/>
      <c r="J35" s="49"/>
      <c r="K35" s="106"/>
      <c r="L35" s="125"/>
      <c r="M35" s="145"/>
      <c r="N35" s="125"/>
      <c r="O35" s="106"/>
      <c r="P35" s="125"/>
      <c r="Q35" s="106"/>
      <c r="R35" s="49"/>
      <c r="S35" s="49"/>
      <c r="T35" s="49"/>
      <c r="XFD35" s="97">
        <v>44000</v>
      </c>
    </row>
    <row r="36" spans="1:21 16384:16384" ht="15.75">
      <c r="A36" s="29" t="s">
        <v>42</v>
      </c>
      <c r="B36" s="29">
        <v>46000</v>
      </c>
      <c r="C36" s="43"/>
      <c r="D36" s="33"/>
      <c r="F36" s="112"/>
      <c r="G36" s="218">
        <f>F24+3200</f>
        <v>44882.692307692305</v>
      </c>
      <c r="H36" s="33"/>
      <c r="I36" s="33"/>
      <c r="J36" s="49"/>
      <c r="K36" s="125"/>
      <c r="L36" s="125"/>
      <c r="M36" s="145"/>
      <c r="N36" s="106"/>
      <c r="O36" s="125"/>
      <c r="P36" s="125"/>
      <c r="Q36" s="106"/>
      <c r="R36" s="49"/>
      <c r="S36" s="49"/>
      <c r="T36" s="49"/>
      <c r="XFD36" s="97">
        <v>43500</v>
      </c>
    </row>
    <row r="37" spans="1:21 16384:16384" ht="15.75">
      <c r="A37" s="29" t="s">
        <v>43</v>
      </c>
      <c r="B37" s="29">
        <v>42615</v>
      </c>
      <c r="C37" s="43">
        <f>B37+1250</f>
        <v>43865</v>
      </c>
      <c r="F37" s="113"/>
      <c r="G37" s="170">
        <f>43550-500-200</f>
        <v>42850</v>
      </c>
      <c r="H37" s="167"/>
      <c r="J37" s="49"/>
      <c r="K37" s="106"/>
      <c r="L37" s="106"/>
      <c r="M37" s="106"/>
      <c r="N37" s="125"/>
      <c r="O37" s="106"/>
      <c r="P37" s="106"/>
      <c r="Q37" s="106"/>
      <c r="R37" s="130" t="s">
        <v>115</v>
      </c>
      <c r="S37" s="131" t="s">
        <v>116</v>
      </c>
      <c r="T37" s="131" t="s">
        <v>117</v>
      </c>
      <c r="U37" s="130" t="s">
        <v>118</v>
      </c>
      <c r="XFD37" s="97">
        <v>44000</v>
      </c>
    </row>
    <row r="38" spans="1:21 16384:16384" ht="15.75">
      <c r="A38" s="29" t="s">
        <v>44</v>
      </c>
      <c r="B38" s="29">
        <v>42275</v>
      </c>
      <c r="C38" s="43">
        <f>B38+1000</f>
        <v>43275</v>
      </c>
      <c r="F38" s="112"/>
      <c r="G38" s="170">
        <f>G36-G37</f>
        <v>2032.6923076923049</v>
      </c>
      <c r="H38" s="169"/>
      <c r="J38" s="49"/>
      <c r="K38" s="106"/>
      <c r="L38" s="125">
        <f>47700-800-2000-D24</f>
        <v>150</v>
      </c>
      <c r="M38" s="106"/>
      <c r="N38" s="106"/>
      <c r="O38" s="106"/>
      <c r="P38" s="106"/>
      <c r="Q38" s="106"/>
      <c r="R38" s="129" t="s">
        <v>119</v>
      </c>
      <c r="S38" s="129">
        <v>815</v>
      </c>
      <c r="T38" s="129">
        <v>207</v>
      </c>
      <c r="U38" s="129">
        <f>S38-T38</f>
        <v>608</v>
      </c>
      <c r="XFD38" s="97">
        <v>43000</v>
      </c>
    </row>
    <row r="39" spans="1:21 16384:16384" ht="15.75">
      <c r="A39" s="29" t="s">
        <v>36</v>
      </c>
      <c r="B39" s="29">
        <v>46450</v>
      </c>
      <c r="C39" s="43">
        <f>B39+800</f>
        <v>47250</v>
      </c>
      <c r="D39" s="33"/>
      <c r="E39" s="33"/>
      <c r="F39" s="112"/>
      <c r="G39" s="170"/>
      <c r="H39" s="170"/>
      <c r="J39" s="49"/>
      <c r="K39" s="106"/>
      <c r="L39" s="125">
        <f>47700-800-2000-D25</f>
        <v>-1250</v>
      </c>
      <c r="M39" s="125"/>
      <c r="N39" s="106"/>
      <c r="O39" s="106"/>
      <c r="P39" s="106"/>
      <c r="Q39" s="106"/>
      <c r="R39" s="129" t="s">
        <v>120</v>
      </c>
      <c r="S39" s="129">
        <v>46000</v>
      </c>
      <c r="T39" s="129">
        <v>46000</v>
      </c>
      <c r="U39" s="29">
        <v>46000</v>
      </c>
      <c r="XFD39" s="97">
        <v>43500</v>
      </c>
    </row>
    <row r="40" spans="1:21 16384:16384" ht="15.75">
      <c r="A40" s="29" t="s">
        <v>37</v>
      </c>
      <c r="B40" s="29">
        <v>45200</v>
      </c>
      <c r="C40" s="43">
        <f>B40+1000</f>
        <v>46200</v>
      </c>
      <c r="F40" s="114"/>
      <c r="G40" s="171"/>
      <c r="H40" s="171"/>
      <c r="J40" s="49"/>
      <c r="K40" s="106"/>
      <c r="L40" s="126"/>
      <c r="M40" s="127"/>
      <c r="N40" s="128"/>
      <c r="O40" s="106"/>
      <c r="P40" s="106"/>
      <c r="Q40" s="106"/>
      <c r="R40" s="129" t="s">
        <v>121</v>
      </c>
      <c r="S40" s="129">
        <v>3300</v>
      </c>
      <c r="T40" s="129">
        <v>1450</v>
      </c>
      <c r="U40" s="29">
        <v>3350</v>
      </c>
      <c r="XFD40" s="97">
        <v>44000</v>
      </c>
    </row>
    <row r="41" spans="1:21 16384:16384" ht="15.75">
      <c r="A41" s="29" t="s">
        <v>45</v>
      </c>
      <c r="B41" s="29">
        <v>44470</v>
      </c>
      <c r="C41" s="43"/>
      <c r="F41" s="114"/>
      <c r="G41" s="172"/>
      <c r="H41" s="172"/>
      <c r="I41" s="33"/>
      <c r="J41" s="49"/>
      <c r="K41" s="106"/>
      <c r="L41" s="106"/>
      <c r="M41" s="106"/>
      <c r="N41" s="106"/>
      <c r="O41" s="106"/>
      <c r="P41" s="106"/>
      <c r="Q41" s="106"/>
      <c r="R41" s="129" t="s">
        <v>122</v>
      </c>
      <c r="S41" s="129">
        <v>1000</v>
      </c>
      <c r="T41" s="129">
        <v>1000</v>
      </c>
      <c r="U41" s="129">
        <v>1250</v>
      </c>
      <c r="XFD41" s="97">
        <v>45000</v>
      </c>
    </row>
    <row r="42" spans="1:21 16384:16384" ht="15.75">
      <c r="A42" s="43" t="s">
        <v>50</v>
      </c>
      <c r="B42" s="43">
        <v>43675</v>
      </c>
      <c r="C42" s="43"/>
      <c r="F42" s="114"/>
      <c r="G42" s="171"/>
      <c r="H42" s="173"/>
      <c r="J42" s="49"/>
      <c r="K42" s="106"/>
      <c r="L42" s="106"/>
      <c r="M42" s="106"/>
      <c r="N42" s="106"/>
      <c r="O42" s="106"/>
      <c r="P42" s="106"/>
      <c r="Q42" s="106"/>
      <c r="R42" s="129" t="s">
        <v>123</v>
      </c>
      <c r="S42" s="129">
        <f>S39-S40-S41</f>
        <v>41700</v>
      </c>
      <c r="T42" s="129">
        <f t="shared" ref="T42:U42" si="0">T39-T40-T41</f>
        <v>43550</v>
      </c>
      <c r="U42" s="129">
        <f t="shared" si="0"/>
        <v>41400</v>
      </c>
      <c r="XFD42" s="97">
        <v>43500</v>
      </c>
    </row>
    <row r="43" spans="1:21 16384:16384" ht="15.75">
      <c r="A43" s="46" t="s">
        <v>46</v>
      </c>
      <c r="B43" s="46">
        <f>44500-1000</f>
        <v>43500</v>
      </c>
      <c r="C43" s="46">
        <f>B43+1000</f>
        <v>44500</v>
      </c>
      <c r="J43" s="49"/>
      <c r="K43" s="106"/>
      <c r="L43" s="106"/>
      <c r="M43" s="106"/>
      <c r="N43" s="106"/>
      <c r="O43" s="106"/>
      <c r="P43" s="106"/>
      <c r="Q43" s="106"/>
      <c r="R43" s="129" t="s">
        <v>124</v>
      </c>
      <c r="S43" s="129">
        <f>S42-F24</f>
        <v>17.307692307695106</v>
      </c>
      <c r="T43" s="129">
        <f>T42-G24</f>
        <v>542.30769230769511</v>
      </c>
      <c r="U43" s="129">
        <f>U42-C24</f>
        <v>-622.69230769230489</v>
      </c>
      <c r="XFD43" s="97">
        <v>44000</v>
      </c>
    </row>
    <row r="44" spans="1:21 16384:16384" ht="15.75">
      <c r="J44" s="49"/>
      <c r="K44" s="106"/>
      <c r="L44" s="106"/>
      <c r="M44" s="106"/>
      <c r="N44" s="106"/>
      <c r="O44" s="106"/>
      <c r="P44" s="106"/>
      <c r="Q44" s="106"/>
      <c r="R44" s="129" t="s">
        <v>125</v>
      </c>
      <c r="S44" s="129"/>
      <c r="T44" s="525">
        <f>SUMPRODUCT(T43:U43,T38:U38)/SUM(T38:U38)</f>
        <v>-326.7966021708325</v>
      </c>
      <c r="U44" s="525"/>
      <c r="XFD44" s="97">
        <v>44000</v>
      </c>
    </row>
    <row r="45" spans="1:21 16384:16384" ht="15.75">
      <c r="J45" s="49"/>
      <c r="K45" s="106"/>
      <c r="L45" s="106"/>
      <c r="M45" s="106"/>
      <c r="N45" s="106"/>
      <c r="O45" s="106"/>
      <c r="P45" s="106"/>
      <c r="Q45" s="106"/>
      <c r="R45" s="49"/>
      <c r="S45" s="49"/>
      <c r="T45" s="49"/>
      <c r="XFD45" s="97">
        <v>44000</v>
      </c>
    </row>
    <row r="46" spans="1:21 16384:16384" ht="15.75">
      <c r="B46" s="24"/>
      <c r="C46" s="24"/>
      <c r="D46" s="24"/>
      <c r="E46" s="24"/>
      <c r="F46" s="24"/>
      <c r="G46" s="24"/>
      <c r="H46" s="24"/>
      <c r="I46" s="24"/>
      <c r="J46" s="49"/>
      <c r="K46" s="106"/>
      <c r="L46" s="106"/>
      <c r="M46" s="106"/>
      <c r="N46" s="106"/>
      <c r="O46" s="106"/>
      <c r="P46" s="106"/>
      <c r="Q46" s="106"/>
      <c r="R46" s="49"/>
      <c r="S46" s="49"/>
      <c r="T46" s="49"/>
      <c r="XFD46" s="97">
        <v>41000</v>
      </c>
    </row>
    <row r="47" spans="1:21 16384:16384" ht="15.75">
      <c r="B47" s="33"/>
      <c r="C47" s="33"/>
      <c r="D47" s="33"/>
      <c r="E47" s="33"/>
      <c r="F47" s="33"/>
      <c r="G47" s="33"/>
      <c r="H47" s="33"/>
      <c r="I47" s="33"/>
      <c r="K47" s="523"/>
      <c r="L47" s="523"/>
      <c r="M47" s="106"/>
      <c r="N47" s="106"/>
      <c r="O47" s="106"/>
      <c r="P47" s="106"/>
      <c r="Q47" s="106"/>
    </row>
    <row r="49" spans="2:14">
      <c r="B49" s="33"/>
    </row>
    <row r="53" spans="2:14">
      <c r="C53" s="52"/>
      <c r="D53" s="524"/>
      <c r="E53" s="524"/>
      <c r="F53" s="53"/>
      <c r="G53" s="524"/>
      <c r="H53" s="524"/>
      <c r="I53" s="14"/>
    </row>
    <row r="54" spans="2:14">
      <c r="C54" s="115"/>
      <c r="D54" s="109"/>
      <c r="E54" s="109"/>
      <c r="F54" s="52"/>
      <c r="G54" s="109"/>
      <c r="H54" s="109"/>
      <c r="K54" s="110"/>
      <c r="L54" s="110"/>
      <c r="M54" s="110"/>
      <c r="N54" s="110"/>
    </row>
    <row r="55" spans="2:14">
      <c r="C55" s="52"/>
      <c r="D55" s="111"/>
      <c r="E55" s="111"/>
      <c r="F55" s="58"/>
      <c r="G55" s="111"/>
      <c r="H55" s="111"/>
      <c r="L55" s="62"/>
      <c r="M55" s="62"/>
      <c r="N55" s="62"/>
    </row>
    <row r="56" spans="2:14">
      <c r="C56" s="52"/>
      <c r="D56" s="111"/>
      <c r="E56" s="111"/>
      <c r="F56" s="58"/>
      <c r="G56" s="111"/>
      <c r="H56" s="111"/>
      <c r="L56" s="62"/>
      <c r="M56" s="62"/>
      <c r="N56" s="62"/>
    </row>
    <row r="57" spans="2:14">
      <c r="C57" s="52"/>
      <c r="D57" s="111"/>
      <c r="E57" s="111"/>
      <c r="F57" s="58"/>
      <c r="G57" s="111"/>
      <c r="H57" s="111"/>
      <c r="L57" s="62"/>
      <c r="M57" s="62"/>
      <c r="N57" s="62"/>
    </row>
    <row r="58" spans="2:14">
      <c r="C58" s="52"/>
      <c r="D58" s="111"/>
      <c r="E58" s="111"/>
      <c r="F58" s="58"/>
      <c r="G58" s="111"/>
      <c r="H58" s="111"/>
      <c r="L58" s="62"/>
      <c r="M58" s="62"/>
      <c r="N58" s="62"/>
    </row>
    <row r="59" spans="2:14">
      <c r="C59" s="52"/>
      <c r="D59" s="111"/>
      <c r="E59" s="111"/>
      <c r="F59" s="58"/>
      <c r="G59" s="111"/>
      <c r="H59" s="111"/>
      <c r="K59" s="116"/>
      <c r="L59" s="117"/>
      <c r="M59" s="117"/>
      <c r="N59" s="117"/>
    </row>
    <row r="60" spans="2:14">
      <c r="C60" s="52"/>
      <c r="D60" s="111"/>
      <c r="E60" s="111"/>
      <c r="F60" s="58"/>
      <c r="G60" s="111"/>
      <c r="H60" s="111"/>
    </row>
    <row r="61" spans="2:14">
      <c r="C61" s="52"/>
      <c r="D61" s="118"/>
      <c r="E61" s="118"/>
      <c r="F61" s="58"/>
      <c r="G61" s="118"/>
      <c r="H61" s="118"/>
    </row>
    <row r="62" spans="2:14">
      <c r="C62" s="52"/>
      <c r="D62" s="118"/>
      <c r="E62" s="118"/>
      <c r="F62" s="58"/>
      <c r="G62" s="118"/>
      <c r="H62" s="118"/>
    </row>
    <row r="63" spans="2:14">
      <c r="C63" s="119"/>
      <c r="D63" s="118"/>
      <c r="E63" s="118"/>
      <c r="F63" s="58"/>
      <c r="G63" s="118"/>
      <c r="H63" s="118"/>
    </row>
    <row r="73" spans="3:12">
      <c r="C73" s="120"/>
      <c r="D73" s="120"/>
      <c r="E73" s="120"/>
      <c r="F73" s="120"/>
      <c r="G73" s="120"/>
      <c r="H73" s="120"/>
      <c r="I73" s="120"/>
      <c r="J73" s="120"/>
      <c r="K73" s="120"/>
      <c r="L73" s="120"/>
    </row>
    <row r="74" spans="3:12">
      <c r="C74" s="120"/>
      <c r="D74" s="121"/>
      <c r="E74" s="122"/>
      <c r="F74" s="122"/>
      <c r="G74" s="122"/>
      <c r="H74" s="122"/>
      <c r="I74" s="122"/>
      <c r="J74" s="122"/>
      <c r="K74" s="122"/>
      <c r="L74" s="122"/>
    </row>
    <row r="75" spans="3:12">
      <c r="C75" s="120"/>
      <c r="D75" s="121"/>
      <c r="E75" s="122"/>
      <c r="F75" s="122"/>
      <c r="G75" s="122"/>
      <c r="H75" s="122"/>
      <c r="I75" s="122"/>
      <c r="J75" s="122"/>
      <c r="K75" s="122"/>
      <c r="L75" s="122"/>
    </row>
    <row r="76" spans="3:12">
      <c r="C76" s="120"/>
      <c r="D76" s="121"/>
      <c r="E76" s="122"/>
      <c r="F76" s="122"/>
      <c r="G76" s="122"/>
      <c r="H76" s="122"/>
      <c r="I76" s="122"/>
      <c r="J76" s="122"/>
      <c r="K76" s="122"/>
      <c r="L76" s="122"/>
    </row>
    <row r="77" spans="3:12">
      <c r="C77" s="120"/>
      <c r="D77" s="121"/>
      <c r="E77" s="122"/>
      <c r="F77" s="122"/>
      <c r="G77" s="122"/>
      <c r="H77" s="122"/>
      <c r="I77" s="122"/>
      <c r="J77" s="122"/>
      <c r="K77" s="122"/>
      <c r="L77" s="122"/>
    </row>
    <row r="78" spans="3:12">
      <c r="C78" s="120"/>
      <c r="D78" s="120"/>
      <c r="E78" s="123"/>
      <c r="F78" s="123"/>
      <c r="G78" s="123"/>
      <c r="H78" s="123"/>
      <c r="I78" s="123"/>
      <c r="J78" s="123"/>
      <c r="K78" s="123"/>
      <c r="L78" s="123"/>
    </row>
  </sheetData>
  <mergeCells count="5">
    <mergeCell ref="B1:Q1"/>
    <mergeCell ref="T44:U44"/>
    <mergeCell ref="K47:L47"/>
    <mergeCell ref="D53:E53"/>
    <mergeCell ref="G53:H53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8E77-1BB4-4BE8-B9C2-29744EA6A2B9}">
  <dimension ref="A1:XFD78"/>
  <sheetViews>
    <sheetView workbookViewId="0">
      <pane ySplit="2" topLeftCell="Q25" activePane="bottomLeft" state="frozen"/>
      <selection pane="bottomLeft" activeCell="L24" sqref="L24"/>
    </sheetView>
  </sheetViews>
  <sheetFormatPr defaultColWidth="15.85546875" defaultRowHeight="15"/>
  <cols>
    <col min="1" max="1" width="22" customWidth="1"/>
    <col min="2" max="2" width="14.85546875" customWidth="1"/>
    <col min="3" max="3" width="16.85546875" customWidth="1"/>
    <col min="4" max="4" width="10.85546875" customWidth="1"/>
    <col min="5" max="5" width="14.28515625" customWidth="1"/>
    <col min="6" max="7" width="10.85546875" customWidth="1"/>
    <col min="8" max="8" width="13.140625" customWidth="1"/>
    <col min="9" max="10" width="10.85546875" customWidth="1"/>
    <col min="11" max="11" width="17.85546875" customWidth="1"/>
    <col min="12" max="16" width="10.85546875" customWidth="1"/>
    <col min="17" max="17" width="12.28515625" customWidth="1"/>
    <col min="18" max="18" width="11.28515625" customWidth="1"/>
    <col min="19" max="19" width="25.28515625" bestFit="1" customWidth="1"/>
    <col min="20" max="20" width="22.5703125" bestFit="1" customWidth="1"/>
    <col min="21" max="21" width="25.28515625" bestFit="1" customWidth="1"/>
  </cols>
  <sheetData>
    <row r="1" spans="1:22">
      <c r="A1" s="81"/>
      <c r="B1" s="519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</row>
    <row r="2" spans="1:22">
      <c r="A2" s="8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</row>
    <row r="3" spans="1:22">
      <c r="A3" s="83">
        <v>45931</v>
      </c>
      <c r="B3" s="36">
        <f>_xlfn.XLOOKUP(A3,'steel Mint data'!A:A,'steel Mint data'!B:B,"",0)</f>
        <v>43000</v>
      </c>
      <c r="C3" s="36"/>
      <c r="D3" s="36"/>
      <c r="E3" s="36">
        <f>_xlfn.XLOOKUP(A3,'steel Mint data'!A:A,'steel Mint data'!D:D,"",0)</f>
        <v>42300</v>
      </c>
      <c r="F3" s="36" t="str">
        <f>_xlfn.XLOOKUP(A3,'steel Mint data'!A:A,'steel Mint data'!E:E,"",0)</f>
        <v>-</v>
      </c>
      <c r="G3" s="36"/>
      <c r="H3" s="36"/>
      <c r="I3" s="36">
        <f>_xlfn.XLOOKUP(A3,'steel Mint data'!A:A,'steel Mint data'!I:I,"",0)</f>
        <v>41600</v>
      </c>
      <c r="J3" s="36"/>
      <c r="K3" s="36">
        <f>_xlfn.XLOOKUP(A3,'steel Mint data'!A:A,'steel Mint data'!L:L,"",0)</f>
        <v>44100</v>
      </c>
      <c r="L3" s="36"/>
      <c r="M3" s="36"/>
      <c r="N3" s="36"/>
      <c r="O3" s="36"/>
      <c r="P3" s="37">
        <f>_xlfn.XLOOKUP(A3,'steel Mint data'!A:A,'steel Mint data'!Q:Q,"",0)</f>
        <v>39300</v>
      </c>
      <c r="Q3" s="36">
        <f>_xlfn.XLOOKUP(A3,'steel Mint data'!A:A,'steel Mint data'!R:R,"",0)</f>
        <v>39400</v>
      </c>
    </row>
    <row r="4" spans="1:22">
      <c r="A4" s="83">
        <v>45932</v>
      </c>
      <c r="B4" s="36" t="str">
        <f>_xlfn.XLOOKUP(A4,'steel Mint data'!A:A,'steel Mint data'!B:B,"",0)</f>
        <v>H</v>
      </c>
      <c r="C4" s="36"/>
      <c r="D4" s="36"/>
      <c r="E4" s="36" t="str">
        <f>_xlfn.XLOOKUP(A4,'steel Mint data'!A:A,'steel Mint data'!D:D,"",0)</f>
        <v>H</v>
      </c>
      <c r="F4" s="36" t="str">
        <f>_xlfn.XLOOKUP(A4,'steel Mint data'!A:A,'steel Mint data'!E:E,"",0)</f>
        <v>H</v>
      </c>
      <c r="G4" s="36"/>
      <c r="H4" s="36"/>
      <c r="I4" s="36" t="str">
        <f>_xlfn.XLOOKUP(A4,'steel Mint data'!A:A,'steel Mint data'!I:I,"",0)</f>
        <v>H</v>
      </c>
      <c r="J4" s="36"/>
      <c r="K4" s="36" t="str">
        <f>_xlfn.XLOOKUP(A4,'steel Mint data'!A:A,'steel Mint data'!L:L,"",0)</f>
        <v>H</v>
      </c>
      <c r="L4" s="36"/>
      <c r="M4" s="36"/>
      <c r="N4" s="36"/>
      <c r="O4" s="36"/>
      <c r="P4" s="37" t="str">
        <f>_xlfn.XLOOKUP(A4,'steel Mint data'!A:A,'steel Mint data'!Q:Q,"",0)</f>
        <v>H</v>
      </c>
      <c r="Q4" s="36" t="str">
        <f>_xlfn.XLOOKUP(A4,'steel Mint data'!A:A,'steel Mint data'!R:R,"",0)</f>
        <v>H</v>
      </c>
    </row>
    <row r="5" spans="1:22">
      <c r="A5" s="83">
        <v>45933</v>
      </c>
      <c r="B5" s="36">
        <f>_xlfn.XLOOKUP(A5,'steel Mint data'!A:A,'steel Mint data'!B:B,"",0)</f>
        <v>42800</v>
      </c>
      <c r="C5" s="36"/>
      <c r="D5" s="36"/>
      <c r="E5" s="36">
        <f>_xlfn.XLOOKUP(A5,'steel Mint data'!A:A,'steel Mint data'!D:D,"",0)</f>
        <v>42700</v>
      </c>
      <c r="F5" s="36">
        <f>_xlfn.XLOOKUP(A5,'steel Mint data'!A:A,'steel Mint data'!E:E,"",0)</f>
        <v>38800</v>
      </c>
      <c r="G5" s="36"/>
      <c r="H5" s="36"/>
      <c r="I5" s="36">
        <f>_xlfn.XLOOKUP(A5,'steel Mint data'!A:A,'steel Mint data'!I:I,"",0)</f>
        <v>41800</v>
      </c>
      <c r="J5" s="36"/>
      <c r="K5" s="36">
        <f>_xlfn.XLOOKUP(A5,'steel Mint data'!A:A,'steel Mint data'!L:L,"",0)</f>
        <v>44100</v>
      </c>
      <c r="L5" s="36"/>
      <c r="M5" s="36"/>
      <c r="N5" s="36"/>
      <c r="O5" s="36"/>
      <c r="P5" s="37">
        <f>_xlfn.XLOOKUP(A5,'steel Mint data'!A:A,'steel Mint data'!Q:Q,"",0)</f>
        <v>39200</v>
      </c>
      <c r="Q5" s="36">
        <f>_xlfn.XLOOKUP(A5,'steel Mint data'!A:A,'steel Mint data'!R:R,"",0)</f>
        <v>39400</v>
      </c>
      <c r="T5" s="27" t="s">
        <v>40</v>
      </c>
      <c r="U5" s="27" t="s">
        <v>141</v>
      </c>
      <c r="V5" s="27" t="s">
        <v>48</v>
      </c>
    </row>
    <row r="6" spans="1:22">
      <c r="A6" s="83">
        <v>45934</v>
      </c>
      <c r="B6" s="36">
        <f>_xlfn.XLOOKUP(A6,'steel Mint data'!A:A,'steel Mint data'!B:B,"",0)</f>
        <v>42700</v>
      </c>
      <c r="C6" s="36"/>
      <c r="D6" s="36"/>
      <c r="E6" s="36">
        <f>_xlfn.XLOOKUP(A6,'steel Mint data'!A:A,'steel Mint data'!D:D,"",0)</f>
        <v>42300</v>
      </c>
      <c r="F6" s="36">
        <f>_xlfn.XLOOKUP(A6,'steel Mint data'!A:A,'steel Mint data'!E:E,"",0)</f>
        <v>38700</v>
      </c>
      <c r="G6" s="36"/>
      <c r="H6" s="36"/>
      <c r="I6" s="36">
        <f>_xlfn.XLOOKUP(A6,'steel Mint data'!A:A,'steel Mint data'!I:I,"",0)</f>
        <v>41600</v>
      </c>
      <c r="J6" s="36"/>
      <c r="K6" s="36">
        <f>_xlfn.XLOOKUP(A6,'steel Mint data'!A:A,'steel Mint data'!L:L,"",0)</f>
        <v>44000</v>
      </c>
      <c r="L6" s="36"/>
      <c r="M6" s="36"/>
      <c r="N6" s="36"/>
      <c r="O6" s="36"/>
      <c r="P6" s="37">
        <f>_xlfn.XLOOKUP(A6,'steel Mint data'!A:A,'steel Mint data'!Q:Q,"",0)</f>
        <v>39100</v>
      </c>
      <c r="Q6" s="36">
        <f>_xlfn.XLOOKUP(A6,'steel Mint data'!A:A,'steel Mint data'!R:R,"",0)</f>
        <v>39400</v>
      </c>
      <c r="T6" s="27" t="s">
        <v>42</v>
      </c>
      <c r="U6" s="27">
        <v>47800</v>
      </c>
      <c r="V6" s="27">
        <f>U6+700</f>
        <v>48500</v>
      </c>
    </row>
    <row r="7" spans="1:22">
      <c r="A7" s="83">
        <v>45935</v>
      </c>
      <c r="B7" s="36" t="str">
        <f>_xlfn.XLOOKUP(A7,'steel Mint data'!A:A,'steel Mint data'!B:B,"",0)</f>
        <v>H</v>
      </c>
      <c r="C7" s="36"/>
      <c r="D7" s="36"/>
      <c r="E7" s="36" t="str">
        <f>_xlfn.XLOOKUP(A7,'steel Mint data'!A:A,'steel Mint data'!D:D,"",0)</f>
        <v>H</v>
      </c>
      <c r="F7" s="36" t="str">
        <f>_xlfn.XLOOKUP(A7,'steel Mint data'!A:A,'steel Mint data'!E:E,"",0)</f>
        <v>H</v>
      </c>
      <c r="G7" s="36"/>
      <c r="H7" s="36"/>
      <c r="I7" s="36" t="str">
        <f>_xlfn.XLOOKUP(A7,'steel Mint data'!A:A,'steel Mint data'!I:I,"",0)</f>
        <v>H</v>
      </c>
      <c r="J7" s="36"/>
      <c r="K7" s="36" t="str">
        <f>_xlfn.XLOOKUP(A7,'steel Mint data'!A:A,'steel Mint data'!L:L,"",0)</f>
        <v>H</v>
      </c>
      <c r="L7" s="36"/>
      <c r="M7" s="36"/>
      <c r="N7" s="36"/>
      <c r="O7" s="36"/>
      <c r="P7" s="37" t="str">
        <f>_xlfn.XLOOKUP(A7,'steel Mint data'!A:A,'steel Mint data'!Q:Q,"",0)</f>
        <v>H</v>
      </c>
      <c r="Q7" s="36" t="str">
        <f>_xlfn.XLOOKUP(A7,'steel Mint data'!A:A,'steel Mint data'!R:R,"",0)</f>
        <v>H</v>
      </c>
      <c r="T7" s="27" t="s">
        <v>37</v>
      </c>
      <c r="U7" s="27">
        <v>47000</v>
      </c>
      <c r="V7" s="27">
        <f>U7+1000</f>
        <v>48000</v>
      </c>
    </row>
    <row r="8" spans="1:22">
      <c r="A8" s="83">
        <v>45936</v>
      </c>
      <c r="B8" s="36">
        <f>_xlfn.XLOOKUP(A8,'steel Mint data'!A:A,'steel Mint data'!B:B,"",0)</f>
        <v>42600</v>
      </c>
      <c r="C8" s="36"/>
      <c r="D8" s="36"/>
      <c r="E8" s="36">
        <f>_xlfn.XLOOKUP(A8,'steel Mint data'!A:A,'steel Mint data'!D:D,"",0)</f>
        <v>42000</v>
      </c>
      <c r="F8" s="36">
        <f>_xlfn.XLOOKUP(A8,'steel Mint data'!A:A,'steel Mint data'!E:E,"",0)</f>
        <v>38500</v>
      </c>
      <c r="G8" s="36"/>
      <c r="H8" s="36"/>
      <c r="I8" s="36">
        <f>_xlfn.XLOOKUP(A8,'steel Mint data'!A:A,'steel Mint data'!I:I,"",0)</f>
        <v>41500</v>
      </c>
      <c r="J8" s="36"/>
      <c r="K8" s="36">
        <f>_xlfn.XLOOKUP(A8,'steel Mint data'!A:A,'steel Mint data'!L:L,"",0)</f>
        <v>43900</v>
      </c>
      <c r="L8" s="36"/>
      <c r="M8" s="36"/>
      <c r="N8" s="36"/>
      <c r="O8" s="36"/>
      <c r="P8" s="37">
        <f>_xlfn.XLOOKUP(A8,'steel Mint data'!A:A,'steel Mint data'!Q:Q,"",0)</f>
        <v>38800</v>
      </c>
      <c r="Q8" s="36">
        <f>_xlfn.XLOOKUP(A8,'steel Mint data'!A:A,'steel Mint data'!R:R,"",0)</f>
        <v>39200</v>
      </c>
      <c r="T8" s="27" t="s">
        <v>142</v>
      </c>
      <c r="U8" s="27">
        <v>45050</v>
      </c>
      <c r="V8" s="27">
        <f>U8+1750</f>
        <v>46800</v>
      </c>
    </row>
    <row r="9" spans="1:22">
      <c r="A9" s="83">
        <v>45937</v>
      </c>
      <c r="B9" s="36">
        <f>_xlfn.XLOOKUP(A9,'steel Mint data'!A:A,'steel Mint data'!B:B,"",0)</f>
        <v>42400</v>
      </c>
      <c r="C9" s="36"/>
      <c r="D9" s="36"/>
      <c r="E9" s="36">
        <f>_xlfn.XLOOKUP(A9,'steel Mint data'!A:A,'steel Mint data'!D:D,"",0)</f>
        <v>41600</v>
      </c>
      <c r="F9" s="36">
        <f>_xlfn.XLOOKUP(A9,'steel Mint data'!A:A,'steel Mint data'!E:E,"",0)</f>
        <v>38400</v>
      </c>
      <c r="G9" s="36"/>
      <c r="H9" s="36"/>
      <c r="I9" s="36">
        <f>_xlfn.XLOOKUP(A9,'steel Mint data'!A:A,'steel Mint data'!I:I,"",0)</f>
        <v>41300</v>
      </c>
      <c r="J9" s="36"/>
      <c r="K9" s="36">
        <f>_xlfn.XLOOKUP(A9,'steel Mint data'!A:A,'steel Mint data'!L:L,"",0)</f>
        <v>43700</v>
      </c>
      <c r="L9" s="36"/>
      <c r="M9" s="36"/>
      <c r="N9" s="36"/>
      <c r="O9" s="36"/>
      <c r="P9" s="37">
        <f>_xlfn.XLOOKUP(A9,'steel Mint data'!A:A,'steel Mint data'!Q:Q,"",0)</f>
        <v>38500</v>
      </c>
      <c r="Q9" s="36">
        <f>_xlfn.XLOOKUP(A9,'steel Mint data'!A:A,'steel Mint data'!R:R,"",0)</f>
        <v>39000</v>
      </c>
      <c r="R9" s="33"/>
      <c r="T9" s="27"/>
      <c r="U9" s="27"/>
      <c r="V9" s="27"/>
    </row>
    <row r="10" spans="1:22">
      <c r="A10" s="83">
        <v>45938</v>
      </c>
      <c r="B10" s="36">
        <f>_xlfn.XLOOKUP(A10,'steel Mint data'!A:A,'steel Mint data'!B:B,"",0)</f>
        <v>42400</v>
      </c>
      <c r="C10" s="36"/>
      <c r="D10" s="36"/>
      <c r="E10" s="36">
        <f>_xlfn.XLOOKUP(A10,'steel Mint data'!A:A,'steel Mint data'!D:D,"",0)</f>
        <v>41600</v>
      </c>
      <c r="F10" s="36">
        <f>_xlfn.XLOOKUP(A10,'steel Mint data'!A:A,'steel Mint data'!E:E,"",0)</f>
        <v>38300</v>
      </c>
      <c r="G10" s="36"/>
      <c r="H10" s="36"/>
      <c r="I10" s="36">
        <f>_xlfn.XLOOKUP(A10,'steel Mint data'!A:A,'steel Mint data'!I:I,"",0)</f>
        <v>41200</v>
      </c>
      <c r="J10" s="36"/>
      <c r="K10" s="36">
        <f>_xlfn.XLOOKUP(A10,'steel Mint data'!A:A,'steel Mint data'!L:L,"",0)</f>
        <v>43500</v>
      </c>
      <c r="L10" s="36"/>
      <c r="M10" s="36"/>
      <c r="N10" s="36"/>
      <c r="O10" s="36"/>
      <c r="P10" s="37">
        <f>_xlfn.XLOOKUP(A10,'steel Mint data'!A:A,'steel Mint data'!Q:Q,"",0)</f>
        <v>38500</v>
      </c>
      <c r="Q10" s="36">
        <f>_xlfn.XLOOKUP(A10,'steel Mint data'!A:A,'steel Mint data'!R:R,"",0)</f>
        <v>38800</v>
      </c>
      <c r="R10" s="33"/>
    </row>
    <row r="11" spans="1:22">
      <c r="A11" s="83">
        <v>45939</v>
      </c>
      <c r="B11" s="36">
        <f>_xlfn.XLOOKUP(A11,'steel Mint data'!A:A,'steel Mint data'!B:B,"",0)</f>
        <v>42300</v>
      </c>
      <c r="C11" s="36"/>
      <c r="D11" s="36"/>
      <c r="E11" s="36">
        <f>_xlfn.XLOOKUP(A11,'steel Mint data'!A:A,'steel Mint data'!D:D,"",0)</f>
        <v>41400</v>
      </c>
      <c r="F11" s="36">
        <f>_xlfn.XLOOKUP(A11,'steel Mint data'!A:A,'steel Mint data'!E:E,"",0)</f>
        <v>38400</v>
      </c>
      <c r="G11" s="36"/>
      <c r="H11" s="36"/>
      <c r="I11" s="36">
        <f>_xlfn.XLOOKUP(A11,'steel Mint data'!A:A,'steel Mint data'!I:I,"",0)</f>
        <v>41100</v>
      </c>
      <c r="J11" s="36"/>
      <c r="K11" s="36">
        <f>_xlfn.XLOOKUP(A11,'steel Mint data'!A:A,'steel Mint data'!L:L,"",0)</f>
        <v>43500</v>
      </c>
      <c r="L11" s="36"/>
      <c r="M11" s="36"/>
      <c r="N11" s="36"/>
      <c r="O11" s="36"/>
      <c r="P11" s="37">
        <f>_xlfn.XLOOKUP(A11,'steel Mint data'!A:A,'steel Mint data'!Q:Q,"",0)</f>
        <v>38400</v>
      </c>
      <c r="Q11" s="36">
        <f>_xlfn.XLOOKUP(A11,'steel Mint data'!A:A,'steel Mint data'!R:R,"",0)</f>
        <v>38700</v>
      </c>
    </row>
    <row r="12" spans="1:22">
      <c r="A12" s="83">
        <v>45940</v>
      </c>
      <c r="B12" s="36">
        <f>_xlfn.XLOOKUP(A12,'steel Mint data'!A:A,'steel Mint data'!B:B,"",0)</f>
        <v>42400</v>
      </c>
      <c r="C12" s="36"/>
      <c r="D12" s="36"/>
      <c r="E12" s="36">
        <f>_xlfn.XLOOKUP(A12,'steel Mint data'!A:A,'steel Mint data'!D:D,"",0)</f>
        <v>41700</v>
      </c>
      <c r="F12" s="36">
        <f>_xlfn.XLOOKUP(A12,'steel Mint data'!A:A,'steel Mint data'!E:E,"",0)</f>
        <v>38500</v>
      </c>
      <c r="G12" s="36"/>
      <c r="H12" s="36"/>
      <c r="I12" s="36">
        <f>_xlfn.XLOOKUP(A12,'steel Mint data'!A:A,'steel Mint data'!I:I,"",0)</f>
        <v>41200</v>
      </c>
      <c r="J12" s="36"/>
      <c r="K12" s="36">
        <f>_xlfn.XLOOKUP(A12,'steel Mint data'!A:A,'steel Mint data'!L:L,"",0)</f>
        <v>43800</v>
      </c>
      <c r="L12" s="36"/>
      <c r="M12" s="36"/>
      <c r="N12" s="36"/>
      <c r="O12" s="36"/>
      <c r="P12" s="37">
        <f>_xlfn.XLOOKUP(A12,'steel Mint data'!A:A,'steel Mint data'!Q:Q,"",0)</f>
        <v>38600</v>
      </c>
      <c r="Q12" s="36">
        <f>_xlfn.XLOOKUP(A12,'steel Mint data'!A:A,'steel Mint data'!R:R,"",0)</f>
        <v>38800</v>
      </c>
    </row>
    <row r="13" spans="1:22">
      <c r="A13" s="83">
        <v>45941</v>
      </c>
      <c r="B13" s="36">
        <f>_xlfn.XLOOKUP(A13,'steel Mint data'!A:A,'steel Mint data'!B:B,"",0)</f>
        <v>42400</v>
      </c>
      <c r="C13" s="36"/>
      <c r="D13" s="36"/>
      <c r="E13" s="36">
        <f>_xlfn.XLOOKUP(A13,'steel Mint data'!A:A,'steel Mint data'!D:D,"",0)</f>
        <v>41700</v>
      </c>
      <c r="F13" s="36">
        <f>_xlfn.XLOOKUP(A13,'steel Mint data'!A:A,'steel Mint data'!E:E,"",0)</f>
        <v>38400</v>
      </c>
      <c r="G13" s="36"/>
      <c r="H13" s="36"/>
      <c r="I13" s="36">
        <f>_xlfn.XLOOKUP(A13,'steel Mint data'!A:A,'steel Mint data'!I:I,"",0)</f>
        <v>41200</v>
      </c>
      <c r="J13" s="36"/>
      <c r="K13" s="36">
        <f>_xlfn.XLOOKUP(A13,'steel Mint data'!A:A,'steel Mint data'!L:L,"",0)</f>
        <v>43800</v>
      </c>
      <c r="L13" s="36"/>
      <c r="M13" s="36"/>
      <c r="N13" s="36"/>
      <c r="O13" s="36"/>
      <c r="P13" s="37">
        <f>_xlfn.XLOOKUP(A13,'steel Mint data'!A:A,'steel Mint data'!Q:Q,"",0)</f>
        <v>38500</v>
      </c>
      <c r="Q13" s="36">
        <f>_xlfn.XLOOKUP(A13,'steel Mint data'!A:A,'steel Mint data'!R:R,"",0)</f>
        <v>38800</v>
      </c>
      <c r="S13" s="33"/>
    </row>
    <row r="14" spans="1:22">
      <c r="A14" s="83">
        <v>45942</v>
      </c>
      <c r="B14" s="36" t="str">
        <f>_xlfn.XLOOKUP(A14,'steel Mint data'!A:A,'steel Mint data'!B:B,"",0)</f>
        <v>H</v>
      </c>
      <c r="C14" s="36"/>
      <c r="D14" s="36"/>
      <c r="E14" s="36" t="str">
        <f>_xlfn.XLOOKUP(A14,'steel Mint data'!A:A,'steel Mint data'!D:D,"",0)</f>
        <v>H</v>
      </c>
      <c r="F14" s="36" t="str">
        <f>_xlfn.XLOOKUP(A14,'steel Mint data'!A:A,'steel Mint data'!E:E,"",0)</f>
        <v>H</v>
      </c>
      <c r="G14" s="36"/>
      <c r="H14" s="36"/>
      <c r="I14" s="36" t="str">
        <f>_xlfn.XLOOKUP(A14,'steel Mint data'!A:A,'steel Mint data'!I:I,"",0)</f>
        <v>H</v>
      </c>
      <c r="J14" s="36"/>
      <c r="K14" s="36" t="str">
        <f>_xlfn.XLOOKUP(A14,'steel Mint data'!A:A,'steel Mint data'!L:L,"",0)</f>
        <v>H</v>
      </c>
      <c r="L14" s="36"/>
      <c r="M14" s="36"/>
      <c r="N14" s="36"/>
      <c r="O14" s="36"/>
      <c r="P14" s="37" t="str">
        <f>_xlfn.XLOOKUP(A14,'steel Mint data'!A:A,'steel Mint data'!Q:Q,"",0)</f>
        <v>H</v>
      </c>
      <c r="Q14" s="36" t="str">
        <f>_xlfn.XLOOKUP(A14,'steel Mint data'!A:A,'steel Mint data'!R:R,"",0)</f>
        <v>H</v>
      </c>
      <c r="S14" s="33">
        <f>41742</f>
        <v>41742</v>
      </c>
      <c r="T14" s="33"/>
    </row>
    <row r="15" spans="1:22">
      <c r="A15" s="83">
        <v>45943</v>
      </c>
      <c r="B15" s="36">
        <f>_xlfn.XLOOKUP(A15,'steel Mint data'!A:A,'steel Mint data'!B:B,"",0)</f>
        <v>42300</v>
      </c>
      <c r="C15" s="36"/>
      <c r="D15" s="36"/>
      <c r="E15" s="36">
        <f>_xlfn.XLOOKUP(A15,'steel Mint data'!A:A,'steel Mint data'!D:D,"",0)</f>
        <v>41200</v>
      </c>
      <c r="F15" s="36">
        <f>_xlfn.XLOOKUP(A15,'steel Mint data'!A:A,'steel Mint data'!E:E,"",0)</f>
        <v>38200</v>
      </c>
      <c r="G15" s="36"/>
      <c r="H15" s="36"/>
      <c r="I15" s="36">
        <f>_xlfn.XLOOKUP(A15,'steel Mint data'!A:A,'steel Mint data'!I:I,"",0)</f>
        <v>41000</v>
      </c>
      <c r="J15" s="36"/>
      <c r="K15" s="36">
        <f>_xlfn.XLOOKUP(A15,'steel Mint data'!A:A,'steel Mint data'!L:L,"",0)</f>
        <v>43700</v>
      </c>
      <c r="L15" s="36"/>
      <c r="M15" s="36"/>
      <c r="N15" s="36"/>
      <c r="O15" s="36"/>
      <c r="P15" s="37">
        <f>_xlfn.XLOOKUP(A15,'steel Mint data'!A:A,'steel Mint data'!Q:Q,"",0)</f>
        <v>38200</v>
      </c>
      <c r="Q15" s="36">
        <f>_xlfn.XLOOKUP(A15,'steel Mint data'!A:A,'steel Mint data'!R:R,"",0)</f>
        <v>38500</v>
      </c>
      <c r="R15" s="33"/>
      <c r="S15" s="33"/>
      <c r="T15" s="33"/>
    </row>
    <row r="16" spans="1:22">
      <c r="A16" s="83">
        <v>45944</v>
      </c>
      <c r="B16" s="36">
        <f>_xlfn.XLOOKUP(A16,'steel Mint data'!A:A,'steel Mint data'!B:B,"",0)</f>
        <v>42200</v>
      </c>
      <c r="C16" s="36"/>
      <c r="D16" s="36"/>
      <c r="E16" s="36">
        <f>_xlfn.XLOOKUP(A16,'steel Mint data'!A:A,'steel Mint data'!D:D,"",0)</f>
        <v>41200</v>
      </c>
      <c r="F16" s="36">
        <f>_xlfn.XLOOKUP(A16,'steel Mint data'!A:A,'steel Mint data'!E:E,"",0)</f>
        <v>38000</v>
      </c>
      <c r="G16" s="36"/>
      <c r="H16" s="36"/>
      <c r="I16" s="36">
        <f>_xlfn.XLOOKUP(A16,'steel Mint data'!A:A,'steel Mint data'!I:I,"",0)</f>
        <v>40900</v>
      </c>
      <c r="J16" s="36"/>
      <c r="K16" s="36">
        <f>_xlfn.XLOOKUP(A16,'steel Mint data'!A:A,'steel Mint data'!L:L,"",0)</f>
        <v>43500</v>
      </c>
      <c r="L16" s="36"/>
      <c r="M16" s="36"/>
      <c r="N16" s="36"/>
      <c r="O16" s="36"/>
      <c r="P16" s="37">
        <f>_xlfn.XLOOKUP(A16,'steel Mint data'!A:A,'steel Mint data'!Q:Q,"",0)</f>
        <v>38000</v>
      </c>
      <c r="Q16" s="36">
        <f>_xlfn.XLOOKUP(A16,'steel Mint data'!A:A,'steel Mint data'!R:R,"",0)</f>
        <v>38300</v>
      </c>
      <c r="R16" s="33"/>
      <c r="S16" s="33">
        <f>S14-800</f>
        <v>40942</v>
      </c>
      <c r="T16" s="33"/>
    </row>
    <row r="17" spans="1:21">
      <c r="A17" s="83">
        <v>45945</v>
      </c>
      <c r="B17" s="36">
        <f>_xlfn.XLOOKUP(A17,'steel Mint data'!A:A,'steel Mint data'!B:B,"",0)</f>
        <v>42200</v>
      </c>
      <c r="C17" s="36"/>
      <c r="D17" s="36"/>
      <c r="E17" s="36">
        <f>_xlfn.XLOOKUP(A17,'steel Mint data'!A:A,'steel Mint data'!D:D,"",0)</f>
        <v>41200</v>
      </c>
      <c r="F17" s="36">
        <f>_xlfn.XLOOKUP(A17,'steel Mint data'!A:A,'steel Mint data'!E:E,"",0)</f>
        <v>37900</v>
      </c>
      <c r="G17" s="36"/>
      <c r="H17" s="36"/>
      <c r="I17" s="36">
        <f>_xlfn.XLOOKUP(A17,'steel Mint data'!A:A,'steel Mint data'!I:I,"",0)</f>
        <v>40500</v>
      </c>
      <c r="J17" s="36"/>
      <c r="K17" s="36">
        <f>_xlfn.XLOOKUP(A17,'steel Mint data'!A:A,'steel Mint data'!L:L,"",0)</f>
        <v>43400</v>
      </c>
      <c r="L17" s="36"/>
      <c r="M17" s="36"/>
      <c r="N17" s="36"/>
      <c r="O17" s="36"/>
      <c r="P17" s="37">
        <f>_xlfn.XLOOKUP(A17,'steel Mint data'!A:A,'steel Mint data'!Q:Q,"",0)</f>
        <v>37900</v>
      </c>
      <c r="Q17" s="36">
        <f>_xlfn.XLOOKUP(A17,'steel Mint data'!A:A,'steel Mint data'!R:R,"",0)</f>
        <v>38200</v>
      </c>
      <c r="S17" s="33">
        <f>43900-S16</f>
        <v>2958</v>
      </c>
    </row>
    <row r="18" spans="1:21">
      <c r="A18" s="83"/>
      <c r="B18" s="36" t="str">
        <f>_xlfn.XLOOKUP(A18,'steel Mint data'!A:A,'steel Mint data'!B:B,"",0)</f>
        <v/>
      </c>
      <c r="C18" s="36"/>
      <c r="D18" s="36"/>
      <c r="E18" s="36" t="str">
        <f>_xlfn.XLOOKUP(A18,'steel Mint data'!A:A,'steel Mint data'!D:D,"",0)</f>
        <v/>
      </c>
      <c r="F18" s="36" t="str">
        <f>_xlfn.XLOOKUP(A18,'steel Mint data'!A:A,'steel Mint data'!E:E,"",0)</f>
        <v/>
      </c>
      <c r="G18" s="36"/>
      <c r="H18" s="36"/>
      <c r="I18" s="36" t="str">
        <f>_xlfn.XLOOKUP(A18,'steel Mint data'!A:A,'steel Mint data'!I:I,"",0)</f>
        <v/>
      </c>
      <c r="J18" s="36"/>
      <c r="K18" s="36" t="str">
        <f>_xlfn.XLOOKUP(A18,'steel Mint data'!A:A,'steel Mint data'!L:L,"",0)</f>
        <v/>
      </c>
      <c r="L18" s="36"/>
      <c r="M18" s="36"/>
      <c r="N18" s="36"/>
      <c r="O18" s="36"/>
      <c r="P18" s="37" t="str">
        <f>_xlfn.XLOOKUP(A18,'steel Mint data'!A:A,'steel Mint data'!Q:Q,"",0)</f>
        <v/>
      </c>
      <c r="Q18" s="36" t="str">
        <f>_xlfn.XLOOKUP(A18,'steel Mint data'!A:A,'steel Mint data'!R:R,"",0)</f>
        <v/>
      </c>
      <c r="S18" s="33"/>
      <c r="T18" s="33"/>
    </row>
    <row r="19" spans="1:21">
      <c r="A19" s="83"/>
      <c r="B19" s="15">
        <f>SUM(B3:B18)</f>
        <v>509700</v>
      </c>
      <c r="C19" s="14"/>
      <c r="D19" s="14"/>
      <c r="E19" s="15">
        <f>SUM(E3:E18)</f>
        <v>500900</v>
      </c>
      <c r="F19" s="15">
        <f>SUM(F3:F18)</f>
        <v>422100</v>
      </c>
      <c r="G19" s="14"/>
      <c r="H19" s="14"/>
      <c r="I19" s="15">
        <f>SUM(I3:I18)</f>
        <v>494900</v>
      </c>
      <c r="J19" s="14"/>
      <c r="K19" s="15">
        <f>SUM(K3:K18)</f>
        <v>525000</v>
      </c>
      <c r="L19" s="14"/>
      <c r="M19" s="14"/>
      <c r="N19" s="14"/>
      <c r="O19" s="14"/>
      <c r="P19" s="15">
        <f>SUM(P3:P18)</f>
        <v>463000</v>
      </c>
      <c r="Q19" s="15">
        <f>SUM(Q3:Q18)</f>
        <v>466500</v>
      </c>
      <c r="S19" s="33"/>
      <c r="T19" s="33"/>
    </row>
    <row r="20" spans="1:21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23</v>
      </c>
      <c r="H20" s="16" t="s">
        <v>39</v>
      </c>
      <c r="I20" s="16" t="s">
        <v>46</v>
      </c>
      <c r="J20" s="16" t="s">
        <v>126</v>
      </c>
      <c r="K20" s="14"/>
      <c r="L20" s="19"/>
      <c r="M20" s="19"/>
      <c r="N20" s="19"/>
      <c r="O20" s="14"/>
      <c r="P20" s="14"/>
      <c r="Q20" s="14"/>
      <c r="S20" s="33"/>
      <c r="T20" s="33"/>
    </row>
    <row r="21" spans="1:21">
      <c r="A21" s="17" t="s">
        <v>25</v>
      </c>
      <c r="B21" s="18">
        <f>E19/O21</f>
        <v>41741.666666666664</v>
      </c>
      <c r="C21" s="18">
        <f>P19/O21</f>
        <v>38583.333333333336</v>
      </c>
      <c r="D21" s="18">
        <f>K19/O21</f>
        <v>43750</v>
      </c>
      <c r="E21" s="18">
        <f>Q19/O21</f>
        <v>38875</v>
      </c>
      <c r="F21" s="18">
        <f>C21</f>
        <v>38583.333333333336</v>
      </c>
      <c r="G21" s="18">
        <f>B21-800</f>
        <v>40941.666666666664</v>
      </c>
      <c r="H21" s="18">
        <f>I19/O21</f>
        <v>41241.666666666664</v>
      </c>
      <c r="I21" s="18">
        <f>B19/O21</f>
        <v>42475</v>
      </c>
      <c r="J21" s="18">
        <f>F19/(O21-1)</f>
        <v>38372.727272727272</v>
      </c>
      <c r="K21" s="19"/>
      <c r="L21" s="19"/>
      <c r="M21" s="146"/>
      <c r="N21" s="19"/>
      <c r="O21" s="20">
        <f>COUNT(P3:P18)</f>
        <v>12</v>
      </c>
      <c r="P21" s="21"/>
      <c r="Q21" s="19"/>
      <c r="R21" s="33"/>
      <c r="S21" s="33"/>
      <c r="T21" s="33"/>
    </row>
    <row r="22" spans="1:21">
      <c r="A22" s="17" t="s">
        <v>26</v>
      </c>
      <c r="B22" s="18">
        <v>1200</v>
      </c>
      <c r="C22" s="18">
        <v>2150</v>
      </c>
      <c r="D22" s="18">
        <v>400</v>
      </c>
      <c r="E22" s="18">
        <v>2200</v>
      </c>
      <c r="F22" s="18">
        <v>1800</v>
      </c>
      <c r="G22" s="18">
        <v>1200</v>
      </c>
      <c r="H22" s="18">
        <v>800</v>
      </c>
      <c r="I22" s="18">
        <v>0</v>
      </c>
      <c r="J22" s="18">
        <v>2000</v>
      </c>
      <c r="K22" s="69"/>
      <c r="L22" s="19">
        <f>43142+41900</f>
        <v>85042</v>
      </c>
      <c r="M22" s="146"/>
      <c r="N22" s="19"/>
      <c r="O22" s="48"/>
      <c r="P22" s="48"/>
      <c r="Q22" s="176"/>
      <c r="R22" s="49"/>
      <c r="S22" s="49"/>
      <c r="T22" s="49"/>
    </row>
    <row r="23" spans="1:21">
      <c r="A23" s="17" t="s">
        <v>27</v>
      </c>
      <c r="B23" s="18">
        <v>200</v>
      </c>
      <c r="C23" s="18">
        <v>265</v>
      </c>
      <c r="D23" s="18">
        <v>250</v>
      </c>
      <c r="E23" s="18">
        <v>275</v>
      </c>
      <c r="F23" s="18">
        <v>275</v>
      </c>
      <c r="G23" s="18">
        <v>200</v>
      </c>
      <c r="H23" s="18">
        <v>270</v>
      </c>
      <c r="I23" s="18">
        <v>200</v>
      </c>
      <c r="J23" s="18">
        <v>270</v>
      </c>
      <c r="K23" s="69"/>
      <c r="L23" s="19">
        <f>L22/2</f>
        <v>42521</v>
      </c>
      <c r="M23" s="146"/>
      <c r="N23" s="48"/>
      <c r="O23" s="48"/>
      <c r="P23" s="48"/>
      <c r="Q23" s="48"/>
      <c r="R23" s="49"/>
      <c r="S23" s="48"/>
      <c r="T23" s="49"/>
    </row>
    <row r="24" spans="1:21" ht="19.5" customHeight="1">
      <c r="A24" s="22" t="s">
        <v>28</v>
      </c>
      <c r="B24" s="18">
        <f>SUM(B21:B23)</f>
        <v>43141.666666666664</v>
      </c>
      <c r="C24" s="18">
        <f>SUM(C21:C23)</f>
        <v>40998.333333333336</v>
      </c>
      <c r="D24" s="18">
        <f>SUM(D21:D23)</f>
        <v>44400</v>
      </c>
      <c r="E24" s="18">
        <f>SUM(E21:E23)</f>
        <v>41350</v>
      </c>
      <c r="F24" s="18">
        <f>SUM(F21:F23)</f>
        <v>40658.333333333336</v>
      </c>
      <c r="G24" s="18">
        <f>SUM(G21:G23)</f>
        <v>42341.666666666664</v>
      </c>
      <c r="H24" s="18">
        <f>SUM(H21:H23)</f>
        <v>42311.666666666664</v>
      </c>
      <c r="I24" s="18">
        <f>SUM(I21:I23)</f>
        <v>42675</v>
      </c>
      <c r="J24" s="18">
        <f>SUM(J21:J23)</f>
        <v>40642.727272727272</v>
      </c>
      <c r="K24" s="69">
        <f>G24+500</f>
        <v>42841.666666666664</v>
      </c>
      <c r="L24" s="19"/>
      <c r="M24" s="69"/>
      <c r="N24" s="48"/>
      <c r="O24" s="48"/>
      <c r="P24" s="48"/>
      <c r="Q24" s="48"/>
      <c r="R24" s="49"/>
      <c r="S24" s="49"/>
      <c r="T24" s="49"/>
    </row>
    <row r="25" spans="1:21">
      <c r="A25" s="22" t="s">
        <v>29</v>
      </c>
      <c r="B25" s="18">
        <v>45100</v>
      </c>
      <c r="C25" s="18">
        <v>42315</v>
      </c>
      <c r="D25" s="18">
        <v>46150</v>
      </c>
      <c r="E25" s="23"/>
      <c r="F25" s="18">
        <v>41975</v>
      </c>
      <c r="G25" s="18">
        <v>44300</v>
      </c>
      <c r="H25" s="18"/>
      <c r="I25" s="18">
        <v>44300</v>
      </c>
      <c r="J25" s="18">
        <v>42470</v>
      </c>
      <c r="K25" s="48"/>
      <c r="L25" s="19"/>
      <c r="M25" s="69">
        <f>44700-800-1000-F24</f>
        <v>2241.6666666666642</v>
      </c>
      <c r="N25" s="174">
        <f>46500-2250-1000-G24</f>
        <v>908.33333333333576</v>
      </c>
      <c r="O25" s="48">
        <f>46700-1000-2250-G24</f>
        <v>1108.3333333333358</v>
      </c>
      <c r="P25" s="48">
        <f>44700-800-1000-F24</f>
        <v>2241.6666666666642</v>
      </c>
      <c r="Q25" s="48">
        <f>46250-800-850-D24</f>
        <v>200</v>
      </c>
      <c r="R25" s="49">
        <f>46000-900-1000-I24</f>
        <v>1425</v>
      </c>
      <c r="S25" s="49"/>
      <c r="T25" s="49"/>
    </row>
    <row r="26" spans="1:21">
      <c r="A26" s="22" t="s">
        <v>30</v>
      </c>
      <c r="B26" s="18">
        <f>B24-B25</f>
        <v>-1958.3333333333358</v>
      </c>
      <c r="C26" s="18">
        <f>C24-C25</f>
        <v>-1316.6666666666642</v>
      </c>
      <c r="D26" s="18">
        <f>D24-D25</f>
        <v>-1750</v>
      </c>
      <c r="E26" s="18">
        <f>E24-E25</f>
        <v>41350</v>
      </c>
      <c r="F26" s="18">
        <f>F24-F25</f>
        <v>-1316.6666666666642</v>
      </c>
      <c r="G26" s="18">
        <f>G24-G25</f>
        <v>-1958.3333333333358</v>
      </c>
      <c r="H26" s="18">
        <f>H24-H25</f>
        <v>42311.666666666664</v>
      </c>
      <c r="I26" s="18">
        <f>I24-I25</f>
        <v>-1625</v>
      </c>
      <c r="J26" s="18">
        <f>J24-J25</f>
        <v>-1827.2727272727279</v>
      </c>
      <c r="K26" s="48"/>
      <c r="L26" s="19"/>
      <c r="M26" s="69"/>
      <c r="N26" s="174">
        <f>46500-2250-1000-G25</f>
        <v>-1050</v>
      </c>
      <c r="O26" s="48"/>
      <c r="P26" s="48"/>
      <c r="Q26" s="48"/>
      <c r="R26" s="49"/>
      <c r="S26" s="49"/>
      <c r="T26" s="49"/>
    </row>
    <row r="27" spans="1:21">
      <c r="A27" s="14"/>
      <c r="B27" s="19">
        <f>B25-2500</f>
        <v>42600</v>
      </c>
      <c r="C27" s="14"/>
      <c r="D27" s="14"/>
      <c r="E27" s="14"/>
      <c r="F27" s="14"/>
      <c r="G27" s="19">
        <f>G25-2500</f>
        <v>41800</v>
      </c>
      <c r="H27" s="14"/>
      <c r="I27" s="14"/>
      <c r="J27" s="14"/>
      <c r="K27" s="48"/>
      <c r="L27" s="19"/>
      <c r="M27" s="69"/>
      <c r="N27" s="174"/>
      <c r="O27" s="48"/>
      <c r="P27" s="48"/>
      <c r="Q27" s="48"/>
      <c r="R27" s="49"/>
      <c r="S27" s="49"/>
      <c r="T27" s="49"/>
    </row>
    <row r="28" spans="1:21">
      <c r="A28" s="22" t="s">
        <v>31</v>
      </c>
      <c r="B28" s="23">
        <v>48300</v>
      </c>
      <c r="C28" s="23">
        <v>45550</v>
      </c>
      <c r="D28" s="18">
        <v>48800</v>
      </c>
      <c r="E28" s="18">
        <v>45550</v>
      </c>
      <c r="F28" s="18">
        <v>45550</v>
      </c>
      <c r="G28" s="18">
        <v>47500</v>
      </c>
      <c r="H28" s="18">
        <v>47800</v>
      </c>
      <c r="I28" s="18">
        <v>48300</v>
      </c>
      <c r="J28" s="18"/>
      <c r="K28" s="48"/>
      <c r="L28" s="48"/>
      <c r="M28" s="69"/>
      <c r="N28" s="48"/>
      <c r="O28" s="48"/>
      <c r="P28" s="48"/>
      <c r="Q28" s="48"/>
      <c r="R28" s="49"/>
      <c r="S28" s="49"/>
      <c r="T28" s="49"/>
    </row>
    <row r="29" spans="1:21">
      <c r="A29" s="22" t="s">
        <v>32</v>
      </c>
      <c r="B29" s="26">
        <f>B28-500-(200+300+300)-250-400</f>
        <v>46350</v>
      </c>
      <c r="C29" s="26">
        <f>C28-500-(200+300+300)-250-400</f>
        <v>43600</v>
      </c>
      <c r="D29" s="26">
        <f>D28-500-(200+300+300)-250-400</f>
        <v>46850</v>
      </c>
      <c r="E29" s="26">
        <f>E28-500-(200+300+300)-250-400</f>
        <v>43600</v>
      </c>
      <c r="F29" s="26">
        <f>F28-500-(200+300+300)-250-400</f>
        <v>43600</v>
      </c>
      <c r="G29" s="26">
        <f>G28-500-(200+300+300)-250-400</f>
        <v>45550</v>
      </c>
      <c r="H29" s="26">
        <f>H28-500-(200+300+300)-250-400</f>
        <v>45850</v>
      </c>
      <c r="I29" s="26">
        <f>I28-500-(200+300+300)-250-400</f>
        <v>46350</v>
      </c>
      <c r="J29" s="26"/>
      <c r="K29" s="48"/>
      <c r="L29" s="48"/>
      <c r="M29" s="48"/>
      <c r="N29" s="48">
        <f>44850-2450-J24</f>
        <v>1757.2727272727279</v>
      </c>
      <c r="O29" s="48"/>
      <c r="P29" s="48">
        <f>44750-2500-F24</f>
        <v>1591.6666666666642</v>
      </c>
      <c r="Q29" s="48"/>
      <c r="R29" s="49"/>
      <c r="S29" s="49"/>
      <c r="T29" s="49"/>
    </row>
    <row r="30" spans="1:21">
      <c r="A30" s="25" t="s">
        <v>33</v>
      </c>
      <c r="B30" s="18">
        <f>B29-B24</f>
        <v>3208.3333333333358</v>
      </c>
      <c r="C30" s="18">
        <f>C29-C24</f>
        <v>2601.6666666666642</v>
      </c>
      <c r="D30" s="18">
        <f>D29-D24</f>
        <v>2450</v>
      </c>
      <c r="E30" s="18">
        <f>E29-E24</f>
        <v>2250</v>
      </c>
      <c r="F30" s="18">
        <f>F29-F24</f>
        <v>2941.6666666666642</v>
      </c>
      <c r="G30" s="18">
        <f>G29-G24</f>
        <v>3208.3333333333358</v>
      </c>
      <c r="H30" s="18">
        <f>H29-H24</f>
        <v>3538.3333333333358</v>
      </c>
      <c r="I30" s="18">
        <f>I29-I24</f>
        <v>3675</v>
      </c>
      <c r="J30" s="18"/>
      <c r="K30" s="48"/>
      <c r="L30" s="48"/>
      <c r="M30" s="48"/>
      <c r="N30" s="48"/>
      <c r="O30" s="48"/>
      <c r="P30" s="48"/>
      <c r="Q30" s="48"/>
      <c r="R30" s="49"/>
      <c r="S30" s="49"/>
      <c r="T30" s="49"/>
      <c r="U30" s="33"/>
    </row>
    <row r="31" spans="1:21">
      <c r="I31" s="33"/>
      <c r="J31" s="49"/>
      <c r="K31" s="48"/>
      <c r="L31" s="48"/>
      <c r="M31" s="48"/>
      <c r="N31" s="48"/>
      <c r="O31" s="48"/>
      <c r="P31" s="48"/>
      <c r="Q31" s="49"/>
      <c r="R31" s="49"/>
      <c r="S31" s="49"/>
      <c r="T31" s="49"/>
      <c r="U31" s="33"/>
    </row>
    <row r="32" spans="1:21">
      <c r="B32" s="33"/>
      <c r="C32" s="33"/>
      <c r="D32" s="33"/>
      <c r="E32" s="33"/>
      <c r="F32" s="33"/>
      <c r="G32" s="33"/>
      <c r="H32" s="33"/>
      <c r="I32" s="33"/>
      <c r="J32" s="49"/>
      <c r="K32" s="49"/>
      <c r="L32" s="49"/>
      <c r="M32" s="48"/>
      <c r="N32" s="49"/>
      <c r="O32" s="48"/>
      <c r="P32" s="49"/>
      <c r="Q32" s="49"/>
      <c r="R32" s="49"/>
      <c r="S32" s="49"/>
      <c r="T32" s="49"/>
    </row>
    <row r="33" spans="1:21 16384:16384" ht="22.5" customHeight="1">
      <c r="B33" s="33"/>
      <c r="C33" s="33"/>
      <c r="D33" s="33"/>
      <c r="E33" s="104"/>
      <c r="F33" s="33"/>
      <c r="G33" s="33"/>
      <c r="H33" s="33"/>
      <c r="I33" s="33"/>
      <c r="J33" s="49"/>
      <c r="K33" s="48"/>
      <c r="L33" s="49"/>
      <c r="M33" s="48"/>
      <c r="N33" s="49"/>
      <c r="O33" s="48"/>
      <c r="P33" s="49"/>
      <c r="Q33" s="49"/>
      <c r="R33" s="49"/>
      <c r="S33" s="49"/>
      <c r="T33" s="49"/>
      <c r="XFD33" s="96" t="s">
        <v>68</v>
      </c>
    </row>
    <row r="34" spans="1:21 16384:16384" ht="15.75">
      <c r="C34" s="33"/>
      <c r="D34" s="33"/>
      <c r="F34" s="33"/>
      <c r="G34" s="33">
        <f>G24+1000</f>
        <v>43341.666666666664</v>
      </c>
      <c r="H34" s="33"/>
      <c r="J34" s="49"/>
      <c r="K34" s="125"/>
      <c r="L34" s="125"/>
      <c r="M34" s="48"/>
      <c r="N34" s="125"/>
      <c r="O34" s="125"/>
      <c r="P34" s="106"/>
      <c r="Q34" s="128"/>
      <c r="R34" s="49"/>
      <c r="S34" s="49"/>
      <c r="T34" s="49"/>
      <c r="XFD34" s="97">
        <v>43500</v>
      </c>
    </row>
    <row r="35" spans="1:21 16384:16384" ht="15.75">
      <c r="A35" s="39" t="s">
        <v>40</v>
      </c>
      <c r="B35" s="40" t="s">
        <v>49</v>
      </c>
      <c r="C35" s="43"/>
      <c r="D35" s="33"/>
      <c r="E35" s="33"/>
      <c r="F35" s="33"/>
      <c r="H35" s="124"/>
      <c r="I35" s="33"/>
      <c r="J35" s="49"/>
      <c r="K35" s="106"/>
      <c r="L35" s="125"/>
      <c r="M35" s="48"/>
      <c r="N35" s="125"/>
      <c r="O35" s="125"/>
      <c r="P35" s="125"/>
      <c r="Q35" s="106"/>
      <c r="R35" s="49"/>
      <c r="S35" s="49"/>
      <c r="T35" s="49"/>
      <c r="XFD35" s="97">
        <v>44000</v>
      </c>
    </row>
    <row r="36" spans="1:21 16384:16384" ht="15.75">
      <c r="A36" s="29" t="s">
        <v>42</v>
      </c>
      <c r="B36" s="29">
        <v>46000</v>
      </c>
      <c r="C36" s="43"/>
      <c r="D36" s="33"/>
      <c r="E36" s="33"/>
      <c r="F36" s="112"/>
      <c r="G36" s="218"/>
      <c r="H36" s="33"/>
      <c r="I36" s="33"/>
      <c r="J36" s="49"/>
      <c r="K36" s="125"/>
      <c r="L36" s="125"/>
      <c r="M36" s="145"/>
      <c r="N36" s="106"/>
      <c r="O36" s="125"/>
      <c r="P36" s="125"/>
      <c r="Q36" s="106"/>
      <c r="R36" s="49"/>
      <c r="S36" s="49"/>
      <c r="T36" s="49"/>
      <c r="XFD36" s="97">
        <v>43500</v>
      </c>
    </row>
    <row r="37" spans="1:21 16384:16384" ht="15.75">
      <c r="A37" s="29" t="s">
        <v>43</v>
      </c>
      <c r="B37" s="29">
        <v>42615</v>
      </c>
      <c r="C37" s="43">
        <f>B37+1250</f>
        <v>43865</v>
      </c>
      <c r="F37" s="113"/>
      <c r="G37" s="170"/>
      <c r="H37" s="167"/>
      <c r="J37" s="49"/>
      <c r="K37" s="106"/>
      <c r="L37" s="106"/>
      <c r="M37" s="106"/>
      <c r="N37" s="125"/>
      <c r="O37" s="106"/>
      <c r="P37" s="106"/>
      <c r="Q37" s="106"/>
      <c r="R37" s="130" t="s">
        <v>115</v>
      </c>
      <c r="S37" s="131" t="s">
        <v>116</v>
      </c>
      <c r="T37" s="131" t="s">
        <v>117</v>
      </c>
      <c r="U37" s="130" t="s">
        <v>118</v>
      </c>
      <c r="XFD37" s="97">
        <v>44000</v>
      </c>
    </row>
    <row r="38" spans="1:21 16384:16384" ht="15.75">
      <c r="A38" s="29" t="s">
        <v>44</v>
      </c>
      <c r="B38" s="29">
        <v>42275</v>
      </c>
      <c r="C38" s="43">
        <f>B38+1000</f>
        <v>43275</v>
      </c>
      <c r="F38" s="112"/>
      <c r="G38" s="170"/>
      <c r="H38" s="169"/>
      <c r="J38" s="49"/>
      <c r="K38" s="106"/>
      <c r="L38" s="125"/>
      <c r="M38" s="106"/>
      <c r="N38" s="106"/>
      <c r="O38" s="106"/>
      <c r="P38" s="106"/>
      <c r="Q38" s="106"/>
      <c r="R38" s="129" t="s">
        <v>119</v>
      </c>
      <c r="S38" s="129">
        <v>815</v>
      </c>
      <c r="T38" s="129">
        <v>207</v>
      </c>
      <c r="U38" s="129">
        <f>S38-T38</f>
        <v>608</v>
      </c>
      <c r="XFD38" s="97">
        <v>43000</v>
      </c>
    </row>
    <row r="39" spans="1:21 16384:16384" ht="15.75">
      <c r="A39" s="29" t="s">
        <v>36</v>
      </c>
      <c r="B39" s="29">
        <v>46450</v>
      </c>
      <c r="C39" s="43">
        <f>B39+800</f>
        <v>47250</v>
      </c>
      <c r="D39" s="33"/>
      <c r="E39" s="33"/>
      <c r="F39" s="112"/>
      <c r="G39" s="170"/>
      <c r="H39" s="170"/>
      <c r="J39" s="49"/>
      <c r="K39" s="106"/>
      <c r="L39" s="125"/>
      <c r="M39" s="125"/>
      <c r="N39" s="106"/>
      <c r="O39" s="106"/>
      <c r="P39" s="106"/>
      <c r="Q39" s="106"/>
      <c r="R39" s="129" t="s">
        <v>120</v>
      </c>
      <c r="S39" s="129">
        <v>46000</v>
      </c>
      <c r="T39" s="129">
        <v>46000</v>
      </c>
      <c r="U39" s="29">
        <v>46000</v>
      </c>
      <c r="XFD39" s="97">
        <v>43500</v>
      </c>
    </row>
    <row r="40" spans="1:21 16384:16384" ht="15.75">
      <c r="A40" s="29" t="s">
        <v>37</v>
      </c>
      <c r="B40" s="29">
        <v>45200</v>
      </c>
      <c r="C40" s="43">
        <f>B40+1000</f>
        <v>46200</v>
      </c>
      <c r="F40" s="114"/>
      <c r="G40" s="171"/>
      <c r="H40" s="171"/>
      <c r="J40" s="49"/>
      <c r="K40" s="106"/>
      <c r="L40" s="126"/>
      <c r="M40" s="127"/>
      <c r="N40" s="128"/>
      <c r="O40" s="106"/>
      <c r="P40" s="106"/>
      <c r="Q40" s="106"/>
      <c r="R40" s="129" t="s">
        <v>121</v>
      </c>
      <c r="S40" s="129">
        <v>3300</v>
      </c>
      <c r="T40" s="129">
        <v>1450</v>
      </c>
      <c r="U40" s="29">
        <v>3350</v>
      </c>
      <c r="XFD40" s="97">
        <v>44000</v>
      </c>
    </row>
    <row r="41" spans="1:21 16384:16384" ht="15.75">
      <c r="A41" s="29" t="s">
        <v>45</v>
      </c>
      <c r="B41" s="29">
        <v>44470</v>
      </c>
      <c r="C41" s="43"/>
      <c r="F41" s="114"/>
      <c r="G41" s="172"/>
      <c r="H41" s="172"/>
      <c r="I41" s="33"/>
      <c r="J41" s="49"/>
      <c r="K41" s="106"/>
      <c r="L41" s="106"/>
      <c r="M41" s="106"/>
      <c r="N41" s="106"/>
      <c r="O41" s="106"/>
      <c r="P41" s="106"/>
      <c r="Q41" s="106"/>
      <c r="R41" s="129" t="s">
        <v>122</v>
      </c>
      <c r="S41" s="129">
        <v>1000</v>
      </c>
      <c r="T41" s="129">
        <v>1000</v>
      </c>
      <c r="U41" s="129">
        <v>1250</v>
      </c>
      <c r="XFD41" s="97">
        <v>45000</v>
      </c>
    </row>
    <row r="42" spans="1:21 16384:16384" ht="15.75">
      <c r="A42" s="43" t="s">
        <v>50</v>
      </c>
      <c r="B42" s="43">
        <v>43675</v>
      </c>
      <c r="C42" s="43"/>
      <c r="F42" s="114"/>
      <c r="G42" s="171"/>
      <c r="H42" s="173"/>
      <c r="J42" s="49"/>
      <c r="K42" s="106"/>
      <c r="L42" s="106"/>
      <c r="M42" s="106"/>
      <c r="N42" s="106"/>
      <c r="O42" s="106"/>
      <c r="P42" s="106"/>
      <c r="Q42" s="106"/>
      <c r="R42" s="129" t="s">
        <v>123</v>
      </c>
      <c r="S42" s="129">
        <f>S39-S40-S41</f>
        <v>41700</v>
      </c>
      <c r="T42" s="129">
        <f t="shared" ref="T42:U42" si="0">T39-T40-T41</f>
        <v>43550</v>
      </c>
      <c r="U42" s="129">
        <f t="shared" si="0"/>
        <v>41400</v>
      </c>
      <c r="XFD42" s="97">
        <v>43500</v>
      </c>
    </row>
    <row r="43" spans="1:21 16384:16384" ht="15.75">
      <c r="A43" s="46" t="s">
        <v>46</v>
      </c>
      <c r="B43" s="46">
        <f>44500-1000</f>
        <v>43500</v>
      </c>
      <c r="C43" s="46">
        <f>B43+1000</f>
        <v>44500</v>
      </c>
      <c r="J43" s="49"/>
      <c r="K43" s="106"/>
      <c r="L43" s="106"/>
      <c r="M43" s="106"/>
      <c r="N43" s="106"/>
      <c r="O43" s="106"/>
      <c r="P43" s="106"/>
      <c r="Q43" s="106"/>
      <c r="R43" s="129" t="s">
        <v>124</v>
      </c>
      <c r="S43" s="129">
        <f>S42-F24</f>
        <v>1041.6666666666642</v>
      </c>
      <c r="T43" s="129">
        <f>T42-G24</f>
        <v>1208.3333333333358</v>
      </c>
      <c r="U43" s="129">
        <f>U42-C24</f>
        <v>401.66666666666424</v>
      </c>
      <c r="XFD43" s="97">
        <v>44000</v>
      </c>
    </row>
    <row r="44" spans="1:21 16384:16384" ht="15.75">
      <c r="J44" s="49"/>
      <c r="K44" s="106"/>
      <c r="L44" s="106"/>
      <c r="M44" s="106"/>
      <c r="N44" s="106"/>
      <c r="O44" s="106"/>
      <c r="P44" s="106"/>
      <c r="Q44" s="106"/>
      <c r="R44" s="129" t="s">
        <v>125</v>
      </c>
      <c r="S44" s="129"/>
      <c r="T44" s="525">
        <f>SUMPRODUCT(T43:U43,T38:U38)/SUM(T38:U38)</f>
        <v>606.55010224948751</v>
      </c>
      <c r="U44" s="525"/>
      <c r="XFD44" s="97">
        <v>44000</v>
      </c>
    </row>
    <row r="45" spans="1:21 16384:16384" ht="15.75">
      <c r="J45" s="49"/>
      <c r="K45" s="106"/>
      <c r="L45" s="106"/>
      <c r="M45" s="106"/>
      <c r="N45" s="106"/>
      <c r="O45" s="106"/>
      <c r="P45" s="106"/>
      <c r="Q45" s="106"/>
      <c r="R45" s="49"/>
      <c r="S45" s="49"/>
      <c r="T45" s="49"/>
      <c r="XFD45" s="97">
        <v>44000</v>
      </c>
    </row>
    <row r="46" spans="1:21 16384:16384" ht="15.75">
      <c r="B46" s="24"/>
      <c r="C46" s="24"/>
      <c r="D46" s="24"/>
      <c r="E46" s="24"/>
      <c r="F46" s="24"/>
      <c r="G46" s="24"/>
      <c r="H46" s="24"/>
      <c r="I46" s="24"/>
      <c r="J46" s="49"/>
      <c r="K46" s="106"/>
      <c r="L46" s="106"/>
      <c r="M46" s="106"/>
      <c r="N46" s="106"/>
      <c r="O46" s="106"/>
      <c r="P46" s="106"/>
      <c r="Q46" s="106"/>
      <c r="R46" s="49"/>
      <c r="S46" s="49"/>
      <c r="T46" s="49"/>
      <c r="XFD46" s="97">
        <v>41000</v>
      </c>
    </row>
    <row r="47" spans="1:21 16384:16384" ht="15.75">
      <c r="B47" s="33"/>
      <c r="C47" s="33"/>
      <c r="D47" s="33"/>
      <c r="E47" s="33"/>
      <c r="F47" s="33"/>
      <c r="G47" s="33"/>
      <c r="H47" s="33"/>
      <c r="I47" s="33"/>
      <c r="K47" s="523"/>
      <c r="L47" s="523"/>
      <c r="M47" s="106"/>
      <c r="N47" s="106"/>
      <c r="O47" s="106"/>
      <c r="P47" s="106"/>
      <c r="Q47" s="106"/>
    </row>
    <row r="49" spans="2:14">
      <c r="B49" s="33"/>
    </row>
    <row r="53" spans="2:14">
      <c r="C53" s="52"/>
      <c r="D53" s="524"/>
      <c r="E53" s="524"/>
      <c r="F53" s="53"/>
      <c r="G53" s="524"/>
      <c r="H53" s="524"/>
      <c r="I53" s="14"/>
    </row>
    <row r="54" spans="2:14">
      <c r="C54" s="115"/>
      <c r="D54" s="109"/>
      <c r="E54" s="109"/>
      <c r="F54" s="52"/>
      <c r="G54" s="109"/>
      <c r="H54" s="109"/>
      <c r="K54" s="110"/>
      <c r="L54" s="110"/>
      <c r="M54" s="110"/>
      <c r="N54" s="110"/>
    </row>
    <row r="55" spans="2:14">
      <c r="C55" s="52"/>
      <c r="D55" s="111"/>
      <c r="E55" s="111"/>
      <c r="F55" s="58"/>
      <c r="G55" s="111"/>
      <c r="H55" s="111"/>
      <c r="L55" s="62"/>
      <c r="M55" s="62"/>
      <c r="N55" s="62"/>
    </row>
    <row r="56" spans="2:14">
      <c r="C56" s="52"/>
      <c r="D56" s="111"/>
      <c r="E56" s="111"/>
      <c r="F56" s="58"/>
      <c r="G56" s="111"/>
      <c r="H56" s="111"/>
      <c r="L56" s="62"/>
      <c r="M56" s="62"/>
      <c r="N56" s="62"/>
    </row>
    <row r="57" spans="2:14">
      <c r="C57" s="52"/>
      <c r="D57" s="111"/>
      <c r="E57" s="111"/>
      <c r="F57" s="58"/>
      <c r="G57" s="111"/>
      <c r="H57" s="111"/>
      <c r="L57" s="62"/>
      <c r="M57" s="62"/>
      <c r="N57" s="62"/>
    </row>
    <row r="58" spans="2:14">
      <c r="C58" s="52"/>
      <c r="D58" s="111"/>
      <c r="E58" s="111"/>
      <c r="F58" s="58"/>
      <c r="G58" s="111"/>
      <c r="H58" s="111"/>
      <c r="L58" s="62"/>
      <c r="M58" s="62"/>
      <c r="N58" s="62"/>
    </row>
    <row r="59" spans="2:14">
      <c r="C59" s="52"/>
      <c r="D59" s="111"/>
      <c r="E59" s="111"/>
      <c r="F59" s="58"/>
      <c r="G59" s="111"/>
      <c r="H59" s="111"/>
      <c r="K59" s="116"/>
      <c r="L59" s="117"/>
      <c r="M59" s="117"/>
      <c r="N59" s="117"/>
    </row>
    <row r="60" spans="2:14">
      <c r="C60" s="52"/>
      <c r="D60" s="111"/>
      <c r="E60" s="111"/>
      <c r="F60" s="58"/>
      <c r="G60" s="111"/>
      <c r="H60" s="111"/>
    </row>
    <row r="61" spans="2:14">
      <c r="C61" s="52"/>
      <c r="D61" s="118"/>
      <c r="E61" s="118"/>
      <c r="F61" s="58"/>
      <c r="G61" s="118"/>
      <c r="H61" s="118"/>
    </row>
    <row r="62" spans="2:14">
      <c r="C62" s="52"/>
      <c r="D62" s="118"/>
      <c r="E62" s="118"/>
      <c r="F62" s="58"/>
      <c r="G62" s="118"/>
      <c r="H62" s="118"/>
    </row>
    <row r="63" spans="2:14">
      <c r="C63" s="119"/>
      <c r="D63" s="118"/>
      <c r="E63" s="118"/>
      <c r="F63" s="58"/>
      <c r="G63" s="118"/>
      <c r="H63" s="118"/>
    </row>
    <row r="73" spans="3:12">
      <c r="C73" s="120"/>
      <c r="D73" s="120"/>
      <c r="E73" s="120"/>
      <c r="F73" s="120"/>
      <c r="G73" s="120"/>
      <c r="H73" s="120"/>
      <c r="I73" s="120"/>
      <c r="J73" s="120"/>
      <c r="K73" s="120"/>
      <c r="L73" s="120"/>
    </row>
    <row r="74" spans="3:12">
      <c r="C74" s="120"/>
      <c r="D74" s="121"/>
      <c r="E74" s="122"/>
      <c r="F74" s="122"/>
      <c r="G74" s="122"/>
      <c r="H74" s="122"/>
      <c r="I74" s="122"/>
      <c r="J74" s="122"/>
      <c r="K74" s="122"/>
      <c r="L74" s="122"/>
    </row>
    <row r="75" spans="3:12">
      <c r="C75" s="120"/>
      <c r="D75" s="121"/>
      <c r="E75" s="122"/>
      <c r="F75" s="122"/>
      <c r="G75" s="122"/>
      <c r="H75" s="122"/>
      <c r="I75" s="122"/>
      <c r="J75" s="122"/>
      <c r="K75" s="122"/>
      <c r="L75" s="122"/>
    </row>
    <row r="76" spans="3:12">
      <c r="C76" s="120"/>
      <c r="D76" s="121"/>
      <c r="E76" s="122"/>
      <c r="F76" s="122"/>
      <c r="G76" s="122"/>
      <c r="H76" s="122"/>
      <c r="I76" s="122"/>
      <c r="J76" s="122"/>
      <c r="K76" s="122"/>
      <c r="L76" s="122"/>
    </row>
    <row r="77" spans="3:12">
      <c r="C77" s="120"/>
      <c r="D77" s="121"/>
      <c r="E77" s="122"/>
      <c r="F77" s="122"/>
      <c r="G77" s="122"/>
      <c r="H77" s="122"/>
      <c r="I77" s="122"/>
      <c r="J77" s="122"/>
      <c r="K77" s="122"/>
      <c r="L77" s="122"/>
    </row>
    <row r="78" spans="3:12">
      <c r="C78" s="120"/>
      <c r="D78" s="120"/>
      <c r="E78" s="123"/>
      <c r="F78" s="123"/>
      <c r="G78" s="123"/>
      <c r="H78" s="123"/>
      <c r="I78" s="123"/>
      <c r="J78" s="123"/>
      <c r="K78" s="123"/>
      <c r="L78" s="123"/>
    </row>
  </sheetData>
  <mergeCells count="5">
    <mergeCell ref="B1:Q1"/>
    <mergeCell ref="T44:U44"/>
    <mergeCell ref="K47:L47"/>
    <mergeCell ref="D53:E53"/>
    <mergeCell ref="G53:H53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AD29B-2EB6-4046-91B9-DC82F0304C7A}">
  <dimension ref="A1:XFD78"/>
  <sheetViews>
    <sheetView workbookViewId="0">
      <pane ySplit="2" topLeftCell="H17" activePane="bottomLeft" state="frozen"/>
      <selection pane="bottomLeft" activeCell="E17" sqref="E17"/>
    </sheetView>
  </sheetViews>
  <sheetFormatPr defaultColWidth="15.85546875" defaultRowHeight="15"/>
  <cols>
    <col min="1" max="1" width="22" customWidth="1"/>
    <col min="2" max="2" width="14.85546875" customWidth="1"/>
    <col min="3" max="3" width="16.85546875" customWidth="1"/>
    <col min="4" max="4" width="10.85546875" customWidth="1"/>
    <col min="5" max="5" width="14.28515625" customWidth="1"/>
    <col min="6" max="7" width="10.85546875" customWidth="1"/>
    <col min="8" max="8" width="13.140625" customWidth="1"/>
    <col min="9" max="10" width="10.85546875" customWidth="1"/>
    <col min="11" max="11" width="17.85546875" customWidth="1"/>
    <col min="12" max="16" width="10.85546875" customWidth="1"/>
    <col min="17" max="17" width="12.28515625" customWidth="1"/>
    <col min="18" max="18" width="11.28515625" customWidth="1"/>
    <col min="19" max="19" width="25.28515625" bestFit="1" customWidth="1"/>
    <col min="20" max="20" width="22.5703125" bestFit="1" customWidth="1"/>
    <col min="21" max="21" width="25.28515625" bestFit="1" customWidth="1"/>
  </cols>
  <sheetData>
    <row r="1" spans="1:22">
      <c r="A1" s="81"/>
      <c r="B1" s="519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</row>
    <row r="2" spans="1:22">
      <c r="A2" s="8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</row>
    <row r="3" spans="1:22">
      <c r="A3" s="83">
        <v>45946</v>
      </c>
      <c r="B3" s="36">
        <f>_xlfn.XLOOKUP(A3,'steel Mint data'!A:A,'steel Mint data'!B:B,"",0)</f>
        <v>42200</v>
      </c>
      <c r="C3" s="36"/>
      <c r="D3" s="36"/>
      <c r="E3" s="36">
        <f>_xlfn.XLOOKUP(A3,'steel Mint data'!A:A,'steel Mint data'!D:D,"",0)</f>
        <v>41000</v>
      </c>
      <c r="F3" s="36">
        <f>_xlfn.XLOOKUP(A3,'steel Mint data'!A:A,'steel Mint data'!E:E,"",0)</f>
        <v>37700</v>
      </c>
      <c r="G3" s="36"/>
      <c r="H3" s="36"/>
      <c r="I3" s="36">
        <f>_xlfn.XLOOKUP(A3,'steel Mint data'!A:A,'steel Mint data'!I:I,"",0)</f>
        <v>40400</v>
      </c>
      <c r="J3" s="36"/>
      <c r="K3" s="36">
        <f>_xlfn.XLOOKUP(A3,'steel Mint data'!A:A,'steel Mint data'!L:L,"",0)</f>
        <v>43200</v>
      </c>
      <c r="L3" s="36"/>
      <c r="M3" s="36"/>
      <c r="N3" s="36"/>
      <c r="O3" s="36"/>
      <c r="P3" s="37">
        <f>_xlfn.XLOOKUP(A3,'steel Mint data'!A:A,'steel Mint data'!Q:Q,"",0)</f>
        <v>37800</v>
      </c>
      <c r="Q3" s="36">
        <f>_xlfn.XLOOKUP(A3,'steel Mint data'!A:A,'steel Mint data'!R:R,"",0)</f>
        <v>38200</v>
      </c>
    </row>
    <row r="4" spans="1:22">
      <c r="A4" s="83">
        <v>45947</v>
      </c>
      <c r="B4" s="36">
        <f>_xlfn.XLOOKUP(A4,'steel Mint data'!A:A,'steel Mint data'!B:B,"",0)</f>
        <v>42100</v>
      </c>
      <c r="C4" s="36"/>
      <c r="D4" s="36"/>
      <c r="E4" s="36">
        <f>_xlfn.XLOOKUP(A4,'steel Mint data'!A:A,'steel Mint data'!D:D,"",0)</f>
        <v>40900</v>
      </c>
      <c r="F4" s="36">
        <f>_xlfn.XLOOKUP(A4,'steel Mint data'!A:A,'steel Mint data'!E:E,"",0)</f>
        <v>37700</v>
      </c>
      <c r="G4" s="36"/>
      <c r="H4" s="36"/>
      <c r="I4" s="36">
        <f>_xlfn.XLOOKUP(A4,'steel Mint data'!A:A,'steel Mint data'!I:I,"",0)</f>
        <v>40300</v>
      </c>
      <c r="J4" s="36"/>
      <c r="K4" s="36">
        <f>_xlfn.XLOOKUP(A4,'steel Mint data'!A:A,'steel Mint data'!L:L,"",0)</f>
        <v>43200</v>
      </c>
      <c r="L4" s="36"/>
      <c r="M4" s="36"/>
      <c r="N4" s="36"/>
      <c r="O4" s="36"/>
      <c r="P4" s="37">
        <f>_xlfn.XLOOKUP(A4,'steel Mint data'!A:A,'steel Mint data'!Q:Q,"",0)</f>
        <v>37800</v>
      </c>
      <c r="Q4" s="36">
        <f>_xlfn.XLOOKUP(A4,'steel Mint data'!A:A,'steel Mint data'!R:R,"",0)</f>
        <v>38200</v>
      </c>
    </row>
    <row r="5" spans="1:22">
      <c r="A5" s="83">
        <v>45948</v>
      </c>
      <c r="B5" s="36">
        <f>_xlfn.XLOOKUP(A5,'steel Mint data'!A:A,'steel Mint data'!B:B,"",0)</f>
        <v>42100</v>
      </c>
      <c r="C5" s="36"/>
      <c r="D5" s="36"/>
      <c r="E5" s="36">
        <f>_xlfn.XLOOKUP(A5,'steel Mint data'!A:A,'steel Mint data'!D:D,"",0)</f>
        <v>40700</v>
      </c>
      <c r="F5" s="36">
        <f>_xlfn.XLOOKUP(A5,'steel Mint data'!A:A,'steel Mint data'!E:E,"",0)</f>
        <v>37700</v>
      </c>
      <c r="G5" s="36"/>
      <c r="H5" s="36"/>
      <c r="I5" s="36">
        <f>_xlfn.XLOOKUP(A5,'steel Mint data'!A:A,'steel Mint data'!I:I,"",0)</f>
        <v>40300</v>
      </c>
      <c r="J5" s="36"/>
      <c r="K5" s="36">
        <f>_xlfn.XLOOKUP(A5,'steel Mint data'!A:A,'steel Mint data'!L:L,"",0)</f>
        <v>43200</v>
      </c>
      <c r="L5" s="36"/>
      <c r="M5" s="36"/>
      <c r="N5" s="36"/>
      <c r="O5" s="36"/>
      <c r="P5" s="37">
        <f>_xlfn.XLOOKUP(A5,'steel Mint data'!A:A,'steel Mint data'!Q:Q,"",0)</f>
        <v>37800</v>
      </c>
      <c r="Q5" s="36">
        <f>_xlfn.XLOOKUP(A5,'steel Mint data'!A:A,'steel Mint data'!R:R,"",0)</f>
        <v>38000</v>
      </c>
      <c r="T5" s="27"/>
      <c r="U5" s="27"/>
      <c r="V5" s="27"/>
    </row>
    <row r="6" spans="1:22">
      <c r="A6" s="83">
        <v>45949</v>
      </c>
      <c r="B6" s="36" t="str">
        <f>_xlfn.XLOOKUP(A6,'steel Mint data'!A:A,'steel Mint data'!B:B,"",0)</f>
        <v>H</v>
      </c>
      <c r="C6" s="36"/>
      <c r="D6" s="36"/>
      <c r="E6" s="36" t="str">
        <f>_xlfn.XLOOKUP(A6,'steel Mint data'!A:A,'steel Mint data'!D:D,"",0)</f>
        <v>H</v>
      </c>
      <c r="F6" s="36" t="str">
        <f>_xlfn.XLOOKUP(A6,'steel Mint data'!A:A,'steel Mint data'!E:E,"",0)</f>
        <v>H</v>
      </c>
      <c r="G6" s="36"/>
      <c r="H6" s="36"/>
      <c r="I6" s="36" t="str">
        <f>_xlfn.XLOOKUP(A6,'steel Mint data'!A:A,'steel Mint data'!I:I,"",0)</f>
        <v>H</v>
      </c>
      <c r="J6" s="36"/>
      <c r="K6" s="36" t="str">
        <f>_xlfn.XLOOKUP(A6,'steel Mint data'!A:A,'steel Mint data'!L:L,"",0)</f>
        <v>H</v>
      </c>
      <c r="L6" s="36"/>
      <c r="M6" s="36"/>
      <c r="N6" s="36"/>
      <c r="O6" s="36"/>
      <c r="P6" s="37" t="str">
        <f>_xlfn.XLOOKUP(A6,'steel Mint data'!A:A,'steel Mint data'!Q:Q,"",0)</f>
        <v>H</v>
      </c>
      <c r="Q6" s="36" t="str">
        <f>_xlfn.XLOOKUP(A6,'steel Mint data'!A:A,'steel Mint data'!R:R,"",0)</f>
        <v>H</v>
      </c>
      <c r="T6" s="27"/>
      <c r="U6" s="27"/>
      <c r="V6" s="27"/>
    </row>
    <row r="7" spans="1:22">
      <c r="A7" s="83">
        <v>45950</v>
      </c>
      <c r="B7" s="36" t="str">
        <f>_xlfn.XLOOKUP(A7,'steel Mint data'!A:A,'steel Mint data'!B:B,"",0)</f>
        <v>H</v>
      </c>
      <c r="C7" s="36"/>
      <c r="D7" s="36"/>
      <c r="E7" s="36" t="str">
        <f>_xlfn.XLOOKUP(A7,'steel Mint data'!A:A,'steel Mint data'!D:D,"",0)</f>
        <v>H</v>
      </c>
      <c r="F7" s="36" t="str">
        <f>_xlfn.XLOOKUP(A7,'steel Mint data'!A:A,'steel Mint data'!E:E,"",0)</f>
        <v>H</v>
      </c>
      <c r="G7" s="36"/>
      <c r="H7" s="36"/>
      <c r="I7" s="36" t="str">
        <f>_xlfn.XLOOKUP(A7,'steel Mint data'!A:A,'steel Mint data'!I:I,"",0)</f>
        <v>H</v>
      </c>
      <c r="J7" s="36"/>
      <c r="K7" s="36" t="str">
        <f>_xlfn.XLOOKUP(A7,'steel Mint data'!A:A,'steel Mint data'!L:L,"",0)</f>
        <v>H</v>
      </c>
      <c r="L7" s="36"/>
      <c r="M7" s="36"/>
      <c r="N7" s="36"/>
      <c r="O7" s="36"/>
      <c r="P7" s="37" t="str">
        <f>_xlfn.XLOOKUP(A7,'steel Mint data'!A:A,'steel Mint data'!Q:Q,"",0)</f>
        <v>H</v>
      </c>
      <c r="Q7" s="36" t="str">
        <f>_xlfn.XLOOKUP(A7,'steel Mint data'!A:A,'steel Mint data'!R:R,"",0)</f>
        <v>H</v>
      </c>
      <c r="T7" s="27"/>
      <c r="U7" s="27"/>
      <c r="V7" s="27"/>
    </row>
    <row r="8" spans="1:22">
      <c r="A8" s="83">
        <v>45951</v>
      </c>
      <c r="B8" s="36" t="str">
        <f>_xlfn.XLOOKUP(A8,'steel Mint data'!A:A,'steel Mint data'!B:B,"",0)</f>
        <v>H</v>
      </c>
      <c r="C8" s="36"/>
      <c r="D8" s="36"/>
      <c r="E8" s="36" t="str">
        <f>_xlfn.XLOOKUP(A8,'steel Mint data'!A:A,'steel Mint data'!D:D,"",0)</f>
        <v>H</v>
      </c>
      <c r="F8" s="36" t="str">
        <f>_xlfn.XLOOKUP(A8,'steel Mint data'!A:A,'steel Mint data'!E:E,"",0)</f>
        <v>H</v>
      </c>
      <c r="G8" s="36"/>
      <c r="H8" s="36"/>
      <c r="I8" s="36" t="str">
        <f>_xlfn.XLOOKUP(A8,'steel Mint data'!A:A,'steel Mint data'!I:I,"",0)</f>
        <v>H</v>
      </c>
      <c r="J8" s="36"/>
      <c r="K8" s="36" t="str">
        <f>_xlfn.XLOOKUP(A8,'steel Mint data'!A:A,'steel Mint data'!L:L,"",0)</f>
        <v>H</v>
      </c>
      <c r="L8" s="36"/>
      <c r="M8" s="36"/>
      <c r="N8" s="36"/>
      <c r="O8" s="36"/>
      <c r="P8" s="37" t="str">
        <f>_xlfn.XLOOKUP(A8,'steel Mint data'!A:A,'steel Mint data'!Q:Q,"",0)</f>
        <v>H</v>
      </c>
      <c r="Q8" s="36" t="str">
        <f>_xlfn.XLOOKUP(A8,'steel Mint data'!A:A,'steel Mint data'!R:R,"",0)</f>
        <v>H</v>
      </c>
      <c r="T8" s="27"/>
      <c r="U8" s="27"/>
      <c r="V8" s="27"/>
    </row>
    <row r="9" spans="1:22">
      <c r="A9" s="83">
        <v>45952</v>
      </c>
      <c r="B9" s="36" t="str">
        <f>_xlfn.XLOOKUP(A9,'steel Mint data'!A:A,'steel Mint data'!B:B,"",0)</f>
        <v>H</v>
      </c>
      <c r="C9" s="36"/>
      <c r="D9" s="36"/>
      <c r="E9" s="36" t="str">
        <f>_xlfn.XLOOKUP(A9,'steel Mint data'!A:A,'steel Mint data'!D:D,"",0)</f>
        <v>H</v>
      </c>
      <c r="F9" s="36" t="str">
        <f>_xlfn.XLOOKUP(A9,'steel Mint data'!A:A,'steel Mint data'!E:E,"",0)</f>
        <v>H</v>
      </c>
      <c r="G9" s="36"/>
      <c r="H9" s="36"/>
      <c r="I9" s="36" t="str">
        <f>_xlfn.XLOOKUP(A9,'steel Mint data'!A:A,'steel Mint data'!I:I,"",0)</f>
        <v>H</v>
      </c>
      <c r="J9" s="36"/>
      <c r="K9" s="36" t="str">
        <f>_xlfn.XLOOKUP(A9,'steel Mint data'!A:A,'steel Mint data'!L:L,"",0)</f>
        <v>H</v>
      </c>
      <c r="L9" s="36"/>
      <c r="M9" s="36"/>
      <c r="N9" s="36"/>
      <c r="O9" s="36"/>
      <c r="P9" s="37" t="str">
        <f>_xlfn.XLOOKUP(A9,'steel Mint data'!A:A,'steel Mint data'!Q:Q,"",0)</f>
        <v>H</v>
      </c>
      <c r="Q9" s="36" t="str">
        <f>_xlfn.XLOOKUP(A9,'steel Mint data'!A:A,'steel Mint data'!R:R,"",0)</f>
        <v>H</v>
      </c>
      <c r="R9" s="33"/>
      <c r="T9" s="27"/>
      <c r="U9" s="27"/>
      <c r="V9" s="27"/>
    </row>
    <row r="10" spans="1:22">
      <c r="A10" s="83">
        <v>45953</v>
      </c>
      <c r="B10" s="36" t="str">
        <f>_xlfn.XLOOKUP(A10,'steel Mint data'!A:A,'steel Mint data'!B:B,"",0)</f>
        <v>-</v>
      </c>
      <c r="C10" s="36"/>
      <c r="D10" s="36"/>
      <c r="E10" s="36">
        <f>_xlfn.XLOOKUP(A10,'steel Mint data'!A:A,'steel Mint data'!D:D,"",0)</f>
        <v>40300</v>
      </c>
      <c r="F10" s="36">
        <f>_xlfn.XLOOKUP(A10,'steel Mint data'!A:A,'steel Mint data'!E:E,"",0)</f>
        <v>37500</v>
      </c>
      <c r="G10" s="36"/>
      <c r="H10" s="36"/>
      <c r="I10" s="36">
        <f>_xlfn.XLOOKUP(A10,'steel Mint data'!A:A,'steel Mint data'!I:I,"",0)</f>
        <v>40100</v>
      </c>
      <c r="J10" s="36"/>
      <c r="K10" s="36">
        <f>_xlfn.XLOOKUP(A10,'steel Mint data'!A:A,'steel Mint data'!L:L,"",0)</f>
        <v>42900</v>
      </c>
      <c r="L10" s="36"/>
      <c r="M10" s="36"/>
      <c r="N10" s="36"/>
      <c r="O10" s="36"/>
      <c r="P10" s="37">
        <f>_xlfn.XLOOKUP(A10,'steel Mint data'!A:A,'steel Mint data'!Q:Q,"",0)</f>
        <v>37500</v>
      </c>
      <c r="Q10" s="36">
        <f>_xlfn.XLOOKUP(A10,'steel Mint data'!A:A,'steel Mint data'!R:R,"",0)</f>
        <v>37400</v>
      </c>
      <c r="R10" s="33"/>
    </row>
    <row r="11" spans="1:22">
      <c r="A11" s="83">
        <v>45954</v>
      </c>
      <c r="B11" s="36">
        <f>_xlfn.XLOOKUP(A11,'steel Mint data'!A:A,'steel Mint data'!B:B,"",0)</f>
        <v>41900</v>
      </c>
      <c r="C11" s="36"/>
      <c r="D11" s="36"/>
      <c r="E11" s="36">
        <f>_xlfn.XLOOKUP(A11,'steel Mint data'!A:A,'steel Mint data'!D:D,"",0)</f>
        <v>40100</v>
      </c>
      <c r="F11" s="36">
        <f>_xlfn.XLOOKUP(A11,'steel Mint data'!A:A,'steel Mint data'!E:E,"",0)</f>
        <v>37400</v>
      </c>
      <c r="G11" s="36"/>
      <c r="H11" s="36"/>
      <c r="I11" s="36">
        <f>_xlfn.XLOOKUP(A11,'steel Mint data'!A:A,'steel Mint data'!I:I,"",0)</f>
        <v>40100</v>
      </c>
      <c r="J11" s="36"/>
      <c r="K11" s="36">
        <f>_xlfn.XLOOKUP(A11,'steel Mint data'!A:A,'steel Mint data'!L:L,"",0)</f>
        <v>42700</v>
      </c>
      <c r="L11" s="36"/>
      <c r="M11" s="36"/>
      <c r="N11" s="36"/>
      <c r="O11" s="36"/>
      <c r="P11" s="37">
        <f>_xlfn.XLOOKUP(A11,'steel Mint data'!A:A,'steel Mint data'!Q:Q,"",0)</f>
        <v>37400</v>
      </c>
      <c r="Q11" s="36">
        <f>_xlfn.XLOOKUP(A11,'steel Mint data'!A:A,'steel Mint data'!R:R,"",0)</f>
        <v>37200</v>
      </c>
    </row>
    <row r="12" spans="1:22">
      <c r="A12" s="83">
        <v>45955</v>
      </c>
      <c r="B12" s="36">
        <f>_xlfn.XLOOKUP(A12,'steel Mint data'!A:A,'steel Mint data'!B:B,"",0)</f>
        <v>41900</v>
      </c>
      <c r="C12" s="36"/>
      <c r="D12" s="36"/>
      <c r="E12" s="36">
        <f>_xlfn.XLOOKUP(A12,'steel Mint data'!A:A,'steel Mint data'!D:D,"",0)</f>
        <v>40200</v>
      </c>
      <c r="F12" s="36">
        <f>_xlfn.XLOOKUP(A12,'steel Mint data'!A:A,'steel Mint data'!E:E,"",0)</f>
        <v>37500</v>
      </c>
      <c r="G12" s="36"/>
      <c r="H12" s="36"/>
      <c r="I12" s="36">
        <f>_xlfn.XLOOKUP(A12,'steel Mint data'!A:A,'steel Mint data'!I:I,"",0)</f>
        <v>40300</v>
      </c>
      <c r="J12" s="36"/>
      <c r="K12" s="36">
        <f>_xlfn.XLOOKUP(A12,'steel Mint data'!A:A,'steel Mint data'!L:L,"",0)</f>
        <v>42700</v>
      </c>
      <c r="L12" s="36"/>
      <c r="M12" s="36"/>
      <c r="N12" s="36"/>
      <c r="O12" s="36"/>
      <c r="P12" s="37">
        <f>_xlfn.XLOOKUP(A12,'steel Mint data'!A:A,'steel Mint data'!Q:Q,"",0)</f>
        <v>37400</v>
      </c>
      <c r="Q12" s="36">
        <f>_xlfn.XLOOKUP(A12,'steel Mint data'!A:A,'steel Mint data'!R:R,"",0)</f>
        <v>37200</v>
      </c>
    </row>
    <row r="13" spans="1:22">
      <c r="A13" s="83">
        <v>45956</v>
      </c>
      <c r="B13" s="36" t="str">
        <f>_xlfn.XLOOKUP(A13,'steel Mint data'!A:A,'steel Mint data'!B:B,"",0)</f>
        <v>H</v>
      </c>
      <c r="C13" s="36"/>
      <c r="D13" s="36"/>
      <c r="E13" s="36" t="str">
        <f>_xlfn.XLOOKUP(A13,'steel Mint data'!A:A,'steel Mint data'!D:D,"",0)</f>
        <v>H</v>
      </c>
      <c r="F13" s="36" t="str">
        <f>_xlfn.XLOOKUP(A13,'steel Mint data'!A:A,'steel Mint data'!E:E,"",0)</f>
        <v>H</v>
      </c>
      <c r="G13" s="36"/>
      <c r="H13" s="36"/>
      <c r="I13" s="36" t="str">
        <f>_xlfn.XLOOKUP(A13,'steel Mint data'!A:A,'steel Mint data'!I:I,"",0)</f>
        <v>H</v>
      </c>
      <c r="J13" s="36"/>
      <c r="K13" s="36" t="str">
        <f>_xlfn.XLOOKUP(A13,'steel Mint data'!A:A,'steel Mint data'!L:L,"",0)</f>
        <v>H</v>
      </c>
      <c r="L13" s="36"/>
      <c r="M13" s="36"/>
      <c r="N13" s="36"/>
      <c r="O13" s="36"/>
      <c r="P13" s="37" t="str">
        <f>_xlfn.XLOOKUP(A13,'steel Mint data'!A:A,'steel Mint data'!Q:Q,"",0)</f>
        <v>H</v>
      </c>
      <c r="Q13" s="36" t="str">
        <f>_xlfn.XLOOKUP(A13,'steel Mint data'!A:A,'steel Mint data'!R:R,"",0)</f>
        <v>H</v>
      </c>
      <c r="S13" s="33"/>
    </row>
    <row r="14" spans="1:22">
      <c r="A14" s="83">
        <v>45957</v>
      </c>
      <c r="B14" s="36">
        <f>_xlfn.XLOOKUP(A14,'steel Mint data'!A:A,'steel Mint data'!B:B,"",0)</f>
        <v>41900</v>
      </c>
      <c r="C14" s="36"/>
      <c r="D14" s="36"/>
      <c r="E14" s="36">
        <f>_xlfn.XLOOKUP(A14,'steel Mint data'!A:A,'steel Mint data'!D:D,"",0)</f>
        <v>40300</v>
      </c>
      <c r="F14" s="36">
        <f>_xlfn.XLOOKUP(A14,'steel Mint data'!A:A,'steel Mint data'!E:E,"",0)</f>
        <v>37400</v>
      </c>
      <c r="G14" s="36"/>
      <c r="H14" s="36"/>
      <c r="I14" s="36">
        <f>_xlfn.XLOOKUP(A14,'steel Mint data'!A:A,'steel Mint data'!I:I,"",0)</f>
        <v>40100</v>
      </c>
      <c r="J14" s="36"/>
      <c r="K14" s="36">
        <f>_xlfn.XLOOKUP(A14,'steel Mint data'!A:A,'steel Mint data'!L:L,"",0)</f>
        <v>42700</v>
      </c>
      <c r="L14" s="36"/>
      <c r="M14" s="36"/>
      <c r="N14" s="36"/>
      <c r="O14" s="36"/>
      <c r="P14" s="37">
        <f>_xlfn.XLOOKUP(A14,'steel Mint data'!A:A,'steel Mint data'!Q:Q,"",0)</f>
        <v>37300</v>
      </c>
      <c r="Q14" s="36">
        <f>_xlfn.XLOOKUP(A14,'steel Mint data'!A:A,'steel Mint data'!R:R,"",0)</f>
        <v>37200</v>
      </c>
      <c r="S14" s="33">
        <f>800*43100+3000*41900</f>
        <v>160180000</v>
      </c>
      <c r="T14" s="33"/>
    </row>
    <row r="15" spans="1:22">
      <c r="A15" s="83">
        <v>45958</v>
      </c>
      <c r="B15" s="36">
        <f>_xlfn.XLOOKUP(A15,'steel Mint data'!A:A,'steel Mint data'!B:B,"",0)</f>
        <v>41900</v>
      </c>
      <c r="C15" s="36"/>
      <c r="D15" s="36"/>
      <c r="E15" s="36">
        <f>_xlfn.XLOOKUP(A15,'steel Mint data'!A:A,'steel Mint data'!D:D,"",0)</f>
        <v>40200</v>
      </c>
      <c r="F15" s="36">
        <f>_xlfn.XLOOKUP(A15,'steel Mint data'!A:A,'steel Mint data'!E:E,"",0)</f>
        <v>37300</v>
      </c>
      <c r="G15" s="36"/>
      <c r="H15" s="36"/>
      <c r="I15" s="36">
        <f>_xlfn.XLOOKUP(A15,'steel Mint data'!A:A,'steel Mint data'!I:I,"",0)</f>
        <v>39900</v>
      </c>
      <c r="J15" s="36"/>
      <c r="K15" s="36">
        <f>_xlfn.XLOOKUP(A15,'steel Mint data'!A:A,'steel Mint data'!L:L,"",0)</f>
        <v>42500</v>
      </c>
      <c r="L15" s="36"/>
      <c r="M15" s="36"/>
      <c r="N15" s="36"/>
      <c r="O15" s="36"/>
      <c r="P15" s="37">
        <f>_xlfn.XLOOKUP(A15,'steel Mint data'!A:A,'steel Mint data'!Q:Q,"",0)</f>
        <v>37200</v>
      </c>
      <c r="Q15" s="36">
        <f>_xlfn.XLOOKUP(A15,'steel Mint data'!A:A,'steel Mint data'!R:R,"",0)</f>
        <v>37200</v>
      </c>
      <c r="R15" s="33"/>
      <c r="S15" s="33">
        <f>S14/3800</f>
        <v>42152.631578947367</v>
      </c>
      <c r="T15" s="33"/>
    </row>
    <row r="16" spans="1:22">
      <c r="A16" s="83">
        <v>45959</v>
      </c>
      <c r="B16" s="36">
        <f>_xlfn.XLOOKUP(A16,'steel Mint data'!A:A,'steel Mint data'!B:B,"",0)</f>
        <v>42000</v>
      </c>
      <c r="C16" s="36"/>
      <c r="D16" s="36"/>
      <c r="E16" s="36">
        <f>_xlfn.XLOOKUP(A16,'steel Mint data'!A:A,'steel Mint data'!D:D,"",0)</f>
        <v>40100</v>
      </c>
      <c r="F16" s="36">
        <f>_xlfn.XLOOKUP(A16,'steel Mint data'!A:A,'steel Mint data'!E:E,"",0)</f>
        <v>37600</v>
      </c>
      <c r="G16" s="36"/>
      <c r="H16" s="36"/>
      <c r="I16" s="36">
        <f>_xlfn.XLOOKUP(A16,'steel Mint data'!A:A,'steel Mint data'!I:I,"",0)</f>
        <v>40100</v>
      </c>
      <c r="J16" s="36"/>
      <c r="K16" s="36">
        <f>_xlfn.XLOOKUP(A16,'steel Mint data'!A:A,'steel Mint data'!L:L,"",0)</f>
        <v>42600</v>
      </c>
      <c r="L16" s="36"/>
      <c r="M16" s="36"/>
      <c r="N16" s="36"/>
      <c r="O16" s="36"/>
      <c r="P16" s="37">
        <f>_xlfn.XLOOKUP(A16,'steel Mint data'!A:A,'steel Mint data'!Q:Q,"",0)</f>
        <v>37400</v>
      </c>
      <c r="Q16" s="36">
        <f>_xlfn.XLOOKUP(A16,'steel Mint data'!A:A,'steel Mint data'!R:R,"",0)</f>
        <v>37300</v>
      </c>
      <c r="R16" s="33"/>
      <c r="S16" s="33"/>
      <c r="T16" s="33"/>
    </row>
    <row r="17" spans="1:21">
      <c r="A17" s="83">
        <v>45960</v>
      </c>
      <c r="B17" s="36">
        <f>_xlfn.XLOOKUP(A17,'steel Mint data'!A:A,'steel Mint data'!B:B,"",0)</f>
        <v>42000</v>
      </c>
      <c r="C17" s="36"/>
      <c r="D17" s="36"/>
      <c r="E17" s="36">
        <f>_xlfn.XLOOKUP(A17,'steel Mint data'!A:A,'steel Mint data'!D:D,"",0)</f>
        <v>40600</v>
      </c>
      <c r="F17" s="36">
        <f>_xlfn.XLOOKUP(A17,'steel Mint data'!A:A,'steel Mint data'!E:E,"",0)</f>
        <v>37700</v>
      </c>
      <c r="G17" s="36"/>
      <c r="H17" s="36"/>
      <c r="I17" s="36">
        <f>_xlfn.XLOOKUP(A17,'steel Mint data'!A:A,'steel Mint data'!I:I,"",0)</f>
        <v>40300</v>
      </c>
      <c r="J17" s="36"/>
      <c r="K17" s="36">
        <f>_xlfn.XLOOKUP(A17,'steel Mint data'!A:A,'steel Mint data'!L:L,"",0)</f>
        <v>42900</v>
      </c>
      <c r="L17" s="36"/>
      <c r="M17" s="36"/>
      <c r="N17" s="36"/>
      <c r="O17" s="36"/>
      <c r="P17" s="37">
        <f>_xlfn.XLOOKUP(A17,'steel Mint data'!A:A,'steel Mint data'!Q:Q,"",0)</f>
        <v>37500</v>
      </c>
      <c r="Q17" s="36">
        <f>_xlfn.XLOOKUP(A17,'steel Mint data'!A:A,'steel Mint data'!R:R,"",0)</f>
        <v>37500</v>
      </c>
      <c r="S17" s="33"/>
    </row>
    <row r="18" spans="1:21">
      <c r="A18" s="83">
        <v>45961</v>
      </c>
      <c r="B18" s="36">
        <f>_xlfn.XLOOKUP(A18,'steel Mint data'!A:A,'steel Mint data'!B:B,"",0)</f>
        <v>42300</v>
      </c>
      <c r="C18" s="36"/>
      <c r="D18" s="36"/>
      <c r="E18" s="36">
        <f>_xlfn.XLOOKUP(A18,'steel Mint data'!A:A,'steel Mint data'!D:D,"",0)</f>
        <v>41500</v>
      </c>
      <c r="F18" s="36">
        <f>_xlfn.XLOOKUP(A18,'steel Mint data'!A:A,'steel Mint data'!E:E,"",0)</f>
        <v>38000</v>
      </c>
      <c r="G18" s="36"/>
      <c r="H18" s="36"/>
      <c r="I18" s="36">
        <f>_xlfn.XLOOKUP(A18,'steel Mint data'!A:A,'steel Mint data'!I:I,"",0)</f>
        <v>40700</v>
      </c>
      <c r="J18" s="36"/>
      <c r="K18" s="36">
        <f>_xlfn.XLOOKUP(A18,'steel Mint data'!A:A,'steel Mint data'!L:L,"",0)</f>
        <v>43000</v>
      </c>
      <c r="L18" s="36"/>
      <c r="M18" s="36"/>
      <c r="N18" s="36"/>
      <c r="O18" s="36"/>
      <c r="P18" s="37">
        <f>_xlfn.XLOOKUP(A18,'steel Mint data'!A:A,'steel Mint data'!Q:Q,"",0)</f>
        <v>38200</v>
      </c>
      <c r="Q18" s="36">
        <f>_xlfn.XLOOKUP(A18,'steel Mint data'!A:A,'steel Mint data'!R:R,"",0)</f>
        <v>38400</v>
      </c>
      <c r="S18" s="33"/>
      <c r="T18" s="33"/>
    </row>
    <row r="19" spans="1:21">
      <c r="A19" s="83"/>
      <c r="B19" s="15">
        <f>SUM(B3:B18)</f>
        <v>420300</v>
      </c>
      <c r="C19" s="14"/>
      <c r="D19" s="14"/>
      <c r="E19" s="15">
        <f>SUM(E3:E18)</f>
        <v>445900</v>
      </c>
      <c r="F19" s="15">
        <f>SUM(F3:F18)</f>
        <v>413500</v>
      </c>
      <c r="G19" s="14"/>
      <c r="H19" s="14"/>
      <c r="I19" s="15">
        <f>SUM(I3:I18)</f>
        <v>442600</v>
      </c>
      <c r="J19" s="14"/>
      <c r="K19" s="15">
        <f>SUM(K3:K18)</f>
        <v>471600</v>
      </c>
      <c r="L19" s="14"/>
      <c r="M19" s="14"/>
      <c r="N19" s="14"/>
      <c r="O19" s="14"/>
      <c r="P19" s="15">
        <f>SUM(P3:P18)</f>
        <v>413300</v>
      </c>
      <c r="Q19" s="15">
        <f>SUM(Q3:Q18)</f>
        <v>413800</v>
      </c>
      <c r="S19" s="33"/>
      <c r="T19" s="33"/>
    </row>
    <row r="20" spans="1:21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23</v>
      </c>
      <c r="H20" s="16" t="s">
        <v>39</v>
      </c>
      <c r="I20" s="16" t="s">
        <v>46</v>
      </c>
      <c r="J20" s="16" t="s">
        <v>126</v>
      </c>
      <c r="K20" s="14"/>
      <c r="L20" s="19"/>
      <c r="M20" s="19">
        <f>40100+H22+H23</f>
        <v>41170</v>
      </c>
      <c r="N20" s="19"/>
      <c r="O20" s="14"/>
      <c r="P20" s="14"/>
      <c r="Q20" s="14"/>
      <c r="S20" s="33"/>
      <c r="T20" s="33"/>
    </row>
    <row r="21" spans="1:21">
      <c r="A21" s="17" t="s">
        <v>25</v>
      </c>
      <c r="B21" s="18">
        <f>E19/O21</f>
        <v>40536.36363636364</v>
      </c>
      <c r="C21" s="18">
        <f>P19/O21</f>
        <v>37572.727272727272</v>
      </c>
      <c r="D21" s="18">
        <f>K19/O21</f>
        <v>42872.727272727272</v>
      </c>
      <c r="E21" s="18">
        <f>Q19/O21</f>
        <v>37618.181818181816</v>
      </c>
      <c r="F21" s="18">
        <f>C21</f>
        <v>37572.727272727272</v>
      </c>
      <c r="G21" s="18">
        <f>B21-800</f>
        <v>39736.36363636364</v>
      </c>
      <c r="H21" s="18">
        <f>I19/O21</f>
        <v>40236.36363636364</v>
      </c>
      <c r="I21" s="18">
        <f>B19/(O21-1)</f>
        <v>42030</v>
      </c>
      <c r="J21" s="18">
        <f>F19/O21</f>
        <v>37590.909090909088</v>
      </c>
      <c r="K21" s="19"/>
      <c r="L21" s="19"/>
      <c r="M21" s="146"/>
      <c r="N21" s="19"/>
      <c r="O21" s="20">
        <f>COUNT(P3:P18)</f>
        <v>11</v>
      </c>
      <c r="P21" s="21"/>
      <c r="Q21" s="19"/>
      <c r="R21" s="33"/>
      <c r="S21" s="33"/>
      <c r="T21" s="33"/>
    </row>
    <row r="22" spans="1:21">
      <c r="A22" s="17" t="s">
        <v>26</v>
      </c>
      <c r="B22" s="18">
        <v>1200</v>
      </c>
      <c r="C22" s="18">
        <v>2150</v>
      </c>
      <c r="D22" s="18">
        <v>400</v>
      </c>
      <c r="E22" s="18">
        <v>2200</v>
      </c>
      <c r="F22" s="18">
        <v>1800</v>
      </c>
      <c r="G22" s="18">
        <v>1200</v>
      </c>
      <c r="H22" s="18">
        <v>800</v>
      </c>
      <c r="I22" s="18">
        <v>0</v>
      </c>
      <c r="J22" s="18">
        <v>2000</v>
      </c>
      <c r="K22" s="69"/>
      <c r="L22" s="19"/>
      <c r="M22" s="146"/>
      <c r="N22" s="19">
        <f>46050-2500-1000-G24</f>
        <v>1413.6363636363603</v>
      </c>
      <c r="O22" s="48"/>
      <c r="P22" s="48"/>
      <c r="Q22" s="176"/>
      <c r="R22" s="49">
        <f>42800-G24</f>
        <v>1663.6363636363603</v>
      </c>
      <c r="S22" s="49"/>
      <c r="T22" s="49"/>
    </row>
    <row r="23" spans="1:21">
      <c r="A23" s="17" t="s">
        <v>27</v>
      </c>
      <c r="B23" s="18">
        <v>200</v>
      </c>
      <c r="C23" s="18">
        <v>265</v>
      </c>
      <c r="D23" s="18">
        <v>250</v>
      </c>
      <c r="E23" s="18">
        <v>275</v>
      </c>
      <c r="F23" s="18">
        <v>275</v>
      </c>
      <c r="G23" s="18">
        <v>200</v>
      </c>
      <c r="H23" s="18">
        <v>270</v>
      </c>
      <c r="I23" s="18">
        <v>200</v>
      </c>
      <c r="J23" s="18">
        <v>270</v>
      </c>
      <c r="K23" s="69"/>
      <c r="L23" s="19"/>
      <c r="M23" s="146">
        <f>45500-1000-1000-G24</f>
        <v>2363.6363636363603</v>
      </c>
      <c r="N23" s="48"/>
      <c r="O23" s="48">
        <f>44750-600-1000-G24</f>
        <v>2013.6363636363603</v>
      </c>
      <c r="P23" s="48"/>
      <c r="Q23" s="48"/>
      <c r="R23" s="49"/>
      <c r="S23" s="48"/>
      <c r="T23" s="49"/>
    </row>
    <row r="24" spans="1:21" ht="19.5" customHeight="1">
      <c r="A24" s="22" t="s">
        <v>28</v>
      </c>
      <c r="B24" s="18">
        <f>SUM(B21:B23)</f>
        <v>41936.36363636364</v>
      </c>
      <c r="C24" s="18">
        <f>SUM(C21:C23)</f>
        <v>39987.727272727272</v>
      </c>
      <c r="D24" s="18">
        <f>SUM(D21:D23)</f>
        <v>43522.727272727272</v>
      </c>
      <c r="E24" s="18">
        <f>SUM(E21:E23)</f>
        <v>40093.181818181816</v>
      </c>
      <c r="F24" s="18">
        <f>SUM(F21:F23)</f>
        <v>39647.727272727272</v>
      </c>
      <c r="G24" s="18">
        <f>SUM(G21:G23)</f>
        <v>41136.36363636364</v>
      </c>
      <c r="H24" s="18">
        <f>SUM(H21:H23)</f>
        <v>41306.36363636364</v>
      </c>
      <c r="I24" s="18">
        <f>SUM(I21:I23)</f>
        <v>42230</v>
      </c>
      <c r="J24" s="18">
        <f>SUM(J21:J23)</f>
        <v>39860.909090909088</v>
      </c>
      <c r="K24" s="69">
        <f>45380-800</f>
        <v>44580</v>
      </c>
      <c r="L24" s="19">
        <f>44000-D24-800</f>
        <v>-322.72727272727207</v>
      </c>
      <c r="M24" s="69"/>
      <c r="N24" s="48">
        <f>45500-1500-1000-G24</f>
        <v>1863.6363636363603</v>
      </c>
      <c r="O24" s="48"/>
      <c r="P24" s="48"/>
      <c r="Q24" s="48"/>
      <c r="R24" s="49"/>
      <c r="S24" s="49"/>
      <c r="T24" s="49"/>
    </row>
    <row r="25" spans="1:21">
      <c r="A25" s="22" t="s">
        <v>29</v>
      </c>
      <c r="B25" s="18">
        <v>45100</v>
      </c>
      <c r="C25" s="18">
        <v>42315</v>
      </c>
      <c r="D25" s="18">
        <v>46150</v>
      </c>
      <c r="E25" s="23"/>
      <c r="F25" s="18">
        <v>41975</v>
      </c>
      <c r="G25" s="18">
        <v>44300</v>
      </c>
      <c r="H25" s="18"/>
      <c r="I25" s="18">
        <v>44300</v>
      </c>
      <c r="J25" s="18">
        <v>42470</v>
      </c>
      <c r="K25" s="48">
        <f>D24+800</f>
        <v>44322.727272727272</v>
      </c>
      <c r="L25" s="19"/>
      <c r="M25" s="69">
        <f>44000-1000-G24</f>
        <v>1863.6363636363603</v>
      </c>
      <c r="N25" s="174"/>
      <c r="O25" s="48">
        <f>44000-G24-1000</f>
        <v>1863.6363636363603</v>
      </c>
      <c r="P25" s="48">
        <f>46500-1350-1000-G24</f>
        <v>3013.6363636363603</v>
      </c>
      <c r="Q25" s="48"/>
      <c r="R25" s="49"/>
      <c r="S25" s="49"/>
      <c r="T25" s="49"/>
    </row>
    <row r="26" spans="1:21">
      <c r="A26" s="22" t="s">
        <v>30</v>
      </c>
      <c r="B26" s="18">
        <f>B24-B25</f>
        <v>-3163.6363636363603</v>
      </c>
      <c r="C26" s="18">
        <f>C24-C25</f>
        <v>-2327.2727272727279</v>
      </c>
      <c r="D26" s="18">
        <f>D24-D25</f>
        <v>-2627.2727272727279</v>
      </c>
      <c r="E26" s="18">
        <f>E24-E25</f>
        <v>40093.181818181816</v>
      </c>
      <c r="F26" s="18">
        <f>F24-F25</f>
        <v>-2327.2727272727279</v>
      </c>
      <c r="G26" s="18">
        <f>G24-G25</f>
        <v>-3163.6363636363603</v>
      </c>
      <c r="H26" s="18">
        <f>H24-H25</f>
        <v>41306.36363636364</v>
      </c>
      <c r="I26" s="18">
        <f>I24-I25</f>
        <v>-2070</v>
      </c>
      <c r="J26" s="18">
        <f>J24-J25</f>
        <v>-2609.0909090909117</v>
      </c>
      <c r="K26" s="48">
        <f>44000-800-D24</f>
        <v>-322.72727272727207</v>
      </c>
      <c r="L26" s="19"/>
      <c r="M26" s="69"/>
      <c r="N26" s="174">
        <f>43400-2500-F24</f>
        <v>1252.2727272727279</v>
      </c>
      <c r="O26" s="48"/>
      <c r="P26" s="48">
        <v>75</v>
      </c>
      <c r="Q26" s="48">
        <v>36</v>
      </c>
      <c r="R26" s="49"/>
      <c r="S26" s="49"/>
      <c r="T26" s="49"/>
    </row>
    <row r="27" spans="1:21">
      <c r="A27" s="14"/>
      <c r="B27" s="19">
        <f>B25-2500</f>
        <v>42600</v>
      </c>
      <c r="C27" s="14"/>
      <c r="D27" s="14"/>
      <c r="E27" s="14"/>
      <c r="F27" s="14"/>
      <c r="G27" s="19">
        <f>G25-2500</f>
        <v>41800</v>
      </c>
      <c r="H27" s="14"/>
      <c r="I27" s="14"/>
      <c r="J27" s="14"/>
      <c r="K27" s="48"/>
      <c r="L27" s="19">
        <f>44000-2600-1000-F24</f>
        <v>752.27272727272793</v>
      </c>
      <c r="M27" s="69">
        <f>44000-3000-F24</f>
        <v>1352.2727272727279</v>
      </c>
      <c r="N27" s="174"/>
      <c r="O27" s="48">
        <f>45300-900-1000-G24</f>
        <v>2263.6363636363603</v>
      </c>
      <c r="P27" s="48">
        <f>44000-1000-G24</f>
        <v>1863.6363636363603</v>
      </c>
      <c r="Q27" s="48">
        <f>44000-800-D24</f>
        <v>-322.72727272727207</v>
      </c>
      <c r="R27" s="49">
        <f>40540+1400</f>
        <v>41940</v>
      </c>
      <c r="S27" s="49"/>
      <c r="T27" s="49"/>
    </row>
    <row r="28" spans="1:21">
      <c r="A28" s="22" t="s">
        <v>31</v>
      </c>
      <c r="B28" s="23">
        <v>48300</v>
      </c>
      <c r="C28" s="23">
        <v>45550</v>
      </c>
      <c r="D28" s="18">
        <v>48800</v>
      </c>
      <c r="E28" s="18">
        <v>45550</v>
      </c>
      <c r="F28" s="18">
        <v>45550</v>
      </c>
      <c r="G28" s="18">
        <v>47500</v>
      </c>
      <c r="H28" s="18">
        <v>47800</v>
      </c>
      <c r="I28" s="18">
        <v>48300</v>
      </c>
      <c r="J28" s="18"/>
      <c r="K28" s="48"/>
      <c r="L28" s="48"/>
      <c r="M28" s="69"/>
      <c r="N28" s="48"/>
      <c r="O28" s="48"/>
      <c r="P28" s="48"/>
      <c r="Q28" s="48"/>
      <c r="R28" s="49"/>
      <c r="S28" s="49">
        <f>44100*1.18</f>
        <v>52038</v>
      </c>
      <c r="T28" s="49"/>
    </row>
    <row r="29" spans="1:21">
      <c r="A29" s="22" t="s">
        <v>32</v>
      </c>
      <c r="B29" s="26">
        <f>B28-500-(200+300+300)-250-400</f>
        <v>46350</v>
      </c>
      <c r="C29" s="26">
        <f>C28-500-(200+300+300)-250-400</f>
        <v>43600</v>
      </c>
      <c r="D29" s="26">
        <f>D28-500-(200+300+300)-250-400</f>
        <v>46850</v>
      </c>
      <c r="E29" s="26">
        <f>E28-500-(200+300+300)-250-400</f>
        <v>43600</v>
      </c>
      <c r="F29" s="26">
        <f>F28-500-(200+300+300)-250-400</f>
        <v>43600</v>
      </c>
      <c r="G29" s="26">
        <f>G28-500-(200+300+300)-250-400</f>
        <v>45550</v>
      </c>
      <c r="H29" s="26">
        <f>H28-500-(200+300+300)-250-400</f>
        <v>45850</v>
      </c>
      <c r="I29" s="26">
        <f>I28-500-(200+300+300)-250-400</f>
        <v>46350</v>
      </c>
      <c r="J29" s="26"/>
      <c r="K29" s="48"/>
      <c r="L29" s="48">
        <f>44000-1200-B24</f>
        <v>863.63636363636033</v>
      </c>
      <c r="M29" s="48">
        <f>44000-1000-G24</f>
        <v>1863.6363636363603</v>
      </c>
      <c r="N29" s="48">
        <f>44800-900-1000-G24</f>
        <v>1763.6363636363603</v>
      </c>
      <c r="O29" s="48"/>
      <c r="P29" s="48">
        <f>44800-1000-900-G24</f>
        <v>1763.6363636363603</v>
      </c>
      <c r="Q29" s="48">
        <f>(Q27*Q26+P27*P26)/(P26+Q26)</f>
        <v>1154.5454545454527</v>
      </c>
      <c r="R29" s="49"/>
      <c r="S29" s="49">
        <f>350000/860</f>
        <v>406.97674418604652</v>
      </c>
      <c r="T29" s="49"/>
    </row>
    <row r="30" spans="1:21">
      <c r="A30" s="25" t="s">
        <v>33</v>
      </c>
      <c r="B30" s="18">
        <f>B29-B24</f>
        <v>4413.6363636363603</v>
      </c>
      <c r="C30" s="18">
        <f>C29-C24</f>
        <v>3612.2727272727279</v>
      </c>
      <c r="D30" s="18">
        <f>D29-D24</f>
        <v>3327.2727272727279</v>
      </c>
      <c r="E30" s="18">
        <f>E29-E24</f>
        <v>3506.8181818181838</v>
      </c>
      <c r="F30" s="18">
        <f>F29-F24</f>
        <v>3952.2727272727279</v>
      </c>
      <c r="G30" s="18">
        <f>G29-G24</f>
        <v>4413.6363636363603</v>
      </c>
      <c r="H30" s="18">
        <f>H29-H24</f>
        <v>4543.6363636363603</v>
      </c>
      <c r="I30" s="18">
        <f>I29-I24</f>
        <v>4120</v>
      </c>
      <c r="J30" s="18"/>
      <c r="K30" s="48"/>
      <c r="L30" s="48"/>
      <c r="M30" s="48"/>
      <c r="N30" s="48">
        <f>45400-1750-1000-G24</f>
        <v>1513.6363636363603</v>
      </c>
      <c r="O30" s="48"/>
      <c r="P30" s="48"/>
      <c r="Q30" s="48"/>
      <c r="R30" s="49"/>
      <c r="S30" s="49"/>
      <c r="T30" s="49"/>
      <c r="U30" s="33"/>
    </row>
    <row r="31" spans="1:21">
      <c r="I31" s="33"/>
      <c r="J31" s="49"/>
      <c r="K31" s="48"/>
      <c r="L31" s="48"/>
      <c r="M31" s="48">
        <f>45050-1050-800-D24</f>
        <v>-322.72727272727207</v>
      </c>
      <c r="N31" s="48"/>
      <c r="O31" s="48">
        <f>43400-2000-F24</f>
        <v>1752.2727272727279</v>
      </c>
      <c r="P31" s="48"/>
      <c r="Q31" s="49"/>
      <c r="R31" s="49"/>
      <c r="S31" s="49"/>
      <c r="T31" s="49"/>
      <c r="U31" s="33"/>
    </row>
    <row r="32" spans="1:21">
      <c r="B32" s="33">
        <f>B24+900+500</f>
        <v>43336.36363636364</v>
      </c>
      <c r="C32" s="33"/>
      <c r="D32" s="33"/>
      <c r="E32" s="33"/>
      <c r="F32" s="33"/>
      <c r="G32" s="33"/>
      <c r="H32" s="33"/>
      <c r="I32" s="33"/>
      <c r="J32" s="49"/>
      <c r="K32" s="49"/>
      <c r="L32" s="49"/>
      <c r="M32" s="48"/>
      <c r="N32" s="49"/>
      <c r="O32" s="48"/>
      <c r="P32" s="49"/>
      <c r="Q32" s="49"/>
      <c r="R32" s="49"/>
      <c r="S32" s="49"/>
      <c r="T32" s="49"/>
    </row>
    <row r="33" spans="1:21 16384:16384" ht="22.5" customHeight="1">
      <c r="B33" s="33"/>
      <c r="C33" s="33"/>
      <c r="D33" s="33"/>
      <c r="E33" s="104"/>
      <c r="F33" s="33"/>
      <c r="G33" s="33"/>
      <c r="H33" s="33"/>
      <c r="I33" s="33"/>
      <c r="J33" s="49"/>
      <c r="K33" s="48"/>
      <c r="L33" s="49"/>
      <c r="M33" s="48">
        <f>43800-3000-F24</f>
        <v>1152.2727272727279</v>
      </c>
      <c r="N33" s="49">
        <f>44000-2300-1000-F24</f>
        <v>1052.2727272727279</v>
      </c>
      <c r="O33" s="48"/>
      <c r="P33" s="49"/>
      <c r="Q33" s="49"/>
      <c r="R33" s="49"/>
      <c r="S33" s="49"/>
      <c r="T33" s="49"/>
      <c r="XFD33" s="96" t="s">
        <v>68</v>
      </c>
    </row>
    <row r="34" spans="1:21 16384:16384" ht="15.75">
      <c r="C34" s="33"/>
      <c r="D34" s="33"/>
      <c r="F34" s="33"/>
      <c r="G34" s="33"/>
      <c r="H34" s="33"/>
      <c r="J34" s="49"/>
      <c r="K34" s="125"/>
      <c r="L34" s="125"/>
      <c r="M34" s="48"/>
      <c r="N34" s="125"/>
      <c r="O34" s="125"/>
      <c r="P34" s="106"/>
      <c r="Q34" s="128"/>
      <c r="R34" s="49"/>
      <c r="S34" s="49"/>
      <c r="T34" s="49"/>
      <c r="XFD34" s="97">
        <v>43500</v>
      </c>
    </row>
    <row r="35" spans="1:21 16384:16384" ht="15.75">
      <c r="A35" s="39" t="s">
        <v>40</v>
      </c>
      <c r="B35" s="40" t="s">
        <v>49</v>
      </c>
      <c r="C35" s="43"/>
      <c r="D35" s="33"/>
      <c r="E35" s="33"/>
      <c r="F35" s="33"/>
      <c r="H35" s="124"/>
      <c r="I35" s="33"/>
      <c r="J35" s="49"/>
      <c r="K35" s="106"/>
      <c r="L35" s="125"/>
      <c r="M35" s="48"/>
      <c r="N35" s="125"/>
      <c r="O35" s="125"/>
      <c r="P35" s="125"/>
      <c r="Q35" s="106"/>
      <c r="R35" s="49"/>
      <c r="S35" s="49"/>
      <c r="T35" s="49"/>
      <c r="XFD35" s="97">
        <v>44000</v>
      </c>
    </row>
    <row r="36" spans="1:21 16384:16384" ht="15.75">
      <c r="A36" s="29" t="s">
        <v>42</v>
      </c>
      <c r="B36" s="29">
        <v>46000</v>
      </c>
      <c r="C36" s="43"/>
      <c r="D36" s="33"/>
      <c r="E36" s="33"/>
      <c r="F36" s="112"/>
      <c r="G36" s="218"/>
      <c r="H36" s="33"/>
      <c r="I36" s="33"/>
      <c r="J36" s="49"/>
      <c r="K36" s="125"/>
      <c r="L36" s="125"/>
      <c r="M36" s="145"/>
      <c r="N36" s="106"/>
      <c r="O36" s="125"/>
      <c r="P36" s="125"/>
      <c r="Q36" s="106"/>
      <c r="R36" s="49"/>
      <c r="S36" s="49"/>
      <c r="T36" s="49"/>
      <c r="XFD36" s="97">
        <v>43500</v>
      </c>
    </row>
    <row r="37" spans="1:21 16384:16384" ht="15.75">
      <c r="A37" s="29" t="s">
        <v>43</v>
      </c>
      <c r="B37" s="29">
        <v>42615</v>
      </c>
      <c r="C37" s="43">
        <f>B37+1250</f>
        <v>43865</v>
      </c>
      <c r="F37" s="113"/>
      <c r="G37" s="170"/>
      <c r="H37" s="167"/>
      <c r="J37" s="49"/>
      <c r="K37" s="106"/>
      <c r="L37" s="106"/>
      <c r="M37" s="106"/>
      <c r="N37" s="125"/>
      <c r="O37" s="106"/>
      <c r="P37" s="106"/>
      <c r="Q37" s="106"/>
      <c r="R37" s="130" t="s">
        <v>115</v>
      </c>
      <c r="S37" s="131" t="s">
        <v>116</v>
      </c>
      <c r="T37" s="131" t="s">
        <v>117</v>
      </c>
      <c r="U37" s="130" t="s">
        <v>118</v>
      </c>
      <c r="XFD37" s="97">
        <v>44000</v>
      </c>
    </row>
    <row r="38" spans="1:21 16384:16384" ht="15.75">
      <c r="A38" s="29" t="s">
        <v>44</v>
      </c>
      <c r="B38" s="29">
        <v>42275</v>
      </c>
      <c r="C38" s="43">
        <f>B38+1000</f>
        <v>43275</v>
      </c>
      <c r="F38" s="112"/>
      <c r="G38" s="170"/>
      <c r="H38" s="169"/>
      <c r="J38" s="49"/>
      <c r="K38" s="106"/>
      <c r="L38" s="125"/>
      <c r="M38" s="106"/>
      <c r="N38" s="106"/>
      <c r="O38" s="106"/>
      <c r="P38" s="106"/>
      <c r="Q38" s="106"/>
      <c r="R38" s="129" t="s">
        <v>119</v>
      </c>
      <c r="S38" s="129">
        <v>815</v>
      </c>
      <c r="T38" s="129">
        <v>207</v>
      </c>
      <c r="U38" s="129">
        <f>S38-T38</f>
        <v>608</v>
      </c>
      <c r="XFD38" s="97">
        <v>43000</v>
      </c>
    </row>
    <row r="39" spans="1:21 16384:16384" ht="15.75">
      <c r="A39" s="29" t="s">
        <v>36</v>
      </c>
      <c r="B39" s="29">
        <v>46450</v>
      </c>
      <c r="C39" s="43">
        <f>B39+800</f>
        <v>47250</v>
      </c>
      <c r="D39" s="33"/>
      <c r="E39" s="33"/>
      <c r="F39" s="112"/>
      <c r="G39" s="170"/>
      <c r="H39" s="170"/>
      <c r="J39" s="49"/>
      <c r="K39" s="106"/>
      <c r="L39" s="125"/>
      <c r="M39" s="125"/>
      <c r="N39" s="106"/>
      <c r="O39" s="106"/>
      <c r="P39" s="106"/>
      <c r="Q39" s="106"/>
      <c r="R39" s="129" t="s">
        <v>120</v>
      </c>
      <c r="S39" s="129">
        <v>46000</v>
      </c>
      <c r="T39" s="129">
        <v>46000</v>
      </c>
      <c r="U39" s="29">
        <v>46000</v>
      </c>
      <c r="XFD39" s="97">
        <v>43500</v>
      </c>
    </row>
    <row r="40" spans="1:21 16384:16384" ht="15.75">
      <c r="A40" s="29" t="s">
        <v>37</v>
      </c>
      <c r="B40" s="29">
        <v>45200</v>
      </c>
      <c r="C40" s="43">
        <f>B40+1000</f>
        <v>46200</v>
      </c>
      <c r="F40" s="114"/>
      <c r="G40" s="171"/>
      <c r="H40" s="171"/>
      <c r="J40" s="49"/>
      <c r="K40" s="106"/>
      <c r="L40" s="126"/>
      <c r="M40" s="127"/>
      <c r="N40" s="128"/>
      <c r="O40" s="106"/>
      <c r="P40" s="106"/>
      <c r="Q40" s="106"/>
      <c r="R40" s="129" t="s">
        <v>121</v>
      </c>
      <c r="S40" s="129">
        <v>3300</v>
      </c>
      <c r="T40" s="129">
        <v>1450</v>
      </c>
      <c r="U40" s="29">
        <v>3350</v>
      </c>
      <c r="XFD40" s="97">
        <v>44000</v>
      </c>
    </row>
    <row r="41" spans="1:21 16384:16384" ht="15.75">
      <c r="A41" s="29" t="s">
        <v>45</v>
      </c>
      <c r="B41" s="29">
        <v>44470</v>
      </c>
      <c r="C41" s="43"/>
      <c r="F41" s="114"/>
      <c r="G41" s="172"/>
      <c r="H41" s="172"/>
      <c r="I41" s="33"/>
      <c r="J41" s="49"/>
      <c r="K41" s="106"/>
      <c r="L41" s="106"/>
      <c r="M41" s="106"/>
      <c r="N41" s="106"/>
      <c r="O41" s="106"/>
      <c r="P41" s="106"/>
      <c r="Q41" s="106"/>
      <c r="R41" s="129" t="s">
        <v>122</v>
      </c>
      <c r="S41" s="129">
        <v>1000</v>
      </c>
      <c r="T41" s="129">
        <v>1000</v>
      </c>
      <c r="U41" s="129">
        <v>1250</v>
      </c>
      <c r="XFD41" s="97">
        <v>45000</v>
      </c>
    </row>
    <row r="42" spans="1:21 16384:16384" ht="15.75">
      <c r="A42" s="43" t="s">
        <v>50</v>
      </c>
      <c r="B42" s="43">
        <v>43675</v>
      </c>
      <c r="C42" s="43"/>
      <c r="F42" s="114"/>
      <c r="G42" s="171"/>
      <c r="H42" s="173"/>
      <c r="J42" s="49"/>
      <c r="K42" s="106"/>
      <c r="L42" s="106"/>
      <c r="M42" s="106"/>
      <c r="N42" s="106"/>
      <c r="O42" s="106"/>
      <c r="P42" s="106"/>
      <c r="Q42" s="106"/>
      <c r="R42" s="129" t="s">
        <v>123</v>
      </c>
      <c r="S42" s="129">
        <f>S39-S40-S41</f>
        <v>41700</v>
      </c>
      <c r="T42" s="129">
        <f>T39-T40-T41</f>
        <v>43550</v>
      </c>
      <c r="U42" s="129">
        <f>U39-U40-U41</f>
        <v>41400</v>
      </c>
      <c r="XFD42" s="97">
        <v>43500</v>
      </c>
    </row>
    <row r="43" spans="1:21 16384:16384" ht="15.75">
      <c r="A43" s="46" t="s">
        <v>46</v>
      </c>
      <c r="B43" s="46">
        <f>44500-1000</f>
        <v>43500</v>
      </c>
      <c r="C43" s="46">
        <f>B43+1000</f>
        <v>44500</v>
      </c>
      <c r="J43" s="49"/>
      <c r="K43" s="106"/>
      <c r="L43" s="106"/>
      <c r="M43" s="106"/>
      <c r="N43" s="106"/>
      <c r="O43" s="106"/>
      <c r="P43" s="106"/>
      <c r="Q43" s="106"/>
      <c r="R43" s="129" t="s">
        <v>124</v>
      </c>
      <c r="S43" s="129">
        <f>S42-F24</f>
        <v>2052.2727272727279</v>
      </c>
      <c r="T43" s="129">
        <f>T42-G24</f>
        <v>2413.6363636363603</v>
      </c>
      <c r="U43" s="129">
        <f>U42-C24</f>
        <v>1412.2727272727279</v>
      </c>
      <c r="XFD43" s="97">
        <v>44000</v>
      </c>
    </row>
    <row r="44" spans="1:21 16384:16384" ht="15.75">
      <c r="J44" s="49"/>
      <c r="K44" s="106"/>
      <c r="L44" s="106"/>
      <c r="M44" s="106"/>
      <c r="N44" s="106"/>
      <c r="O44" s="106"/>
      <c r="P44" s="106"/>
      <c r="Q44" s="106"/>
      <c r="R44" s="129" t="s">
        <v>125</v>
      </c>
      <c r="S44" s="129"/>
      <c r="T44" s="525">
        <f>SUMPRODUCT(T43:U43,T38:U38)/SUM(T38:U38)</f>
        <v>1666.6068042387058</v>
      </c>
      <c r="U44" s="525"/>
      <c r="XFD44" s="97">
        <v>44000</v>
      </c>
    </row>
    <row r="45" spans="1:21 16384:16384" ht="15.75">
      <c r="J45" s="49"/>
      <c r="K45" s="106"/>
      <c r="L45" s="106"/>
      <c r="M45" s="106"/>
      <c r="N45" s="106"/>
      <c r="O45" s="106"/>
      <c r="P45" s="106"/>
      <c r="Q45" s="106"/>
      <c r="R45" s="49"/>
      <c r="S45" s="49"/>
      <c r="T45" s="49"/>
      <c r="XFD45" s="97">
        <v>44000</v>
      </c>
    </row>
    <row r="46" spans="1:21 16384:16384" ht="15.75">
      <c r="B46" s="24"/>
      <c r="C46" s="24"/>
      <c r="D46" s="24"/>
      <c r="E46" s="24"/>
      <c r="F46" s="24"/>
      <c r="G46" s="24"/>
      <c r="H46" s="24"/>
      <c r="I46" s="24"/>
      <c r="J46" s="49"/>
      <c r="K46" s="106"/>
      <c r="L46" s="106"/>
      <c r="M46" s="106"/>
      <c r="N46" s="106"/>
      <c r="O46" s="106"/>
      <c r="P46" s="106"/>
      <c r="Q46" s="106"/>
      <c r="R46" s="49"/>
      <c r="S46" s="49"/>
      <c r="T46" s="49"/>
      <c r="XFD46" s="97">
        <v>41000</v>
      </c>
    </row>
    <row r="47" spans="1:21 16384:16384" ht="15.75">
      <c r="B47" s="33"/>
      <c r="C47" s="33"/>
      <c r="D47" s="33"/>
      <c r="E47" s="33"/>
      <c r="F47" s="33"/>
      <c r="G47" s="33"/>
      <c r="H47" s="33"/>
      <c r="I47" s="33"/>
      <c r="K47" s="523"/>
      <c r="L47" s="523"/>
      <c r="M47" s="106"/>
      <c r="N47" s="106"/>
      <c r="O47" s="106"/>
      <c r="P47" s="106"/>
      <c r="Q47" s="106"/>
    </row>
    <row r="49" spans="2:14">
      <c r="B49" s="33"/>
    </row>
    <row r="53" spans="2:14">
      <c r="C53" s="52"/>
      <c r="D53" s="524"/>
      <c r="E53" s="524"/>
      <c r="F53" s="53"/>
      <c r="G53" s="524"/>
      <c r="H53" s="524"/>
      <c r="I53" s="14"/>
    </row>
    <row r="54" spans="2:14">
      <c r="C54" s="115"/>
      <c r="D54" s="109"/>
      <c r="E54" s="109"/>
      <c r="F54" s="52"/>
      <c r="G54" s="109"/>
      <c r="H54" s="109"/>
      <c r="K54" s="110"/>
      <c r="L54" s="110"/>
      <c r="M54" s="110"/>
      <c r="N54" s="110"/>
    </row>
    <row r="55" spans="2:14">
      <c r="C55" s="52"/>
      <c r="D55" s="111"/>
      <c r="E55" s="111"/>
      <c r="F55" s="58"/>
      <c r="G55" s="111"/>
      <c r="H55" s="111"/>
      <c r="L55" s="62"/>
      <c r="M55" s="62"/>
      <c r="N55" s="62"/>
    </row>
    <row r="56" spans="2:14">
      <c r="C56" s="52"/>
      <c r="D56" s="111"/>
      <c r="E56" s="111"/>
      <c r="F56" s="58"/>
      <c r="G56" s="111"/>
      <c r="H56" s="111"/>
      <c r="L56" s="62"/>
      <c r="M56" s="62"/>
      <c r="N56" s="62"/>
    </row>
    <row r="57" spans="2:14">
      <c r="C57" s="52"/>
      <c r="D57" s="111"/>
      <c r="E57" s="111"/>
      <c r="F57" s="58"/>
      <c r="G57" s="111"/>
      <c r="H57" s="111"/>
      <c r="L57" s="62"/>
      <c r="M57" s="62"/>
      <c r="N57" s="62"/>
    </row>
    <row r="58" spans="2:14">
      <c r="C58" s="52"/>
      <c r="D58" s="111"/>
      <c r="E58" s="111"/>
      <c r="F58" s="58"/>
      <c r="G58" s="111"/>
      <c r="H58" s="111"/>
      <c r="L58" s="62"/>
      <c r="M58" s="62"/>
      <c r="N58" s="62"/>
    </row>
    <row r="59" spans="2:14">
      <c r="C59" s="52"/>
      <c r="D59" s="111"/>
      <c r="E59" s="111"/>
      <c r="F59" s="58"/>
      <c r="G59" s="111"/>
      <c r="H59" s="111"/>
      <c r="K59" s="116"/>
      <c r="L59" s="117"/>
      <c r="M59" s="117"/>
      <c r="N59" s="117"/>
    </row>
    <row r="60" spans="2:14">
      <c r="C60" s="52"/>
      <c r="D60" s="111"/>
      <c r="E60" s="111"/>
      <c r="F60" s="58"/>
      <c r="G60" s="111"/>
      <c r="H60" s="111"/>
    </row>
    <row r="61" spans="2:14">
      <c r="C61" s="52"/>
      <c r="D61" s="118"/>
      <c r="E61" s="118"/>
      <c r="F61" s="58"/>
      <c r="G61" s="118"/>
      <c r="H61" s="118"/>
    </row>
    <row r="62" spans="2:14">
      <c r="C62" s="52"/>
      <c r="D62" s="118"/>
      <c r="E62" s="118"/>
      <c r="F62" s="58"/>
      <c r="G62" s="118"/>
      <c r="H62" s="118"/>
    </row>
    <row r="63" spans="2:14">
      <c r="C63" s="119"/>
      <c r="D63" s="118"/>
      <c r="E63" s="118"/>
      <c r="F63" s="58"/>
      <c r="G63" s="118"/>
      <c r="H63" s="118"/>
    </row>
    <row r="73" spans="3:12">
      <c r="C73" s="120"/>
      <c r="D73" s="120"/>
      <c r="E73" s="120"/>
      <c r="F73" s="120"/>
      <c r="G73" s="120"/>
      <c r="H73" s="120"/>
      <c r="I73" s="120"/>
      <c r="J73" s="120"/>
      <c r="K73" s="120"/>
      <c r="L73" s="120"/>
    </row>
    <row r="74" spans="3:12">
      <c r="C74" s="120"/>
      <c r="D74" s="121"/>
      <c r="E74" s="122"/>
      <c r="F74" s="122"/>
      <c r="G74" s="122"/>
      <c r="H74" s="122"/>
      <c r="I74" s="122"/>
      <c r="J74" s="122"/>
      <c r="K74" s="122"/>
      <c r="L74" s="122"/>
    </row>
    <row r="75" spans="3:12">
      <c r="C75" s="120"/>
      <c r="D75" s="121"/>
      <c r="E75" s="122"/>
      <c r="F75" s="122"/>
      <c r="G75" s="122"/>
      <c r="H75" s="122"/>
      <c r="I75" s="122"/>
      <c r="J75" s="122"/>
      <c r="K75" s="122"/>
      <c r="L75" s="122"/>
    </row>
    <row r="76" spans="3:12">
      <c r="C76" s="120"/>
      <c r="D76" s="121"/>
      <c r="E76" s="122"/>
      <c r="F76" s="122"/>
      <c r="G76" s="122"/>
      <c r="H76" s="122"/>
      <c r="I76" s="122"/>
      <c r="J76" s="122"/>
      <c r="K76" s="122"/>
      <c r="L76" s="122"/>
    </row>
    <row r="77" spans="3:12">
      <c r="C77" s="120"/>
      <c r="D77" s="121"/>
      <c r="E77" s="122"/>
      <c r="F77" s="122"/>
      <c r="G77" s="122"/>
      <c r="H77" s="122"/>
      <c r="I77" s="122"/>
      <c r="J77" s="122"/>
      <c r="K77" s="122"/>
      <c r="L77" s="122"/>
    </row>
    <row r="78" spans="3:12">
      <c r="C78" s="120"/>
      <c r="D78" s="120"/>
      <c r="E78" s="123"/>
      <c r="F78" s="123"/>
      <c r="G78" s="123"/>
      <c r="H78" s="123"/>
      <c r="I78" s="123"/>
      <c r="J78" s="123"/>
      <c r="K78" s="123"/>
      <c r="L78" s="123"/>
    </row>
  </sheetData>
  <mergeCells count="5">
    <mergeCell ref="B1:Q1"/>
    <mergeCell ref="T44:U44"/>
    <mergeCell ref="K47:L47"/>
    <mergeCell ref="D53:E53"/>
    <mergeCell ref="G53:H53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2BF1-3ACD-48DB-A1FC-AD5F188AB456}">
  <dimension ref="A1:XFD78"/>
  <sheetViews>
    <sheetView workbookViewId="0">
      <pane ySplit="2" topLeftCell="F25" activePane="bottomLeft" state="frozen"/>
      <selection pane="bottomLeft" activeCell="D24" sqref="D24"/>
    </sheetView>
  </sheetViews>
  <sheetFormatPr defaultColWidth="15.85546875" defaultRowHeight="15"/>
  <cols>
    <col min="1" max="1" width="22" customWidth="1"/>
    <col min="2" max="2" width="14.85546875" customWidth="1"/>
    <col min="3" max="3" width="16.85546875" customWidth="1"/>
    <col min="4" max="4" width="10.85546875" customWidth="1"/>
    <col min="5" max="5" width="14.28515625" customWidth="1"/>
    <col min="6" max="7" width="10.85546875" customWidth="1"/>
    <col min="8" max="8" width="13.140625" customWidth="1"/>
    <col min="9" max="10" width="10.85546875" customWidth="1"/>
    <col min="11" max="11" width="17.85546875" customWidth="1"/>
    <col min="12" max="16" width="10.85546875" customWidth="1"/>
    <col min="17" max="17" width="12.28515625" customWidth="1"/>
    <col min="18" max="18" width="11.28515625" customWidth="1"/>
    <col min="19" max="19" width="25.28515625" bestFit="1" customWidth="1"/>
    <col min="20" max="20" width="22.5703125" bestFit="1" customWidth="1"/>
    <col min="21" max="21" width="25.28515625" bestFit="1" customWidth="1"/>
  </cols>
  <sheetData>
    <row r="1" spans="1:22">
      <c r="A1" s="81"/>
      <c r="B1" s="519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</row>
    <row r="2" spans="1:22">
      <c r="A2" s="8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</row>
    <row r="3" spans="1:22">
      <c r="A3" s="83">
        <v>45962</v>
      </c>
      <c r="B3" s="36">
        <f>_xlfn.XLOOKUP(A3,'steel Mint data'!A:A,'steel Mint data'!B:B,"",0)</f>
        <v>42300</v>
      </c>
      <c r="C3" s="36"/>
      <c r="D3" s="36"/>
      <c r="E3" s="36">
        <f>_xlfn.XLOOKUP(A3,'steel Mint data'!A:A,'steel Mint data'!D:D,"",0)</f>
        <v>41500</v>
      </c>
      <c r="F3" s="36">
        <f>_xlfn.XLOOKUP(A3,'steel Mint data'!A:A,'steel Mint data'!E:E,"",0)</f>
        <v>38000</v>
      </c>
      <c r="G3" s="36"/>
      <c r="H3" s="36"/>
      <c r="I3" s="36">
        <f>_xlfn.XLOOKUP(A3,'steel Mint data'!A:A,'steel Mint data'!I:I,"",0)</f>
        <v>40900</v>
      </c>
      <c r="J3" s="36"/>
      <c r="K3" s="36">
        <f>_xlfn.XLOOKUP(A3,'steel Mint data'!A:A,'steel Mint data'!L:L,"",0)</f>
        <v>43300</v>
      </c>
      <c r="L3" s="36"/>
      <c r="M3" s="36"/>
      <c r="N3" s="36"/>
      <c r="O3" s="36"/>
      <c r="P3" s="37">
        <f>_xlfn.XLOOKUP(A3,'steel Mint data'!A:A,'steel Mint data'!Q:Q,"",0)</f>
        <v>38500</v>
      </c>
      <c r="Q3" s="36">
        <f>_xlfn.XLOOKUP(A3,'steel Mint data'!A:A,'steel Mint data'!R:R,"",0)</f>
        <v>38400</v>
      </c>
    </row>
    <row r="4" spans="1:22">
      <c r="A4" s="83">
        <v>45963</v>
      </c>
      <c r="B4" s="36" t="str">
        <f>_xlfn.XLOOKUP(A4,'steel Mint data'!A:A,'steel Mint data'!B:B,"",0)</f>
        <v>H</v>
      </c>
      <c r="C4" s="36"/>
      <c r="D4" s="36"/>
      <c r="E4" s="36" t="str">
        <f>_xlfn.XLOOKUP(A4,'steel Mint data'!A:A,'steel Mint data'!D:D,"",0)</f>
        <v>H</v>
      </c>
      <c r="F4" s="36" t="str">
        <f>_xlfn.XLOOKUP(A4,'steel Mint data'!A:A,'steel Mint data'!E:E,"",0)</f>
        <v>H</v>
      </c>
      <c r="G4" s="36"/>
      <c r="H4" s="36"/>
      <c r="I4" s="36" t="str">
        <f>_xlfn.XLOOKUP(A4,'steel Mint data'!A:A,'steel Mint data'!I:I,"",0)</f>
        <v>H</v>
      </c>
      <c r="J4" s="36"/>
      <c r="K4" s="36" t="str">
        <f>_xlfn.XLOOKUP(A4,'steel Mint data'!A:A,'steel Mint data'!L:L,"",0)</f>
        <v>H</v>
      </c>
      <c r="L4" s="36"/>
      <c r="M4" s="36"/>
      <c r="N4" s="36"/>
      <c r="O4" s="36"/>
      <c r="P4" s="37" t="str">
        <f>_xlfn.XLOOKUP(A4,'steel Mint data'!A:A,'steel Mint data'!Q:Q,"",0)</f>
        <v>H</v>
      </c>
      <c r="Q4" s="36" t="str">
        <f>_xlfn.XLOOKUP(A4,'steel Mint data'!A:A,'steel Mint data'!R:R,"",0)</f>
        <v>H</v>
      </c>
    </row>
    <row r="5" spans="1:22">
      <c r="A5" s="83">
        <v>45964</v>
      </c>
      <c r="B5" s="36">
        <f>_xlfn.XLOOKUP(A5,'steel Mint data'!A:A,'steel Mint data'!B:B,"",0)</f>
        <v>42300</v>
      </c>
      <c r="C5" s="36"/>
      <c r="D5" s="36"/>
      <c r="E5" s="36">
        <f>_xlfn.XLOOKUP(A5,'steel Mint data'!A:A,'steel Mint data'!D:D,"",0)</f>
        <v>41200</v>
      </c>
      <c r="F5" s="36">
        <f>_xlfn.XLOOKUP(A5,'steel Mint data'!A:A,'steel Mint data'!E:E,"",0)</f>
        <v>37800</v>
      </c>
      <c r="G5" s="36"/>
      <c r="H5" s="36"/>
      <c r="I5" s="36">
        <f>_xlfn.XLOOKUP(A5,'steel Mint data'!A:A,'steel Mint data'!I:I,"",0)</f>
        <v>40700</v>
      </c>
      <c r="J5" s="36"/>
      <c r="K5" s="36">
        <f>_xlfn.XLOOKUP(A5,'steel Mint data'!A:A,'steel Mint data'!L:L,"",0)</f>
        <v>43100</v>
      </c>
      <c r="L5" s="36"/>
      <c r="M5" s="36"/>
      <c r="N5" s="36"/>
      <c r="O5" s="36"/>
      <c r="P5" s="37">
        <f>_xlfn.XLOOKUP(A5,'steel Mint data'!A:A,'steel Mint data'!Q:Q,"",0)</f>
        <v>38200</v>
      </c>
      <c r="Q5" s="36">
        <f>_xlfn.XLOOKUP(A5,'steel Mint data'!A:A,'steel Mint data'!R:R,"",0)</f>
        <v>38200</v>
      </c>
      <c r="T5" s="27"/>
      <c r="U5" s="27"/>
      <c r="V5" s="27"/>
    </row>
    <row r="6" spans="1:22">
      <c r="A6" s="83">
        <v>45965</v>
      </c>
      <c r="B6" s="36">
        <f>_xlfn.XLOOKUP(A6,'steel Mint data'!A:A,'steel Mint data'!B:B,"",0)</f>
        <v>42300</v>
      </c>
      <c r="C6" s="36"/>
      <c r="D6" s="36"/>
      <c r="E6" s="36">
        <f>_xlfn.XLOOKUP(A6,'steel Mint data'!A:A,'steel Mint data'!D:D,"",0)</f>
        <v>41400</v>
      </c>
      <c r="F6" s="36">
        <f>_xlfn.XLOOKUP(A6,'steel Mint data'!A:A,'steel Mint data'!E:E,"",0)</f>
        <v>38000</v>
      </c>
      <c r="G6" s="36"/>
      <c r="H6" s="36"/>
      <c r="I6" s="36">
        <f>_xlfn.XLOOKUP(A6,'steel Mint data'!A:A,'steel Mint data'!I:I,"",0)</f>
        <v>40800</v>
      </c>
      <c r="J6" s="36"/>
      <c r="K6" s="36">
        <f>_xlfn.XLOOKUP(A6,'steel Mint data'!A:A,'steel Mint data'!L:L,"",0)</f>
        <v>43300</v>
      </c>
      <c r="L6" s="36"/>
      <c r="M6" s="36"/>
      <c r="N6" s="36"/>
      <c r="O6" s="36"/>
      <c r="P6" s="37">
        <f>_xlfn.XLOOKUP(A6,'steel Mint data'!A:A,'steel Mint data'!Q:Q,"",0)</f>
        <v>38200</v>
      </c>
      <c r="Q6" s="36">
        <f>_xlfn.XLOOKUP(A6,'steel Mint data'!A:A,'steel Mint data'!R:R,"",0)</f>
        <v>38200</v>
      </c>
      <c r="T6" s="27"/>
      <c r="U6" s="27"/>
      <c r="V6" s="27"/>
    </row>
    <row r="7" spans="1:22">
      <c r="A7" s="83">
        <v>45966</v>
      </c>
      <c r="B7" s="36">
        <f>_xlfn.XLOOKUP(A7,'steel Mint data'!A:A,'steel Mint data'!B:B,"",0)</f>
        <v>42300</v>
      </c>
      <c r="C7" s="36"/>
      <c r="D7" s="36"/>
      <c r="E7" s="36">
        <f>_xlfn.XLOOKUP(A7,'steel Mint data'!A:A,'steel Mint data'!D:D,"",0)</f>
        <v>41400</v>
      </c>
      <c r="F7" s="36">
        <f>_xlfn.XLOOKUP(A7,'steel Mint data'!A:A,'steel Mint data'!E:E,"",0)</f>
        <v>37800</v>
      </c>
      <c r="G7" s="36"/>
      <c r="H7" s="36"/>
      <c r="I7" s="36">
        <f>_xlfn.XLOOKUP(A7,'steel Mint data'!A:A,'steel Mint data'!I:I,"",0)</f>
        <v>40700</v>
      </c>
      <c r="J7" s="36"/>
      <c r="K7" s="36">
        <f>_xlfn.XLOOKUP(A7,'steel Mint data'!A:A,'steel Mint data'!L:L,"",0)</f>
        <v>43300</v>
      </c>
      <c r="L7" s="36"/>
      <c r="M7" s="36"/>
      <c r="N7" s="36"/>
      <c r="O7" s="36"/>
      <c r="P7" s="37">
        <f>_xlfn.XLOOKUP(A7,'steel Mint data'!A:A,'steel Mint data'!Q:Q,"",0)</f>
        <v>38000</v>
      </c>
      <c r="Q7" s="36">
        <f>_xlfn.XLOOKUP(A7,'steel Mint data'!A:A,'steel Mint data'!R:R,"",0)</f>
        <v>38200</v>
      </c>
      <c r="T7" s="27"/>
      <c r="U7" s="27"/>
      <c r="V7" s="27"/>
    </row>
    <row r="8" spans="1:22">
      <c r="A8" s="83">
        <v>45967</v>
      </c>
      <c r="B8" s="36">
        <f>_xlfn.XLOOKUP(A8,'steel Mint data'!A:A,'steel Mint data'!B:B,"",0)</f>
        <v>42200</v>
      </c>
      <c r="C8" s="36"/>
      <c r="D8" s="36"/>
      <c r="E8" s="36">
        <f>_xlfn.XLOOKUP(A8,'steel Mint data'!A:A,'steel Mint data'!D:D,"",0)</f>
        <v>41400</v>
      </c>
      <c r="F8" s="36">
        <f>_xlfn.XLOOKUP(A8,'steel Mint data'!A:A,'steel Mint data'!E:E,"",0)</f>
        <v>37800</v>
      </c>
      <c r="G8" s="36"/>
      <c r="H8" s="36"/>
      <c r="I8" s="36">
        <f>_xlfn.XLOOKUP(A8,'steel Mint data'!A:A,'steel Mint data'!I:I,"",0)</f>
        <v>40800</v>
      </c>
      <c r="J8" s="36"/>
      <c r="K8" s="36">
        <f>_xlfn.XLOOKUP(A8,'steel Mint data'!A:A,'steel Mint data'!L:L,"",0)</f>
        <v>43200</v>
      </c>
      <c r="L8" s="36"/>
      <c r="M8" s="36"/>
      <c r="N8" s="36"/>
      <c r="O8" s="36"/>
      <c r="P8" s="37">
        <f>_xlfn.XLOOKUP(A8,'steel Mint data'!A:A,'steel Mint data'!Q:Q,"",0)</f>
        <v>37800</v>
      </c>
      <c r="Q8" s="36">
        <f>_xlfn.XLOOKUP(A8,'steel Mint data'!A:A,'steel Mint data'!R:R,"",0)</f>
        <v>38200</v>
      </c>
      <c r="T8" s="27"/>
      <c r="U8" s="27"/>
      <c r="V8" s="27"/>
    </row>
    <row r="9" spans="1:22">
      <c r="A9" s="83">
        <v>45968</v>
      </c>
      <c r="B9" s="36">
        <f>_xlfn.XLOOKUP(A9,'steel Mint data'!A:A,'steel Mint data'!B:B,"",0)</f>
        <v>42000</v>
      </c>
      <c r="C9" s="36"/>
      <c r="D9" s="36"/>
      <c r="E9" s="36">
        <f>_xlfn.XLOOKUP(A9,'steel Mint data'!A:A,'steel Mint data'!D:D,"",0)</f>
        <v>41300</v>
      </c>
      <c r="F9" s="36">
        <f>_xlfn.XLOOKUP(A9,'steel Mint data'!A:A,'steel Mint data'!E:E,"",0)</f>
        <v>37800</v>
      </c>
      <c r="G9" s="36"/>
      <c r="H9" s="36"/>
      <c r="I9" s="36">
        <f>_xlfn.XLOOKUP(A9,'steel Mint data'!A:A,'steel Mint data'!I:I,"",0)</f>
        <v>40700</v>
      </c>
      <c r="J9" s="36"/>
      <c r="K9" s="36">
        <f>_xlfn.XLOOKUP(A9,'steel Mint data'!A:A,'steel Mint data'!L:L,"",0)</f>
        <v>43200</v>
      </c>
      <c r="L9" s="36"/>
      <c r="M9" s="36"/>
      <c r="N9" s="36"/>
      <c r="O9" s="36"/>
      <c r="P9" s="37">
        <f>_xlfn.XLOOKUP(A9,'steel Mint data'!A:A,'steel Mint data'!Q:Q,"",0)</f>
        <v>37600</v>
      </c>
      <c r="Q9" s="36">
        <f>_xlfn.XLOOKUP(A9,'steel Mint data'!A:A,'steel Mint data'!R:R,"",0)</f>
        <v>38000</v>
      </c>
      <c r="R9" s="33"/>
      <c r="T9" s="27"/>
      <c r="U9" s="27"/>
      <c r="V9" s="27"/>
    </row>
    <row r="10" spans="1:22">
      <c r="A10" s="83">
        <v>45969</v>
      </c>
      <c r="B10" s="36">
        <f>_xlfn.XLOOKUP(A10,'steel Mint data'!A:A,'steel Mint data'!B:B,"",0)</f>
        <v>42000</v>
      </c>
      <c r="C10" s="36"/>
      <c r="D10" s="36"/>
      <c r="E10" s="36">
        <f>_xlfn.XLOOKUP(A10,'steel Mint data'!A:A,'steel Mint data'!D:D,"",0)</f>
        <v>41200</v>
      </c>
      <c r="F10" s="36">
        <f>_xlfn.XLOOKUP(A10,'steel Mint data'!A:A,'steel Mint data'!E:E,"",0)</f>
        <v>37700</v>
      </c>
      <c r="G10" s="36"/>
      <c r="H10" s="36"/>
      <c r="I10" s="36">
        <f>_xlfn.XLOOKUP(A10,'steel Mint data'!A:A,'steel Mint data'!I:I,"",0)</f>
        <v>40500</v>
      </c>
      <c r="J10" s="36"/>
      <c r="K10" s="36">
        <f>_xlfn.XLOOKUP(A10,'steel Mint data'!A:A,'steel Mint data'!L:L,"",0)</f>
        <v>43100</v>
      </c>
      <c r="L10" s="36"/>
      <c r="M10" s="36"/>
      <c r="N10" s="36"/>
      <c r="O10" s="36"/>
      <c r="P10" s="37">
        <f>_xlfn.XLOOKUP(A10,'steel Mint data'!A:A,'steel Mint data'!Q:Q,"",0)</f>
        <v>37600</v>
      </c>
      <c r="Q10" s="36">
        <f>_xlfn.XLOOKUP(A10,'steel Mint data'!A:A,'steel Mint data'!R:R,"",0)</f>
        <v>38000</v>
      </c>
      <c r="R10" s="33"/>
    </row>
    <row r="11" spans="1:22">
      <c r="A11" s="83">
        <v>45970</v>
      </c>
      <c r="B11" s="36" t="str">
        <f>_xlfn.XLOOKUP(A11,'steel Mint data'!A:A,'steel Mint data'!B:B,"",0)</f>
        <v>H</v>
      </c>
      <c r="C11" s="36"/>
      <c r="D11" s="36"/>
      <c r="E11" s="36" t="str">
        <f>_xlfn.XLOOKUP(A11,'steel Mint data'!A:A,'steel Mint data'!D:D,"",0)</f>
        <v>H</v>
      </c>
      <c r="F11" s="36" t="str">
        <f>_xlfn.XLOOKUP(A11,'steel Mint data'!A:A,'steel Mint data'!E:E,"",0)</f>
        <v>H</v>
      </c>
      <c r="G11" s="36"/>
      <c r="H11" s="36"/>
      <c r="I11" s="36" t="str">
        <f>_xlfn.XLOOKUP(A11,'steel Mint data'!A:A,'steel Mint data'!I:I,"",0)</f>
        <v>H</v>
      </c>
      <c r="J11" s="36"/>
      <c r="K11" s="36" t="str">
        <f>_xlfn.XLOOKUP(A11,'steel Mint data'!A:A,'steel Mint data'!L:L,"",0)</f>
        <v>H</v>
      </c>
      <c r="L11" s="36"/>
      <c r="M11" s="36"/>
      <c r="N11" s="36"/>
      <c r="O11" s="36"/>
      <c r="P11" s="37" t="str">
        <f>_xlfn.XLOOKUP(A11,'steel Mint data'!A:A,'steel Mint data'!Q:Q,"",0)</f>
        <v>H</v>
      </c>
      <c r="Q11" s="36" t="str">
        <f>_xlfn.XLOOKUP(A11,'steel Mint data'!A:A,'steel Mint data'!R:R,"",0)</f>
        <v>H</v>
      </c>
    </row>
    <row r="12" spans="1:22">
      <c r="A12" s="83">
        <v>45971</v>
      </c>
      <c r="B12" s="36">
        <f>_xlfn.XLOOKUP(A12,'steel Mint data'!A:A,'steel Mint data'!B:B,"",0)</f>
        <v>41900</v>
      </c>
      <c r="C12" s="36"/>
      <c r="D12" s="36"/>
      <c r="E12" s="36">
        <f>_xlfn.XLOOKUP(A12,'steel Mint data'!A:A,'steel Mint data'!D:D,"",0)</f>
        <v>41000</v>
      </c>
      <c r="F12" s="36">
        <f>_xlfn.XLOOKUP(A12,'steel Mint data'!A:A,'steel Mint data'!E:E,"",0)</f>
        <v>37800</v>
      </c>
      <c r="G12" s="36"/>
      <c r="H12" s="36"/>
      <c r="I12" s="36">
        <f>_xlfn.XLOOKUP(A12,'steel Mint data'!A:A,'steel Mint data'!I:I,"",0)</f>
        <v>40500</v>
      </c>
      <c r="J12" s="36"/>
      <c r="K12" s="36">
        <f>_xlfn.XLOOKUP(A12,'steel Mint data'!A:A,'steel Mint data'!L:L,"",0)</f>
        <v>43100</v>
      </c>
      <c r="L12" s="36"/>
      <c r="M12" s="36"/>
      <c r="N12" s="36"/>
      <c r="O12" s="36"/>
      <c r="P12" s="37">
        <f>_xlfn.XLOOKUP(A12,'steel Mint data'!A:A,'steel Mint data'!Q:Q,"",0)</f>
        <v>37600</v>
      </c>
      <c r="Q12" s="36">
        <f>_xlfn.XLOOKUP(A12,'steel Mint data'!A:A,'steel Mint data'!R:R,"",0)</f>
        <v>37800</v>
      </c>
    </row>
    <row r="13" spans="1:22">
      <c r="A13" s="83">
        <v>45972</v>
      </c>
      <c r="B13" s="36">
        <f>_xlfn.XLOOKUP(A13,'steel Mint data'!A:A,'steel Mint data'!B:B,"",0)</f>
        <v>41900</v>
      </c>
      <c r="C13" s="36"/>
      <c r="D13" s="36"/>
      <c r="E13" s="36">
        <f>_xlfn.XLOOKUP(A13,'steel Mint data'!A:A,'steel Mint data'!D:D,"",0)</f>
        <v>41500</v>
      </c>
      <c r="F13" s="36">
        <f>_xlfn.XLOOKUP(A13,'steel Mint data'!A:A,'steel Mint data'!E:E,"",0)</f>
        <v>38100</v>
      </c>
      <c r="G13" s="36"/>
      <c r="H13" s="36"/>
      <c r="I13" s="36">
        <f>_xlfn.XLOOKUP(A13,'steel Mint data'!A:A,'steel Mint data'!I:I,"",0)</f>
        <v>40600</v>
      </c>
      <c r="J13" s="36"/>
      <c r="K13" s="36">
        <f>_xlfn.XLOOKUP(A13,'steel Mint data'!A:A,'steel Mint data'!L:L,"",0)</f>
        <v>43400</v>
      </c>
      <c r="L13" s="36"/>
      <c r="M13" s="36"/>
      <c r="N13" s="36"/>
      <c r="O13" s="36"/>
      <c r="P13" s="37">
        <f>_xlfn.XLOOKUP(A13,'steel Mint data'!A:A,'steel Mint data'!Q:Q,"",0)</f>
        <v>37800</v>
      </c>
      <c r="Q13" s="36">
        <f>_xlfn.XLOOKUP(A13,'steel Mint data'!A:A,'steel Mint data'!R:R,"",0)</f>
        <v>38000</v>
      </c>
      <c r="S13" s="33"/>
    </row>
    <row r="14" spans="1:22">
      <c r="A14" s="83">
        <v>45973</v>
      </c>
      <c r="B14" s="36">
        <f>_xlfn.XLOOKUP(A14,'steel Mint data'!A:A,'steel Mint data'!B:B,"",0)</f>
        <v>41900</v>
      </c>
      <c r="C14" s="36"/>
      <c r="D14" s="36"/>
      <c r="E14" s="36">
        <f>_xlfn.XLOOKUP(A14,'steel Mint data'!A:A,'steel Mint data'!D:D,"",0)</f>
        <v>41400</v>
      </c>
      <c r="F14" s="36">
        <f>_xlfn.XLOOKUP(A14,'steel Mint data'!A:A,'steel Mint data'!E:E,"",0)</f>
        <v>38000</v>
      </c>
      <c r="G14" s="36"/>
      <c r="H14" s="36"/>
      <c r="I14" s="36">
        <f>_xlfn.XLOOKUP(A14,'steel Mint data'!A:A,'steel Mint data'!I:I,"",0)</f>
        <v>40600</v>
      </c>
      <c r="J14" s="36"/>
      <c r="K14" s="36">
        <f>_xlfn.XLOOKUP(A14,'steel Mint data'!A:A,'steel Mint data'!L:L,"",0)</f>
        <v>43500</v>
      </c>
      <c r="L14" s="36"/>
      <c r="M14" s="36"/>
      <c r="N14" s="36"/>
      <c r="O14" s="36"/>
      <c r="P14" s="37">
        <f>_xlfn.XLOOKUP(A14,'steel Mint data'!A:A,'steel Mint data'!Q:Q,"",0)</f>
        <v>37700</v>
      </c>
      <c r="Q14" s="36">
        <f>_xlfn.XLOOKUP(A14,'steel Mint data'!A:A,'steel Mint data'!R:R,"",0)</f>
        <v>38000</v>
      </c>
      <c r="S14" s="33"/>
      <c r="T14" s="33"/>
    </row>
    <row r="15" spans="1:22">
      <c r="A15" s="83">
        <v>45974</v>
      </c>
      <c r="B15" s="36">
        <f>_xlfn.XLOOKUP(A15,'steel Mint data'!A:A,'steel Mint data'!B:B,"",0)</f>
        <v>42200</v>
      </c>
      <c r="C15" s="36"/>
      <c r="D15" s="36"/>
      <c r="E15" s="36">
        <f>_xlfn.XLOOKUP(A15,'steel Mint data'!A:A,'steel Mint data'!D:D,"",0)</f>
        <v>41600</v>
      </c>
      <c r="F15" s="36">
        <f>_xlfn.XLOOKUP(A15,'steel Mint data'!A:A,'steel Mint data'!E:E,"",0)</f>
        <v>38100</v>
      </c>
      <c r="G15" s="36"/>
      <c r="H15" s="36"/>
      <c r="I15" s="36">
        <f>_xlfn.XLOOKUP(A15,'steel Mint data'!A:A,'steel Mint data'!I:I,"",0)</f>
        <v>40900</v>
      </c>
      <c r="J15" s="36"/>
      <c r="K15" s="36">
        <f>_xlfn.XLOOKUP(A15,'steel Mint data'!A:A,'steel Mint data'!L:L,"",0)</f>
        <v>43600</v>
      </c>
      <c r="L15" s="36"/>
      <c r="M15" s="36"/>
      <c r="N15" s="36"/>
      <c r="O15" s="36"/>
      <c r="P15" s="37">
        <f>_xlfn.XLOOKUP(A15,'steel Mint data'!A:A,'steel Mint data'!Q:Q,"",0)</f>
        <v>38000</v>
      </c>
      <c r="Q15" s="36">
        <f>_xlfn.XLOOKUP(A15,'steel Mint data'!A:A,'steel Mint data'!R:R,"",0)</f>
        <v>38200</v>
      </c>
      <c r="R15" s="33"/>
      <c r="S15" s="33"/>
      <c r="T15" s="33"/>
    </row>
    <row r="16" spans="1:22">
      <c r="A16" s="83">
        <v>45975</v>
      </c>
      <c r="B16" s="36">
        <f>_xlfn.XLOOKUP(A16,'steel Mint data'!A:A,'steel Mint data'!B:B,"",0)</f>
        <v>42300</v>
      </c>
      <c r="C16" s="36"/>
      <c r="D16" s="36"/>
      <c r="E16" s="36">
        <f>_xlfn.XLOOKUP(A16,'steel Mint data'!A:A,'steel Mint data'!D:D,"",0)</f>
        <v>41800</v>
      </c>
      <c r="F16" s="36">
        <f>_xlfn.XLOOKUP(A16,'steel Mint data'!A:A,'steel Mint data'!E:E,"",0)</f>
        <v>38000</v>
      </c>
      <c r="G16" s="36"/>
      <c r="H16" s="36"/>
      <c r="I16" s="36">
        <f>_xlfn.XLOOKUP(A16,'steel Mint data'!A:A,'steel Mint data'!I:I,"",0)</f>
        <v>41000</v>
      </c>
      <c r="J16" s="36"/>
      <c r="K16" s="36">
        <f>_xlfn.XLOOKUP(A16,'steel Mint data'!A:A,'steel Mint data'!L:L,"",0)</f>
        <v>43700</v>
      </c>
      <c r="L16" s="36"/>
      <c r="M16" s="36"/>
      <c r="N16" s="36"/>
      <c r="O16" s="36"/>
      <c r="P16" s="37">
        <f>_xlfn.XLOOKUP(A16,'steel Mint data'!A:A,'steel Mint data'!Q:Q,"",0)</f>
        <v>38100</v>
      </c>
      <c r="Q16" s="36">
        <f>_xlfn.XLOOKUP(A16,'steel Mint data'!A:A,'steel Mint data'!R:R,"",0)</f>
        <v>38400</v>
      </c>
      <c r="R16" s="33"/>
      <c r="S16" s="33"/>
      <c r="T16" s="33"/>
    </row>
    <row r="17" spans="1:21">
      <c r="A17" s="83">
        <v>45976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36"/>
      <c r="S17" s="33"/>
    </row>
    <row r="18" spans="1:21">
      <c r="A18" s="83">
        <v>45977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7"/>
      <c r="Q18" s="36"/>
      <c r="S18" s="33"/>
      <c r="T18" s="33"/>
    </row>
    <row r="19" spans="1:21">
      <c r="A19" s="83"/>
      <c r="B19" s="15">
        <f>SUM(B3:B18)</f>
        <v>505600</v>
      </c>
      <c r="C19" s="14"/>
      <c r="D19" s="14"/>
      <c r="E19" s="15">
        <f>SUM(E3:E18)</f>
        <v>496700</v>
      </c>
      <c r="F19" s="15">
        <f>SUM(F3:F18)</f>
        <v>454900</v>
      </c>
      <c r="G19" s="14"/>
      <c r="H19" s="14"/>
      <c r="I19" s="15">
        <f>SUM(I3:I18)</f>
        <v>488700</v>
      </c>
      <c r="J19" s="14"/>
      <c r="K19" s="15">
        <f>SUM(K3:K18)</f>
        <v>519800</v>
      </c>
      <c r="L19" s="14"/>
      <c r="M19" s="14"/>
      <c r="N19" s="14"/>
      <c r="O19" s="14"/>
      <c r="P19" s="15">
        <f>SUM(P3:P18)</f>
        <v>455100</v>
      </c>
      <c r="Q19" s="15">
        <f>SUM(Q3:Q18)</f>
        <v>457600</v>
      </c>
      <c r="S19" s="33"/>
      <c r="T19" s="33"/>
    </row>
    <row r="20" spans="1:21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143</v>
      </c>
      <c r="H20" s="16" t="s">
        <v>39</v>
      </c>
      <c r="I20" s="16" t="s">
        <v>46</v>
      </c>
      <c r="J20" s="16" t="s">
        <v>126</v>
      </c>
      <c r="K20" s="14"/>
      <c r="L20" s="19"/>
      <c r="M20" s="19">
        <f>40100+H22+H23</f>
        <v>41170</v>
      </c>
      <c r="N20" s="19"/>
      <c r="O20" s="14"/>
      <c r="P20" s="14"/>
      <c r="Q20" s="14"/>
      <c r="S20" s="33"/>
      <c r="T20" s="33"/>
    </row>
    <row r="21" spans="1:21">
      <c r="A21" s="17" t="s">
        <v>25</v>
      </c>
      <c r="B21" s="18">
        <f>E19/O21</f>
        <v>41391.666666666664</v>
      </c>
      <c r="C21" s="18">
        <f>P19/O21</f>
        <v>37925</v>
      </c>
      <c r="D21" s="18">
        <f>K19/O21</f>
        <v>43316.666666666664</v>
      </c>
      <c r="E21" s="18">
        <f>Q19/O21</f>
        <v>38133.333333333336</v>
      </c>
      <c r="F21" s="18">
        <f>C21</f>
        <v>37925</v>
      </c>
      <c r="G21" s="18">
        <f>B21-800</f>
        <v>40591.666666666664</v>
      </c>
      <c r="H21" s="18">
        <f>I19/O21</f>
        <v>40725</v>
      </c>
      <c r="I21" s="18">
        <f>B19/(O21)</f>
        <v>42133.333333333336</v>
      </c>
      <c r="J21" s="18">
        <f>F19/O21</f>
        <v>37908.333333333336</v>
      </c>
      <c r="K21" s="19"/>
      <c r="L21" s="19"/>
      <c r="M21" s="146"/>
      <c r="N21" s="19"/>
      <c r="O21" s="20">
        <f>COUNT(P3:P18)</f>
        <v>12</v>
      </c>
      <c r="P21" s="21"/>
      <c r="Q21" s="19"/>
      <c r="R21" s="33"/>
      <c r="S21" s="33"/>
      <c r="T21" s="33"/>
    </row>
    <row r="22" spans="1:21">
      <c r="A22" s="17" t="s">
        <v>26</v>
      </c>
      <c r="B22" s="18">
        <v>1200</v>
      </c>
      <c r="C22" s="18">
        <v>2150</v>
      </c>
      <c r="D22" s="18">
        <v>400</v>
      </c>
      <c r="E22" s="18">
        <v>2200</v>
      </c>
      <c r="F22" s="18">
        <v>1800</v>
      </c>
      <c r="G22" s="18">
        <v>1200</v>
      </c>
      <c r="H22" s="18">
        <v>800</v>
      </c>
      <c r="I22" s="18">
        <v>0</v>
      </c>
      <c r="J22" s="18">
        <v>2000</v>
      </c>
      <c r="K22" s="69">
        <f>F24+3500</f>
        <v>43500</v>
      </c>
      <c r="L22" s="19"/>
      <c r="M22" s="146"/>
      <c r="N22" s="19"/>
      <c r="O22" s="48"/>
      <c r="P22" s="48"/>
      <c r="Q22" s="176"/>
      <c r="R22" s="49">
        <f>42800-G24</f>
        <v>808.33333333333576</v>
      </c>
      <c r="S22" s="49"/>
      <c r="T22" s="49"/>
    </row>
    <row r="23" spans="1:21">
      <c r="A23" s="17" t="s">
        <v>27</v>
      </c>
      <c r="B23" s="18">
        <v>200</v>
      </c>
      <c r="C23" s="18">
        <v>265</v>
      </c>
      <c r="D23" s="18">
        <v>250</v>
      </c>
      <c r="E23" s="18">
        <v>275</v>
      </c>
      <c r="F23" s="18">
        <v>275</v>
      </c>
      <c r="G23" s="18">
        <v>200</v>
      </c>
      <c r="H23" s="18">
        <v>270</v>
      </c>
      <c r="I23" s="18">
        <v>200</v>
      </c>
      <c r="J23" s="18">
        <v>270</v>
      </c>
      <c r="K23" s="69">
        <f>G24+1700</f>
        <v>43691.666666666664</v>
      </c>
      <c r="L23" s="19"/>
      <c r="M23" s="146">
        <f>45500-1225-D24</f>
        <v>308.33333333333576</v>
      </c>
      <c r="N23" s="48">
        <f>45500-1225</f>
        <v>44275</v>
      </c>
      <c r="O23" s="48"/>
      <c r="P23" s="48">
        <f>42400-1700-F24</f>
        <v>700</v>
      </c>
      <c r="Q23" s="48"/>
      <c r="R23" s="49"/>
      <c r="S23" s="48"/>
      <c r="T23" s="49"/>
    </row>
    <row r="24" spans="1:21" ht="19.5" customHeight="1">
      <c r="A24" s="22" t="s">
        <v>28</v>
      </c>
      <c r="B24" s="18">
        <f>SUM(B21:B23)</f>
        <v>42791.666666666664</v>
      </c>
      <c r="C24" s="18">
        <f>SUM(C21:C23)</f>
        <v>40340</v>
      </c>
      <c r="D24" s="18">
        <f>SUM(D21:D23)</f>
        <v>43966.666666666664</v>
      </c>
      <c r="E24" s="18">
        <f>SUM(E21:E23)</f>
        <v>40608.333333333336</v>
      </c>
      <c r="F24" s="18">
        <f>SUM(F21:F23)</f>
        <v>40000</v>
      </c>
      <c r="G24" s="18">
        <f>SUM(G21:G23)</f>
        <v>41991.666666666664</v>
      </c>
      <c r="H24" s="18">
        <f>SUM(H21:H23)</f>
        <v>41795</v>
      </c>
      <c r="I24" s="18">
        <f>SUM(I21:I23)</f>
        <v>42333.333333333336</v>
      </c>
      <c r="J24" s="18">
        <f>SUM(J21:J23)</f>
        <v>40178.333333333336</v>
      </c>
      <c r="K24" s="69"/>
      <c r="L24" s="19">
        <f>44500-B24-900</f>
        <v>808.33333333333576</v>
      </c>
      <c r="M24" s="69">
        <f>44500-4000-F24</f>
        <v>500</v>
      </c>
      <c r="N24" s="48"/>
      <c r="O24" s="48"/>
      <c r="P24" s="48"/>
      <c r="Q24" s="48"/>
      <c r="R24" s="49"/>
      <c r="S24" s="49"/>
      <c r="T24" s="49"/>
    </row>
    <row r="25" spans="1:21">
      <c r="A25" s="22" t="s">
        <v>29</v>
      </c>
      <c r="B25" s="18">
        <v>45100</v>
      </c>
      <c r="C25" s="18">
        <v>42315</v>
      </c>
      <c r="D25" s="18">
        <v>46150</v>
      </c>
      <c r="E25" s="23"/>
      <c r="F25" s="18">
        <v>41975</v>
      </c>
      <c r="G25" s="18">
        <v>44300</v>
      </c>
      <c r="H25" s="18"/>
      <c r="I25" s="18">
        <v>44300</v>
      </c>
      <c r="J25" s="18">
        <v>42470</v>
      </c>
      <c r="K25" s="48">
        <f>45000-3800-F24</f>
        <v>1200</v>
      </c>
      <c r="L25" s="19">
        <f>41700-F24</f>
        <v>1700</v>
      </c>
      <c r="M25" s="69">
        <f>43400-525-F24</f>
        <v>2875</v>
      </c>
      <c r="N25" s="174">
        <f>41700-F24</f>
        <v>1700</v>
      </c>
      <c r="O25" s="48"/>
      <c r="P25" s="48">
        <f>43550-900-B24</f>
        <v>-141.66666666666424</v>
      </c>
      <c r="R25" s="49"/>
      <c r="S25" s="49"/>
      <c r="T25" s="49"/>
    </row>
    <row r="26" spans="1:21">
      <c r="A26" s="22" t="s">
        <v>30</v>
      </c>
      <c r="B26" s="18">
        <f>B24-B25</f>
        <v>-2308.3333333333358</v>
      </c>
      <c r="C26" s="18">
        <f>C24-C25</f>
        <v>-1975</v>
      </c>
      <c r="D26" s="18">
        <f>D24-D25</f>
        <v>-2183.3333333333358</v>
      </c>
      <c r="E26" s="18">
        <f>E24-E25</f>
        <v>40608.333333333336</v>
      </c>
      <c r="F26" s="18">
        <f>F24-F25</f>
        <v>-1975</v>
      </c>
      <c r="G26" s="18">
        <f>G24-G25</f>
        <v>-2308.3333333333358</v>
      </c>
      <c r="H26" s="18">
        <f>H24-H25</f>
        <v>41795</v>
      </c>
      <c r="I26" s="18">
        <f>I24-I25</f>
        <v>-1966.6666666666642</v>
      </c>
      <c r="J26" s="18">
        <f>J24-J25</f>
        <v>-2291.6666666666642</v>
      </c>
      <c r="K26" s="48"/>
      <c r="L26" s="19">
        <f>43500-2100</f>
        <v>41400</v>
      </c>
      <c r="M26" s="69"/>
      <c r="N26" s="174"/>
      <c r="O26" s="48">
        <f>45000-3150-F24</f>
        <v>1850</v>
      </c>
      <c r="P26" s="48"/>
      <c r="Q26" s="48">
        <f>44000-2900-F24</f>
        <v>1100</v>
      </c>
      <c r="R26" s="49">
        <f>44500-3500-F24</f>
        <v>1000</v>
      </c>
      <c r="S26" s="49"/>
      <c r="T26" s="49"/>
    </row>
    <row r="27" spans="1:21">
      <c r="A27" s="14"/>
      <c r="B27" s="19">
        <f>B25-2500</f>
        <v>42600</v>
      </c>
      <c r="C27" s="14"/>
      <c r="D27" s="14"/>
      <c r="E27" s="14"/>
      <c r="F27" s="14"/>
      <c r="G27" s="19">
        <f>G25-2500</f>
        <v>41800</v>
      </c>
      <c r="H27" s="14"/>
      <c r="I27" s="14"/>
      <c r="J27" s="14"/>
      <c r="K27" s="48"/>
      <c r="L27" s="19"/>
      <c r="M27" s="69">
        <f>43800-1000-G24</f>
        <v>808.33333333333576</v>
      </c>
      <c r="N27" s="174">
        <f>45000-1300-1000-G24</f>
        <v>708.33333333333576</v>
      </c>
      <c r="O27" s="48"/>
      <c r="P27" s="48">
        <f>44000-4000-F24</f>
        <v>0</v>
      </c>
      <c r="Q27" s="48">
        <f>46250-2400-1000-G24</f>
        <v>858.33333333333576</v>
      </c>
      <c r="R27" s="49"/>
      <c r="S27" s="49"/>
      <c r="T27" s="49"/>
    </row>
    <row r="28" spans="1:21">
      <c r="A28" s="22" t="s">
        <v>31</v>
      </c>
      <c r="B28" s="23">
        <v>48300</v>
      </c>
      <c r="C28" s="23">
        <v>45550</v>
      </c>
      <c r="D28" s="18">
        <v>48800</v>
      </c>
      <c r="E28" s="18">
        <v>45550</v>
      </c>
      <c r="F28" s="18">
        <v>45550</v>
      </c>
      <c r="G28" s="18">
        <v>47500</v>
      </c>
      <c r="H28" s="18">
        <v>47800</v>
      </c>
      <c r="I28" s="18">
        <v>48300</v>
      </c>
      <c r="J28" s="18"/>
      <c r="K28" s="48"/>
      <c r="L28" s="48">
        <f>40500+3600</f>
        <v>44100</v>
      </c>
      <c r="M28" s="69"/>
      <c r="N28" s="48"/>
      <c r="O28" s="48"/>
      <c r="P28" s="48"/>
      <c r="Q28" s="48"/>
      <c r="R28" s="49"/>
      <c r="S28" s="49"/>
      <c r="T28" s="49"/>
    </row>
    <row r="29" spans="1:21">
      <c r="A29" s="22" t="s">
        <v>32</v>
      </c>
      <c r="B29" s="26">
        <f>B28-500-(200+300+300)-250-400</f>
        <v>46350</v>
      </c>
      <c r="C29" s="26">
        <f>C28-500-(200+300+300)-250-400</f>
        <v>43600</v>
      </c>
      <c r="D29" s="26">
        <f>D28-500-(200+300+300)-250-400</f>
        <v>46850</v>
      </c>
      <c r="E29" s="26">
        <f>E28-500-(200+300+300)-250-400</f>
        <v>43600</v>
      </c>
      <c r="F29" s="26">
        <f>F28-500-(200+300+300)-250-400</f>
        <v>43600</v>
      </c>
      <c r="G29" s="26">
        <f>G28-500-(200+300+300)-250-400</f>
        <v>45550</v>
      </c>
      <c r="H29" s="26">
        <f>H28-500-(200+300+300)-250-400</f>
        <v>45850</v>
      </c>
      <c r="I29" s="26">
        <f>I28-500-(200+300+300)-250-400</f>
        <v>46350</v>
      </c>
      <c r="J29" s="26"/>
      <c r="K29" s="48">
        <f>44900-3800-F24</f>
        <v>1100</v>
      </c>
      <c r="L29" s="48"/>
      <c r="M29" s="48">
        <f>43000-500-1000-F24</f>
        <v>1500</v>
      </c>
      <c r="N29" s="48">
        <f>43500-800-B24</f>
        <v>-91.666666666664241</v>
      </c>
      <c r="O29" s="48">
        <f>43500-2700-F24</f>
        <v>800</v>
      </c>
      <c r="P29" s="48"/>
      <c r="Q29" s="48">
        <f>44500-3500-F24</f>
        <v>1000</v>
      </c>
      <c r="R29" s="49"/>
      <c r="S29" s="49"/>
      <c r="T29" s="49"/>
    </row>
    <row r="30" spans="1:21">
      <c r="A30" s="25" t="s">
        <v>33</v>
      </c>
      <c r="B30" s="18">
        <f>B29-B24</f>
        <v>3558.3333333333358</v>
      </c>
      <c r="C30" s="18">
        <f>C29-C24</f>
        <v>3260</v>
      </c>
      <c r="D30" s="18">
        <f>D29-D24</f>
        <v>2883.3333333333358</v>
      </c>
      <c r="E30" s="18">
        <f>E29-E24</f>
        <v>2991.6666666666642</v>
      </c>
      <c r="F30" s="18">
        <f>F29-F24</f>
        <v>3600</v>
      </c>
      <c r="G30" s="18">
        <f>G29-G24</f>
        <v>3558.3333333333358</v>
      </c>
      <c r="H30" s="18">
        <f>H29-H24</f>
        <v>4055</v>
      </c>
      <c r="I30" s="18">
        <f>I29-I24</f>
        <v>4016.6666666666642</v>
      </c>
      <c r="J30" s="18"/>
      <c r="K30" s="48"/>
      <c r="L30" s="48">
        <f>45000-3500-F24</f>
        <v>1500</v>
      </c>
      <c r="M30" s="48"/>
      <c r="N30" s="48">
        <f>44800-1000-1000-I24</f>
        <v>466.66666666666424</v>
      </c>
      <c r="O30" s="48"/>
      <c r="P30" s="48">
        <f>44700-1600-B24</f>
        <v>308.33333333333576</v>
      </c>
      <c r="Q30" s="48">
        <f>44700-3800-F24</f>
        <v>900</v>
      </c>
      <c r="R30" s="49"/>
      <c r="S30" s="49"/>
      <c r="T30" s="49"/>
      <c r="U30" s="33"/>
    </row>
    <row r="31" spans="1:21">
      <c r="I31" s="33"/>
      <c r="J31" s="49"/>
      <c r="K31" s="48"/>
      <c r="L31" s="48"/>
      <c r="M31" s="48">
        <f>44700-2700-1000-F24</f>
        <v>1000</v>
      </c>
      <c r="N31" s="48"/>
      <c r="O31" s="48">
        <f>45000-1300-1000-G24</f>
        <v>708.33333333333576</v>
      </c>
      <c r="P31" s="48"/>
      <c r="Q31" s="49"/>
      <c r="R31" s="49"/>
      <c r="S31" s="49"/>
      <c r="T31" s="49"/>
      <c r="U31" s="33"/>
    </row>
    <row r="32" spans="1:21">
      <c r="A32" t="s">
        <v>141</v>
      </c>
      <c r="B32" s="33">
        <v>43250</v>
      </c>
      <c r="C32" s="33">
        <v>41500</v>
      </c>
      <c r="D32" s="33">
        <v>44250</v>
      </c>
      <c r="E32" s="33"/>
      <c r="F32" s="33"/>
      <c r="G32" s="33">
        <v>42750</v>
      </c>
      <c r="I32" s="33"/>
      <c r="J32" s="49"/>
      <c r="K32" s="49"/>
      <c r="L32" s="49">
        <f>44800+3500+600</f>
        <v>48900</v>
      </c>
      <c r="M32" s="48">
        <f>42000-1000-F24</f>
        <v>1000</v>
      </c>
      <c r="N32" s="49"/>
      <c r="O32" s="48"/>
      <c r="P32" s="49"/>
      <c r="Q32" s="49">
        <f>45850-1600-D24</f>
        <v>283.33333333333576</v>
      </c>
      <c r="R32" s="49"/>
      <c r="S32" s="49"/>
      <c r="T32" s="49"/>
    </row>
    <row r="33" spans="1:21 16384:16384" ht="22.5" customHeight="1">
      <c r="A33" t="s">
        <v>144</v>
      </c>
      <c r="B33" s="33"/>
      <c r="C33" s="33">
        <f>44300-750</f>
        <v>43550</v>
      </c>
      <c r="D33" s="33">
        <f>C33-2200-C24</f>
        <v>1010</v>
      </c>
      <c r="E33" s="104"/>
      <c r="F33" s="33"/>
      <c r="G33" s="33">
        <v>44000</v>
      </c>
      <c r="H33" s="33"/>
      <c r="I33" s="33">
        <v>44000</v>
      </c>
      <c r="J33" s="49">
        <f>45550+600</f>
        <v>46150</v>
      </c>
      <c r="K33" s="48"/>
      <c r="L33" s="49"/>
      <c r="M33" s="48"/>
      <c r="N33" s="49">
        <f>43700+1950</f>
        <v>45650</v>
      </c>
      <c r="O33" s="48"/>
      <c r="P33" s="49">
        <f>44500-1000-B24</f>
        <v>708.33333333333576</v>
      </c>
      <c r="Q33" s="49"/>
      <c r="R33" s="49"/>
      <c r="S33" s="49"/>
      <c r="T33" s="49"/>
      <c r="XFD33" s="96" t="s">
        <v>68</v>
      </c>
    </row>
    <row r="34" spans="1:21 16384:16384" ht="15.75">
      <c r="C34" s="33">
        <f>44300-2200-C24</f>
        <v>1760</v>
      </c>
      <c r="D34" s="33"/>
      <c r="F34" s="33"/>
      <c r="G34" s="33"/>
      <c r="H34" s="33"/>
      <c r="J34" s="49">
        <f>J33-4000-I24-1000</f>
        <v>-1183.3333333333358</v>
      </c>
      <c r="K34" s="125"/>
      <c r="L34" s="125"/>
      <c r="M34" s="48"/>
      <c r="N34" s="125"/>
      <c r="O34" s="125"/>
      <c r="P34" s="106"/>
      <c r="Q34" s="128"/>
      <c r="R34" s="49"/>
      <c r="S34" s="49"/>
      <c r="T34" s="49"/>
      <c r="XFD34" s="97">
        <v>43500</v>
      </c>
    </row>
    <row r="35" spans="1:21 16384:16384" ht="15.75">
      <c r="A35" t="s">
        <v>72</v>
      </c>
      <c r="B35" s="33">
        <f>B32-B24-1000</f>
        <v>-541.66666666666424</v>
      </c>
      <c r="C35" s="33">
        <f>C32-C24-700</f>
        <v>460</v>
      </c>
      <c r="D35" s="33">
        <f>D32-D24-500</f>
        <v>-216.66666666666424</v>
      </c>
      <c r="E35" s="33"/>
      <c r="F35" s="33"/>
      <c r="G35" s="33">
        <f>G32-G24-1000</f>
        <v>-241.66666666666424</v>
      </c>
      <c r="H35" s="124"/>
      <c r="I35" s="33">
        <f>I33-I24-500-1000</f>
        <v>166.66666666666424</v>
      </c>
      <c r="J35" s="49"/>
      <c r="K35" s="106"/>
      <c r="L35" s="125"/>
      <c r="M35" s="48"/>
      <c r="N35" s="125"/>
      <c r="O35" s="125">
        <f>43750-2200-F24</f>
        <v>1550</v>
      </c>
      <c r="P35" s="125"/>
      <c r="Q35" s="106"/>
      <c r="R35" s="49"/>
      <c r="S35" s="49"/>
      <c r="T35" s="49"/>
      <c r="XFD35" s="97">
        <v>44000</v>
      </c>
    </row>
    <row r="36" spans="1:21 16384:16384" ht="15.75">
      <c r="D36" s="33"/>
      <c r="E36" s="33">
        <f>43200-1700-C24</f>
        <v>1160</v>
      </c>
      <c r="F36" s="112"/>
      <c r="G36" s="218"/>
      <c r="H36" s="33"/>
      <c r="I36" s="33"/>
      <c r="J36" s="49"/>
      <c r="K36" s="125"/>
      <c r="L36" s="125"/>
      <c r="M36" s="145"/>
      <c r="N36" s="106"/>
      <c r="O36" s="125"/>
      <c r="P36" s="125"/>
      <c r="Q36" s="106"/>
      <c r="R36" s="49"/>
      <c r="S36" s="49"/>
      <c r="T36" s="49"/>
      <c r="XFD36" s="97">
        <v>43500</v>
      </c>
    </row>
    <row r="37" spans="1:21 16384:16384" ht="15.75">
      <c r="D37" s="33">
        <f>45500-1225-D24</f>
        <v>308.33333333333576</v>
      </c>
      <c r="F37" s="113"/>
      <c r="G37" s="170"/>
      <c r="H37" s="167"/>
      <c r="J37" s="49"/>
      <c r="K37" s="106"/>
      <c r="L37" s="106"/>
      <c r="M37" s="106"/>
      <c r="N37" s="125"/>
      <c r="O37" s="106"/>
      <c r="P37" s="106"/>
      <c r="Q37" s="106"/>
      <c r="R37" s="130" t="s">
        <v>115</v>
      </c>
      <c r="S37" s="131" t="s">
        <v>116</v>
      </c>
      <c r="T37" s="131" t="s">
        <v>117</v>
      </c>
      <c r="U37" s="130" t="s">
        <v>118</v>
      </c>
      <c r="XFD37" s="97">
        <v>44000</v>
      </c>
    </row>
    <row r="38" spans="1:21 16384:16384" ht="15.75">
      <c r="C38" s="33">
        <f>45550-1600-D24</f>
        <v>-16.666666666664241</v>
      </c>
      <c r="D38" s="33">
        <f>45550-1800-D24</f>
        <v>-216.66666666666424</v>
      </c>
      <c r="F38" s="112"/>
      <c r="G38" s="170"/>
      <c r="H38" s="169"/>
      <c r="J38" s="49"/>
      <c r="K38" s="106"/>
      <c r="L38" s="125"/>
      <c r="M38" s="106"/>
      <c r="N38" s="106"/>
      <c r="O38" s="106"/>
      <c r="P38" s="106"/>
      <c r="Q38" s="106"/>
      <c r="R38" s="129" t="s">
        <v>119</v>
      </c>
      <c r="S38" s="129">
        <v>815</v>
      </c>
      <c r="T38" s="129">
        <v>207</v>
      </c>
      <c r="U38" s="129">
        <f>S38-T38</f>
        <v>608</v>
      </c>
      <c r="XFD38" s="97">
        <v>43000</v>
      </c>
    </row>
    <row r="39" spans="1:21 16384:16384" ht="15.75">
      <c r="D39" s="33"/>
      <c r="E39" s="33"/>
      <c r="F39" s="112"/>
      <c r="G39" s="170"/>
      <c r="H39" s="170"/>
      <c r="J39" s="49"/>
      <c r="K39" s="106"/>
      <c r="L39" s="125"/>
      <c r="M39" s="125"/>
      <c r="N39" s="106"/>
      <c r="O39" s="106"/>
      <c r="P39" s="106"/>
      <c r="Q39" s="106"/>
      <c r="R39" s="129" t="s">
        <v>120</v>
      </c>
      <c r="S39" s="129">
        <v>46000</v>
      </c>
      <c r="T39" s="129">
        <v>46000</v>
      </c>
      <c r="U39" s="29">
        <v>46000</v>
      </c>
      <c r="XFD39" s="97">
        <v>43500</v>
      </c>
    </row>
    <row r="40" spans="1:21 16384:16384" ht="15.75">
      <c r="A40" s="39" t="s">
        <v>40</v>
      </c>
      <c r="B40" s="40" t="s">
        <v>49</v>
      </c>
      <c r="C40" s="43"/>
      <c r="F40" s="114"/>
      <c r="G40" s="172">
        <f>45550+600-4000-I24</f>
        <v>-183.33333333333576</v>
      </c>
      <c r="H40" s="171"/>
      <c r="J40" s="49"/>
      <c r="K40" s="106"/>
      <c r="L40" s="126"/>
      <c r="M40" s="127"/>
      <c r="N40" s="128"/>
      <c r="O40" s="106"/>
      <c r="P40" s="106"/>
      <c r="Q40" s="106"/>
      <c r="R40" s="129" t="s">
        <v>121</v>
      </c>
      <c r="S40" s="129">
        <v>3300</v>
      </c>
      <c r="T40" s="129">
        <v>1450</v>
      </c>
      <c r="U40" s="29">
        <v>3350</v>
      </c>
      <c r="XFD40" s="97">
        <v>44000</v>
      </c>
    </row>
    <row r="41" spans="1:21 16384:16384" ht="15.75">
      <c r="A41" s="29" t="s">
        <v>42</v>
      </c>
      <c r="B41" s="29">
        <v>46000</v>
      </c>
      <c r="C41" s="43"/>
      <c r="F41" s="114"/>
      <c r="G41" s="172"/>
      <c r="H41" s="172"/>
      <c r="I41" s="33"/>
      <c r="J41" s="49"/>
      <c r="K41" s="106"/>
      <c r="L41" s="106"/>
      <c r="M41" s="106"/>
      <c r="N41" s="106"/>
      <c r="O41" s="106"/>
      <c r="P41" s="106"/>
      <c r="Q41" s="106"/>
      <c r="R41" s="129" t="s">
        <v>122</v>
      </c>
      <c r="S41" s="129">
        <v>1000</v>
      </c>
      <c r="T41" s="129">
        <v>1000</v>
      </c>
      <c r="U41" s="129">
        <v>1250</v>
      </c>
      <c r="XFD41" s="97">
        <v>45000</v>
      </c>
    </row>
    <row r="42" spans="1:21 16384:16384" ht="15.75">
      <c r="A42" s="29" t="s">
        <v>43</v>
      </c>
      <c r="B42" s="29">
        <v>42615</v>
      </c>
      <c r="C42" s="43">
        <f>B42+1250</f>
        <v>43865</v>
      </c>
      <c r="F42" s="114"/>
      <c r="G42" s="171"/>
      <c r="H42" s="173"/>
      <c r="J42" s="49"/>
      <c r="K42" s="106"/>
      <c r="L42" s="106"/>
      <c r="M42" s="106"/>
      <c r="N42" s="106"/>
      <c r="O42" s="106"/>
      <c r="P42" s="106"/>
      <c r="Q42" s="106"/>
      <c r="R42" s="129" t="s">
        <v>123</v>
      </c>
      <c r="S42" s="129">
        <f>S39-S40-S41</f>
        <v>41700</v>
      </c>
      <c r="T42" s="129">
        <f t="shared" ref="T42:U42" si="0">T39-T40-T41</f>
        <v>43550</v>
      </c>
      <c r="U42" s="129">
        <f t="shared" si="0"/>
        <v>41400</v>
      </c>
      <c r="XFD42" s="97">
        <v>43500</v>
      </c>
    </row>
    <row r="43" spans="1:21 16384:16384" ht="15.75">
      <c r="A43" s="29" t="s">
        <v>44</v>
      </c>
      <c r="B43" s="29">
        <v>42275</v>
      </c>
      <c r="C43" s="43">
        <f>B43+1000</f>
        <v>43275</v>
      </c>
      <c r="G43" s="33">
        <f>45550-1600-D24</f>
        <v>-16.666666666664241</v>
      </c>
      <c r="J43" s="49"/>
      <c r="K43" s="106"/>
      <c r="L43" s="106"/>
      <c r="M43" s="106"/>
      <c r="N43" s="106"/>
      <c r="O43" s="106"/>
      <c r="P43" s="106"/>
      <c r="Q43" s="106"/>
      <c r="R43" s="129" t="s">
        <v>124</v>
      </c>
      <c r="S43" s="129">
        <f>S42-F24</f>
        <v>1700</v>
      </c>
      <c r="T43" s="129">
        <f>T42-G24</f>
        <v>1558.3333333333358</v>
      </c>
      <c r="U43" s="129">
        <f>U42-C24</f>
        <v>1060</v>
      </c>
      <c r="XFD43" s="97">
        <v>44000</v>
      </c>
    </row>
    <row r="44" spans="1:21 16384:16384" ht="15.75">
      <c r="A44" s="29" t="s">
        <v>36</v>
      </c>
      <c r="B44" s="29">
        <v>46450</v>
      </c>
      <c r="C44" s="43">
        <f>B44+800</f>
        <v>47250</v>
      </c>
      <c r="J44" s="49"/>
      <c r="K44" s="106"/>
      <c r="L44" s="106"/>
      <c r="M44" s="106"/>
      <c r="N44" s="106"/>
      <c r="O44" s="106"/>
      <c r="P44" s="106"/>
      <c r="Q44" s="106"/>
      <c r="R44" s="129" t="s">
        <v>125</v>
      </c>
      <c r="S44" s="129"/>
      <c r="T44" s="525">
        <f>SUMPRODUCT(T43:U43,T38:U38)/SUM(T38:U38)</f>
        <v>1186.5705521472398</v>
      </c>
      <c r="U44" s="525"/>
      <c r="XFD44" s="97">
        <v>44000</v>
      </c>
    </row>
    <row r="45" spans="1:21 16384:16384" ht="15.75">
      <c r="A45" s="29" t="s">
        <v>37</v>
      </c>
      <c r="B45" s="29">
        <v>45200</v>
      </c>
      <c r="C45" s="43">
        <f>B45+1000</f>
        <v>46200</v>
      </c>
      <c r="J45" s="49"/>
      <c r="K45" s="106"/>
      <c r="L45" s="106"/>
      <c r="M45" s="106"/>
      <c r="N45" s="106"/>
      <c r="O45" s="106"/>
      <c r="P45" s="106"/>
      <c r="Q45" s="106"/>
      <c r="R45" s="49"/>
      <c r="S45" s="49"/>
      <c r="T45" s="49"/>
      <c r="XFD45" s="97">
        <v>44000</v>
      </c>
    </row>
    <row r="46" spans="1:21 16384:16384" ht="15.75">
      <c r="A46" s="29" t="s">
        <v>45</v>
      </c>
      <c r="B46" s="29">
        <v>44470</v>
      </c>
      <c r="C46" s="43"/>
      <c r="D46" s="24"/>
      <c r="E46" s="24"/>
      <c r="F46" s="24"/>
      <c r="G46" s="24"/>
      <c r="H46" s="24"/>
      <c r="I46" s="24"/>
      <c r="J46" s="49"/>
      <c r="K46" s="106"/>
      <c r="L46" s="106"/>
      <c r="M46" s="106"/>
      <c r="N46" s="106"/>
      <c r="O46" s="106"/>
      <c r="P46" s="106"/>
      <c r="Q46" s="106"/>
      <c r="R46" s="49"/>
      <c r="S46" s="49"/>
      <c r="T46" s="49"/>
      <c r="XFD46" s="97">
        <v>41000</v>
      </c>
    </row>
    <row r="47" spans="1:21 16384:16384" ht="15.75">
      <c r="A47" s="43" t="s">
        <v>50</v>
      </c>
      <c r="B47" s="43">
        <v>43675</v>
      </c>
      <c r="C47" s="43"/>
      <c r="D47" s="33"/>
      <c r="E47" s="33"/>
      <c r="F47" s="33"/>
      <c r="G47" s="33"/>
      <c r="H47" s="33"/>
      <c r="I47" s="33"/>
      <c r="K47" s="523"/>
      <c r="L47" s="523"/>
      <c r="M47" s="106"/>
      <c r="N47" s="106"/>
      <c r="O47" s="106"/>
      <c r="P47" s="106"/>
      <c r="Q47" s="106"/>
    </row>
    <row r="48" spans="1:21 16384:16384">
      <c r="A48" s="46" t="s">
        <v>46</v>
      </c>
      <c r="B48" s="46">
        <f>44500-1000</f>
        <v>43500</v>
      </c>
      <c r="C48" s="46">
        <f>B48+1000</f>
        <v>44500</v>
      </c>
    </row>
    <row r="49" spans="1:14">
      <c r="B49" s="33"/>
    </row>
    <row r="51" spans="1:14" ht="37.5">
      <c r="B51" s="16" t="s">
        <v>18</v>
      </c>
      <c r="C51" s="16" t="s">
        <v>19</v>
      </c>
      <c r="D51" s="16" t="s">
        <v>20</v>
      </c>
      <c r="E51" s="16" t="s">
        <v>21</v>
      </c>
      <c r="F51" s="16" t="s">
        <v>22</v>
      </c>
      <c r="G51" s="16" t="s">
        <v>143</v>
      </c>
      <c r="H51" s="16" t="s">
        <v>39</v>
      </c>
      <c r="I51" s="16" t="s">
        <v>46</v>
      </c>
      <c r="J51" s="16" t="s">
        <v>126</v>
      </c>
    </row>
    <row r="52" spans="1:14">
      <c r="A52" t="s">
        <v>141</v>
      </c>
      <c r="B52" s="33">
        <v>43250</v>
      </c>
      <c r="C52" s="33">
        <v>41000</v>
      </c>
      <c r="D52" s="33">
        <v>44250</v>
      </c>
      <c r="E52" s="33">
        <v>40600</v>
      </c>
      <c r="F52" s="33">
        <v>40750</v>
      </c>
      <c r="G52" s="33">
        <v>42750</v>
      </c>
      <c r="H52" s="33"/>
      <c r="I52" s="33">
        <v>42500</v>
      </c>
      <c r="J52" s="49"/>
    </row>
    <row r="53" spans="1:14">
      <c r="A53" t="s">
        <v>48</v>
      </c>
      <c r="B53" s="33"/>
      <c r="C53" s="33"/>
      <c r="D53" s="33"/>
      <c r="E53" s="33"/>
      <c r="F53" s="33"/>
      <c r="G53" s="33">
        <v>43700</v>
      </c>
      <c r="H53" s="33"/>
      <c r="I53" s="33">
        <v>43500</v>
      </c>
      <c r="J53" s="49"/>
    </row>
    <row r="54" spans="1:14">
      <c r="C54" s="115"/>
      <c r="D54" s="109"/>
      <c r="E54" s="109"/>
      <c r="F54" s="52"/>
      <c r="G54" s="109"/>
      <c r="H54" s="109"/>
      <c r="K54" s="110"/>
      <c r="L54" s="110"/>
      <c r="M54" s="110"/>
      <c r="N54" s="110"/>
    </row>
    <row r="55" spans="1:14">
      <c r="A55" t="s">
        <v>72</v>
      </c>
      <c r="B55" s="33">
        <f>B52-B24</f>
        <v>458.33333333333576</v>
      </c>
      <c r="C55" s="33">
        <f t="shared" ref="C55:J55" si="1">C52-C24</f>
        <v>660</v>
      </c>
      <c r="D55" s="33">
        <f t="shared" si="1"/>
        <v>283.33333333333576</v>
      </c>
      <c r="E55" s="33">
        <f t="shared" si="1"/>
        <v>-8.3333333333357587</v>
      </c>
      <c r="F55" s="33">
        <f t="shared" si="1"/>
        <v>750</v>
      </c>
      <c r="G55" s="33">
        <f t="shared" si="1"/>
        <v>758.33333333333576</v>
      </c>
      <c r="H55" s="33">
        <f t="shared" si="1"/>
        <v>-41795</v>
      </c>
      <c r="I55" s="33">
        <f t="shared" si="1"/>
        <v>166.66666666666424</v>
      </c>
      <c r="J55" s="33">
        <f t="shared" si="1"/>
        <v>-40178.333333333336</v>
      </c>
      <c r="L55" s="62"/>
      <c r="M55" s="62"/>
      <c r="N55" s="62"/>
    </row>
    <row r="56" spans="1:14">
      <c r="C56" s="52"/>
      <c r="D56" s="111"/>
      <c r="E56" s="111"/>
      <c r="F56" s="58"/>
      <c r="G56" s="111"/>
      <c r="H56" s="111"/>
      <c r="L56" s="62"/>
      <c r="M56" s="62"/>
      <c r="N56" s="62"/>
    </row>
    <row r="57" spans="1:14">
      <c r="C57" s="52"/>
      <c r="D57" s="111"/>
      <c r="E57" s="111"/>
      <c r="F57" s="58"/>
      <c r="G57" s="111"/>
      <c r="H57" s="111"/>
      <c r="L57" s="62"/>
      <c r="M57" s="62"/>
      <c r="N57" s="62"/>
    </row>
    <row r="58" spans="1:14">
      <c r="C58" s="52"/>
      <c r="D58" s="111"/>
      <c r="E58" s="111"/>
      <c r="F58" s="58"/>
      <c r="G58" s="111"/>
      <c r="H58" s="111"/>
      <c r="L58" s="62"/>
      <c r="M58" s="62"/>
      <c r="N58" s="62"/>
    </row>
    <row r="59" spans="1:14">
      <c r="C59" s="52"/>
      <c r="D59" s="111"/>
      <c r="E59" s="111"/>
      <c r="F59" s="58"/>
      <c r="G59" s="111"/>
      <c r="H59" s="111"/>
      <c r="K59" s="116"/>
      <c r="L59" s="117"/>
      <c r="M59" s="117"/>
      <c r="N59" s="117"/>
    </row>
    <row r="60" spans="1:14">
      <c r="C60" s="52"/>
      <c r="D60" s="111"/>
      <c r="E60" s="111"/>
      <c r="F60" s="58"/>
      <c r="G60" s="111"/>
      <c r="H60" s="111"/>
    </row>
    <row r="61" spans="1:14">
      <c r="C61" s="52"/>
      <c r="D61" s="118"/>
      <c r="E61" s="118"/>
      <c r="F61" s="58"/>
      <c r="G61" s="118"/>
      <c r="H61" s="118"/>
    </row>
    <row r="62" spans="1:14">
      <c r="C62" s="52"/>
      <c r="D62" s="118"/>
      <c r="E62" s="118"/>
      <c r="F62" s="58"/>
      <c r="G62" s="118"/>
      <c r="H62" s="118"/>
    </row>
    <row r="63" spans="1:14">
      <c r="C63" s="119"/>
      <c r="D63" s="118"/>
      <c r="E63" s="118"/>
      <c r="F63" s="58"/>
      <c r="G63" s="118"/>
      <c r="H63" s="118"/>
    </row>
    <row r="73" spans="3:12">
      <c r="C73" s="120"/>
      <c r="D73" s="120"/>
      <c r="E73" s="120"/>
      <c r="F73" s="120"/>
      <c r="G73" s="120"/>
      <c r="H73" s="120"/>
      <c r="I73" s="120"/>
      <c r="J73" s="120"/>
      <c r="K73" s="120"/>
      <c r="L73" s="120"/>
    </row>
    <row r="74" spans="3:12">
      <c r="C74" s="120"/>
      <c r="D74" s="121"/>
      <c r="E74" s="122"/>
      <c r="F74" s="122"/>
      <c r="G74" s="122"/>
      <c r="H74" s="122"/>
      <c r="I74" s="122"/>
      <c r="J74" s="122"/>
      <c r="K74" s="122"/>
      <c r="L74" s="122"/>
    </row>
    <row r="75" spans="3:12">
      <c r="C75" s="120"/>
      <c r="D75" s="121"/>
      <c r="E75" s="122"/>
      <c r="F75" s="122"/>
      <c r="G75" s="122"/>
      <c r="H75" s="122"/>
      <c r="I75" s="122"/>
      <c r="J75" s="122"/>
      <c r="K75" s="122"/>
      <c r="L75" s="122"/>
    </row>
    <row r="76" spans="3:12">
      <c r="C76" s="120"/>
      <c r="D76" s="121"/>
      <c r="E76" s="122"/>
      <c r="F76" s="122"/>
      <c r="G76" s="122"/>
      <c r="H76" s="122"/>
      <c r="I76" s="122"/>
      <c r="J76" s="122"/>
      <c r="K76" s="122"/>
      <c r="L76" s="122"/>
    </row>
    <row r="77" spans="3:12">
      <c r="C77" s="120"/>
      <c r="D77" s="121"/>
      <c r="E77" s="122"/>
      <c r="F77" s="122"/>
      <c r="G77" s="122"/>
      <c r="H77" s="122"/>
      <c r="I77" s="122"/>
      <c r="J77" s="122"/>
      <c r="K77" s="122"/>
      <c r="L77" s="122"/>
    </row>
    <row r="78" spans="3:12">
      <c r="C78" s="120"/>
      <c r="D78" s="120"/>
      <c r="E78" s="123"/>
      <c r="F78" s="123"/>
      <c r="G78" s="123"/>
      <c r="H78" s="123"/>
      <c r="I78" s="123"/>
      <c r="J78" s="123"/>
      <c r="K78" s="123"/>
      <c r="L78" s="123"/>
    </row>
  </sheetData>
  <mergeCells count="3">
    <mergeCell ref="B1:Q1"/>
    <mergeCell ref="T44:U44"/>
    <mergeCell ref="K47:L47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4302-5EB0-4ABB-85A8-794FDD16EDD7}">
  <dimension ref="A1:XFD78"/>
  <sheetViews>
    <sheetView workbookViewId="0">
      <pane ySplit="2" topLeftCell="E34" activePane="bottomLeft" state="frozen"/>
      <selection pane="bottomLeft" activeCell="C33" sqref="C33"/>
    </sheetView>
  </sheetViews>
  <sheetFormatPr defaultColWidth="15.85546875" defaultRowHeight="15"/>
  <cols>
    <col min="1" max="1" width="22" customWidth="1"/>
    <col min="2" max="2" width="14.85546875" customWidth="1"/>
    <col min="3" max="3" width="16.85546875" customWidth="1"/>
    <col min="4" max="4" width="10.85546875" customWidth="1"/>
    <col min="5" max="5" width="14.28515625" customWidth="1"/>
    <col min="6" max="7" width="10.85546875" customWidth="1"/>
    <col min="8" max="8" width="13.140625" customWidth="1"/>
    <col min="9" max="10" width="10.85546875" customWidth="1"/>
    <col min="11" max="11" width="17.85546875" customWidth="1"/>
    <col min="12" max="16" width="10.85546875" customWidth="1"/>
    <col min="17" max="17" width="12.28515625" customWidth="1"/>
    <col min="18" max="18" width="11.28515625" customWidth="1"/>
    <col min="19" max="19" width="25.28515625" bestFit="1" customWidth="1"/>
    <col min="20" max="20" width="22.5703125" bestFit="1" customWidth="1"/>
    <col min="21" max="21" width="25.28515625" bestFit="1" customWidth="1"/>
  </cols>
  <sheetData>
    <row r="1" spans="1:22">
      <c r="A1" s="81"/>
      <c r="B1" s="519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</row>
    <row r="2" spans="1:22">
      <c r="A2" s="8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</row>
    <row r="3" spans="1:22">
      <c r="A3" s="83">
        <v>45977</v>
      </c>
      <c r="B3" s="36" t="str">
        <f>_xlfn.XLOOKUP(A3,'steel Mint data'!A:A,'steel Mint data'!B:B,"",0)</f>
        <v>H</v>
      </c>
      <c r="C3" s="36"/>
      <c r="D3" s="36"/>
      <c r="E3" s="36" t="str">
        <f>_xlfn.XLOOKUP(A3,'steel Mint data'!A:A,'steel Mint data'!D:D,"",0)</f>
        <v>H</v>
      </c>
      <c r="F3" s="36" t="str">
        <f>_xlfn.XLOOKUP(A3,'steel Mint data'!A:A,'steel Mint data'!E:E,"",0)</f>
        <v>H</v>
      </c>
      <c r="G3" s="36"/>
      <c r="H3" s="36"/>
      <c r="I3" s="36" t="str">
        <f>_xlfn.XLOOKUP(A3,'steel Mint data'!A:A,'steel Mint data'!I:I,"",0)</f>
        <v>H</v>
      </c>
      <c r="J3" s="36"/>
      <c r="K3" s="36" t="str">
        <f>_xlfn.XLOOKUP(A3,'steel Mint data'!A:A,'steel Mint data'!L:L,"",0)</f>
        <v>H</v>
      </c>
      <c r="L3" s="36"/>
      <c r="M3" s="36"/>
      <c r="N3" s="36"/>
      <c r="O3" s="36"/>
      <c r="P3" s="37" t="str">
        <f>_xlfn.XLOOKUP(A3,'steel Mint data'!A:A,'steel Mint data'!Q:Q,"",0)</f>
        <v>H</v>
      </c>
      <c r="Q3" s="36" t="str">
        <f>_xlfn.XLOOKUP(A3,'steel Mint data'!A:A,'steel Mint data'!R:R,"",0)</f>
        <v>H</v>
      </c>
    </row>
    <row r="4" spans="1:22">
      <c r="A4" s="83">
        <v>45978</v>
      </c>
      <c r="B4" s="36">
        <f>_xlfn.XLOOKUP(A4,'steel Mint data'!A:A,'steel Mint data'!B:B,"",0)</f>
        <v>42500</v>
      </c>
      <c r="C4" s="36"/>
      <c r="D4" s="36"/>
      <c r="E4" s="36">
        <f>_xlfn.XLOOKUP(A4,'steel Mint data'!A:A,'steel Mint data'!D:D,"",0)</f>
        <v>42300</v>
      </c>
      <c r="F4" s="36">
        <f>_xlfn.XLOOKUP(A4,'steel Mint data'!A:A,'steel Mint data'!E:E,"",0)</f>
        <v>38600</v>
      </c>
      <c r="G4" s="36"/>
      <c r="H4" s="36"/>
      <c r="I4" s="36">
        <f>_xlfn.XLOOKUP(A4,'steel Mint data'!A:A,'steel Mint data'!I:I,"",0)</f>
        <v>41600</v>
      </c>
      <c r="J4" s="36"/>
      <c r="K4" s="36">
        <f>_xlfn.XLOOKUP(A4,'steel Mint data'!A:A,'steel Mint data'!L:L,"",0)</f>
        <v>44100</v>
      </c>
      <c r="L4" s="36"/>
      <c r="M4" s="36"/>
      <c r="N4" s="36"/>
      <c r="O4" s="36"/>
      <c r="P4" s="37">
        <f>_xlfn.XLOOKUP(A4,'steel Mint data'!A:A,'steel Mint data'!Q:Q,"",0)</f>
        <v>38500</v>
      </c>
      <c r="Q4" s="36">
        <f>_xlfn.XLOOKUP(A4,'steel Mint data'!A:A,'steel Mint data'!R:R,"",0)</f>
        <v>38800</v>
      </c>
    </row>
    <row r="5" spans="1:22">
      <c r="A5" s="83">
        <v>45979</v>
      </c>
      <c r="B5" s="36">
        <f>_xlfn.XLOOKUP(A5,'steel Mint data'!A:A,'steel Mint data'!B:B,"",0)</f>
        <v>42500</v>
      </c>
      <c r="C5" s="36"/>
      <c r="D5" s="36"/>
      <c r="E5" s="36">
        <f>_xlfn.XLOOKUP(A5,'steel Mint data'!A:A,'steel Mint data'!D:D,"",0)</f>
        <v>42100</v>
      </c>
      <c r="F5" s="36">
        <f>_xlfn.XLOOKUP(A5,'steel Mint data'!A:A,'steel Mint data'!E:E,"",0)</f>
        <v>38600</v>
      </c>
      <c r="G5" s="36"/>
      <c r="H5" s="36"/>
      <c r="I5" s="36">
        <f>_xlfn.XLOOKUP(A5,'steel Mint data'!A:A,'steel Mint data'!I:I,"",0)</f>
        <v>41500</v>
      </c>
      <c r="J5" s="36"/>
      <c r="K5" s="36">
        <f>_xlfn.XLOOKUP(A5,'steel Mint data'!A:A,'steel Mint data'!L:L,"",0)</f>
        <v>44200</v>
      </c>
      <c r="L5" s="36"/>
      <c r="M5" s="36"/>
      <c r="N5" s="36"/>
      <c r="O5" s="36"/>
      <c r="P5" s="37">
        <f>_xlfn.XLOOKUP(A5,'steel Mint data'!A:A,'steel Mint data'!Q:Q,"",0)</f>
        <v>38500</v>
      </c>
      <c r="Q5" s="36">
        <f>_xlfn.XLOOKUP(A5,'steel Mint data'!A:A,'steel Mint data'!R:R,"",0)</f>
        <v>38700</v>
      </c>
      <c r="T5" s="27"/>
      <c r="U5" s="27"/>
      <c r="V5" s="27"/>
    </row>
    <row r="6" spans="1:22">
      <c r="A6" s="83">
        <v>45980</v>
      </c>
      <c r="B6" s="36">
        <f>_xlfn.XLOOKUP(A6,'steel Mint data'!A:A,'steel Mint data'!B:B,"",0)</f>
        <v>42500</v>
      </c>
      <c r="C6" s="36"/>
      <c r="D6" s="36"/>
      <c r="E6" s="36">
        <f>_xlfn.XLOOKUP(A6,'steel Mint data'!A:A,'steel Mint data'!D:D,"",0)</f>
        <v>42000</v>
      </c>
      <c r="F6" s="36">
        <f>_xlfn.XLOOKUP(A6,'steel Mint data'!A:A,'steel Mint data'!E:E,"",0)</f>
        <v>38500</v>
      </c>
      <c r="G6" s="36"/>
      <c r="H6" s="36"/>
      <c r="I6" s="36">
        <f>_xlfn.XLOOKUP(A6,'steel Mint data'!A:A,'steel Mint data'!I:I,"",0)</f>
        <v>41500</v>
      </c>
      <c r="J6" s="36"/>
      <c r="K6" s="36">
        <f>_xlfn.XLOOKUP(A6,'steel Mint data'!A:A,'steel Mint data'!L:L,"",0)</f>
        <v>44000</v>
      </c>
      <c r="L6" s="36"/>
      <c r="M6" s="36"/>
      <c r="N6" s="36"/>
      <c r="O6" s="36"/>
      <c r="P6" s="37">
        <f>_xlfn.XLOOKUP(A6,'steel Mint data'!A:A,'steel Mint data'!Q:Q,"",0)</f>
        <v>38400</v>
      </c>
      <c r="Q6" s="36">
        <f>_xlfn.XLOOKUP(A6,'steel Mint data'!A:A,'steel Mint data'!R:R,"",0)</f>
        <v>38700</v>
      </c>
      <c r="T6" s="27"/>
      <c r="U6" s="27"/>
      <c r="V6" s="27"/>
    </row>
    <row r="7" spans="1:22">
      <c r="A7" s="83">
        <v>45981</v>
      </c>
      <c r="B7" s="36">
        <f>_xlfn.XLOOKUP(A7,'steel Mint data'!A:A,'steel Mint data'!B:B,"",0)</f>
        <v>42500</v>
      </c>
      <c r="C7" s="36"/>
      <c r="D7" s="36"/>
      <c r="E7" s="36">
        <f>_xlfn.XLOOKUP(A7,'steel Mint data'!A:A,'steel Mint data'!D:D,"",0)</f>
        <v>42100</v>
      </c>
      <c r="F7" s="36">
        <f>_xlfn.XLOOKUP(A7,'steel Mint data'!A:A,'steel Mint data'!E:E,"",0)</f>
        <v>38900</v>
      </c>
      <c r="G7" s="36"/>
      <c r="H7" s="36"/>
      <c r="I7" s="36">
        <f>_xlfn.XLOOKUP(A7,'steel Mint data'!A:A,'steel Mint data'!I:I,"",0)</f>
        <v>41700</v>
      </c>
      <c r="J7" s="36"/>
      <c r="K7" s="36">
        <f>_xlfn.XLOOKUP(A7,'steel Mint data'!A:A,'steel Mint data'!L:L,"",0)</f>
        <v>44400</v>
      </c>
      <c r="L7" s="36"/>
      <c r="M7" s="36"/>
      <c r="N7" s="36"/>
      <c r="O7" s="36"/>
      <c r="P7" s="37">
        <f>_xlfn.XLOOKUP(A7,'steel Mint data'!A:A,'steel Mint data'!Q:Q,"",0)</f>
        <v>38400</v>
      </c>
      <c r="Q7" s="36">
        <f>_xlfn.XLOOKUP(A7,'steel Mint data'!A:A,'steel Mint data'!R:R,"",0)</f>
        <v>38700</v>
      </c>
      <c r="T7" s="27"/>
      <c r="U7" s="27"/>
      <c r="V7" s="27"/>
    </row>
    <row r="8" spans="1:22">
      <c r="A8" s="83">
        <v>45982</v>
      </c>
      <c r="B8" s="36">
        <f>_xlfn.XLOOKUP(A8,'steel Mint data'!A:A,'steel Mint data'!B:B,"",0)</f>
        <v>42700</v>
      </c>
      <c r="C8" s="36"/>
      <c r="D8" s="36"/>
      <c r="E8" s="36">
        <f>_xlfn.XLOOKUP(A8,'steel Mint data'!A:A,'steel Mint data'!D:D,"",0)</f>
        <v>42100</v>
      </c>
      <c r="F8" s="36">
        <f>_xlfn.XLOOKUP(A8,'steel Mint data'!A:A,'steel Mint data'!E:E,"",0)</f>
        <v>38800</v>
      </c>
      <c r="G8" s="36"/>
      <c r="H8" s="36"/>
      <c r="I8" s="36">
        <f>_xlfn.XLOOKUP(A8,'steel Mint data'!A:A,'steel Mint data'!I:I,"",0)</f>
        <v>41500</v>
      </c>
      <c r="J8" s="36"/>
      <c r="K8" s="36">
        <f>_xlfn.XLOOKUP(A8,'steel Mint data'!A:A,'steel Mint data'!L:L,"",0)</f>
        <v>44400</v>
      </c>
      <c r="L8" s="36"/>
      <c r="M8" s="36"/>
      <c r="N8" s="36"/>
      <c r="O8" s="36"/>
      <c r="P8" s="37">
        <f>_xlfn.XLOOKUP(A8,'steel Mint data'!A:A,'steel Mint data'!Q:Q,"",0)</f>
        <v>38400</v>
      </c>
      <c r="Q8" s="36">
        <f>_xlfn.XLOOKUP(A8,'steel Mint data'!A:A,'steel Mint data'!R:R,"",0)</f>
        <v>38700</v>
      </c>
      <c r="T8" s="27"/>
      <c r="U8" s="27"/>
      <c r="V8" s="27"/>
    </row>
    <row r="9" spans="1:22">
      <c r="A9" s="83">
        <v>45983</v>
      </c>
      <c r="B9" s="36">
        <f>_xlfn.XLOOKUP(A9,'steel Mint data'!A:A,'steel Mint data'!B:B,"",0)</f>
        <v>42700</v>
      </c>
      <c r="C9" s="36"/>
      <c r="D9" s="36"/>
      <c r="E9" s="36">
        <f>_xlfn.XLOOKUP(A9,'steel Mint data'!A:A,'steel Mint data'!D:D,"",0)</f>
        <v>42200</v>
      </c>
      <c r="F9" s="36">
        <f>_xlfn.XLOOKUP(A9,'steel Mint data'!A:A,'steel Mint data'!E:E,"",0)</f>
        <v>38800</v>
      </c>
      <c r="G9" s="36"/>
      <c r="H9" s="36"/>
      <c r="I9" s="36">
        <f>_xlfn.XLOOKUP(A9,'steel Mint data'!A:A,'steel Mint data'!I:I,"",0)</f>
        <v>41400</v>
      </c>
      <c r="J9" s="36"/>
      <c r="K9" s="36">
        <f>_xlfn.XLOOKUP(A9,'steel Mint data'!A:A,'steel Mint data'!L:L,"",0)</f>
        <v>44400</v>
      </c>
      <c r="L9" s="36"/>
      <c r="M9" s="36"/>
      <c r="N9" s="36"/>
      <c r="O9" s="36"/>
      <c r="P9" s="37">
        <f>_xlfn.XLOOKUP(A9,'steel Mint data'!A:A,'steel Mint data'!Q:Q,"",0)</f>
        <v>38300</v>
      </c>
      <c r="Q9" s="36">
        <f>_xlfn.XLOOKUP(A9,'steel Mint data'!A:A,'steel Mint data'!R:R,"",0)</f>
        <v>38500</v>
      </c>
      <c r="R9" s="33"/>
      <c r="T9" s="27"/>
      <c r="U9" s="27"/>
      <c r="V9" s="27"/>
    </row>
    <row r="10" spans="1:22">
      <c r="A10" s="83">
        <v>45984</v>
      </c>
      <c r="B10" s="36" t="str">
        <f>_xlfn.XLOOKUP(A10,'steel Mint data'!A:A,'steel Mint data'!B:B,"",0)</f>
        <v>H</v>
      </c>
      <c r="C10" s="36"/>
      <c r="D10" s="36"/>
      <c r="E10" s="36" t="str">
        <f>_xlfn.XLOOKUP(A10,'steel Mint data'!A:A,'steel Mint data'!D:D,"",0)</f>
        <v>H</v>
      </c>
      <c r="F10" s="36" t="str">
        <f>_xlfn.XLOOKUP(A10,'steel Mint data'!A:A,'steel Mint data'!E:E,"",0)</f>
        <v>H</v>
      </c>
      <c r="G10" s="36"/>
      <c r="H10" s="36"/>
      <c r="I10" s="36" t="str">
        <f>_xlfn.XLOOKUP(A10,'steel Mint data'!A:A,'steel Mint data'!I:I,"",0)</f>
        <v>H</v>
      </c>
      <c r="J10" s="36"/>
      <c r="K10" s="36" t="str">
        <f>_xlfn.XLOOKUP(A10,'steel Mint data'!A:A,'steel Mint data'!L:L,"",0)</f>
        <v>H</v>
      </c>
      <c r="L10" s="36"/>
      <c r="M10" s="36"/>
      <c r="N10" s="36"/>
      <c r="O10" s="36"/>
      <c r="P10" s="37" t="str">
        <f>_xlfn.XLOOKUP(A10,'steel Mint data'!A:A,'steel Mint data'!Q:Q,"",0)</f>
        <v>H</v>
      </c>
      <c r="Q10" s="36" t="str">
        <f>_xlfn.XLOOKUP(A10,'steel Mint data'!A:A,'steel Mint data'!R:R,"",0)</f>
        <v>H</v>
      </c>
      <c r="R10" s="33"/>
    </row>
    <row r="11" spans="1:22">
      <c r="A11" s="83">
        <v>45985</v>
      </c>
      <c r="B11" s="36">
        <f>_xlfn.XLOOKUP(A11,'steel Mint data'!A:A,'steel Mint data'!B:B,"",0)</f>
        <v>42800</v>
      </c>
      <c r="C11" s="36"/>
      <c r="D11" s="36"/>
      <c r="E11" s="36">
        <f>_xlfn.XLOOKUP(A11,'steel Mint data'!A:A,'steel Mint data'!D:D,"",0)</f>
        <v>42000</v>
      </c>
      <c r="F11" s="36">
        <f>_xlfn.XLOOKUP(A11,'steel Mint data'!A:A,'steel Mint data'!E:E,"",0)</f>
        <v>38800</v>
      </c>
      <c r="G11" s="36"/>
      <c r="H11" s="36"/>
      <c r="I11" s="36">
        <f>_xlfn.XLOOKUP(A11,'steel Mint data'!A:A,'steel Mint data'!I:I,"",0)</f>
        <v>41400</v>
      </c>
      <c r="J11" s="36"/>
      <c r="K11" s="36">
        <f>_xlfn.XLOOKUP(A11,'steel Mint data'!A:A,'steel Mint data'!L:L,"",0)</f>
        <v>44300</v>
      </c>
      <c r="L11" s="36"/>
      <c r="M11" s="36"/>
      <c r="N11" s="36"/>
      <c r="O11" s="36"/>
      <c r="P11" s="37">
        <f>_xlfn.XLOOKUP(A11,'steel Mint data'!A:A,'steel Mint data'!Q:Q,"",0)</f>
        <v>38500</v>
      </c>
      <c r="Q11" s="36">
        <f>_xlfn.XLOOKUP(A11,'steel Mint data'!A:A,'steel Mint data'!R:R,"",0)</f>
        <v>38500</v>
      </c>
    </row>
    <row r="12" spans="1:22">
      <c r="A12" s="83">
        <v>45986</v>
      </c>
      <c r="B12" s="36">
        <f>_xlfn.XLOOKUP(A12,'steel Mint data'!A:A,'steel Mint data'!B:B,"",0)</f>
        <v>42800</v>
      </c>
      <c r="C12" s="36"/>
      <c r="D12" s="36"/>
      <c r="E12" s="36">
        <f>_xlfn.XLOOKUP(A12,'steel Mint data'!A:A,'steel Mint data'!D:D,"",0)</f>
        <v>41900</v>
      </c>
      <c r="F12" s="36">
        <f>_xlfn.XLOOKUP(A12,'steel Mint data'!A:A,'steel Mint data'!E:E,"",0)</f>
        <v>38800</v>
      </c>
      <c r="G12" s="36"/>
      <c r="H12" s="36"/>
      <c r="I12" s="36">
        <f>_xlfn.XLOOKUP(A12,'steel Mint data'!A:A,'steel Mint data'!I:I,"",0)</f>
        <v>41600</v>
      </c>
      <c r="J12" s="36"/>
      <c r="K12" s="36">
        <f>_xlfn.XLOOKUP(A12,'steel Mint data'!A:A,'steel Mint data'!L:L,"",0)</f>
        <v>44300</v>
      </c>
      <c r="L12" s="36"/>
      <c r="M12" s="36"/>
      <c r="N12" s="36"/>
      <c r="O12" s="36"/>
      <c r="P12" s="37">
        <f>_xlfn.XLOOKUP(A12,'steel Mint data'!A:A,'steel Mint data'!Q:Q,"",0)</f>
        <v>38400</v>
      </c>
      <c r="Q12" s="36">
        <f>_xlfn.XLOOKUP(A12,'steel Mint data'!A:A,'steel Mint data'!R:R,"",0)</f>
        <v>38500</v>
      </c>
    </row>
    <row r="13" spans="1:22">
      <c r="A13" s="83">
        <v>45987</v>
      </c>
      <c r="B13" s="36">
        <f>_xlfn.XLOOKUP(A13,'steel Mint data'!A:A,'steel Mint data'!B:B,"",0)</f>
        <v>43200</v>
      </c>
      <c r="C13" s="36"/>
      <c r="D13" s="36"/>
      <c r="E13" s="36">
        <f>_xlfn.XLOOKUP(A13,'steel Mint data'!A:A,'steel Mint data'!D:D,"",0)</f>
        <v>42250</v>
      </c>
      <c r="F13" s="36">
        <f>_xlfn.XLOOKUP(A13,'steel Mint data'!A:A,'steel Mint data'!E:E,"",0)</f>
        <v>39100</v>
      </c>
      <c r="G13" s="36"/>
      <c r="H13" s="36"/>
      <c r="I13" s="36">
        <f>_xlfn.XLOOKUP(A13,'steel Mint data'!A:A,'steel Mint data'!I:I,"",0)</f>
        <v>42000</v>
      </c>
      <c r="J13" s="36"/>
      <c r="K13" s="36">
        <f>_xlfn.XLOOKUP(A13,'steel Mint data'!A:A,'steel Mint data'!L:L,"",0)</f>
        <v>44500</v>
      </c>
      <c r="L13" s="36"/>
      <c r="M13" s="36"/>
      <c r="N13" s="36"/>
      <c r="O13" s="36"/>
      <c r="P13" s="37">
        <f>_xlfn.XLOOKUP(A13,'steel Mint data'!A:A,'steel Mint data'!Q:Q,"",0)</f>
        <v>38700</v>
      </c>
      <c r="Q13" s="36">
        <f>_xlfn.XLOOKUP(A13,'steel Mint data'!A:A,'steel Mint data'!R:R,"",0)</f>
        <v>38700</v>
      </c>
      <c r="S13" s="33"/>
    </row>
    <row r="14" spans="1:22">
      <c r="A14" s="83">
        <v>45988</v>
      </c>
      <c r="B14" s="36">
        <f>_xlfn.XLOOKUP(A14,'steel Mint data'!A:A,'steel Mint data'!B:B,"",0)</f>
        <v>43400</v>
      </c>
      <c r="C14" s="36"/>
      <c r="D14" s="36"/>
      <c r="E14" s="36">
        <f>_xlfn.XLOOKUP(A14,'steel Mint data'!A:A,'steel Mint data'!D:D,"",0)</f>
        <v>42600</v>
      </c>
      <c r="F14" s="36">
        <f>_xlfn.XLOOKUP(A14,'steel Mint data'!A:A,'steel Mint data'!E:E,"",0)</f>
        <v>39200</v>
      </c>
      <c r="G14" s="36"/>
      <c r="H14" s="36"/>
      <c r="I14" s="36">
        <f>_xlfn.XLOOKUP(A14,'steel Mint data'!A:A,'steel Mint data'!I:I,"",0)</f>
        <v>42100</v>
      </c>
      <c r="J14" s="36"/>
      <c r="K14" s="36">
        <f>_xlfn.XLOOKUP(A14,'steel Mint data'!A:A,'steel Mint data'!L:L,"",0)</f>
        <v>45000</v>
      </c>
      <c r="L14" s="36"/>
      <c r="M14" s="36"/>
      <c r="N14" s="36"/>
      <c r="O14" s="36"/>
      <c r="P14" s="37">
        <f>_xlfn.XLOOKUP(A14,'steel Mint data'!A:A,'steel Mint data'!Q:Q,"",0)</f>
        <v>39000</v>
      </c>
      <c r="Q14" s="36">
        <f>_xlfn.XLOOKUP(A14,'steel Mint data'!A:A,'steel Mint data'!R:R,"",0)</f>
        <v>39000</v>
      </c>
      <c r="S14" s="33"/>
      <c r="T14" s="33"/>
    </row>
    <row r="15" spans="1:22">
      <c r="A15" s="83">
        <v>45989</v>
      </c>
      <c r="B15" s="36">
        <f>_xlfn.XLOOKUP(A15,'steel Mint data'!A:A,'steel Mint data'!B:B,"",0)</f>
        <v>43400</v>
      </c>
      <c r="C15" s="36"/>
      <c r="D15" s="36"/>
      <c r="E15" s="36">
        <f>_xlfn.XLOOKUP(A15,'steel Mint data'!A:A,'steel Mint data'!D:D,"",0)</f>
        <v>42400</v>
      </c>
      <c r="F15" s="36">
        <f>_xlfn.XLOOKUP(A15,'steel Mint data'!A:A,'steel Mint data'!E:E,"",0)</f>
        <v>39100</v>
      </c>
      <c r="G15" s="36"/>
      <c r="H15" s="36"/>
      <c r="I15" s="36">
        <f>_xlfn.XLOOKUP(A15,'steel Mint data'!A:A,'steel Mint data'!I:I,"",0)</f>
        <v>42100</v>
      </c>
      <c r="J15" s="36"/>
      <c r="K15" s="36">
        <f>_xlfn.XLOOKUP(A15,'steel Mint data'!A:A,'steel Mint data'!L:L,"",0)</f>
        <v>44800</v>
      </c>
      <c r="L15" s="36"/>
      <c r="M15" s="36"/>
      <c r="N15" s="36"/>
      <c r="O15" s="36"/>
      <c r="P15" s="37">
        <f>_xlfn.XLOOKUP(A15,'steel Mint data'!A:A,'steel Mint data'!Q:Q,"",0)</f>
        <v>38900</v>
      </c>
      <c r="Q15" s="36">
        <f>_xlfn.XLOOKUP(A15,'steel Mint data'!A:A,'steel Mint data'!R:R,"",0)</f>
        <v>39000</v>
      </c>
      <c r="R15" s="33"/>
      <c r="S15" s="33"/>
      <c r="T15" s="33"/>
    </row>
    <row r="16" spans="1:22">
      <c r="A16" s="83">
        <v>45990</v>
      </c>
      <c r="B16" s="36">
        <f>_xlfn.XLOOKUP(A16,'steel Mint data'!A:A,'steel Mint data'!B:B,"",0)</f>
        <v>43400</v>
      </c>
      <c r="C16" s="36"/>
      <c r="D16" s="36"/>
      <c r="E16" s="36">
        <f>_xlfn.XLOOKUP(A16,'steel Mint data'!A:A,'steel Mint data'!D:D,"",0)</f>
        <v>42400</v>
      </c>
      <c r="F16" s="36">
        <f>_xlfn.XLOOKUP(A16,'steel Mint data'!A:A,'steel Mint data'!E:E,"",0)</f>
        <v>39100</v>
      </c>
      <c r="G16" s="36"/>
      <c r="H16" s="36"/>
      <c r="I16" s="36">
        <f>_xlfn.XLOOKUP(A16,'steel Mint data'!A:A,'steel Mint data'!I:I,"",0)</f>
        <v>42300</v>
      </c>
      <c r="J16" s="36"/>
      <c r="K16" s="36">
        <f>_xlfn.XLOOKUP(A16,'steel Mint data'!A:A,'steel Mint data'!L:L,"",0)</f>
        <v>44800</v>
      </c>
      <c r="L16" s="36"/>
      <c r="M16" s="36"/>
      <c r="N16" s="36"/>
      <c r="O16" s="36"/>
      <c r="P16" s="37">
        <f>_xlfn.XLOOKUP(A16,'steel Mint data'!A:A,'steel Mint data'!Q:Q,"",0)</f>
        <v>38700</v>
      </c>
      <c r="Q16" s="36">
        <f>_xlfn.XLOOKUP(A16,'steel Mint data'!A:A,'steel Mint data'!R:R,"",0)</f>
        <v>39000</v>
      </c>
      <c r="R16" s="33"/>
      <c r="S16" s="33"/>
      <c r="T16" s="33"/>
    </row>
    <row r="17" spans="1:21">
      <c r="A17" s="83">
        <v>45991</v>
      </c>
      <c r="B17" s="36" t="str">
        <f>_xlfn.XLOOKUP(A17,'steel Mint data'!A:A,'steel Mint data'!B:B,"",0)</f>
        <v>H</v>
      </c>
      <c r="C17" s="36"/>
      <c r="D17" s="36"/>
      <c r="E17" s="36" t="str">
        <f>_xlfn.XLOOKUP(A17,'steel Mint data'!A:A,'steel Mint data'!D:D,"",0)</f>
        <v>H</v>
      </c>
      <c r="F17" s="36" t="str">
        <f>_xlfn.XLOOKUP(A17,'steel Mint data'!A:A,'steel Mint data'!E:E,"",0)</f>
        <v>H</v>
      </c>
      <c r="G17" s="36"/>
      <c r="H17" s="36"/>
      <c r="I17" s="36" t="str">
        <f>_xlfn.XLOOKUP(A17,'steel Mint data'!A:A,'steel Mint data'!I:I,"",0)</f>
        <v>H</v>
      </c>
      <c r="J17" s="36"/>
      <c r="K17" s="36" t="str">
        <f>_xlfn.XLOOKUP(A17,'steel Mint data'!A:A,'steel Mint data'!L:L,"",0)</f>
        <v>H</v>
      </c>
      <c r="L17" s="36"/>
      <c r="M17" s="36"/>
      <c r="N17" s="36"/>
      <c r="O17" s="36"/>
      <c r="P17" s="37" t="str">
        <f>_xlfn.XLOOKUP(A17,'steel Mint data'!A:A,'steel Mint data'!Q:Q,"",0)</f>
        <v>H</v>
      </c>
      <c r="Q17" s="36" t="str">
        <f>_xlfn.XLOOKUP(A17,'steel Mint data'!A:A,'steel Mint data'!R:R,"",0)</f>
        <v>H</v>
      </c>
      <c r="S17" s="33"/>
    </row>
    <row r="18" spans="1:21">
      <c r="A18" s="83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7"/>
      <c r="Q18" s="36"/>
      <c r="S18" s="33"/>
      <c r="T18" s="33"/>
    </row>
    <row r="19" spans="1:21">
      <c r="A19" s="83"/>
      <c r="B19" s="15">
        <f>SUM(B3:B18)</f>
        <v>514400</v>
      </c>
      <c r="C19" s="14"/>
      <c r="D19" s="14"/>
      <c r="E19" s="15">
        <f>SUM(E3:E18)</f>
        <v>506350</v>
      </c>
      <c r="F19" s="15">
        <f>SUM(F3:F18)</f>
        <v>466300</v>
      </c>
      <c r="G19" s="14"/>
      <c r="H19" s="14"/>
      <c r="I19" s="15">
        <f>SUM(I3:I18)</f>
        <v>500700</v>
      </c>
      <c r="J19" s="14"/>
      <c r="K19" s="15">
        <f>SUM(K3:K18)</f>
        <v>533200</v>
      </c>
      <c r="L19" s="14"/>
      <c r="M19" s="14"/>
      <c r="N19" s="14"/>
      <c r="O19" s="14"/>
      <c r="P19" s="15">
        <f>SUM(P3:P18)</f>
        <v>462700</v>
      </c>
      <c r="Q19" s="15">
        <f>SUM(Q3:Q18)</f>
        <v>464800</v>
      </c>
      <c r="S19" s="33"/>
      <c r="T19" s="33"/>
    </row>
    <row r="20" spans="1:21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143</v>
      </c>
      <c r="H20" s="16" t="s">
        <v>39</v>
      </c>
      <c r="I20" s="16" t="s">
        <v>46</v>
      </c>
      <c r="J20" s="16" t="s">
        <v>126</v>
      </c>
      <c r="K20" s="14"/>
      <c r="L20" s="19"/>
      <c r="M20" s="19"/>
      <c r="N20" s="19"/>
      <c r="O20" s="14"/>
      <c r="P20" s="14"/>
      <c r="Q20" s="14"/>
      <c r="S20" s="33"/>
      <c r="T20" s="33"/>
    </row>
    <row r="21" spans="1:21">
      <c r="A21" s="17" t="s">
        <v>25</v>
      </c>
      <c r="B21" s="18">
        <f>E19/O21</f>
        <v>42195.833333333336</v>
      </c>
      <c r="C21" s="18">
        <f>P19/O21</f>
        <v>38558.333333333336</v>
      </c>
      <c r="D21" s="18">
        <f>K19/O21</f>
        <v>44433.333333333336</v>
      </c>
      <c r="E21" s="18">
        <f>Q19/O21</f>
        <v>38733.333333333336</v>
      </c>
      <c r="F21" s="18">
        <f>C21</f>
        <v>38558.333333333336</v>
      </c>
      <c r="G21" s="18">
        <f>B21-800</f>
        <v>41395.833333333336</v>
      </c>
      <c r="H21" s="18">
        <f>I19/O21</f>
        <v>41725</v>
      </c>
      <c r="I21" s="18">
        <f>B19/(O21)</f>
        <v>42866.666666666664</v>
      </c>
      <c r="J21" s="18">
        <f>F19/O21</f>
        <v>38858.333333333336</v>
      </c>
      <c r="K21" s="19">
        <f>G21+3400</f>
        <v>44795.833333333336</v>
      </c>
      <c r="L21" s="19"/>
      <c r="M21" s="146"/>
      <c r="N21" s="19"/>
      <c r="O21" s="20">
        <f>COUNT(P3:P18)</f>
        <v>12</v>
      </c>
      <c r="P21" s="21"/>
      <c r="Q21" s="19"/>
      <c r="R21" s="33"/>
      <c r="S21" s="33"/>
      <c r="T21" s="33"/>
    </row>
    <row r="22" spans="1:21">
      <c r="A22" s="17" t="s">
        <v>26</v>
      </c>
      <c r="B22" s="18">
        <v>1200</v>
      </c>
      <c r="C22" s="18">
        <v>2150</v>
      </c>
      <c r="D22" s="18">
        <v>400</v>
      </c>
      <c r="E22" s="18">
        <v>2200</v>
      </c>
      <c r="F22" s="18">
        <v>1800</v>
      </c>
      <c r="G22" s="18">
        <v>1200</v>
      </c>
      <c r="H22" s="18">
        <v>800</v>
      </c>
      <c r="I22" s="18">
        <v>0</v>
      </c>
      <c r="J22" s="18">
        <v>2700</v>
      </c>
      <c r="K22" s="69"/>
      <c r="L22" s="19"/>
      <c r="M22" s="146"/>
      <c r="N22" s="19"/>
      <c r="O22" s="48"/>
      <c r="P22" s="48"/>
      <c r="Q22" s="176"/>
      <c r="R22" s="49"/>
      <c r="S22" s="49"/>
      <c r="T22" s="49"/>
    </row>
    <row r="23" spans="1:21">
      <c r="A23" s="17" t="s">
        <v>27</v>
      </c>
      <c r="B23" s="18">
        <v>200</v>
      </c>
      <c r="C23" s="18">
        <v>265</v>
      </c>
      <c r="D23" s="18">
        <v>250</v>
      </c>
      <c r="E23" s="18">
        <v>275</v>
      </c>
      <c r="F23" s="18">
        <v>275</v>
      </c>
      <c r="G23" s="18">
        <v>200</v>
      </c>
      <c r="H23" s="18">
        <v>270</v>
      </c>
      <c r="I23" s="18">
        <v>200</v>
      </c>
      <c r="J23" s="18">
        <v>270</v>
      </c>
      <c r="K23" s="69"/>
      <c r="L23" s="19"/>
      <c r="M23" s="146"/>
      <c r="N23" s="48"/>
      <c r="O23" s="48"/>
      <c r="P23" s="48"/>
      <c r="Q23" s="48"/>
      <c r="R23" s="49"/>
      <c r="S23" s="48"/>
      <c r="T23" s="49"/>
    </row>
    <row r="24" spans="1:21" ht="19.5" customHeight="1">
      <c r="A24" s="22" t="s">
        <v>28</v>
      </c>
      <c r="B24" s="18">
        <f>SUM(B21:B23)</f>
        <v>43595.833333333336</v>
      </c>
      <c r="C24" s="18">
        <f>SUM(C21:C23)</f>
        <v>40973.333333333336</v>
      </c>
      <c r="D24" s="18">
        <f>SUM(D21:D23)</f>
        <v>45083.333333333336</v>
      </c>
      <c r="E24" s="18">
        <f>SUM(E21:E23)</f>
        <v>41208.333333333336</v>
      </c>
      <c r="F24" s="18">
        <f>SUM(F21:F23)</f>
        <v>40633.333333333336</v>
      </c>
      <c r="G24" s="18">
        <f>SUM(G21:G23)</f>
        <v>42795.833333333336</v>
      </c>
      <c r="H24" s="18">
        <f>SUM(H21:H23)</f>
        <v>42795</v>
      </c>
      <c r="I24" s="18">
        <f>SUM(I21:I23)</f>
        <v>43066.666666666664</v>
      </c>
      <c r="J24" s="18">
        <f>SUM(J21:J23)</f>
        <v>41828.333333333336</v>
      </c>
      <c r="K24" s="69"/>
      <c r="L24" s="19"/>
      <c r="M24" s="69"/>
      <c r="N24" s="48">
        <f>44750-3150-C24</f>
        <v>626.66666666666424</v>
      </c>
      <c r="O24" s="48"/>
      <c r="P24" s="48"/>
      <c r="Q24" s="48"/>
      <c r="R24" s="49"/>
      <c r="S24" s="49"/>
      <c r="T24" s="49"/>
    </row>
    <row r="25" spans="1:21">
      <c r="A25" s="22" t="s">
        <v>29</v>
      </c>
      <c r="B25" s="18">
        <v>45100</v>
      </c>
      <c r="C25" s="18">
        <v>42315</v>
      </c>
      <c r="D25" s="18">
        <v>46150</v>
      </c>
      <c r="E25" s="23"/>
      <c r="F25" s="18">
        <v>41975</v>
      </c>
      <c r="G25" s="18">
        <v>44300</v>
      </c>
      <c r="H25" s="18"/>
      <c r="I25" s="18">
        <v>44300</v>
      </c>
      <c r="J25" s="18">
        <f>38000+2700+270</f>
        <v>40970</v>
      </c>
      <c r="K25" s="48"/>
      <c r="L25" s="19"/>
      <c r="M25" s="69"/>
      <c r="N25" s="174"/>
      <c r="O25" s="48"/>
      <c r="P25" s="48">
        <f>42000-F24</f>
        <v>1366.6666666666642</v>
      </c>
      <c r="R25" s="49"/>
      <c r="S25" s="49"/>
      <c r="T25" s="49"/>
    </row>
    <row r="26" spans="1:21">
      <c r="A26" s="22" t="s">
        <v>30</v>
      </c>
      <c r="B26" s="18">
        <f>B24-B25</f>
        <v>-1504.1666666666642</v>
      </c>
      <c r="C26" s="18">
        <f>C24-C25</f>
        <v>-1341.6666666666642</v>
      </c>
      <c r="D26" s="18">
        <f>D24-D25</f>
        <v>-1066.6666666666642</v>
      </c>
      <c r="E26" s="18">
        <f>E24-E25</f>
        <v>41208.333333333336</v>
      </c>
      <c r="F26" s="18">
        <f>F24-F25</f>
        <v>-1341.6666666666642</v>
      </c>
      <c r="G26" s="18">
        <f>G24-G25</f>
        <v>-1504.1666666666642</v>
      </c>
      <c r="H26" s="18">
        <f>H24-H25</f>
        <v>42795</v>
      </c>
      <c r="I26" s="18">
        <f>I24-I25</f>
        <v>-1233.3333333333358</v>
      </c>
      <c r="J26" s="18">
        <f>J24-J25</f>
        <v>858.33333333333576</v>
      </c>
      <c r="K26" s="48"/>
      <c r="L26" s="19"/>
      <c r="M26" s="69"/>
      <c r="N26" s="174"/>
      <c r="O26" s="48"/>
      <c r="P26" s="48"/>
      <c r="Q26" s="48"/>
      <c r="R26" s="49"/>
      <c r="S26" s="49"/>
      <c r="T26" s="49"/>
    </row>
    <row r="27" spans="1:21">
      <c r="A27" s="14"/>
      <c r="B27" s="19">
        <f>B25-2500</f>
        <v>42600</v>
      </c>
      <c r="C27" s="14"/>
      <c r="D27" s="14"/>
      <c r="E27" s="14"/>
      <c r="F27" s="14"/>
      <c r="G27" s="19">
        <f>G25-2500</f>
        <v>41800</v>
      </c>
      <c r="H27" s="14"/>
      <c r="I27" s="14"/>
      <c r="J27" s="14"/>
      <c r="K27" s="48"/>
      <c r="L27" s="19"/>
      <c r="M27" s="69"/>
      <c r="N27" s="174"/>
      <c r="O27" s="48"/>
      <c r="P27" s="48"/>
      <c r="Q27" s="48"/>
      <c r="R27" s="49"/>
      <c r="S27" s="49"/>
      <c r="T27" s="49"/>
    </row>
    <row r="28" spans="1:21">
      <c r="A28" s="22" t="s">
        <v>31</v>
      </c>
      <c r="B28" s="23">
        <v>48300</v>
      </c>
      <c r="C28" s="23">
        <v>45550</v>
      </c>
      <c r="D28" s="18">
        <v>48800</v>
      </c>
      <c r="E28" s="18">
        <v>45550</v>
      </c>
      <c r="F28" s="18">
        <v>45550</v>
      </c>
      <c r="G28" s="18">
        <v>47500</v>
      </c>
      <c r="H28" s="18">
        <v>47800</v>
      </c>
      <c r="I28" s="18">
        <v>48300</v>
      </c>
      <c r="J28" s="18"/>
      <c r="K28" s="48"/>
      <c r="L28" s="48"/>
      <c r="M28" s="69"/>
      <c r="N28" s="48"/>
      <c r="O28" s="48"/>
      <c r="P28" s="48"/>
      <c r="Q28" s="48"/>
      <c r="R28" s="49"/>
      <c r="S28" s="49"/>
      <c r="T28" s="49"/>
    </row>
    <row r="29" spans="1:21">
      <c r="A29" s="22" t="s">
        <v>32</v>
      </c>
      <c r="B29" s="26">
        <f>B28-500-(200+300+300)-250-400</f>
        <v>46350</v>
      </c>
      <c r="C29" s="26">
        <f>C28-500-(200+300+300)-250-400</f>
        <v>43600</v>
      </c>
      <c r="D29" s="26">
        <f>D28-500-(200+300+300)-250-400</f>
        <v>46850</v>
      </c>
      <c r="E29" s="26">
        <f>E28-500-(200+300+300)-250-400</f>
        <v>43600</v>
      </c>
      <c r="F29" s="26">
        <f>F28-500-(200+300+300)-250-400</f>
        <v>43600</v>
      </c>
      <c r="G29" s="26">
        <f>G28-500-(200+300+300)-250-400</f>
        <v>45550</v>
      </c>
      <c r="H29" s="26">
        <f>H28-500-(200+300+300)-250-400</f>
        <v>45850</v>
      </c>
      <c r="I29" s="26">
        <f>I28-500-(200+300+300)-250-400</f>
        <v>46350</v>
      </c>
      <c r="J29" s="26"/>
      <c r="K29" s="48"/>
      <c r="L29" s="48"/>
      <c r="M29" s="48"/>
      <c r="N29" s="48"/>
      <c r="O29" s="48"/>
      <c r="P29" s="48"/>
      <c r="Q29" s="48"/>
      <c r="R29" s="49"/>
      <c r="S29" s="49"/>
      <c r="T29" s="49"/>
    </row>
    <row r="30" spans="1:21">
      <c r="A30" s="25" t="s">
        <v>33</v>
      </c>
      <c r="B30" s="18">
        <f>B29-B24</f>
        <v>2754.1666666666642</v>
      </c>
      <c r="C30" s="18">
        <f>C29-C24</f>
        <v>2626.6666666666642</v>
      </c>
      <c r="D30" s="18">
        <f>D29-D24</f>
        <v>1766.6666666666642</v>
      </c>
      <c r="E30" s="18">
        <f>E29-E24</f>
        <v>2391.6666666666642</v>
      </c>
      <c r="F30" s="18">
        <f>F29-F24</f>
        <v>2966.6666666666642</v>
      </c>
      <c r="G30" s="18">
        <f>G29-G24</f>
        <v>2754.1666666666642</v>
      </c>
      <c r="H30" s="18">
        <f>H29-H24</f>
        <v>3055</v>
      </c>
      <c r="I30" s="18">
        <f>I29-I24</f>
        <v>3283.3333333333358</v>
      </c>
      <c r="J30" s="18"/>
      <c r="K30" s="48"/>
      <c r="L30" s="48"/>
      <c r="M30" s="48"/>
      <c r="N30" s="48"/>
      <c r="O30" s="48"/>
      <c r="P30" s="48"/>
      <c r="Q30" s="48"/>
      <c r="R30" s="49"/>
      <c r="S30" s="49"/>
      <c r="T30" s="49"/>
      <c r="U30" s="33"/>
    </row>
    <row r="31" spans="1:21">
      <c r="I31" s="33"/>
      <c r="J31" s="49"/>
      <c r="K31" s="48"/>
      <c r="L31" s="48"/>
      <c r="M31" s="48"/>
      <c r="N31" s="48"/>
      <c r="O31" s="48"/>
      <c r="P31" s="48"/>
      <c r="Q31" s="49"/>
      <c r="R31" s="49"/>
      <c r="S31" s="49"/>
      <c r="T31" s="49"/>
      <c r="U31" s="33"/>
    </row>
    <row r="32" spans="1:21">
      <c r="A32" t="s">
        <v>141</v>
      </c>
      <c r="B32" s="33">
        <v>44200</v>
      </c>
      <c r="C32" s="33">
        <v>42200</v>
      </c>
      <c r="D32" s="33">
        <v>45400</v>
      </c>
      <c r="E32" s="33"/>
      <c r="F32" s="33"/>
      <c r="G32" s="33">
        <v>43400</v>
      </c>
      <c r="H32" s="33"/>
      <c r="I32" s="33"/>
      <c r="J32" s="49"/>
      <c r="K32" s="49"/>
      <c r="L32" s="49"/>
      <c r="M32" s="48"/>
      <c r="N32" s="49"/>
      <c r="O32" s="48"/>
      <c r="P32" s="49"/>
      <c r="Q32" s="49"/>
      <c r="R32" s="49"/>
      <c r="S32" s="49"/>
      <c r="T32" s="49"/>
    </row>
    <row r="33" spans="1:21 16384:16384" ht="22.5" customHeight="1">
      <c r="A33" t="s">
        <v>144</v>
      </c>
      <c r="B33" s="33"/>
      <c r="C33" s="33"/>
      <c r="D33" s="33"/>
      <c r="E33" s="104"/>
      <c r="F33" s="33"/>
      <c r="G33" s="33">
        <v>44250</v>
      </c>
      <c r="H33" s="33"/>
      <c r="I33" s="33">
        <v>44000</v>
      </c>
      <c r="J33" s="49">
        <f>45550+600</f>
        <v>46150</v>
      </c>
      <c r="K33" s="48"/>
      <c r="L33" s="49"/>
      <c r="M33" s="48"/>
      <c r="N33" s="49"/>
      <c r="O33" s="48"/>
      <c r="P33" s="49"/>
      <c r="Q33" s="49"/>
      <c r="R33" s="49"/>
      <c r="S33" s="49"/>
      <c r="T33" s="49"/>
      <c r="XFD33" s="96" t="s">
        <v>68</v>
      </c>
    </row>
    <row r="34" spans="1:21 16384:16384" ht="15.75">
      <c r="C34" s="33">
        <f>44300-2200-C24</f>
        <v>1126.6666666666642</v>
      </c>
      <c r="D34" s="33"/>
      <c r="F34" s="33"/>
      <c r="G34" s="33"/>
      <c r="H34" s="33"/>
      <c r="J34" s="49">
        <f>J33-4000-I24-1000</f>
        <v>-1916.6666666666642</v>
      </c>
      <c r="K34" s="125"/>
      <c r="L34" s="125"/>
      <c r="M34" s="48"/>
      <c r="N34" s="125"/>
      <c r="O34" s="125"/>
      <c r="P34" s="106"/>
      <c r="Q34" s="128"/>
      <c r="R34" s="49"/>
      <c r="S34" s="49"/>
      <c r="T34" s="49"/>
      <c r="XFD34" s="97">
        <v>43500</v>
      </c>
    </row>
    <row r="35" spans="1:21 16384:16384" ht="15.75">
      <c r="A35" t="s">
        <v>72</v>
      </c>
      <c r="B35" s="33">
        <f>B32-B24-1000</f>
        <v>-395.83333333333576</v>
      </c>
      <c r="C35" s="33">
        <f>C32-C24-700</f>
        <v>526.66666666666424</v>
      </c>
      <c r="D35" s="33">
        <f>D32-D24-500</f>
        <v>-183.33333333333576</v>
      </c>
      <c r="E35" s="33"/>
      <c r="F35" s="33"/>
      <c r="G35" s="33">
        <f>G32-G24-1000</f>
        <v>-395.83333333333576</v>
      </c>
      <c r="H35" s="124"/>
      <c r="I35" s="33">
        <f>I33-I24-500-1000</f>
        <v>-566.66666666666424</v>
      </c>
      <c r="J35" s="49"/>
      <c r="K35" s="106"/>
      <c r="L35" s="125"/>
      <c r="M35" s="48"/>
      <c r="N35" s="125"/>
      <c r="O35" s="125"/>
      <c r="P35" s="125"/>
      <c r="Q35" s="106"/>
      <c r="R35" s="49"/>
      <c r="S35" s="49"/>
      <c r="T35" s="49"/>
      <c r="XFD35" s="97">
        <v>44000</v>
      </c>
    </row>
    <row r="36" spans="1:21 16384:16384" ht="15.75">
      <c r="D36" s="33"/>
      <c r="E36" s="33">
        <f>43200-1700-C24</f>
        <v>526.66666666666424</v>
      </c>
      <c r="F36" s="112"/>
      <c r="G36" s="218"/>
      <c r="H36" s="33"/>
      <c r="I36" s="33"/>
      <c r="J36" s="49"/>
      <c r="K36" s="125"/>
      <c r="L36" s="125"/>
      <c r="M36" s="145"/>
      <c r="N36" s="106"/>
      <c r="O36" s="125"/>
      <c r="P36" s="125"/>
      <c r="Q36" s="106"/>
      <c r="R36" s="49"/>
      <c r="S36" s="49"/>
      <c r="T36" s="49"/>
      <c r="XFD36" s="97">
        <v>43500</v>
      </c>
    </row>
    <row r="37" spans="1:21 16384:16384" ht="15.75">
      <c r="D37" s="33">
        <f>45500-1225-D24</f>
        <v>-808.33333333333576</v>
      </c>
      <c r="F37" s="113"/>
      <c r="G37" s="170">
        <f>G21+3000</f>
        <v>44395.833333333336</v>
      </c>
      <c r="H37" s="167"/>
      <c r="J37" s="49"/>
      <c r="K37" s="106"/>
      <c r="L37" s="106"/>
      <c r="M37" s="106"/>
      <c r="N37" s="125"/>
      <c r="O37" s="106"/>
      <c r="P37" s="106"/>
      <c r="Q37" s="106"/>
      <c r="R37" s="130" t="s">
        <v>115</v>
      </c>
      <c r="S37" s="131" t="s">
        <v>116</v>
      </c>
      <c r="T37" s="131" t="s">
        <v>117</v>
      </c>
      <c r="U37" s="130" t="s">
        <v>118</v>
      </c>
      <c r="XFD37" s="97">
        <v>44000</v>
      </c>
    </row>
    <row r="38" spans="1:21 16384:16384" ht="15.75">
      <c r="C38" s="33">
        <f>45550-1600-D24</f>
        <v>-1133.3333333333358</v>
      </c>
      <c r="D38" s="33">
        <f>45550-1800-D24</f>
        <v>-1333.3333333333358</v>
      </c>
      <c r="F38" s="112"/>
      <c r="G38" s="170"/>
      <c r="H38" s="169"/>
      <c r="J38" s="49"/>
      <c r="K38" s="106"/>
      <c r="L38" s="125"/>
      <c r="M38" s="106"/>
      <c r="N38" s="106"/>
      <c r="O38" s="106"/>
      <c r="P38" s="106"/>
      <c r="Q38" s="106"/>
      <c r="R38" s="129" t="s">
        <v>119</v>
      </c>
      <c r="S38" s="129">
        <v>815</v>
      </c>
      <c r="T38" s="129">
        <v>207</v>
      </c>
      <c r="U38" s="129">
        <f>S38-T38</f>
        <v>608</v>
      </c>
      <c r="XFD38" s="97">
        <v>43000</v>
      </c>
    </row>
    <row r="39" spans="1:21 16384:16384" ht="15.75">
      <c r="D39" s="33"/>
      <c r="E39" s="33"/>
      <c r="F39" s="112"/>
      <c r="G39" s="170"/>
      <c r="H39" s="170"/>
      <c r="J39" s="49"/>
      <c r="K39" s="106"/>
      <c r="L39" s="125"/>
      <c r="M39" s="125"/>
      <c r="N39" s="106"/>
      <c r="O39" s="106"/>
      <c r="P39" s="106"/>
      <c r="Q39" s="106"/>
      <c r="R39" s="129" t="s">
        <v>120</v>
      </c>
      <c r="S39" s="129">
        <v>46000</v>
      </c>
      <c r="T39" s="129">
        <v>46000</v>
      </c>
      <c r="U39" s="29">
        <v>46000</v>
      </c>
      <c r="XFD39" s="97">
        <v>43500</v>
      </c>
    </row>
    <row r="40" spans="1:21 16384:16384" ht="15.75">
      <c r="A40" s="39" t="s">
        <v>40</v>
      </c>
      <c r="B40" s="40" t="s">
        <v>49</v>
      </c>
      <c r="C40" s="43"/>
      <c r="F40" s="114"/>
      <c r="G40" s="172">
        <f>45550+600-4000-I24</f>
        <v>-916.66666666666424</v>
      </c>
      <c r="H40" s="171"/>
      <c r="J40" s="49"/>
      <c r="K40" s="106"/>
      <c r="L40" s="126"/>
      <c r="M40" s="127"/>
      <c r="N40" s="128"/>
      <c r="O40" s="106"/>
      <c r="P40" s="106"/>
      <c r="Q40" s="106"/>
      <c r="R40" s="129" t="s">
        <v>121</v>
      </c>
      <c r="S40" s="129">
        <v>3300</v>
      </c>
      <c r="T40" s="129">
        <v>1450</v>
      </c>
      <c r="U40" s="29">
        <v>3350</v>
      </c>
      <c r="XFD40" s="97">
        <v>44000</v>
      </c>
    </row>
    <row r="41" spans="1:21 16384:16384" ht="15.75">
      <c r="A41" s="29" t="s">
        <v>42</v>
      </c>
      <c r="B41" s="29">
        <v>46000</v>
      </c>
      <c r="C41" s="43"/>
      <c r="F41" s="114"/>
      <c r="G41" s="172"/>
      <c r="H41" s="172"/>
      <c r="I41" s="33"/>
      <c r="J41" s="49"/>
      <c r="K41" s="106"/>
      <c r="L41" s="106"/>
      <c r="M41" s="106"/>
      <c r="N41" s="106"/>
      <c r="O41" s="106"/>
      <c r="P41" s="106"/>
      <c r="Q41" s="106"/>
      <c r="R41" s="129" t="s">
        <v>122</v>
      </c>
      <c r="S41" s="129">
        <v>1000</v>
      </c>
      <c r="T41" s="129">
        <v>1000</v>
      </c>
      <c r="U41" s="129">
        <v>1250</v>
      </c>
      <c r="XFD41" s="97">
        <v>45000</v>
      </c>
    </row>
    <row r="42" spans="1:21 16384:16384" ht="15.75">
      <c r="A42" s="29" t="s">
        <v>43</v>
      </c>
      <c r="B42" s="29">
        <v>42615</v>
      </c>
      <c r="C42" s="43">
        <f>B42+1250</f>
        <v>43865</v>
      </c>
      <c r="F42" s="114"/>
      <c r="G42" s="171"/>
      <c r="H42" s="173"/>
      <c r="J42" s="49"/>
      <c r="K42" s="106"/>
      <c r="L42" s="106"/>
      <c r="M42" s="106"/>
      <c r="N42" s="106"/>
      <c r="O42" s="106"/>
      <c r="P42" s="106"/>
      <c r="Q42" s="106"/>
      <c r="R42" s="129" t="s">
        <v>123</v>
      </c>
      <c r="S42" s="129">
        <f>S39-S40-S41</f>
        <v>41700</v>
      </c>
      <c r="T42" s="129">
        <f t="shared" ref="T42:U42" si="0">T39-T40-T41</f>
        <v>43550</v>
      </c>
      <c r="U42" s="129">
        <f t="shared" si="0"/>
        <v>41400</v>
      </c>
      <c r="XFD42" s="97">
        <v>43500</v>
      </c>
    </row>
    <row r="43" spans="1:21 16384:16384" ht="15.75">
      <c r="A43" s="29" t="s">
        <v>44</v>
      </c>
      <c r="B43" s="29">
        <v>42275</v>
      </c>
      <c r="C43" s="43">
        <f>B43+1000</f>
        <v>43275</v>
      </c>
      <c r="G43" s="33">
        <f>45550-1600-D24</f>
        <v>-1133.3333333333358</v>
      </c>
      <c r="J43" s="49"/>
      <c r="K43" s="106"/>
      <c r="L43" s="106"/>
      <c r="M43" s="106"/>
      <c r="N43" s="106"/>
      <c r="O43" s="106"/>
      <c r="P43" s="106"/>
      <c r="Q43" s="106"/>
      <c r="R43" s="129" t="s">
        <v>124</v>
      </c>
      <c r="S43" s="129">
        <f>S42-F24</f>
        <v>1066.6666666666642</v>
      </c>
      <c r="T43" s="129">
        <f>T42-G24</f>
        <v>754.16666666666424</v>
      </c>
      <c r="U43" s="129">
        <f>U42-C24</f>
        <v>426.66666666666424</v>
      </c>
      <c r="XFD43" s="97">
        <v>44000</v>
      </c>
    </row>
    <row r="44" spans="1:21 16384:16384" ht="15.75">
      <c r="A44" s="29" t="s">
        <v>36</v>
      </c>
      <c r="B44" s="29">
        <v>46450</v>
      </c>
      <c r="C44" s="43">
        <f>B44+800</f>
        <v>47250</v>
      </c>
      <c r="J44" s="49"/>
      <c r="K44" s="106"/>
      <c r="L44" s="106"/>
      <c r="M44" s="106"/>
      <c r="N44" s="106"/>
      <c r="O44" s="106"/>
      <c r="P44" s="106"/>
      <c r="Q44" s="106"/>
      <c r="R44" s="129" t="s">
        <v>125</v>
      </c>
      <c r="S44" s="129"/>
      <c r="T44" s="525">
        <f>SUMPRODUCT(T43:U43,T38:U38)/SUM(T38:U38)</f>
        <v>509.84764826175632</v>
      </c>
      <c r="U44" s="525"/>
      <c r="XFD44" s="97">
        <v>44000</v>
      </c>
    </row>
    <row r="45" spans="1:21 16384:16384" ht="15.75">
      <c r="A45" s="29" t="s">
        <v>37</v>
      </c>
      <c r="B45" s="29">
        <v>45200</v>
      </c>
      <c r="C45" s="43">
        <f>B45+1000</f>
        <v>46200</v>
      </c>
      <c r="J45" s="49"/>
      <c r="K45" s="106"/>
      <c r="L45" s="106"/>
      <c r="M45" s="106"/>
      <c r="N45" s="106"/>
      <c r="O45" s="106"/>
      <c r="P45" s="106"/>
      <c r="Q45" s="106"/>
      <c r="R45" s="49"/>
      <c r="S45" s="49"/>
      <c r="T45" s="49"/>
      <c r="XFD45" s="97">
        <v>44000</v>
      </c>
    </row>
    <row r="46" spans="1:21 16384:16384" ht="15.75">
      <c r="A46" s="29" t="s">
        <v>45</v>
      </c>
      <c r="B46" s="29">
        <v>44470</v>
      </c>
      <c r="C46" s="43"/>
      <c r="D46" s="24"/>
      <c r="E46" s="24"/>
      <c r="F46" s="24"/>
      <c r="G46" s="24"/>
      <c r="H46" s="24"/>
      <c r="I46" s="24"/>
      <c r="J46" s="49"/>
      <c r="K46" s="106"/>
      <c r="L46" s="106"/>
      <c r="M46" s="106"/>
      <c r="N46" s="106"/>
      <c r="O46" s="106"/>
      <c r="P46" s="106"/>
      <c r="Q46" s="106"/>
      <c r="R46" s="49"/>
      <c r="S46" s="49"/>
      <c r="T46" s="49"/>
      <c r="XFD46" s="97">
        <v>41000</v>
      </c>
    </row>
    <row r="47" spans="1:21 16384:16384" ht="15.75">
      <c r="A47" s="43" t="s">
        <v>50</v>
      </c>
      <c r="B47" s="43">
        <v>43675</v>
      </c>
      <c r="C47" s="43"/>
      <c r="D47" s="33"/>
      <c r="E47" s="33"/>
      <c r="F47" s="33"/>
      <c r="G47" s="33"/>
      <c r="H47" s="33"/>
      <c r="I47" s="33"/>
      <c r="K47" s="523"/>
      <c r="L47" s="523"/>
      <c r="M47" s="106"/>
      <c r="N47" s="106"/>
      <c r="O47" s="106"/>
      <c r="P47" s="106"/>
      <c r="Q47" s="106"/>
    </row>
    <row r="48" spans="1:21 16384:16384">
      <c r="A48" s="46" t="s">
        <v>46</v>
      </c>
      <c r="B48" s="46">
        <f>44500-1000</f>
        <v>43500</v>
      </c>
      <c r="C48" s="46">
        <f>B48+1000</f>
        <v>44500</v>
      </c>
    </row>
    <row r="49" spans="1:14">
      <c r="B49" s="33"/>
    </row>
    <row r="51" spans="1:14" ht="37.5">
      <c r="B51" s="16" t="s">
        <v>18</v>
      </c>
      <c r="C51" s="16" t="s">
        <v>19</v>
      </c>
      <c r="D51" s="16" t="s">
        <v>20</v>
      </c>
      <c r="E51" s="16" t="s">
        <v>21</v>
      </c>
      <c r="F51" s="16" t="s">
        <v>22</v>
      </c>
      <c r="G51" s="16" t="s">
        <v>143</v>
      </c>
      <c r="H51" s="16" t="s">
        <v>39</v>
      </c>
      <c r="I51" s="16" t="s">
        <v>46</v>
      </c>
      <c r="J51" s="16" t="s">
        <v>126</v>
      </c>
    </row>
    <row r="52" spans="1:14">
      <c r="A52" t="s">
        <v>141</v>
      </c>
      <c r="B52" s="33">
        <v>43250</v>
      </c>
      <c r="C52" s="33">
        <v>41000</v>
      </c>
      <c r="D52" s="33">
        <v>44250</v>
      </c>
      <c r="E52" s="33">
        <v>40600</v>
      </c>
      <c r="F52" s="33">
        <v>40750</v>
      </c>
      <c r="G52" s="33">
        <v>42750</v>
      </c>
      <c r="H52" s="33"/>
      <c r="I52" s="33">
        <v>42500</v>
      </c>
      <c r="J52" s="49"/>
    </row>
    <row r="53" spans="1:14">
      <c r="A53" t="s">
        <v>48</v>
      </c>
      <c r="B53" s="33"/>
      <c r="C53" s="33"/>
      <c r="D53" s="33"/>
      <c r="E53" s="33"/>
      <c r="F53" s="33"/>
      <c r="G53" s="33">
        <v>43700</v>
      </c>
      <c r="H53" s="33"/>
      <c r="I53" s="33">
        <v>43500</v>
      </c>
      <c r="J53" s="49"/>
    </row>
    <row r="54" spans="1:14">
      <c r="C54" s="115"/>
      <c r="D54" s="109"/>
      <c r="E54" s="109"/>
      <c r="F54" s="52"/>
      <c r="G54" s="109"/>
      <c r="H54" s="109"/>
      <c r="K54" s="110"/>
      <c r="L54" s="110"/>
      <c r="M54" s="110"/>
      <c r="N54" s="110"/>
    </row>
    <row r="55" spans="1:14">
      <c r="A55" t="s">
        <v>72</v>
      </c>
      <c r="B55" s="33">
        <f>B52-B24</f>
        <v>-345.83333333333576</v>
      </c>
      <c r="C55" s="33">
        <f t="shared" ref="C55:J55" si="1">C52-C24</f>
        <v>26.666666666664241</v>
      </c>
      <c r="D55" s="33">
        <f t="shared" si="1"/>
        <v>-833.33333333333576</v>
      </c>
      <c r="E55" s="33">
        <f t="shared" si="1"/>
        <v>-608.33333333333576</v>
      </c>
      <c r="F55" s="33">
        <f t="shared" si="1"/>
        <v>116.66666666666424</v>
      </c>
      <c r="G55" s="33">
        <f t="shared" si="1"/>
        <v>-45.833333333335759</v>
      </c>
      <c r="H55" s="33">
        <f t="shared" si="1"/>
        <v>-42795</v>
      </c>
      <c r="I55" s="33">
        <f t="shared" si="1"/>
        <v>-566.66666666666424</v>
      </c>
      <c r="J55" s="33">
        <f t="shared" si="1"/>
        <v>-41828.333333333336</v>
      </c>
      <c r="L55" s="62"/>
      <c r="M55" s="62"/>
      <c r="N55" s="62"/>
    </row>
    <row r="56" spans="1:14">
      <c r="C56" s="52"/>
      <c r="D56" s="111"/>
      <c r="E56" s="111"/>
      <c r="F56" s="58"/>
      <c r="G56" s="111"/>
      <c r="H56" s="111"/>
      <c r="L56" s="62"/>
      <c r="M56" s="62"/>
      <c r="N56" s="62"/>
    </row>
    <row r="57" spans="1:14">
      <c r="C57" s="52"/>
      <c r="D57" s="111"/>
      <c r="E57" s="111"/>
      <c r="F57" s="58"/>
      <c r="G57" s="111"/>
      <c r="H57" s="111"/>
      <c r="L57" s="62"/>
      <c r="M57" s="62"/>
      <c r="N57" s="62"/>
    </row>
    <row r="58" spans="1:14">
      <c r="C58" s="52"/>
      <c r="D58" s="111"/>
      <c r="E58" s="111"/>
      <c r="F58" s="58"/>
      <c r="G58" s="111"/>
      <c r="H58" s="111"/>
      <c r="L58" s="62"/>
      <c r="M58" s="62"/>
      <c r="N58" s="62"/>
    </row>
    <row r="59" spans="1:14">
      <c r="C59" s="52"/>
      <c r="D59" s="111"/>
      <c r="E59" s="111"/>
      <c r="F59" s="58"/>
      <c r="G59" s="111"/>
      <c r="H59" s="111"/>
      <c r="K59" s="116"/>
      <c r="L59" s="117"/>
      <c r="M59" s="117"/>
      <c r="N59" s="117"/>
    </row>
    <row r="60" spans="1:14">
      <c r="C60" s="52"/>
      <c r="D60" s="111"/>
      <c r="E60" s="111"/>
      <c r="F60" s="58"/>
      <c r="G60" s="111"/>
      <c r="H60" s="111"/>
    </row>
    <row r="61" spans="1:14">
      <c r="C61" s="52"/>
      <c r="D61" s="118"/>
      <c r="E61" s="118"/>
      <c r="F61" s="58"/>
      <c r="G61" s="118"/>
      <c r="H61" s="118"/>
    </row>
    <row r="62" spans="1:14">
      <c r="C62" s="52"/>
      <c r="D62" s="118"/>
      <c r="E62" s="118"/>
      <c r="F62" s="58"/>
      <c r="G62" s="118"/>
      <c r="H62" s="118"/>
    </row>
    <row r="63" spans="1:14">
      <c r="C63" s="119"/>
      <c r="D63" s="118"/>
      <c r="E63" s="118"/>
      <c r="F63" s="58"/>
      <c r="G63" s="118"/>
      <c r="H63" s="118"/>
    </row>
    <row r="73" spans="3:12">
      <c r="C73" s="120"/>
      <c r="D73" s="120"/>
      <c r="E73" s="120"/>
      <c r="F73" s="120"/>
      <c r="G73" s="120"/>
      <c r="H73" s="120"/>
      <c r="I73" s="120"/>
      <c r="J73" s="120"/>
      <c r="K73" s="120"/>
      <c r="L73" s="120"/>
    </row>
    <row r="74" spans="3:12">
      <c r="C74" s="120"/>
      <c r="D74" s="121"/>
      <c r="E74" s="122"/>
      <c r="F74" s="122"/>
      <c r="G74" s="122"/>
      <c r="H74" s="122"/>
      <c r="I74" s="122"/>
      <c r="J74" s="122"/>
      <c r="K74" s="122"/>
      <c r="L74" s="122"/>
    </row>
    <row r="75" spans="3:12">
      <c r="C75" s="120"/>
      <c r="D75" s="121"/>
      <c r="E75" s="122"/>
      <c r="F75" s="122"/>
      <c r="G75" s="122"/>
      <c r="H75" s="122"/>
      <c r="I75" s="122"/>
      <c r="J75" s="122"/>
      <c r="K75" s="122"/>
      <c r="L75" s="122"/>
    </row>
    <row r="76" spans="3:12">
      <c r="C76" s="120"/>
      <c r="D76" s="121"/>
      <c r="E76" s="122"/>
      <c r="F76" s="122"/>
      <c r="G76" s="122"/>
      <c r="H76" s="122"/>
      <c r="I76" s="122"/>
      <c r="J76" s="122"/>
      <c r="K76" s="122"/>
      <c r="L76" s="122"/>
    </row>
    <row r="77" spans="3:12">
      <c r="C77" s="120"/>
      <c r="D77" s="121"/>
      <c r="E77" s="122"/>
      <c r="F77" s="122"/>
      <c r="G77" s="122"/>
      <c r="H77" s="122"/>
      <c r="I77" s="122"/>
      <c r="J77" s="122"/>
      <c r="K77" s="122"/>
      <c r="L77" s="122"/>
    </row>
    <row r="78" spans="3:12">
      <c r="C78" s="120"/>
      <c r="D78" s="120"/>
      <c r="E78" s="123"/>
      <c r="F78" s="123"/>
      <c r="G78" s="123"/>
      <c r="H78" s="123"/>
      <c r="I78" s="123"/>
      <c r="J78" s="123"/>
      <c r="K78" s="123"/>
      <c r="L78" s="123"/>
    </row>
  </sheetData>
  <mergeCells count="3">
    <mergeCell ref="B1:Q1"/>
    <mergeCell ref="T44:U44"/>
    <mergeCell ref="K47:L47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D10AE-12C6-47BF-BC15-A692427BD41F}">
  <dimension ref="A1:XFD78"/>
  <sheetViews>
    <sheetView workbookViewId="0">
      <pane ySplit="2" topLeftCell="O47" activePane="bottomLeft" state="frozen"/>
      <selection pane="bottomLeft" activeCell="K47" sqref="K47:L47"/>
    </sheetView>
  </sheetViews>
  <sheetFormatPr defaultColWidth="15.85546875" defaultRowHeight="15"/>
  <cols>
    <col min="1" max="1" width="22" customWidth="1"/>
    <col min="2" max="2" width="14.85546875" customWidth="1"/>
    <col min="3" max="3" width="16.85546875" customWidth="1"/>
    <col min="4" max="4" width="10.85546875" customWidth="1"/>
    <col min="5" max="5" width="14.28515625" customWidth="1"/>
    <col min="6" max="7" width="10.85546875" customWidth="1"/>
    <col min="8" max="8" width="13.140625" customWidth="1"/>
    <col min="9" max="10" width="10.85546875" customWidth="1"/>
    <col min="11" max="11" width="17.85546875" customWidth="1"/>
    <col min="12" max="16" width="10.85546875" customWidth="1"/>
    <col min="17" max="17" width="12.28515625" customWidth="1"/>
    <col min="18" max="18" width="19.5703125" style="27" customWidth="1"/>
    <col min="19" max="19" width="25.28515625" bestFit="1" customWidth="1"/>
    <col min="20" max="20" width="22.5703125" bestFit="1" customWidth="1"/>
    <col min="21" max="21" width="25.28515625" bestFit="1" customWidth="1"/>
  </cols>
  <sheetData>
    <row r="1" spans="1:22">
      <c r="A1" s="81"/>
      <c r="B1" s="519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27" t="s">
        <v>145</v>
      </c>
    </row>
    <row r="2" spans="1:22">
      <c r="A2" s="8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  <c r="R2" s="27" t="s">
        <v>146</v>
      </c>
    </row>
    <row r="3" spans="1:22">
      <c r="A3" s="83">
        <v>45992</v>
      </c>
      <c r="B3" s="36">
        <f>_xlfn.XLOOKUP(A3,'steel Mint data'!A:A,'steel Mint data'!B:B,"",0)</f>
        <v>43700</v>
      </c>
      <c r="C3" s="36"/>
      <c r="D3" s="36"/>
      <c r="E3" s="36">
        <f>_xlfn.XLOOKUP(A3,'steel Mint data'!A:A,'steel Mint data'!D:D,"",0)</f>
        <v>43200</v>
      </c>
      <c r="F3" s="36">
        <f>_xlfn.XLOOKUP(A3,'steel Mint data'!A:A,'steel Mint data'!E:E,"",0)</f>
        <v>39500</v>
      </c>
      <c r="G3" s="36"/>
      <c r="H3" s="36"/>
      <c r="I3" s="36">
        <f>_xlfn.XLOOKUP(A3,'steel Mint data'!A:A,'steel Mint data'!I:I,"",0)</f>
        <v>42500</v>
      </c>
      <c r="J3" s="36"/>
      <c r="K3" s="36">
        <f>_xlfn.XLOOKUP(A3,'steel Mint data'!A:A,'steel Mint data'!L:L,"",0)</f>
        <v>45000</v>
      </c>
      <c r="L3" s="36"/>
      <c r="M3" s="36"/>
      <c r="N3" s="36"/>
      <c r="O3" s="36"/>
      <c r="P3" s="37">
        <f>_xlfn.XLOOKUP(A3,'steel Mint data'!A:A,'steel Mint data'!Q:Q,"",0)</f>
        <v>39000</v>
      </c>
      <c r="Q3" s="36">
        <f>_xlfn.XLOOKUP(A3,'steel Mint data'!A:A,'steel Mint data'!R:R,"",0)</f>
        <v>39000</v>
      </c>
    </row>
    <row r="4" spans="1:22">
      <c r="A4" s="83">
        <v>45993</v>
      </c>
      <c r="B4" s="36">
        <f>_xlfn.XLOOKUP(A4,'steel Mint data'!A:A,'steel Mint data'!B:B,"",0)</f>
        <v>44000</v>
      </c>
      <c r="C4" s="36"/>
      <c r="D4" s="36"/>
      <c r="E4" s="36">
        <f>_xlfn.XLOOKUP(A4,'steel Mint data'!A:A,'steel Mint data'!D:D,"",0)</f>
        <v>43200</v>
      </c>
      <c r="F4" s="36">
        <f>_xlfn.XLOOKUP(A4,'steel Mint data'!A:A,'steel Mint data'!E:E,"",0)</f>
        <v>39500</v>
      </c>
      <c r="G4" s="36"/>
      <c r="H4" s="36"/>
      <c r="I4" s="36">
        <f>_xlfn.XLOOKUP(A4,'steel Mint data'!A:A,'steel Mint data'!I:I,"",0)</f>
        <v>42600</v>
      </c>
      <c r="J4" s="36"/>
      <c r="K4" s="36">
        <f>_xlfn.XLOOKUP(A4,'steel Mint data'!A:A,'steel Mint data'!L:L,"",0)</f>
        <v>45200</v>
      </c>
      <c r="L4" s="36"/>
      <c r="M4" s="36"/>
      <c r="N4" s="36"/>
      <c r="O4" s="36"/>
      <c r="P4" s="37">
        <f>_xlfn.XLOOKUP(A4,'steel Mint data'!A:A,'steel Mint data'!Q:Q,"",0)</f>
        <v>39300</v>
      </c>
      <c r="Q4" s="36">
        <f>_xlfn.XLOOKUP(A4,'steel Mint data'!A:A,'steel Mint data'!R:R,"",0)</f>
        <v>39000</v>
      </c>
    </row>
    <row r="5" spans="1:22">
      <c r="A5" s="83">
        <v>45994</v>
      </c>
      <c r="B5" s="36">
        <f>_xlfn.XLOOKUP(A5,'steel Mint data'!A:A,'steel Mint data'!B:B,"",0)</f>
        <v>44200</v>
      </c>
      <c r="C5" s="36"/>
      <c r="D5" s="36"/>
      <c r="E5" s="36">
        <f>_xlfn.XLOOKUP(A5,'steel Mint data'!A:A,'steel Mint data'!D:D,"",0)</f>
        <v>43200</v>
      </c>
      <c r="F5" s="36">
        <f>_xlfn.XLOOKUP(A5,'steel Mint data'!A:A,'steel Mint data'!E:E,"",0)</f>
        <v>39600</v>
      </c>
      <c r="G5" s="36"/>
      <c r="H5" s="36"/>
      <c r="I5" s="36">
        <f>_xlfn.XLOOKUP(A5,'steel Mint data'!A:A,'steel Mint data'!I:I,"",0)</f>
        <v>42700</v>
      </c>
      <c r="J5" s="36"/>
      <c r="K5" s="36">
        <f>_xlfn.XLOOKUP(A5,'steel Mint data'!A:A,'steel Mint data'!L:L,"",0)</f>
        <v>45200</v>
      </c>
      <c r="L5" s="36"/>
      <c r="M5" s="36"/>
      <c r="N5" s="36"/>
      <c r="O5" s="36"/>
      <c r="P5" s="37">
        <f>_xlfn.XLOOKUP(A5,'steel Mint data'!A:A,'steel Mint data'!Q:Q,"",0)</f>
        <v>39300</v>
      </c>
      <c r="Q5" s="36">
        <f>_xlfn.XLOOKUP(A5,'steel Mint data'!A:A,'steel Mint data'!R:R,"",0)</f>
        <v>39300</v>
      </c>
      <c r="T5" s="27"/>
      <c r="U5" s="27"/>
      <c r="V5" s="27"/>
    </row>
    <row r="6" spans="1:22">
      <c r="A6" s="83">
        <v>45995</v>
      </c>
      <c r="B6" s="36">
        <f>_xlfn.XLOOKUP(A6,'steel Mint data'!A:A,'steel Mint data'!B:B,"",0)</f>
        <v>44400</v>
      </c>
      <c r="C6" s="36"/>
      <c r="D6" s="36"/>
      <c r="E6" s="36">
        <f>_xlfn.XLOOKUP(A6,'steel Mint data'!A:A,'steel Mint data'!D:D,"",0)</f>
        <v>43300</v>
      </c>
      <c r="F6" s="36">
        <f>_xlfn.XLOOKUP(A6,'steel Mint data'!A:A,'steel Mint data'!E:E,"",0)</f>
        <v>39800</v>
      </c>
      <c r="G6" s="36"/>
      <c r="H6" s="36"/>
      <c r="I6" s="36">
        <f>_xlfn.XLOOKUP(A6,'steel Mint data'!A:A,'steel Mint data'!I:I,"",0)</f>
        <v>43000</v>
      </c>
      <c r="J6" s="36"/>
      <c r="K6" s="36">
        <f>_xlfn.XLOOKUP(A6,'steel Mint data'!A:A,'steel Mint data'!L:L,"",0)</f>
        <v>45300</v>
      </c>
      <c r="L6" s="36"/>
      <c r="M6" s="36"/>
      <c r="N6" s="36"/>
      <c r="O6" s="36"/>
      <c r="P6" s="37">
        <f>_xlfn.XLOOKUP(A6,'steel Mint data'!A:A,'steel Mint data'!Q:Q,"",0)</f>
        <v>39500</v>
      </c>
      <c r="Q6" s="36">
        <f>_xlfn.XLOOKUP(A6,'steel Mint data'!A:A,'steel Mint data'!R:R,"",0)</f>
        <v>39300</v>
      </c>
      <c r="T6" s="27"/>
      <c r="U6" s="27"/>
      <c r="V6" s="27"/>
    </row>
    <row r="7" spans="1:22">
      <c r="A7" s="83">
        <v>45996</v>
      </c>
      <c r="B7" s="36">
        <f>_xlfn.XLOOKUP(A7,'steel Mint data'!A:A,'steel Mint data'!B:B,"",0)</f>
        <v>44700</v>
      </c>
      <c r="C7" s="36"/>
      <c r="D7" s="36"/>
      <c r="E7" s="36">
        <f>_xlfn.XLOOKUP(A7,'steel Mint data'!A:A,'steel Mint data'!D:D,"",0)</f>
        <v>43300</v>
      </c>
      <c r="F7" s="36">
        <f>_xlfn.XLOOKUP(A7,'steel Mint data'!A:A,'steel Mint data'!E:E,"",0)</f>
        <v>39600</v>
      </c>
      <c r="G7" s="36"/>
      <c r="H7" s="36"/>
      <c r="I7" s="36">
        <f>_xlfn.XLOOKUP(A7,'steel Mint data'!A:A,'steel Mint data'!I:I,"",0)</f>
        <v>43000</v>
      </c>
      <c r="J7" s="36"/>
      <c r="K7" s="36">
        <f>_xlfn.XLOOKUP(A7,'steel Mint data'!A:A,'steel Mint data'!L:L,"",0)</f>
        <v>45300</v>
      </c>
      <c r="L7" s="36"/>
      <c r="M7" s="36"/>
      <c r="N7" s="36"/>
      <c r="O7" s="36"/>
      <c r="P7" s="37">
        <f>_xlfn.XLOOKUP(A7,'steel Mint data'!A:A,'steel Mint data'!Q:Q,"",0)</f>
        <v>39500</v>
      </c>
      <c r="Q7" s="36">
        <f>_xlfn.XLOOKUP(A7,'steel Mint data'!A:A,'steel Mint data'!R:R,"",0)</f>
        <v>39500</v>
      </c>
      <c r="T7" s="27"/>
      <c r="U7" s="27"/>
      <c r="V7" s="27"/>
    </row>
    <row r="8" spans="1:22">
      <c r="A8" s="83">
        <v>45997</v>
      </c>
      <c r="B8" s="36">
        <f>_xlfn.XLOOKUP(A8,'steel Mint data'!A:A,'steel Mint data'!B:B,"",0)</f>
        <v>44700</v>
      </c>
      <c r="C8" s="36"/>
      <c r="D8" s="36"/>
      <c r="E8" s="36">
        <f>_xlfn.XLOOKUP(A8,'steel Mint data'!A:A,'steel Mint data'!D:D,"",0)</f>
        <v>43200</v>
      </c>
      <c r="F8" s="36">
        <f>_xlfn.XLOOKUP(A8,'steel Mint data'!A:A,'steel Mint data'!E:E,"",0)</f>
        <v>39500</v>
      </c>
      <c r="G8" s="36"/>
      <c r="H8" s="36"/>
      <c r="I8" s="36">
        <f>_xlfn.XLOOKUP(A8,'steel Mint data'!A:A,'steel Mint data'!I:I,"",0)</f>
        <v>42700</v>
      </c>
      <c r="J8" s="36"/>
      <c r="K8" s="36">
        <f>_xlfn.XLOOKUP(A8,'steel Mint data'!A:A,'steel Mint data'!L:L,"",0)</f>
        <v>45200</v>
      </c>
      <c r="L8" s="36"/>
      <c r="M8" s="36"/>
      <c r="N8" s="36"/>
      <c r="O8" s="36"/>
      <c r="P8" s="37">
        <f>_xlfn.XLOOKUP(A8,'steel Mint data'!A:A,'steel Mint data'!Q:Q,"",0)</f>
        <v>39500</v>
      </c>
      <c r="Q8" s="36">
        <f>_xlfn.XLOOKUP(A8,'steel Mint data'!A:A,'steel Mint data'!R:R,"",0)</f>
        <v>39400</v>
      </c>
      <c r="T8" s="27"/>
      <c r="U8" s="27"/>
      <c r="V8" s="27"/>
    </row>
    <row r="9" spans="1:22">
      <c r="A9" s="83">
        <v>45998</v>
      </c>
      <c r="B9" s="36" t="str">
        <f>_xlfn.XLOOKUP(A9,'steel Mint data'!A:A,'steel Mint data'!B:B,"",0)</f>
        <v>H</v>
      </c>
      <c r="C9" s="36"/>
      <c r="D9" s="36"/>
      <c r="E9" s="36" t="str">
        <f>_xlfn.XLOOKUP(A9,'steel Mint data'!A:A,'steel Mint data'!D:D,"",0)</f>
        <v>H</v>
      </c>
      <c r="F9" s="36" t="str">
        <f>_xlfn.XLOOKUP(A9,'steel Mint data'!A:A,'steel Mint data'!E:E,"",0)</f>
        <v>H</v>
      </c>
      <c r="G9" s="36"/>
      <c r="H9" s="36"/>
      <c r="I9" s="36" t="str">
        <f>_xlfn.XLOOKUP(A9,'steel Mint data'!A:A,'steel Mint data'!I:I,"",0)</f>
        <v>H</v>
      </c>
      <c r="J9" s="36"/>
      <c r="K9" s="36" t="str">
        <f>_xlfn.XLOOKUP(A9,'steel Mint data'!A:A,'steel Mint data'!L:L,"",0)</f>
        <v>H</v>
      </c>
      <c r="L9" s="36"/>
      <c r="M9" s="36"/>
      <c r="N9" s="36"/>
      <c r="O9" s="36"/>
      <c r="P9" s="37" t="str">
        <f>_xlfn.XLOOKUP(A9,'steel Mint data'!A:A,'steel Mint data'!Q:Q,"",0)</f>
        <v>H</v>
      </c>
      <c r="Q9" s="36" t="str">
        <f>_xlfn.XLOOKUP(A9,'steel Mint data'!A:A,'steel Mint data'!R:R,"",0)</f>
        <v>H</v>
      </c>
      <c r="R9" s="175"/>
      <c r="T9" s="27"/>
      <c r="U9" s="27"/>
      <c r="V9" s="27"/>
    </row>
    <row r="10" spans="1:22">
      <c r="A10" s="83">
        <v>45999</v>
      </c>
      <c r="B10" s="36">
        <f>_xlfn.XLOOKUP(A10,'steel Mint data'!A:A,'steel Mint data'!B:B,"",0)</f>
        <v>44500</v>
      </c>
      <c r="C10" s="36"/>
      <c r="D10" s="36"/>
      <c r="E10" s="36">
        <f>_xlfn.XLOOKUP(A10,'steel Mint data'!A:A,'steel Mint data'!D:D,"",0)</f>
        <v>42900</v>
      </c>
      <c r="F10" s="36">
        <f>_xlfn.XLOOKUP(A10,'steel Mint data'!A:A,'steel Mint data'!E:E,"",0)</f>
        <v>39400</v>
      </c>
      <c r="G10" s="36"/>
      <c r="H10" s="36"/>
      <c r="I10" s="36">
        <f>_xlfn.XLOOKUP(A10,'steel Mint data'!A:A,'steel Mint data'!I:I,"",0)</f>
        <v>42500</v>
      </c>
      <c r="J10" s="36"/>
      <c r="K10" s="36">
        <f>_xlfn.XLOOKUP(A10,'steel Mint data'!A:A,'steel Mint data'!L:L,"",0)</f>
        <v>45000</v>
      </c>
      <c r="L10" s="36"/>
      <c r="M10" s="36"/>
      <c r="N10" s="36"/>
      <c r="O10" s="36"/>
      <c r="P10" s="37">
        <f>_xlfn.XLOOKUP(A10,'steel Mint data'!A:A,'steel Mint data'!Q:Q,"",0)</f>
        <v>39300</v>
      </c>
      <c r="Q10" s="36">
        <f>_xlfn.XLOOKUP(A10,'steel Mint data'!A:A,'steel Mint data'!R:R,"",0)</f>
        <v>39100</v>
      </c>
      <c r="R10" s="175"/>
    </row>
    <row r="11" spans="1:22">
      <c r="A11" s="83">
        <v>46000</v>
      </c>
      <c r="B11" s="36">
        <f>_xlfn.XLOOKUP(A11,'steel Mint data'!A:A,'steel Mint data'!B:B,"",0)</f>
        <v>44500</v>
      </c>
      <c r="C11" s="36"/>
      <c r="D11" s="36"/>
      <c r="E11" s="36">
        <f>_xlfn.XLOOKUP(A11,'steel Mint data'!A:A,'steel Mint data'!D:D,"",0)</f>
        <v>42900</v>
      </c>
      <c r="F11" s="36">
        <f>_xlfn.XLOOKUP(A11,'steel Mint data'!A:A,'steel Mint data'!E:E,"",0)</f>
        <v>39200</v>
      </c>
      <c r="G11" s="36"/>
      <c r="H11" s="36"/>
      <c r="I11" s="36">
        <f>_xlfn.XLOOKUP(A11,'steel Mint data'!A:A,'steel Mint data'!I:I,"",0)</f>
        <v>42500</v>
      </c>
      <c r="J11" s="36"/>
      <c r="K11" s="36">
        <f>_xlfn.XLOOKUP(A11,'steel Mint data'!A:A,'steel Mint data'!L:L,"",0)</f>
        <v>44900</v>
      </c>
      <c r="L11" s="36"/>
      <c r="M11" s="36"/>
      <c r="N11" s="36"/>
      <c r="O11" s="36"/>
      <c r="P11" s="37">
        <f>_xlfn.XLOOKUP(A11,'steel Mint data'!A:A,'steel Mint data'!Q:Q,"",0)</f>
        <v>39100</v>
      </c>
      <c r="Q11" s="36">
        <f>_xlfn.XLOOKUP(A11,'steel Mint data'!A:A,'steel Mint data'!R:R,"",0)</f>
        <v>39000</v>
      </c>
    </row>
    <row r="12" spans="1:22">
      <c r="A12" s="83">
        <v>46001</v>
      </c>
      <c r="B12" s="36">
        <f>_xlfn.XLOOKUP(A12,'steel Mint data'!A:A,'steel Mint data'!B:B,"",0)</f>
        <v>44500</v>
      </c>
      <c r="C12" s="36"/>
      <c r="D12" s="36"/>
      <c r="E12" s="36">
        <f>_xlfn.XLOOKUP(A12,'steel Mint data'!A:A,'steel Mint data'!D:D,"",0)</f>
        <v>43000</v>
      </c>
      <c r="F12" s="36">
        <f>_xlfn.XLOOKUP(A12,'steel Mint data'!A:A,'steel Mint data'!E:E,"",0)</f>
        <v>39200</v>
      </c>
      <c r="G12" s="36"/>
      <c r="H12" s="36"/>
      <c r="I12" s="36">
        <f>_xlfn.XLOOKUP(A12,'steel Mint data'!A:A,'steel Mint data'!I:I,"",0)</f>
        <v>42500</v>
      </c>
      <c r="J12" s="36"/>
      <c r="K12" s="36">
        <f>_xlfn.XLOOKUP(A12,'steel Mint data'!A:A,'steel Mint data'!L:L,"",0)</f>
        <v>44900</v>
      </c>
      <c r="L12" s="36"/>
      <c r="M12" s="36"/>
      <c r="N12" s="36"/>
      <c r="O12" s="36"/>
      <c r="P12" s="37">
        <f>_xlfn.XLOOKUP(A12,'steel Mint data'!A:A,'steel Mint data'!Q:Q,"",0)</f>
        <v>39200</v>
      </c>
      <c r="Q12" s="36">
        <f>_xlfn.XLOOKUP(A12,'steel Mint data'!A:A,'steel Mint data'!R:R,"",0)</f>
        <v>39000</v>
      </c>
      <c r="R12" s="36"/>
    </row>
    <row r="13" spans="1:22">
      <c r="A13" s="83">
        <v>46002</v>
      </c>
      <c r="B13" s="36">
        <f>_xlfn.XLOOKUP(A13,'steel Mint data'!A:A,'steel Mint data'!B:B,"",0)</f>
        <v>44500</v>
      </c>
      <c r="C13" s="36"/>
      <c r="D13" s="36"/>
      <c r="E13" s="36">
        <f>_xlfn.XLOOKUP(A13,'steel Mint data'!A:A,'steel Mint data'!D:D,"",0)</f>
        <v>43000</v>
      </c>
      <c r="F13" s="36">
        <f>_xlfn.XLOOKUP(A13,'steel Mint data'!A:A,'steel Mint data'!E:E,"",0)</f>
        <v>39100</v>
      </c>
      <c r="G13" s="36"/>
      <c r="H13" s="36"/>
      <c r="I13" s="36">
        <f>_xlfn.XLOOKUP(A13,'steel Mint data'!A:A,'steel Mint data'!I:I,"",0)</f>
        <v>42500</v>
      </c>
      <c r="J13" s="36"/>
      <c r="K13" s="36">
        <f>_xlfn.XLOOKUP(A13,'steel Mint data'!A:A,'steel Mint data'!L:L,"",0)</f>
        <v>44800</v>
      </c>
      <c r="L13" s="36"/>
      <c r="M13" s="36"/>
      <c r="N13" s="36"/>
      <c r="O13" s="36"/>
      <c r="P13" s="37">
        <f>_xlfn.XLOOKUP(A13,'steel Mint data'!A:A,'steel Mint data'!Q:Q,"",0)</f>
        <v>39100</v>
      </c>
      <c r="Q13" s="36">
        <f>_xlfn.XLOOKUP(A13,'steel Mint data'!A:A,'steel Mint data'!R:R,"",0)</f>
        <v>39000</v>
      </c>
      <c r="R13" s="174">
        <v>45011.788</v>
      </c>
      <c r="S13" s="33"/>
    </row>
    <row r="14" spans="1:22">
      <c r="A14" s="83">
        <v>46003</v>
      </c>
      <c r="B14" s="36">
        <f>_xlfn.XLOOKUP(A14,'steel Mint data'!A:A,'steel Mint data'!B:B,"",0)</f>
        <v>44500</v>
      </c>
      <c r="C14" s="36"/>
      <c r="D14" s="36"/>
      <c r="E14" s="36">
        <f>_xlfn.XLOOKUP(A14,'steel Mint data'!A:A,'steel Mint data'!D:D,"",0)</f>
        <v>42800</v>
      </c>
      <c r="F14" s="36">
        <f>_xlfn.XLOOKUP(A14,'steel Mint data'!A:A,'steel Mint data'!E:E,"",0)</f>
        <v>38900</v>
      </c>
      <c r="G14" s="36"/>
      <c r="H14" s="36"/>
      <c r="I14" s="36">
        <f>_xlfn.XLOOKUP(A14,'steel Mint data'!A:A,'steel Mint data'!I:I,"",0)</f>
        <v>42100</v>
      </c>
      <c r="J14" s="36"/>
      <c r="K14" s="36">
        <f>_xlfn.XLOOKUP(A14,'steel Mint data'!A:A,'steel Mint data'!L:L,"",0)</f>
        <v>44600</v>
      </c>
      <c r="L14" s="36"/>
      <c r="M14" s="36"/>
      <c r="N14" s="36"/>
      <c r="O14" s="36"/>
      <c r="P14" s="37">
        <f>_xlfn.XLOOKUP(A14,'steel Mint data'!A:A,'steel Mint data'!Q:Q,"",0)</f>
        <v>39000</v>
      </c>
      <c r="Q14" s="36">
        <f>_xlfn.XLOOKUP(A14,'steel Mint data'!A:A,'steel Mint data'!R:R,"",0)</f>
        <v>39000</v>
      </c>
      <c r="R14" s="27">
        <v>45041</v>
      </c>
      <c r="S14" s="33"/>
      <c r="T14" s="33"/>
    </row>
    <row r="15" spans="1:22">
      <c r="A15" s="83">
        <v>46004</v>
      </c>
      <c r="B15" s="36">
        <f>_xlfn.XLOOKUP(A15,'steel Mint data'!A:A,'steel Mint data'!B:B,"",0)</f>
        <v>44500</v>
      </c>
      <c r="C15" s="36"/>
      <c r="D15" s="36"/>
      <c r="E15" s="36">
        <f>_xlfn.XLOOKUP(A15,'steel Mint data'!A:A,'steel Mint data'!D:D,"",0)</f>
        <v>42200</v>
      </c>
      <c r="F15" s="36">
        <f>_xlfn.XLOOKUP(A15,'steel Mint data'!A:A,'steel Mint data'!E:E,"",0)</f>
        <v>38900</v>
      </c>
      <c r="G15" s="36"/>
      <c r="H15" s="36"/>
      <c r="I15" s="36">
        <f>_xlfn.XLOOKUP(A15,'steel Mint data'!A:A,'steel Mint data'!I:I,"",0)</f>
        <v>42100</v>
      </c>
      <c r="J15" s="36"/>
      <c r="K15" s="36">
        <f>_xlfn.XLOOKUP(A15,'steel Mint data'!A:A,'steel Mint data'!L:L,"",0)</f>
        <v>44300</v>
      </c>
      <c r="L15" s="36"/>
      <c r="M15" s="36"/>
      <c r="N15" s="36"/>
      <c r="O15" s="36"/>
      <c r="P15" s="37">
        <f>_xlfn.XLOOKUP(A15,'steel Mint data'!A:A,'steel Mint data'!Q:Q,"",0)</f>
        <v>38900</v>
      </c>
      <c r="Q15" s="36">
        <f>_xlfn.XLOOKUP(A15,'steel Mint data'!A:A,'steel Mint data'!R:R,"",0)</f>
        <v>38800</v>
      </c>
      <c r="R15" s="27">
        <v>45278</v>
      </c>
      <c r="S15" s="33"/>
      <c r="T15" s="33"/>
    </row>
    <row r="16" spans="1:22">
      <c r="A16" s="83">
        <v>46005</v>
      </c>
      <c r="B16" s="36" t="str">
        <f>_xlfn.XLOOKUP(A16,'steel Mint data'!A:A,'steel Mint data'!B:B,"",0)</f>
        <v>H</v>
      </c>
      <c r="C16" s="36"/>
      <c r="D16" s="36"/>
      <c r="E16" s="36" t="str">
        <f>_xlfn.XLOOKUP(A16,'steel Mint data'!A:A,'steel Mint data'!D:D,"",0)</f>
        <v>H</v>
      </c>
      <c r="F16" s="36" t="str">
        <f>_xlfn.XLOOKUP(A16,'steel Mint data'!A:A,'steel Mint data'!E:E,"",0)</f>
        <v>H</v>
      </c>
      <c r="G16" s="36"/>
      <c r="H16" s="36"/>
      <c r="I16" s="36" t="str">
        <f>_xlfn.XLOOKUP(A16,'steel Mint data'!A:A,'steel Mint data'!I:I,"",0)</f>
        <v>H</v>
      </c>
      <c r="J16" s="36"/>
      <c r="K16" s="36" t="str">
        <f>_xlfn.XLOOKUP(A16,'steel Mint data'!A:A,'steel Mint data'!L:L,"",0)</f>
        <v>H</v>
      </c>
      <c r="L16" s="36"/>
      <c r="M16" s="36"/>
      <c r="N16" s="36"/>
      <c r="O16" s="36"/>
      <c r="P16" s="37" t="str">
        <f>_xlfn.XLOOKUP(A16,'steel Mint data'!A:A,'steel Mint data'!Q:Q,"",0)</f>
        <v>H</v>
      </c>
      <c r="Q16" s="36" t="str">
        <f>_xlfn.XLOOKUP(A16,'steel Mint data'!A:A,'steel Mint data'!R:R,"",0)</f>
        <v>H</v>
      </c>
      <c r="R16" s="175"/>
      <c r="S16" s="33"/>
      <c r="T16" s="33"/>
    </row>
    <row r="17" spans="1:21">
      <c r="A17" s="83">
        <v>46006</v>
      </c>
      <c r="B17" s="36">
        <f>_xlfn.XLOOKUP(A17,'steel Mint data'!A:A,'steel Mint data'!B:B,"",0)</f>
        <v>44500</v>
      </c>
      <c r="C17" s="36"/>
      <c r="D17" s="36"/>
      <c r="E17" s="36">
        <f>_xlfn.XLOOKUP(A17,'steel Mint data'!A:A,'steel Mint data'!D:D,"",0)</f>
        <v>42100</v>
      </c>
      <c r="F17" s="36">
        <f>_xlfn.XLOOKUP(A17,'steel Mint data'!A:A,'steel Mint data'!E:E,"",0)</f>
        <v>38950</v>
      </c>
      <c r="G17" s="36"/>
      <c r="H17" s="36"/>
      <c r="I17" s="36">
        <f>_xlfn.XLOOKUP(A17,'steel Mint data'!A:A,'steel Mint data'!I:I,"",0)</f>
        <v>42200</v>
      </c>
      <c r="J17" s="36"/>
      <c r="K17" s="36">
        <f>_xlfn.XLOOKUP(A17,'steel Mint data'!A:A,'steel Mint data'!L:L,"",0)</f>
        <v>44300</v>
      </c>
      <c r="L17" s="36"/>
      <c r="M17" s="36"/>
      <c r="N17" s="36"/>
      <c r="O17" s="36"/>
      <c r="P17" s="37">
        <f>_xlfn.XLOOKUP(A17,'steel Mint data'!A:A,'steel Mint data'!Q:Q,"",0)</f>
        <v>39000</v>
      </c>
      <c r="Q17" s="36">
        <f>_xlfn.XLOOKUP(A17,'steel Mint data'!A:A,'steel Mint data'!R:R,"",0)</f>
        <v>38900</v>
      </c>
      <c r="S17" s="33"/>
    </row>
    <row r="18" spans="1:21">
      <c r="A18" s="83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7"/>
      <c r="Q18" s="36"/>
      <c r="S18" s="33"/>
      <c r="T18" s="33"/>
    </row>
    <row r="19" spans="1:21">
      <c r="A19" s="83"/>
      <c r="B19" s="15">
        <f>SUM(B3:B18)</f>
        <v>577200</v>
      </c>
      <c r="C19" s="14"/>
      <c r="D19" s="14"/>
      <c r="E19" s="15">
        <f>SUM(E3:E18)</f>
        <v>558300</v>
      </c>
      <c r="F19" s="15">
        <f>SUM(F3:F18)</f>
        <v>511150</v>
      </c>
      <c r="G19" s="14"/>
      <c r="H19" s="14"/>
      <c r="I19" s="15">
        <f>SUM(I3:I18)</f>
        <v>552900</v>
      </c>
      <c r="J19" s="14"/>
      <c r="K19" s="15">
        <f>SUM(K3:K18)</f>
        <v>584000</v>
      </c>
      <c r="L19" s="14"/>
      <c r="M19" s="14"/>
      <c r="N19" s="14"/>
      <c r="O19" s="14"/>
      <c r="P19" s="15">
        <f>SUM(P3:P18)</f>
        <v>509700</v>
      </c>
      <c r="Q19" s="15">
        <f>SUM(Q3:Q18)</f>
        <v>508300</v>
      </c>
      <c r="S19" s="33"/>
      <c r="T19" s="33"/>
    </row>
    <row r="20" spans="1:21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23</v>
      </c>
      <c r="H20" s="16" t="s">
        <v>39</v>
      </c>
      <c r="I20" s="16" t="s">
        <v>46</v>
      </c>
      <c r="J20" s="16" t="s">
        <v>126</v>
      </c>
      <c r="K20" s="16" t="s">
        <v>23</v>
      </c>
      <c r="L20" s="16" t="s">
        <v>147</v>
      </c>
      <c r="M20" s="19"/>
      <c r="N20" s="19"/>
      <c r="O20" s="14"/>
      <c r="P20" s="14"/>
      <c r="Q20" s="14"/>
      <c r="S20" s="33"/>
      <c r="T20" s="33"/>
    </row>
    <row r="21" spans="1:21">
      <c r="A21" s="17" t="s">
        <v>25</v>
      </c>
      <c r="B21" s="18">
        <f>E19/O21</f>
        <v>42946.153846153844</v>
      </c>
      <c r="C21" s="18">
        <f>P19/O21</f>
        <v>39207.692307692305</v>
      </c>
      <c r="D21" s="18">
        <f>K19/O21</f>
        <v>44923.076923076922</v>
      </c>
      <c r="E21" s="18">
        <f>Q19/O21</f>
        <v>39100</v>
      </c>
      <c r="F21" s="18">
        <f>C21</f>
        <v>39207.692307692305</v>
      </c>
      <c r="G21" s="18">
        <f>B21-800</f>
        <v>42146.153846153844</v>
      </c>
      <c r="H21" s="18">
        <f>I19/O21</f>
        <v>42530.769230769234</v>
      </c>
      <c r="I21" s="18">
        <f>B19/(O21)</f>
        <v>44400</v>
      </c>
      <c r="J21" s="18">
        <f>F19/O21</f>
        <v>39319.230769230766</v>
      </c>
      <c r="K21" s="18">
        <f>B21-800</f>
        <v>42146.153846153844</v>
      </c>
      <c r="L21" s="18">
        <f>P19/O21</f>
        <v>39207.692307692305</v>
      </c>
      <c r="M21" s="146"/>
      <c r="N21" s="19"/>
      <c r="O21" s="20">
        <f>COUNT(P3:P18)</f>
        <v>13</v>
      </c>
      <c r="P21" s="21"/>
      <c r="Q21" s="19"/>
      <c r="R21" s="175"/>
      <c r="S21" s="33"/>
      <c r="T21" s="33"/>
    </row>
    <row r="22" spans="1:21">
      <c r="A22" s="17" t="s">
        <v>26</v>
      </c>
      <c r="B22" s="18">
        <v>1200</v>
      </c>
      <c r="C22" s="18">
        <v>2150</v>
      </c>
      <c r="D22" s="18">
        <v>400</v>
      </c>
      <c r="E22" s="18">
        <v>2200</v>
      </c>
      <c r="F22" s="18">
        <v>1800</v>
      </c>
      <c r="G22" s="18">
        <v>1200</v>
      </c>
      <c r="H22" s="18">
        <v>800</v>
      </c>
      <c r="I22" s="18">
        <v>0</v>
      </c>
      <c r="J22" s="18">
        <v>2700</v>
      </c>
      <c r="K22" s="18">
        <v>3200</v>
      </c>
      <c r="L22" s="18">
        <v>4035</v>
      </c>
      <c r="M22" s="146"/>
      <c r="N22" s="19"/>
      <c r="O22" s="48"/>
      <c r="P22" s="48"/>
      <c r="Q22" s="176"/>
      <c r="R22" s="174"/>
      <c r="S22" s="49"/>
      <c r="T22" s="49"/>
    </row>
    <row r="23" spans="1:21">
      <c r="A23" s="17" t="s">
        <v>27</v>
      </c>
      <c r="B23" s="18">
        <v>200</v>
      </c>
      <c r="C23" s="18">
        <v>265</v>
      </c>
      <c r="D23" s="18">
        <v>250</v>
      </c>
      <c r="E23" s="18">
        <v>275</v>
      </c>
      <c r="F23" s="18">
        <v>275</v>
      </c>
      <c r="G23" s="18">
        <v>200</v>
      </c>
      <c r="H23" s="18">
        <v>270</v>
      </c>
      <c r="I23" s="18">
        <v>200</v>
      </c>
      <c r="J23" s="18">
        <v>270</v>
      </c>
      <c r="K23" s="18">
        <v>200</v>
      </c>
      <c r="L23" s="18">
        <v>265</v>
      </c>
      <c r="M23" s="146"/>
      <c r="N23" s="48"/>
      <c r="O23" s="48"/>
      <c r="P23" s="48"/>
      <c r="Q23" s="48">
        <f>43500+1100</f>
        <v>44600</v>
      </c>
      <c r="R23" s="174"/>
      <c r="S23" s="48"/>
      <c r="T23" s="49"/>
    </row>
    <row r="24" spans="1:21" ht="19.5" customHeight="1">
      <c r="A24" s="22" t="s">
        <v>28</v>
      </c>
      <c r="B24" s="18">
        <f>SUM(B21:B23)</f>
        <v>44346.153846153844</v>
      </c>
      <c r="C24" s="18">
        <f>SUM(C21:C23)</f>
        <v>41622.692307692305</v>
      </c>
      <c r="D24" s="18">
        <f>SUM(D21:D23)</f>
        <v>45573.076923076922</v>
      </c>
      <c r="E24" s="18">
        <f>SUM(E21:E23)</f>
        <v>41575</v>
      </c>
      <c r="F24" s="18">
        <f>SUM(F21:F23)</f>
        <v>41282.692307692305</v>
      </c>
      <c r="G24" s="18">
        <f>SUM(G21:G23)</f>
        <v>43546.153846153844</v>
      </c>
      <c r="H24" s="18">
        <f>SUM(H21:H23)</f>
        <v>43600.769230769234</v>
      </c>
      <c r="I24" s="18">
        <f>SUM(I21:I23)</f>
        <v>44600</v>
      </c>
      <c r="J24" s="18">
        <f>SUM(J21:J23)</f>
        <v>42289.230769230766</v>
      </c>
      <c r="K24" s="18">
        <f>SUM(K21:K23)</f>
        <v>45546.153846153844</v>
      </c>
      <c r="L24" s="18">
        <f>SUM(L21:L23)</f>
        <v>43507.692307692305</v>
      </c>
      <c r="M24" s="69"/>
      <c r="N24" s="48"/>
      <c r="O24" s="48"/>
      <c r="P24" s="48"/>
      <c r="Q24" s="48"/>
      <c r="R24" s="174"/>
      <c r="S24" s="49"/>
      <c r="T24" s="49"/>
    </row>
    <row r="25" spans="1:21">
      <c r="A25" s="22" t="s">
        <v>29</v>
      </c>
      <c r="B25" s="18">
        <v>45100</v>
      </c>
      <c r="C25" s="18">
        <v>42315</v>
      </c>
      <c r="D25" s="18">
        <v>46150</v>
      </c>
      <c r="E25" s="23"/>
      <c r="F25" s="18">
        <v>41975</v>
      </c>
      <c r="G25" s="18">
        <v>44300</v>
      </c>
      <c r="H25" s="18"/>
      <c r="I25" s="18">
        <v>44300</v>
      </c>
      <c r="J25" s="18">
        <f>38000+2700+270</f>
        <v>40970</v>
      </c>
      <c r="K25" s="18"/>
      <c r="L25" s="19"/>
      <c r="M25" s="69"/>
      <c r="N25" s="174"/>
      <c r="O25" s="48"/>
      <c r="P25" s="48"/>
      <c r="Q25" s="33">
        <f>44300-2250-C24</f>
        <v>427.30769230769511</v>
      </c>
      <c r="R25" s="174"/>
      <c r="S25" s="49"/>
      <c r="T25" s="49"/>
    </row>
    <row r="26" spans="1:21">
      <c r="A26" s="22" t="s">
        <v>30</v>
      </c>
      <c r="B26" s="18">
        <f>B24-B25</f>
        <v>-753.84615384615608</v>
      </c>
      <c r="C26" s="18">
        <f>C24-C25</f>
        <v>-692.30769230769511</v>
      </c>
      <c r="D26" s="18">
        <f>D24-D25</f>
        <v>-576.92307692307804</v>
      </c>
      <c r="E26" s="18">
        <f>E24-E25</f>
        <v>41575</v>
      </c>
      <c r="F26" s="18">
        <f>F24-F25</f>
        <v>-692.30769230769511</v>
      </c>
      <c r="G26" s="18">
        <f>G24-G25</f>
        <v>-753.84615384615608</v>
      </c>
      <c r="H26" s="18">
        <f>H24-H25</f>
        <v>43600.769230769234</v>
      </c>
      <c r="I26" s="18">
        <f>I24-I25</f>
        <v>300</v>
      </c>
      <c r="J26" s="18">
        <f>J24-J25</f>
        <v>1319.2307692307659</v>
      </c>
      <c r="K26" s="174"/>
      <c r="L26" s="19"/>
      <c r="M26" s="69"/>
      <c r="N26" s="174"/>
      <c r="O26" s="48">
        <f>45250-1450-G24</f>
        <v>253.84615384615608</v>
      </c>
      <c r="P26" s="48"/>
      <c r="Q26" s="48"/>
      <c r="R26" s="174"/>
      <c r="S26" s="49"/>
      <c r="T26" s="49"/>
    </row>
    <row r="27" spans="1:21">
      <c r="A27" s="14"/>
      <c r="B27" s="19">
        <f>B25-2500</f>
        <v>42600</v>
      </c>
      <c r="C27" s="14"/>
      <c r="D27" s="14"/>
      <c r="E27" s="14"/>
      <c r="F27" s="14"/>
      <c r="G27" s="19">
        <f>G25-2500</f>
        <v>41800</v>
      </c>
      <c r="H27" s="14"/>
      <c r="I27" s="14"/>
      <c r="J27" s="14"/>
      <c r="K27" s="174"/>
      <c r="L27" s="19"/>
      <c r="M27" s="69"/>
      <c r="N27" s="174"/>
      <c r="O27" s="48">
        <f>45850-1200-B24</f>
        <v>303.84615384615608</v>
      </c>
      <c r="P27" s="48">
        <f>45800-1000-B24</f>
        <v>453.84615384615608</v>
      </c>
      <c r="Q27" s="48"/>
      <c r="R27" s="174"/>
      <c r="S27" s="49"/>
      <c r="T27" s="49"/>
    </row>
    <row r="28" spans="1:21">
      <c r="A28" s="22" t="s">
        <v>31</v>
      </c>
      <c r="B28" s="23">
        <v>48300</v>
      </c>
      <c r="C28" s="23">
        <v>45550</v>
      </c>
      <c r="D28" s="18">
        <v>48800</v>
      </c>
      <c r="E28" s="18">
        <v>45550</v>
      </c>
      <c r="F28" s="18">
        <v>45550</v>
      </c>
      <c r="G28" s="18">
        <v>47500</v>
      </c>
      <c r="H28" s="18">
        <v>47800</v>
      </c>
      <c r="I28" s="18">
        <v>48300</v>
      </c>
      <c r="J28" s="18"/>
      <c r="K28" s="174"/>
      <c r="L28" s="48"/>
      <c r="M28" s="69"/>
      <c r="N28" s="48"/>
      <c r="O28" s="48"/>
      <c r="P28" s="48"/>
      <c r="Q28" s="48"/>
      <c r="R28" s="174"/>
      <c r="S28" s="49"/>
      <c r="T28" s="49"/>
    </row>
    <row r="29" spans="1:21">
      <c r="A29" s="22" t="s">
        <v>32</v>
      </c>
      <c r="B29" s="26">
        <f>B28-500-(200+300+300)-250-400</f>
        <v>46350</v>
      </c>
      <c r="C29" s="26">
        <f>C28-500-(200+300+300)-250-400</f>
        <v>43600</v>
      </c>
      <c r="D29" s="26">
        <f>D28-500-(200+300+300)-250-400</f>
        <v>46850</v>
      </c>
      <c r="E29" s="26">
        <f>E28-500-(200+300+300)-250-400</f>
        <v>43600</v>
      </c>
      <c r="F29" s="26">
        <f>F28-500-(200+300+300)-250-400</f>
        <v>43600</v>
      </c>
      <c r="G29" s="26">
        <f>G28-500-(200+300+300)-250-400</f>
        <v>45550</v>
      </c>
      <c r="H29" s="26">
        <f>H28-500-(200+300+300)-250-400</f>
        <v>45850</v>
      </c>
      <c r="I29" s="26">
        <f>I28-500-(200+300+300)-250-400</f>
        <v>46350</v>
      </c>
      <c r="J29" s="26"/>
      <c r="K29" s="174"/>
      <c r="L29" s="48"/>
      <c r="M29" s="48"/>
      <c r="N29" s="48"/>
      <c r="O29" s="48"/>
      <c r="P29" s="48"/>
      <c r="Q29" s="48"/>
      <c r="R29" s="174"/>
      <c r="S29" s="49"/>
      <c r="T29" s="49"/>
    </row>
    <row r="30" spans="1:21">
      <c r="A30" s="25" t="s">
        <v>33</v>
      </c>
      <c r="B30" s="18">
        <f>B29-B24</f>
        <v>2003.8461538461561</v>
      </c>
      <c r="C30" s="18">
        <f>C29-C24</f>
        <v>1977.3076923076951</v>
      </c>
      <c r="D30" s="18">
        <f>D29-D24</f>
        <v>1276.923076923078</v>
      </c>
      <c r="E30" s="18">
        <f>E29-E24</f>
        <v>2025</v>
      </c>
      <c r="F30" s="18">
        <f>F29-F24</f>
        <v>2317.3076923076951</v>
      </c>
      <c r="G30" s="18">
        <f>G29-G24</f>
        <v>2003.8461538461561</v>
      </c>
      <c r="H30" s="18">
        <f>H29-H24</f>
        <v>2249.2307692307659</v>
      </c>
      <c r="I30" s="18">
        <f>I29-I24</f>
        <v>1750</v>
      </c>
      <c r="J30" s="18"/>
      <c r="K30" s="174"/>
      <c r="L30" s="48"/>
      <c r="M30" s="48"/>
      <c r="N30" s="48"/>
      <c r="O30" s="48"/>
      <c r="P30" s="48"/>
      <c r="Q30" s="48"/>
      <c r="R30" s="174"/>
      <c r="S30" s="49"/>
      <c r="T30" s="49"/>
      <c r="U30" s="33"/>
    </row>
    <row r="31" spans="1:21">
      <c r="C31" t="s">
        <v>148</v>
      </c>
      <c r="I31" s="33"/>
      <c r="J31" s="49"/>
      <c r="K31" s="48"/>
      <c r="L31" s="48"/>
      <c r="M31" s="48"/>
      <c r="N31" s="48"/>
      <c r="O31" s="48"/>
      <c r="P31" s="48"/>
      <c r="Q31" s="49"/>
      <c r="R31" s="174"/>
      <c r="S31" s="49"/>
      <c r="T31" s="49"/>
      <c r="U31" s="33"/>
    </row>
    <row r="32" spans="1:21">
      <c r="A32" t="s">
        <v>141</v>
      </c>
      <c r="B32" s="33">
        <v>44800</v>
      </c>
      <c r="C32" s="33">
        <v>42750</v>
      </c>
      <c r="D32" s="33">
        <v>45700</v>
      </c>
      <c r="E32" s="33"/>
      <c r="F32" s="33"/>
      <c r="G32" s="33">
        <v>44000</v>
      </c>
      <c r="H32" s="33"/>
      <c r="I32" s="33">
        <v>44000</v>
      </c>
      <c r="J32" s="49"/>
      <c r="K32" s="49"/>
      <c r="L32" s="49"/>
      <c r="M32" s="48"/>
      <c r="N32" s="49"/>
      <c r="O32" s="48"/>
      <c r="P32" s="49"/>
      <c r="Q32" s="49"/>
      <c r="R32" s="174"/>
      <c r="S32" s="49"/>
      <c r="T32" s="49"/>
    </row>
    <row r="33" spans="1:21 16384:16384" ht="15.75" customHeight="1">
      <c r="A33" t="s">
        <v>144</v>
      </c>
      <c r="B33" s="33"/>
      <c r="C33" s="33"/>
      <c r="D33" s="33"/>
      <c r="E33" s="104">
        <f>E17-E13</f>
        <v>-900</v>
      </c>
      <c r="F33" s="33"/>
      <c r="G33" s="33">
        <v>45000</v>
      </c>
      <c r="H33" s="33"/>
      <c r="I33" s="33"/>
      <c r="J33" s="49"/>
      <c r="K33" s="48"/>
      <c r="L33" s="49"/>
      <c r="M33" s="48"/>
      <c r="N33" s="49"/>
      <c r="O33" s="48"/>
      <c r="P33" s="104">
        <f>P17-P13</f>
        <v>-100</v>
      </c>
      <c r="Q33" s="49"/>
      <c r="R33" s="174"/>
      <c r="S33" s="49"/>
      <c r="T33" s="49"/>
      <c r="XFD33" s="96" t="s">
        <v>68</v>
      </c>
    </row>
    <row r="34" spans="1:21 16384:16384" ht="15.75">
      <c r="C34" s="33"/>
      <c r="D34" s="33"/>
      <c r="F34" s="33"/>
      <c r="G34" s="33"/>
      <c r="H34" s="33"/>
      <c r="J34" s="49"/>
      <c r="K34" s="125">
        <f>K24+'Dec H2'!K24</f>
        <v>91139.903846153844</v>
      </c>
      <c r="L34" s="125"/>
      <c r="M34" s="48"/>
      <c r="N34" s="125"/>
      <c r="O34" s="125"/>
      <c r="P34" s="106"/>
      <c r="Q34" s="128"/>
      <c r="R34" s="174"/>
      <c r="S34" s="49"/>
      <c r="T34" s="49"/>
      <c r="XFD34" s="97">
        <v>43500</v>
      </c>
    </row>
    <row r="35" spans="1:21 16384:16384" ht="15.75">
      <c r="A35" t="s">
        <v>72</v>
      </c>
      <c r="B35" s="33">
        <f>42200+1400</f>
        <v>43600</v>
      </c>
      <c r="C35" s="33"/>
      <c r="D35" s="33"/>
      <c r="E35" s="33"/>
      <c r="F35" s="33"/>
      <c r="G35" s="33"/>
      <c r="H35" s="124"/>
      <c r="I35" s="33">
        <f>45800-2900-F24</f>
        <v>1617.3076923076951</v>
      </c>
      <c r="J35" s="49"/>
      <c r="K35" s="125">
        <f>K34/2</f>
        <v>45569.951923076922</v>
      </c>
      <c r="L35" s="125"/>
      <c r="M35" s="48"/>
      <c r="N35" s="125"/>
      <c r="O35" s="125"/>
      <c r="P35" s="125"/>
      <c r="Q35" s="106"/>
      <c r="R35" s="174"/>
      <c r="S35" s="49"/>
      <c r="T35" s="49"/>
      <c r="XFD35" s="97">
        <v>44000</v>
      </c>
    </row>
    <row r="36" spans="1:21 16384:16384" ht="15.75">
      <c r="B36" s="33">
        <f>B35+1200</f>
        <v>44800</v>
      </c>
      <c r="D36" s="33"/>
      <c r="E36" s="33">
        <f>45500-3100-F24</f>
        <v>1117.3076923076951</v>
      </c>
      <c r="F36" s="113">
        <f>F24+3100+200</f>
        <v>44582.692307692305</v>
      </c>
      <c r="G36" s="218"/>
      <c r="H36" s="33"/>
      <c r="I36" s="33"/>
      <c r="J36" s="49"/>
      <c r="K36" s="125">
        <f>K35-44800</f>
        <v>769.95192307692196</v>
      </c>
      <c r="L36" s="125"/>
      <c r="M36" s="145"/>
      <c r="N36" s="106"/>
      <c r="O36" s="125"/>
      <c r="P36" s="125"/>
      <c r="Q36" s="106"/>
      <c r="R36" s="174"/>
      <c r="S36" s="49"/>
      <c r="T36" s="49"/>
      <c r="XFD36" s="97">
        <v>43500</v>
      </c>
    </row>
    <row r="37" spans="1:21 16384:16384" ht="15.75">
      <c r="D37" s="33"/>
      <c r="F37" s="113"/>
      <c r="G37" s="170">
        <f>44750-F24-3100</f>
        <v>367.30769230769511</v>
      </c>
      <c r="H37" s="167"/>
      <c r="J37" s="49"/>
      <c r="K37" s="106"/>
      <c r="L37" s="106"/>
      <c r="M37" s="106"/>
      <c r="N37" s="125"/>
      <c r="O37" s="106"/>
      <c r="P37" s="106"/>
      <c r="Q37" s="106"/>
      <c r="R37" s="130" t="s">
        <v>115</v>
      </c>
      <c r="S37" s="131" t="s">
        <v>116</v>
      </c>
      <c r="T37" s="131" t="s">
        <v>117</v>
      </c>
      <c r="U37" s="130" t="s">
        <v>118</v>
      </c>
      <c r="XFD37" s="97">
        <v>44000</v>
      </c>
    </row>
    <row r="38" spans="1:21 16384:16384" ht="15.75">
      <c r="C38" s="33"/>
      <c r="D38" s="33"/>
      <c r="F38" s="112"/>
      <c r="G38" s="170"/>
      <c r="H38" s="169"/>
      <c r="J38" s="49"/>
      <c r="K38" s="106"/>
      <c r="L38" s="125"/>
      <c r="M38" s="106"/>
      <c r="N38" s="106"/>
      <c r="O38" s="106"/>
      <c r="P38" s="106"/>
      <c r="Q38" s="106"/>
      <c r="R38" s="129" t="s">
        <v>119</v>
      </c>
      <c r="S38" s="129">
        <v>815</v>
      </c>
      <c r="T38" s="129">
        <v>207</v>
      </c>
      <c r="U38" s="129">
        <f>S38-T38</f>
        <v>608</v>
      </c>
      <c r="XFD38" s="97">
        <v>43000</v>
      </c>
    </row>
    <row r="39" spans="1:21 16384:16384" ht="15.75">
      <c r="D39" s="33"/>
      <c r="E39" s="33"/>
      <c r="F39" s="112"/>
      <c r="G39" s="170"/>
      <c r="H39" s="170"/>
      <c r="J39" s="49"/>
      <c r="K39" s="106"/>
      <c r="L39" s="125"/>
      <c r="M39" s="125"/>
      <c r="N39" s="106"/>
      <c r="O39" s="106"/>
      <c r="P39" s="106"/>
      <c r="Q39" s="106"/>
      <c r="R39" s="129" t="s">
        <v>120</v>
      </c>
      <c r="S39" s="129">
        <v>46000</v>
      </c>
      <c r="T39" s="129">
        <v>46000</v>
      </c>
      <c r="U39" s="29">
        <v>46000</v>
      </c>
      <c r="XFD39" s="97">
        <v>43500</v>
      </c>
    </row>
    <row r="40" spans="1:21 16384:16384" ht="15.75">
      <c r="A40" s="39" t="s">
        <v>40</v>
      </c>
      <c r="B40" s="40" t="s">
        <v>49</v>
      </c>
      <c r="C40" s="43"/>
      <c r="F40" s="114"/>
      <c r="G40" s="172"/>
      <c r="H40" s="171"/>
      <c r="J40" s="49"/>
      <c r="K40" s="106"/>
      <c r="L40" s="126"/>
      <c r="M40" s="127"/>
      <c r="N40" s="128"/>
      <c r="O40" s="106"/>
      <c r="P40" s="106"/>
      <c r="Q40" s="106"/>
      <c r="R40" s="129" t="s">
        <v>121</v>
      </c>
      <c r="S40" s="129">
        <v>3300</v>
      </c>
      <c r="T40" s="129">
        <v>1450</v>
      </c>
      <c r="U40" s="29">
        <v>3350</v>
      </c>
      <c r="XFD40" s="97">
        <v>44000</v>
      </c>
    </row>
    <row r="41" spans="1:21 16384:16384" ht="15.75">
      <c r="A41" s="29" t="s">
        <v>42</v>
      </c>
      <c r="B41" s="29">
        <v>46000</v>
      </c>
      <c r="C41" s="43"/>
      <c r="F41" s="114"/>
      <c r="G41" s="172"/>
      <c r="H41" s="172"/>
      <c r="I41" s="33"/>
      <c r="J41" s="49"/>
      <c r="K41" s="106"/>
      <c r="L41" s="106"/>
      <c r="M41" s="106"/>
      <c r="N41" s="106"/>
      <c r="O41" s="106"/>
      <c r="P41" s="106"/>
      <c r="Q41" s="106"/>
      <c r="R41" s="129" t="s">
        <v>122</v>
      </c>
      <c r="S41" s="129">
        <v>1000</v>
      </c>
      <c r="T41" s="129">
        <v>1000</v>
      </c>
      <c r="U41" s="129">
        <v>1250</v>
      </c>
      <c r="XFD41" s="97">
        <v>45000</v>
      </c>
    </row>
    <row r="42" spans="1:21 16384:16384" ht="15.75">
      <c r="A42" s="29" t="s">
        <v>43</v>
      </c>
      <c r="B42" s="29">
        <v>42615</v>
      </c>
      <c r="C42" s="43">
        <f>B42+1250</f>
        <v>43865</v>
      </c>
      <c r="F42" s="114"/>
      <c r="G42" s="171"/>
      <c r="H42" s="173"/>
      <c r="J42" s="49"/>
      <c r="K42" s="106"/>
      <c r="L42" s="106"/>
      <c r="M42" s="106"/>
      <c r="N42" s="106"/>
      <c r="O42" s="106"/>
      <c r="P42" s="106"/>
      <c r="Q42" s="106"/>
      <c r="R42" s="129" t="s">
        <v>123</v>
      </c>
      <c r="S42" s="129">
        <f>S39-S40-S41</f>
        <v>41700</v>
      </c>
      <c r="T42" s="129">
        <f t="shared" ref="T42:U42" si="0">T39-T40-T41</f>
        <v>43550</v>
      </c>
      <c r="U42" s="129">
        <f t="shared" si="0"/>
        <v>41400</v>
      </c>
      <c r="XFD42" s="97">
        <v>43500</v>
      </c>
    </row>
    <row r="43" spans="1:21 16384:16384" ht="15.75">
      <c r="A43" s="29" t="s">
        <v>44</v>
      </c>
      <c r="B43" s="29">
        <v>42275</v>
      </c>
      <c r="C43" s="43">
        <f>B43+1000</f>
        <v>43275</v>
      </c>
      <c r="G43" s="33"/>
      <c r="J43" s="49"/>
      <c r="K43" s="106"/>
      <c r="L43" s="106"/>
      <c r="M43" s="106"/>
      <c r="N43" s="106"/>
      <c r="O43" s="106"/>
      <c r="P43" s="106"/>
      <c r="Q43" s="106"/>
      <c r="R43" s="129" t="s">
        <v>124</v>
      </c>
      <c r="S43" s="129">
        <f>S42-F24</f>
        <v>417.30769230769511</v>
      </c>
      <c r="T43" s="129">
        <f>T42-G24</f>
        <v>3.8461538461560849</v>
      </c>
      <c r="U43" s="129">
        <f>U42-C24</f>
        <v>-222.69230769230489</v>
      </c>
      <c r="XFD43" s="97">
        <v>44000</v>
      </c>
    </row>
    <row r="44" spans="1:21 16384:16384" ht="15.75">
      <c r="A44" s="29" t="s">
        <v>36</v>
      </c>
      <c r="B44" s="29">
        <v>46450</v>
      </c>
      <c r="C44" s="43">
        <f>B44+800</f>
        <v>47250</v>
      </c>
      <c r="J44" s="49"/>
      <c r="K44" s="106"/>
      <c r="L44" s="106"/>
      <c r="M44" s="106"/>
      <c r="N44" s="106"/>
      <c r="O44" s="106"/>
      <c r="P44" s="106"/>
      <c r="Q44" s="106"/>
      <c r="R44" s="129" t="s">
        <v>125</v>
      </c>
      <c r="S44" s="129"/>
      <c r="T44" s="525">
        <f>SUMPRODUCT(T43:U43,T38:U38)/SUM(T38:U38)</f>
        <v>-165.15431807456082</v>
      </c>
      <c r="U44" s="525"/>
      <c r="XFD44" s="97">
        <v>44000</v>
      </c>
    </row>
    <row r="45" spans="1:21 16384:16384" ht="15.75">
      <c r="A45" s="29" t="s">
        <v>37</v>
      </c>
      <c r="B45" s="29">
        <v>45200</v>
      </c>
      <c r="C45" s="43">
        <f>B45+1000</f>
        <v>46200</v>
      </c>
      <c r="J45" s="49"/>
      <c r="K45" s="106"/>
      <c r="L45" s="106"/>
      <c r="M45" s="106"/>
      <c r="N45" s="106"/>
      <c r="O45" s="106"/>
      <c r="P45" s="106"/>
      <c r="Q45" s="106"/>
      <c r="R45" s="174"/>
      <c r="S45" s="49"/>
      <c r="T45" s="49"/>
      <c r="XFD45" s="97">
        <v>44000</v>
      </c>
    </row>
    <row r="46" spans="1:21 16384:16384" ht="15.75">
      <c r="A46" s="29" t="s">
        <v>45</v>
      </c>
      <c r="B46" s="29">
        <v>44470</v>
      </c>
      <c r="C46" s="43"/>
      <c r="D46" s="24"/>
      <c r="E46" s="24"/>
      <c r="F46" s="24"/>
      <c r="G46" s="24"/>
      <c r="H46" s="24"/>
      <c r="I46" s="24"/>
      <c r="J46" s="49"/>
      <c r="K46" s="106"/>
      <c r="L46" s="106"/>
      <c r="M46" s="106"/>
      <c r="N46" s="106"/>
      <c r="O46" s="106"/>
      <c r="P46" s="106"/>
      <c r="Q46" s="106"/>
      <c r="R46" s="174"/>
      <c r="S46" s="49"/>
      <c r="T46" s="49"/>
      <c r="XFD46" s="97">
        <v>41000</v>
      </c>
    </row>
    <row r="47" spans="1:21 16384:16384" ht="15.75">
      <c r="A47" s="43" t="s">
        <v>50</v>
      </c>
      <c r="B47" s="43">
        <v>43675</v>
      </c>
      <c r="C47" s="43"/>
      <c r="D47" s="33"/>
      <c r="E47" s="33"/>
      <c r="F47" s="33"/>
      <c r="G47" s="33"/>
      <c r="H47" s="33"/>
      <c r="I47" s="33"/>
      <c r="K47" s="523"/>
      <c r="L47" s="523"/>
      <c r="M47" s="106"/>
      <c r="N47" s="106"/>
      <c r="O47" s="106"/>
      <c r="P47" s="106"/>
      <c r="Q47" s="106"/>
    </row>
    <row r="48" spans="1:21 16384:16384">
      <c r="A48" s="46" t="s">
        <v>46</v>
      </c>
      <c r="B48" s="46">
        <f>44500-1000</f>
        <v>43500</v>
      </c>
      <c r="C48" s="46">
        <f>B48+1000</f>
        <v>44500</v>
      </c>
    </row>
    <row r="49" spans="1:14">
      <c r="B49" s="33"/>
    </row>
    <row r="51" spans="1:14" ht="37.5">
      <c r="B51" s="16" t="s">
        <v>18</v>
      </c>
      <c r="C51" s="16" t="s">
        <v>19</v>
      </c>
      <c r="D51" s="16" t="s">
        <v>20</v>
      </c>
      <c r="E51" s="16" t="s">
        <v>21</v>
      </c>
      <c r="F51" s="16" t="s">
        <v>22</v>
      </c>
      <c r="G51" s="16" t="s">
        <v>143</v>
      </c>
      <c r="H51" s="16" t="s">
        <v>39</v>
      </c>
      <c r="I51" s="16" t="s">
        <v>46</v>
      </c>
      <c r="J51" s="16" t="s">
        <v>126</v>
      </c>
    </row>
    <row r="52" spans="1:14">
      <c r="A52" t="s">
        <v>141</v>
      </c>
      <c r="B52" s="33">
        <v>43250</v>
      </c>
      <c r="C52" s="33">
        <v>41000</v>
      </c>
      <c r="D52" s="33">
        <v>44250</v>
      </c>
      <c r="E52" s="33">
        <v>40600</v>
      </c>
      <c r="F52" s="33">
        <v>40750</v>
      </c>
      <c r="G52" s="33">
        <v>42750</v>
      </c>
      <c r="H52" s="33"/>
      <c r="I52" s="33">
        <v>42500</v>
      </c>
      <c r="J52" s="49"/>
    </row>
    <row r="53" spans="1:14">
      <c r="A53" t="s">
        <v>48</v>
      </c>
      <c r="B53" s="33"/>
      <c r="C53" s="33"/>
      <c r="D53" s="33"/>
      <c r="E53" s="33"/>
      <c r="F53" s="33"/>
      <c r="G53" s="33">
        <v>43700</v>
      </c>
      <c r="H53" s="33"/>
      <c r="I53" s="33">
        <v>43500</v>
      </c>
      <c r="J53" s="49"/>
    </row>
    <row r="54" spans="1:14">
      <c r="C54" s="115"/>
      <c r="D54" s="109"/>
      <c r="E54" s="109"/>
      <c r="F54" s="52"/>
      <c r="G54" s="109"/>
      <c r="H54" s="109"/>
      <c r="K54" s="110"/>
      <c r="L54" s="110"/>
      <c r="M54" s="110"/>
      <c r="N54" s="110"/>
    </row>
    <row r="55" spans="1:14">
      <c r="A55" t="s">
        <v>72</v>
      </c>
      <c r="B55" s="33">
        <f>B52-B24</f>
        <v>-1096.1538461538439</v>
      </c>
      <c r="C55" s="33">
        <f t="shared" ref="C55:J55" si="1">C52-C24</f>
        <v>-622.69230769230489</v>
      </c>
      <c r="D55" s="33">
        <f t="shared" si="1"/>
        <v>-1323.076923076922</v>
      </c>
      <c r="E55" s="33">
        <f t="shared" si="1"/>
        <v>-975</v>
      </c>
      <c r="F55" s="33">
        <f t="shared" si="1"/>
        <v>-532.69230769230489</v>
      </c>
      <c r="G55" s="33">
        <f t="shared" si="1"/>
        <v>-796.15384615384392</v>
      </c>
      <c r="H55" s="33">
        <f t="shared" si="1"/>
        <v>-43600.769230769234</v>
      </c>
      <c r="I55" s="33">
        <f t="shared" si="1"/>
        <v>-2100</v>
      </c>
      <c r="J55" s="33">
        <f t="shared" si="1"/>
        <v>-42289.230769230766</v>
      </c>
      <c r="L55" s="62"/>
      <c r="M55" s="62"/>
      <c r="N55" s="62"/>
    </row>
    <row r="56" spans="1:14">
      <c r="C56" s="52"/>
      <c r="D56" s="111"/>
      <c r="E56" s="111"/>
      <c r="F56" s="58"/>
      <c r="G56" s="111"/>
      <c r="H56" s="111"/>
      <c r="L56" s="62"/>
      <c r="M56" s="62"/>
      <c r="N56" s="62"/>
    </row>
    <row r="57" spans="1:14">
      <c r="C57" s="52"/>
      <c r="D57" s="111"/>
      <c r="E57" s="111"/>
      <c r="F57" s="58"/>
      <c r="G57" s="111"/>
      <c r="H57" s="111"/>
      <c r="L57" s="62"/>
      <c r="M57" s="62"/>
      <c r="N57" s="62"/>
    </row>
    <row r="58" spans="1:14">
      <c r="C58" s="52"/>
      <c r="D58" s="111"/>
      <c r="E58" s="111"/>
      <c r="F58" s="58"/>
      <c r="G58" s="111"/>
      <c r="H58" s="111"/>
      <c r="L58" s="62"/>
      <c r="M58" s="62"/>
      <c r="N58" s="62"/>
    </row>
    <row r="59" spans="1:14">
      <c r="C59" s="52"/>
      <c r="D59" s="111"/>
      <c r="E59" s="111"/>
      <c r="F59" s="58"/>
      <c r="G59" s="111"/>
      <c r="H59" s="111"/>
      <c r="K59" s="116"/>
      <c r="L59" s="117"/>
      <c r="M59" s="117"/>
      <c r="N59" s="117"/>
    </row>
    <row r="60" spans="1:14">
      <c r="C60" s="52"/>
      <c r="D60" s="111"/>
      <c r="E60" s="111"/>
      <c r="F60" s="58"/>
      <c r="G60" s="111"/>
      <c r="H60" s="111"/>
    </row>
    <row r="61" spans="1:14">
      <c r="C61" s="52"/>
      <c r="D61" s="118"/>
      <c r="E61" s="118"/>
      <c r="F61" s="58"/>
      <c r="G61" s="118"/>
      <c r="H61" s="118"/>
    </row>
    <row r="62" spans="1:14">
      <c r="C62" s="52"/>
      <c r="D62" s="118"/>
      <c r="E62" s="118"/>
      <c r="F62" s="58"/>
      <c r="G62" s="118"/>
      <c r="H62" s="118"/>
    </row>
    <row r="63" spans="1:14">
      <c r="C63" s="119"/>
      <c r="D63" s="118"/>
      <c r="E63" s="118"/>
      <c r="F63" s="58"/>
      <c r="G63" s="118"/>
      <c r="H63" s="118"/>
    </row>
    <row r="73" spans="3:12">
      <c r="C73" s="120"/>
      <c r="D73" s="120"/>
      <c r="E73" s="120"/>
      <c r="F73" s="120"/>
      <c r="G73" s="120"/>
      <c r="H73" s="120"/>
      <c r="I73" s="120"/>
      <c r="J73" s="120"/>
      <c r="K73" s="120"/>
      <c r="L73" s="120"/>
    </row>
    <row r="74" spans="3:12">
      <c r="C74" s="120"/>
      <c r="D74" s="121"/>
      <c r="E74" s="122"/>
      <c r="F74" s="122"/>
      <c r="G74" s="122"/>
      <c r="H74" s="122"/>
      <c r="I74" s="122"/>
      <c r="J74" s="122"/>
      <c r="K74" s="122"/>
      <c r="L74" s="122"/>
    </row>
    <row r="75" spans="3:12">
      <c r="C75" s="120"/>
      <c r="D75" s="121"/>
      <c r="E75" s="122"/>
      <c r="F75" s="122"/>
      <c r="G75" s="122"/>
      <c r="H75" s="122"/>
      <c r="I75" s="122"/>
      <c r="J75" s="122"/>
      <c r="K75" s="122"/>
      <c r="L75" s="122"/>
    </row>
    <row r="76" spans="3:12">
      <c r="C76" s="120"/>
      <c r="D76" s="121"/>
      <c r="E76" s="122"/>
      <c r="F76" s="122"/>
      <c r="G76" s="122"/>
      <c r="H76" s="122"/>
      <c r="I76" s="122"/>
      <c r="J76" s="122"/>
      <c r="K76" s="122"/>
      <c r="L76" s="122"/>
    </row>
    <row r="77" spans="3:12">
      <c r="C77" s="120"/>
      <c r="D77" s="121"/>
      <c r="E77" s="122"/>
      <c r="F77" s="122"/>
      <c r="G77" s="122"/>
      <c r="H77" s="122"/>
      <c r="I77" s="122"/>
      <c r="J77" s="122"/>
      <c r="K77" s="122"/>
      <c r="L77" s="122"/>
    </row>
    <row r="78" spans="3:12">
      <c r="C78" s="120"/>
      <c r="D78" s="120"/>
      <c r="E78" s="123"/>
      <c r="F78" s="123"/>
      <c r="G78" s="123"/>
      <c r="H78" s="123"/>
      <c r="I78" s="123"/>
      <c r="J78" s="123"/>
      <c r="K78" s="123"/>
      <c r="L78" s="123"/>
    </row>
  </sheetData>
  <mergeCells count="3">
    <mergeCell ref="B1:Q1"/>
    <mergeCell ref="T44:U44"/>
    <mergeCell ref="K47:L47"/>
  </mergeCell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3E541-FFC8-44B3-B213-AB526B86FC10}">
  <dimension ref="A1:XFD78"/>
  <sheetViews>
    <sheetView workbookViewId="0">
      <pane ySplit="2" topLeftCell="B12" activePane="bottomLeft" state="frozen"/>
      <selection pane="bottomLeft" activeCell="B12" sqref="B12"/>
    </sheetView>
  </sheetViews>
  <sheetFormatPr defaultColWidth="15.85546875" defaultRowHeight="15"/>
  <cols>
    <col min="1" max="1" width="22" customWidth="1"/>
    <col min="2" max="2" width="14.85546875" customWidth="1"/>
    <col min="3" max="3" width="16.85546875" customWidth="1"/>
    <col min="4" max="4" width="10.85546875" customWidth="1"/>
    <col min="5" max="5" width="14.28515625" customWidth="1"/>
    <col min="6" max="7" width="10.85546875" customWidth="1"/>
    <col min="8" max="8" width="13.140625" customWidth="1"/>
    <col min="9" max="10" width="10.85546875" customWidth="1"/>
    <col min="11" max="11" width="14.42578125" customWidth="1"/>
    <col min="12" max="12" width="22.85546875" customWidth="1"/>
    <col min="13" max="14" width="20.7109375" customWidth="1"/>
    <col min="15" max="16" width="10.85546875" customWidth="1"/>
    <col min="17" max="17" width="12.28515625" customWidth="1"/>
    <col min="18" max="18" width="19.5703125" style="27" customWidth="1"/>
    <col min="19" max="19" width="25.28515625" bestFit="1" customWidth="1"/>
    <col min="20" max="20" width="22.5703125" bestFit="1" customWidth="1"/>
    <col min="21" max="21" width="25.28515625" bestFit="1" customWidth="1"/>
  </cols>
  <sheetData>
    <row r="1" spans="1:22">
      <c r="A1" s="81"/>
      <c r="B1" s="519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27" t="s">
        <v>145</v>
      </c>
    </row>
    <row r="2" spans="1:22">
      <c r="A2" s="8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  <c r="R2" s="27" t="s">
        <v>146</v>
      </c>
    </row>
    <row r="3" spans="1:22">
      <c r="A3" s="83">
        <v>46007</v>
      </c>
      <c r="B3" s="36">
        <f>_xlfn.XLOOKUP(A3,'steel Mint data'!A:A,'steel Mint data'!B:B,"",0)</f>
        <v>44800</v>
      </c>
      <c r="C3" s="36"/>
      <c r="D3" s="36"/>
      <c r="E3" s="36">
        <f>_xlfn.XLOOKUP(A3,'steel Mint data'!A:A,'steel Mint data'!D:D,"",0)</f>
        <v>42300</v>
      </c>
      <c r="F3" s="36">
        <f>_xlfn.XLOOKUP(A3,'steel Mint data'!A:A,'steel Mint data'!E:E,"",0)</f>
        <v>39100</v>
      </c>
      <c r="G3" s="36"/>
      <c r="H3" s="36"/>
      <c r="I3" s="36">
        <f>_xlfn.XLOOKUP(A3,'steel Mint data'!A:A,'steel Mint data'!I:I,"",0)</f>
        <v>42400</v>
      </c>
      <c r="J3" s="36"/>
      <c r="K3" s="36">
        <f>_xlfn.XLOOKUP(A3,'steel Mint data'!A:A,'steel Mint data'!L:L,"",0)</f>
        <v>44400</v>
      </c>
      <c r="L3" s="36"/>
      <c r="M3" s="36"/>
      <c r="N3" s="36"/>
      <c r="O3" s="36"/>
      <c r="P3" s="37">
        <f>_xlfn.XLOOKUP(A3,'steel Mint data'!A:A,'steel Mint data'!Q:Q,"",0)</f>
        <v>39500</v>
      </c>
      <c r="Q3" s="36">
        <f>_xlfn.XLOOKUP(A3,'steel Mint data'!A:A,'steel Mint data'!R:R,"",0)</f>
        <v>39400</v>
      </c>
    </row>
    <row r="4" spans="1:22">
      <c r="A4" s="83">
        <v>46008</v>
      </c>
      <c r="B4" s="36">
        <f>_xlfn.XLOOKUP(A4,'steel Mint data'!A:A,'steel Mint data'!B:B,"",0)</f>
        <v>45000</v>
      </c>
      <c r="C4" s="36"/>
      <c r="D4" s="36"/>
      <c r="E4" s="36">
        <f>_xlfn.XLOOKUP(A4,'steel Mint data'!A:A,'steel Mint data'!D:D,"",0)</f>
        <v>42500</v>
      </c>
      <c r="F4" s="36">
        <f>_xlfn.XLOOKUP(A4,'steel Mint data'!A:A,'steel Mint data'!E:E,"",0)</f>
        <v>39200</v>
      </c>
      <c r="G4" s="36"/>
      <c r="H4" s="36"/>
      <c r="I4" s="36">
        <f>_xlfn.XLOOKUP(A4,'steel Mint data'!A:A,'steel Mint data'!I:I,"",0)</f>
        <v>42600</v>
      </c>
      <c r="J4" s="36"/>
      <c r="K4" s="36">
        <f>_xlfn.XLOOKUP(A4,'steel Mint data'!A:A,'steel Mint data'!L:L,"",0)</f>
        <v>44500</v>
      </c>
      <c r="L4" s="36"/>
      <c r="M4" s="36"/>
      <c r="N4" s="36"/>
      <c r="O4" s="36"/>
      <c r="P4" s="37">
        <f>_xlfn.XLOOKUP(A4,'steel Mint data'!A:A,'steel Mint data'!Q:Q,"",0)</f>
        <v>39700</v>
      </c>
      <c r="Q4" s="36">
        <f>_xlfn.XLOOKUP(A4,'steel Mint data'!A:A,'steel Mint data'!R:R,"",0)</f>
        <v>39800</v>
      </c>
      <c r="R4" s="27">
        <v>45302</v>
      </c>
    </row>
    <row r="5" spans="1:22">
      <c r="A5" s="83">
        <v>46009</v>
      </c>
      <c r="B5" s="36">
        <f>_xlfn.XLOOKUP(A5,'steel Mint data'!A:A,'steel Mint data'!B:B,"",0)</f>
        <v>44900</v>
      </c>
      <c r="C5" s="36"/>
      <c r="D5" s="36"/>
      <c r="E5" s="36">
        <f>_xlfn.XLOOKUP(A5,'steel Mint data'!A:A,'steel Mint data'!D:D,"",0)</f>
        <v>42500</v>
      </c>
      <c r="F5" s="36">
        <f>_xlfn.XLOOKUP(A5,'steel Mint data'!A:A,'steel Mint data'!E:E,"",0)</f>
        <v>39200</v>
      </c>
      <c r="G5" s="36"/>
      <c r="H5" s="36"/>
      <c r="I5" s="36">
        <f>_xlfn.XLOOKUP(A5,'steel Mint data'!A:A,'steel Mint data'!I:I,"",0)</f>
        <v>42500</v>
      </c>
      <c r="J5" s="36"/>
      <c r="K5" s="36">
        <f>_xlfn.XLOOKUP(A5,'steel Mint data'!A:A,'steel Mint data'!L:L,"",0)</f>
        <v>44500</v>
      </c>
      <c r="L5" s="36"/>
      <c r="M5" s="36"/>
      <c r="N5" s="36"/>
      <c r="O5" s="36"/>
      <c r="P5" s="37">
        <f>_xlfn.XLOOKUP(A5,'steel Mint data'!A:A,'steel Mint data'!Q:Q,"",0)</f>
        <v>39600</v>
      </c>
      <c r="Q5" s="36">
        <f>_xlfn.XLOOKUP(A5,'steel Mint data'!A:A,'steel Mint data'!R:R,"",0)</f>
        <v>39800</v>
      </c>
      <c r="R5" s="27">
        <v>45302</v>
      </c>
      <c r="T5" s="27"/>
      <c r="U5" s="27"/>
      <c r="V5" s="27"/>
    </row>
    <row r="6" spans="1:22">
      <c r="A6" s="83">
        <v>46010</v>
      </c>
      <c r="B6" s="36">
        <f>_xlfn.XLOOKUP(A6,'steel Mint data'!A:A,'steel Mint data'!B:B,"",0)</f>
        <v>45100</v>
      </c>
      <c r="C6" s="36"/>
      <c r="D6" s="36"/>
      <c r="E6" s="36">
        <f>_xlfn.XLOOKUP(A6,'steel Mint data'!A:A,'steel Mint data'!D:D,"",0)</f>
        <v>43200</v>
      </c>
      <c r="F6" s="36">
        <f>_xlfn.XLOOKUP(A6,'steel Mint data'!A:A,'steel Mint data'!E:E,"",0)</f>
        <v>39500</v>
      </c>
      <c r="G6" s="36"/>
      <c r="H6" s="36"/>
      <c r="I6" s="36">
        <f>_xlfn.XLOOKUP(A6,'steel Mint data'!A:A,'steel Mint data'!I:I,"",0)</f>
        <v>43000</v>
      </c>
      <c r="J6" s="36"/>
      <c r="K6" s="36">
        <f>_xlfn.XLOOKUP(A6,'steel Mint data'!A:A,'steel Mint data'!L:L,"",0)</f>
        <v>44700</v>
      </c>
      <c r="L6" s="36"/>
      <c r="M6" s="36"/>
      <c r="N6" s="36"/>
      <c r="O6" s="36"/>
      <c r="P6" s="37">
        <f>_xlfn.XLOOKUP(A6,'steel Mint data'!A:A,'steel Mint data'!Q:Q,"",0)</f>
        <v>40000</v>
      </c>
      <c r="Q6" s="36">
        <f>_xlfn.XLOOKUP(A6,'steel Mint data'!A:A,'steel Mint data'!R:R,"",0)</f>
        <v>40000</v>
      </c>
      <c r="R6" s="27">
        <v>45302</v>
      </c>
      <c r="T6" s="27"/>
      <c r="U6" s="27"/>
      <c r="V6" s="27"/>
    </row>
    <row r="7" spans="1:22">
      <c r="A7" s="83">
        <v>46011</v>
      </c>
      <c r="B7" s="36">
        <f>_xlfn.XLOOKUP(A7,'steel Mint data'!A:A,'steel Mint data'!B:B,"",0)</f>
        <v>45300</v>
      </c>
      <c r="C7" s="36"/>
      <c r="D7" s="36"/>
      <c r="E7" s="36">
        <f>_xlfn.XLOOKUP(A7,'steel Mint data'!A:A,'steel Mint data'!D:D,"",0)</f>
        <v>43200</v>
      </c>
      <c r="F7" s="36">
        <f>_xlfn.XLOOKUP(A7,'steel Mint data'!A:A,'steel Mint data'!E:E,"",0)</f>
        <v>39400</v>
      </c>
      <c r="G7" s="36"/>
      <c r="H7" s="36"/>
      <c r="I7" s="36">
        <f>_xlfn.XLOOKUP(A7,'steel Mint data'!A:A,'steel Mint data'!I:I,"",0)</f>
        <v>43000</v>
      </c>
      <c r="J7" s="36"/>
      <c r="K7" s="36">
        <f>_xlfn.XLOOKUP(A7,'steel Mint data'!A:A,'steel Mint data'!L:L,"",0)</f>
        <v>44800</v>
      </c>
      <c r="L7" s="36"/>
      <c r="M7" s="36"/>
      <c r="N7" s="36"/>
      <c r="O7" s="36"/>
      <c r="P7" s="37">
        <f>_xlfn.XLOOKUP(A7,'steel Mint data'!A:A,'steel Mint data'!Q:Q,"",0)</f>
        <v>40000</v>
      </c>
      <c r="Q7" s="36">
        <f>_xlfn.XLOOKUP(A7,'steel Mint data'!A:A,'steel Mint data'!R:R,"",0)</f>
        <v>40000</v>
      </c>
      <c r="T7" s="27"/>
      <c r="U7" s="27"/>
      <c r="V7" s="27"/>
    </row>
    <row r="8" spans="1:22">
      <c r="A8" s="83">
        <v>46012</v>
      </c>
      <c r="B8" s="36" t="str">
        <f>_xlfn.XLOOKUP(A8,'steel Mint data'!A:A,'steel Mint data'!B:B,"",0)</f>
        <v>H</v>
      </c>
      <c r="C8" s="36"/>
      <c r="D8" s="36"/>
      <c r="E8" s="36" t="str">
        <f>_xlfn.XLOOKUP(A8,'steel Mint data'!A:A,'steel Mint data'!D:D,"",0)</f>
        <v>H</v>
      </c>
      <c r="F8" s="36" t="str">
        <f>_xlfn.XLOOKUP(A8,'steel Mint data'!A:A,'steel Mint data'!E:E,"",0)</f>
        <v>H</v>
      </c>
      <c r="G8" s="36"/>
      <c r="H8" s="36"/>
      <c r="I8" s="36" t="str">
        <f>_xlfn.XLOOKUP(A8,'steel Mint data'!A:A,'steel Mint data'!I:I,"",0)</f>
        <v>H</v>
      </c>
      <c r="J8" s="36"/>
      <c r="K8" s="36" t="str">
        <f>_xlfn.XLOOKUP(A8,'steel Mint data'!A:A,'steel Mint data'!L:L,"",0)</f>
        <v>H</v>
      </c>
      <c r="L8" s="36"/>
      <c r="M8" s="36"/>
      <c r="N8" s="36"/>
      <c r="O8" s="36"/>
      <c r="P8" s="37" t="str">
        <f>_xlfn.XLOOKUP(A8,'steel Mint data'!A:A,'steel Mint data'!Q:Q,"",0)</f>
        <v>H</v>
      </c>
      <c r="Q8" s="36" t="str">
        <f>_xlfn.XLOOKUP(A8,'steel Mint data'!A:A,'steel Mint data'!R:R,"",0)</f>
        <v>H</v>
      </c>
      <c r="T8" s="27"/>
      <c r="U8" s="27"/>
      <c r="V8" s="27"/>
    </row>
    <row r="9" spans="1:22">
      <c r="A9" s="83">
        <v>46013</v>
      </c>
      <c r="B9" s="36">
        <f>_xlfn.XLOOKUP(A9,'steel Mint data'!A:A,'steel Mint data'!B:B,"",0)</f>
        <v>46000</v>
      </c>
      <c r="C9" s="36"/>
      <c r="D9" s="36"/>
      <c r="E9" s="36">
        <f>_xlfn.XLOOKUP(A9,'steel Mint data'!A:A,'steel Mint data'!D:D,"",0)</f>
        <v>43350</v>
      </c>
      <c r="F9" s="36">
        <f>_xlfn.XLOOKUP(A9,'steel Mint data'!A:A,'steel Mint data'!E:E,"",0)</f>
        <v>39800</v>
      </c>
      <c r="G9" s="36"/>
      <c r="H9" s="36"/>
      <c r="I9" s="36">
        <f>_xlfn.XLOOKUP(A9,'steel Mint data'!A:A,'steel Mint data'!I:I,"",0)</f>
        <v>43200</v>
      </c>
      <c r="J9" s="36"/>
      <c r="K9" s="36">
        <f>_xlfn.XLOOKUP(A9,'steel Mint data'!A:A,'steel Mint data'!L:L,"",0)</f>
        <v>45000</v>
      </c>
      <c r="L9" s="36"/>
      <c r="M9" s="36"/>
      <c r="N9" s="36"/>
      <c r="O9" s="36"/>
      <c r="P9" s="37">
        <f>_xlfn.XLOOKUP(A9,'steel Mint data'!A:A,'steel Mint data'!Q:Q,"",0)</f>
        <v>40700</v>
      </c>
      <c r="Q9" s="36">
        <f>_xlfn.XLOOKUP(A9,'steel Mint data'!A:A,'steel Mint data'!R:R,"",0)</f>
        <v>40300</v>
      </c>
      <c r="R9" s="27">
        <v>45292</v>
      </c>
      <c r="T9" s="27"/>
      <c r="U9" s="27"/>
      <c r="V9" s="27"/>
    </row>
    <row r="10" spans="1:22">
      <c r="A10" s="83">
        <v>46014</v>
      </c>
      <c r="B10" s="36">
        <f>_xlfn.XLOOKUP(A10,'steel Mint data'!A:A,'steel Mint data'!B:B,"",0)</f>
        <v>46400</v>
      </c>
      <c r="C10" s="36"/>
      <c r="D10" s="36"/>
      <c r="E10" s="36">
        <f>_xlfn.XLOOKUP(A10,'steel Mint data'!A:A,'steel Mint data'!D:D,"",0)</f>
        <v>43400</v>
      </c>
      <c r="F10" s="36">
        <f>_xlfn.XLOOKUP(A10,'steel Mint data'!A:A,'steel Mint data'!E:E,"",0)</f>
        <v>39800</v>
      </c>
      <c r="G10" s="36"/>
      <c r="H10" s="36"/>
      <c r="I10" s="36">
        <f>_xlfn.XLOOKUP(A10,'steel Mint data'!A:A,'steel Mint data'!I:I,"",0)</f>
        <v>43000</v>
      </c>
      <c r="J10" s="36"/>
      <c r="K10" s="36">
        <f>_xlfn.XLOOKUP(A10,'steel Mint data'!A:A,'steel Mint data'!L:L,"",0)</f>
        <v>45300</v>
      </c>
      <c r="L10" s="36"/>
      <c r="M10" s="36"/>
      <c r="N10" s="36"/>
      <c r="O10" s="36"/>
      <c r="P10" s="37">
        <f>_xlfn.XLOOKUP(A10,'steel Mint data'!A:A,'steel Mint data'!Q:Q,"",0)</f>
        <v>41000</v>
      </c>
      <c r="Q10" s="36">
        <f>_xlfn.XLOOKUP(A10,'steel Mint data'!A:A,'steel Mint data'!R:R,"",0)</f>
        <v>40700</v>
      </c>
      <c r="R10" s="175"/>
    </row>
    <row r="11" spans="1:22">
      <c r="A11" s="83">
        <v>46015</v>
      </c>
      <c r="B11" s="36">
        <f>_xlfn.XLOOKUP(A11,'steel Mint data'!A:A,'steel Mint data'!B:B,"",0)</f>
        <v>46400</v>
      </c>
      <c r="C11" s="36"/>
      <c r="D11" s="36"/>
      <c r="E11" s="36">
        <f>_xlfn.XLOOKUP(A11,'steel Mint data'!A:A,'steel Mint data'!D:D,"",0)</f>
        <v>43500</v>
      </c>
      <c r="F11" s="36">
        <f>_xlfn.XLOOKUP(A11,'steel Mint data'!A:A,'steel Mint data'!E:E,"",0)</f>
        <v>39800</v>
      </c>
      <c r="G11" s="36"/>
      <c r="H11" s="36"/>
      <c r="I11" s="36">
        <f>_xlfn.XLOOKUP(A11,'steel Mint data'!A:A,'steel Mint data'!I:I,"",0)</f>
        <v>43000</v>
      </c>
      <c r="J11" s="36"/>
      <c r="K11" s="36">
        <f>_xlfn.XLOOKUP(A11,'steel Mint data'!A:A,'steel Mint data'!L:L,"",0)</f>
        <v>45300</v>
      </c>
      <c r="L11" s="36"/>
      <c r="M11" s="36"/>
      <c r="N11" s="36"/>
      <c r="O11" s="36"/>
      <c r="P11" s="37">
        <f>_xlfn.XLOOKUP(A11,'steel Mint data'!A:A,'steel Mint data'!Q:Q,"",0)</f>
        <v>41000</v>
      </c>
      <c r="Q11" s="36">
        <f>_xlfn.XLOOKUP(A11,'steel Mint data'!A:A,'steel Mint data'!R:R,"",0)</f>
        <v>40700</v>
      </c>
    </row>
    <row r="12" spans="1:22">
      <c r="A12" s="83">
        <v>46016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  <c r="Q12" s="36"/>
    </row>
    <row r="13" spans="1:22">
      <c r="A13" s="83">
        <v>46017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7"/>
      <c r="Q13" s="36"/>
      <c r="R13" s="174"/>
      <c r="S13" s="33"/>
    </row>
    <row r="14" spans="1:22">
      <c r="A14" s="83">
        <v>46018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7"/>
      <c r="Q14" s="36"/>
      <c r="S14" s="33"/>
      <c r="T14" s="33"/>
    </row>
    <row r="15" spans="1:22">
      <c r="A15" s="83">
        <v>46019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7"/>
      <c r="Q15" s="36"/>
      <c r="S15" s="33"/>
      <c r="T15" s="33"/>
    </row>
    <row r="16" spans="1:22">
      <c r="A16" s="83">
        <v>46020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  <c r="Q16" s="36"/>
      <c r="R16" s="175"/>
      <c r="S16" s="33"/>
      <c r="T16" s="33"/>
    </row>
    <row r="17" spans="1:21">
      <c r="A17" s="83">
        <v>46021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36"/>
      <c r="S17" s="33"/>
    </row>
    <row r="18" spans="1:21">
      <c r="A18" s="83">
        <v>46022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7"/>
      <c r="Q18" s="36"/>
      <c r="S18" s="33"/>
      <c r="T18" s="33"/>
    </row>
    <row r="19" spans="1:21">
      <c r="A19" s="83"/>
      <c r="B19" s="15">
        <f>SUM(B3:B18)</f>
        <v>363900</v>
      </c>
      <c r="C19" s="14"/>
      <c r="D19" s="14"/>
      <c r="E19" s="15">
        <f>SUM(E3:E18)</f>
        <v>343950</v>
      </c>
      <c r="F19" s="15">
        <f>SUM(F3:F18)</f>
        <v>315800</v>
      </c>
      <c r="G19" s="14"/>
      <c r="H19" s="14"/>
      <c r="I19" s="15">
        <f>SUM(I3:I18)</f>
        <v>342700</v>
      </c>
      <c r="J19" s="14"/>
      <c r="K19" s="15">
        <f>SUM(K3:K18)</f>
        <v>358500</v>
      </c>
      <c r="L19" s="14"/>
      <c r="M19" s="14"/>
      <c r="N19" s="14"/>
      <c r="O19" s="14"/>
      <c r="P19" s="15">
        <f>SUM(P3:P18)</f>
        <v>321500</v>
      </c>
      <c r="Q19" s="15">
        <f>SUM(Q3:Q18)</f>
        <v>320700</v>
      </c>
      <c r="S19" s="33"/>
      <c r="T19" s="33"/>
    </row>
    <row r="20" spans="1:21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23</v>
      </c>
      <c r="H20" s="16" t="s">
        <v>39</v>
      </c>
      <c r="I20" s="16" t="s">
        <v>46</v>
      </c>
      <c r="J20" s="16" t="s">
        <v>126</v>
      </c>
      <c r="K20" s="277" t="s">
        <v>23</v>
      </c>
      <c r="L20" s="277" t="s">
        <v>147</v>
      </c>
      <c r="M20" s="19" t="s">
        <v>149</v>
      </c>
      <c r="N20" s="19"/>
      <c r="O20" s="14"/>
      <c r="P20" s="21"/>
      <c r="Q20" s="14"/>
      <c r="S20" s="33"/>
      <c r="T20" s="33"/>
    </row>
    <row r="21" spans="1:21">
      <c r="A21" s="17" t="s">
        <v>25</v>
      </c>
      <c r="B21" s="18">
        <f>E19/O21</f>
        <v>42993.75</v>
      </c>
      <c r="C21" s="18">
        <f>P19/O21</f>
        <v>40187.5</v>
      </c>
      <c r="D21" s="18">
        <f>K19/O21</f>
        <v>44812.5</v>
      </c>
      <c r="E21" s="18">
        <f>Q19/O21</f>
        <v>40087.5</v>
      </c>
      <c r="F21" s="18">
        <f>C21</f>
        <v>40187.5</v>
      </c>
      <c r="G21" s="18">
        <f>B21-800</f>
        <v>42193.75</v>
      </c>
      <c r="H21" s="18">
        <f>I19/O21</f>
        <v>42837.5</v>
      </c>
      <c r="I21" s="18">
        <f>B19/(O21)</f>
        <v>45487.5</v>
      </c>
      <c r="J21" s="18">
        <f>F19/O21</f>
        <v>39475</v>
      </c>
      <c r="K21" s="23">
        <f>B21-800</f>
        <v>42193.75</v>
      </c>
      <c r="L21" s="23">
        <f>P19/O21</f>
        <v>40187.5</v>
      </c>
      <c r="M21" s="146">
        <f>J21</f>
        <v>39475</v>
      </c>
      <c r="N21" s="19"/>
      <c r="O21" s="20">
        <f>COUNT(P3:P18)</f>
        <v>8</v>
      </c>
      <c r="P21" s="21"/>
      <c r="Q21" s="19"/>
      <c r="R21" s="175"/>
      <c r="S21" s="33"/>
      <c r="T21" s="33"/>
    </row>
    <row r="22" spans="1:21">
      <c r="A22" s="17" t="s">
        <v>26</v>
      </c>
      <c r="B22" s="18">
        <v>1200</v>
      </c>
      <c r="C22" s="18">
        <v>2150</v>
      </c>
      <c r="D22" s="18">
        <v>400</v>
      </c>
      <c r="E22" s="18">
        <v>2200</v>
      </c>
      <c r="F22" s="18">
        <v>1800</v>
      </c>
      <c r="G22" s="18">
        <v>1200</v>
      </c>
      <c r="H22" s="18">
        <v>800</v>
      </c>
      <c r="I22" s="18">
        <v>0</v>
      </c>
      <c r="J22" s="18">
        <v>2700</v>
      </c>
      <c r="K22" s="23">
        <v>3200</v>
      </c>
      <c r="L22" s="23">
        <v>4035</v>
      </c>
      <c r="M22" s="146"/>
      <c r="N22" s="19"/>
      <c r="O22" s="48"/>
      <c r="P22" s="48"/>
      <c r="Q22" s="176"/>
      <c r="R22" s="174"/>
      <c r="S22" s="49"/>
      <c r="T22" s="49"/>
    </row>
    <row r="23" spans="1:21">
      <c r="A23" s="17" t="s">
        <v>27</v>
      </c>
      <c r="B23" s="18">
        <v>200</v>
      </c>
      <c r="C23" s="18">
        <v>265</v>
      </c>
      <c r="D23" s="18">
        <v>250</v>
      </c>
      <c r="E23" s="18">
        <v>275</v>
      </c>
      <c r="F23" s="18">
        <v>275</v>
      </c>
      <c r="G23" s="18">
        <v>200</v>
      </c>
      <c r="H23" s="18">
        <v>270</v>
      </c>
      <c r="I23" s="18">
        <v>200</v>
      </c>
      <c r="J23" s="18">
        <v>270</v>
      </c>
      <c r="K23" s="23">
        <v>200</v>
      </c>
      <c r="L23" s="23">
        <v>265</v>
      </c>
      <c r="M23" s="146"/>
      <c r="N23" s="48"/>
      <c r="O23" s="48"/>
      <c r="P23" s="48"/>
      <c r="Q23" s="48"/>
      <c r="R23" s="174"/>
      <c r="S23" s="48"/>
      <c r="T23" s="49"/>
    </row>
    <row r="24" spans="1:21" ht="19.5" customHeight="1">
      <c r="A24" s="22" t="s">
        <v>28</v>
      </c>
      <c r="B24" s="18">
        <f>SUM(B21:B23)</f>
        <v>44393.75</v>
      </c>
      <c r="C24" s="18">
        <f>SUM(C21:C23)</f>
        <v>42602.5</v>
      </c>
      <c r="D24" s="18">
        <f>SUM(D21:D23)</f>
        <v>45462.5</v>
      </c>
      <c r="E24" s="18">
        <f>SUM(E21:E23)</f>
        <v>42562.5</v>
      </c>
      <c r="F24" s="18">
        <f>SUM(F21:F23)</f>
        <v>42262.5</v>
      </c>
      <c r="G24" s="18">
        <f>SUM(G21:G23)</f>
        <v>43593.75</v>
      </c>
      <c r="H24" s="18">
        <f>SUM(H21:H23)</f>
        <v>43907.5</v>
      </c>
      <c r="I24" s="18">
        <f>SUM(I21:I23)</f>
        <v>45687.5</v>
      </c>
      <c r="J24" s="18">
        <f>SUM(J21:J23)</f>
        <v>42445</v>
      </c>
      <c r="K24" s="281">
        <f>SUM(K21:K23)</f>
        <v>45593.75</v>
      </c>
      <c r="L24" s="281">
        <f>SUM(L21:L23)</f>
        <v>44487.5</v>
      </c>
      <c r="M24" s="69"/>
      <c r="N24" s="48">
        <f>44600-1100-C24</f>
        <v>897.5</v>
      </c>
      <c r="O24" s="48"/>
      <c r="P24" s="48"/>
      <c r="Q24" s="48"/>
      <c r="R24" s="174"/>
      <c r="S24" s="49"/>
      <c r="T24" s="49"/>
    </row>
    <row r="25" spans="1:21">
      <c r="A25" s="22" t="s">
        <v>29</v>
      </c>
      <c r="B25" s="18">
        <v>45100</v>
      </c>
      <c r="C25" s="18">
        <v>42315</v>
      </c>
      <c r="D25" s="18">
        <v>46150</v>
      </c>
      <c r="E25" s="23"/>
      <c r="F25" s="18">
        <v>41975</v>
      </c>
      <c r="G25" s="18">
        <v>44300</v>
      </c>
      <c r="H25" s="18"/>
      <c r="I25" s="18">
        <v>44300</v>
      </c>
      <c r="J25" s="18">
        <f>38000+2700+270</f>
        <v>40970</v>
      </c>
      <c r="K25" s="23"/>
      <c r="L25" s="278"/>
      <c r="M25" s="69"/>
      <c r="N25" s="174"/>
      <c r="O25" s="48"/>
      <c r="P25" s="48"/>
      <c r="R25" s="174"/>
      <c r="S25" s="49"/>
      <c r="T25" s="49"/>
    </row>
    <row r="26" spans="1:21">
      <c r="A26" s="22" t="s">
        <v>30</v>
      </c>
      <c r="B26" s="18">
        <f>B24-B25</f>
        <v>-706.25</v>
      </c>
      <c r="C26" s="18">
        <f>C24-C25</f>
        <v>287.5</v>
      </c>
      <c r="D26" s="18">
        <f>D24-D25</f>
        <v>-687.5</v>
      </c>
      <c r="E26" s="18">
        <f>E24-E25</f>
        <v>42562.5</v>
      </c>
      <c r="F26" s="18">
        <f>F24-F25</f>
        <v>287.5</v>
      </c>
      <c r="G26" s="18">
        <f>G24-G25</f>
        <v>-706.25</v>
      </c>
      <c r="H26" s="18">
        <f>H24-H25</f>
        <v>43907.5</v>
      </c>
      <c r="I26" s="18">
        <f>I24-I25</f>
        <v>1387.5</v>
      </c>
      <c r="J26" s="18">
        <f>J24-J25</f>
        <v>1475</v>
      </c>
      <c r="K26" s="279"/>
      <c r="L26" s="278"/>
      <c r="M26" s="69">
        <f>45500-2400-F24</f>
        <v>837.5</v>
      </c>
      <c r="N26" s="174"/>
      <c r="O26" s="48">
        <f>45500-1200-F24</f>
        <v>2037.5</v>
      </c>
      <c r="P26" s="48"/>
      <c r="Q26" s="48"/>
      <c r="R26" s="174"/>
      <c r="S26" s="49"/>
      <c r="T26" s="49"/>
    </row>
    <row r="27" spans="1:21">
      <c r="A27" s="14"/>
      <c r="B27" s="19">
        <f>B25-2500</f>
        <v>42600</v>
      </c>
      <c r="C27" s="14"/>
      <c r="D27" s="14"/>
      <c r="E27" s="14"/>
      <c r="F27" s="14"/>
      <c r="G27" s="19">
        <f>G25-2500</f>
        <v>41800</v>
      </c>
      <c r="H27" s="14"/>
      <c r="I27" s="14"/>
      <c r="J27" s="14"/>
      <c r="K27" s="279"/>
      <c r="L27" s="278"/>
      <c r="M27" s="69"/>
      <c r="N27" s="174"/>
      <c r="O27" s="48">
        <f>45050-3100-F24</f>
        <v>-312.5</v>
      </c>
      <c r="P27" s="48"/>
      <c r="Q27" s="48"/>
      <c r="R27" s="174"/>
      <c r="S27" s="49"/>
      <c r="T27" s="49"/>
    </row>
    <row r="28" spans="1:21">
      <c r="A28" s="22" t="s">
        <v>31</v>
      </c>
      <c r="B28" s="23">
        <v>48300</v>
      </c>
      <c r="C28" s="23">
        <v>45550</v>
      </c>
      <c r="D28" s="18">
        <v>48800</v>
      </c>
      <c r="E28" s="18">
        <v>45550</v>
      </c>
      <c r="F28" s="18">
        <v>45550</v>
      </c>
      <c r="G28" s="18">
        <v>47500</v>
      </c>
      <c r="H28" s="18">
        <v>47800</v>
      </c>
      <c r="I28" s="18">
        <v>48300</v>
      </c>
      <c r="J28" s="18"/>
      <c r="K28" s="279"/>
      <c r="L28" s="280"/>
      <c r="M28" s="69">
        <f>45000-2400-F24</f>
        <v>337.5</v>
      </c>
      <c r="N28" s="48">
        <f>44500+1100-L24</f>
        <v>1112.5</v>
      </c>
      <c r="O28" s="48"/>
      <c r="P28" s="48"/>
      <c r="Q28" s="48"/>
      <c r="R28" s="174"/>
      <c r="S28" s="49"/>
      <c r="T28" s="49"/>
    </row>
    <row r="29" spans="1:21">
      <c r="A29" s="22" t="s">
        <v>32</v>
      </c>
      <c r="B29" s="26">
        <f>B28-500-(200+300+300)-250-400</f>
        <v>46350</v>
      </c>
      <c r="C29" s="26">
        <f>C28-500-(200+300+300)-250-400</f>
        <v>43600</v>
      </c>
      <c r="D29" s="26">
        <f>D28-500-(200+300+300)-250-400</f>
        <v>46850</v>
      </c>
      <c r="E29" s="26">
        <f>E28-500-(200+300+300)-250-400</f>
        <v>43600</v>
      </c>
      <c r="F29" s="26">
        <f>F28-500-(200+300+300)-250-400</f>
        <v>43600</v>
      </c>
      <c r="G29" s="26">
        <f>G28-500-(200+300+300)-250-400</f>
        <v>45550</v>
      </c>
      <c r="H29" s="26">
        <f>H28-500-(200+300+300)-250-400</f>
        <v>45850</v>
      </c>
      <c r="I29" s="26">
        <f>I28-500-(200+300+300)-250-400</f>
        <v>46350</v>
      </c>
      <c r="J29" s="269"/>
      <c r="K29" s="279"/>
      <c r="L29" s="280"/>
      <c r="M29" s="48"/>
      <c r="N29" s="48">
        <f>46500-2400-L24</f>
        <v>-387.5</v>
      </c>
      <c r="O29" s="48"/>
      <c r="P29" s="48"/>
      <c r="Q29" s="48"/>
      <c r="R29" s="174"/>
      <c r="S29" s="49"/>
      <c r="T29" s="49"/>
    </row>
    <row r="30" spans="1:21">
      <c r="A30" s="25" t="s">
        <v>33</v>
      </c>
      <c r="B30" s="18">
        <f>B29-B24</f>
        <v>1956.25</v>
      </c>
      <c r="C30" s="18">
        <f>C29-C24</f>
        <v>997.5</v>
      </c>
      <c r="D30" s="18">
        <f>D29-D24</f>
        <v>1387.5</v>
      </c>
      <c r="E30" s="18">
        <f>E29-E24</f>
        <v>1037.5</v>
      </c>
      <c r="F30" s="18">
        <f>F29-F24</f>
        <v>1337.5</v>
      </c>
      <c r="G30" s="18">
        <f>G29-G24</f>
        <v>1956.25</v>
      </c>
      <c r="H30" s="18">
        <f>H29-H24</f>
        <v>1942.5</v>
      </c>
      <c r="I30" s="18">
        <f>I29-I24</f>
        <v>662.5</v>
      </c>
      <c r="J30" s="270"/>
      <c r="K30" s="279"/>
      <c r="L30" s="280"/>
      <c r="M30" s="48"/>
      <c r="N30" s="48"/>
      <c r="O30" s="48"/>
      <c r="P30" s="48"/>
      <c r="Q30" s="48"/>
      <c r="R30" s="174"/>
      <c r="S30" s="49"/>
      <c r="T30" s="49"/>
      <c r="U30" s="33"/>
    </row>
    <row r="31" spans="1:21">
      <c r="C31" t="s">
        <v>148</v>
      </c>
      <c r="I31" s="33"/>
      <c r="J31" s="49"/>
      <c r="K31" s="48"/>
      <c r="L31" s="48">
        <f>46017-46000</f>
        <v>17</v>
      </c>
      <c r="M31" s="48"/>
      <c r="N31" s="48"/>
      <c r="O31" s="48"/>
      <c r="P31" s="48"/>
      <c r="Q31" s="49"/>
      <c r="R31" s="174"/>
      <c r="S31" s="49"/>
      <c r="T31" s="49"/>
      <c r="U31" s="33"/>
    </row>
    <row r="32" spans="1:21">
      <c r="A32" t="s">
        <v>141</v>
      </c>
      <c r="B32" s="33">
        <v>44800</v>
      </c>
      <c r="C32" s="33">
        <v>42750</v>
      </c>
      <c r="D32" s="33">
        <v>45700</v>
      </c>
      <c r="E32" s="33"/>
      <c r="F32" s="33"/>
      <c r="G32" s="33">
        <v>44000</v>
      </c>
      <c r="H32" s="33"/>
      <c r="I32" s="33">
        <v>44000</v>
      </c>
      <c r="J32" s="49"/>
      <c r="K32" s="49"/>
      <c r="L32" s="49"/>
      <c r="M32" s="48"/>
      <c r="N32" s="265"/>
      <c r="O32" s="266"/>
      <c r="P32" s="49"/>
      <c r="Q32" s="49"/>
      <c r="R32" s="174"/>
      <c r="S32" s="49"/>
      <c r="T32" s="49"/>
    </row>
    <row r="33" spans="1:21 16384:16384" ht="15.75" customHeight="1">
      <c r="A33" t="s">
        <v>144</v>
      </c>
      <c r="B33" s="33"/>
      <c r="C33" s="33"/>
      <c r="D33" s="33"/>
      <c r="E33" s="104"/>
      <c r="F33" s="33"/>
      <c r="G33" s="33">
        <v>45000</v>
      </c>
      <c r="H33" s="33"/>
      <c r="I33" s="33"/>
      <c r="J33" s="49"/>
      <c r="K33" s="48"/>
      <c r="L33" s="49"/>
      <c r="M33" s="48"/>
      <c r="N33" s="265"/>
      <c r="O33" s="266"/>
      <c r="P33" s="104"/>
      <c r="Q33" s="49">
        <f>47900-1750-K24</f>
        <v>556.25</v>
      </c>
      <c r="R33" s="174"/>
      <c r="S33" s="49"/>
      <c r="T33" s="49"/>
      <c r="XFD33" s="96" t="s">
        <v>68</v>
      </c>
    </row>
    <row r="34" spans="1:21 16384:16384" ht="15.75">
      <c r="C34" s="33"/>
      <c r="D34" s="33"/>
      <c r="F34" s="33"/>
      <c r="G34" s="33"/>
      <c r="H34" s="33"/>
      <c r="J34" s="49"/>
      <c r="K34" s="125"/>
      <c r="L34" s="273" t="s">
        <v>150</v>
      </c>
      <c r="M34" s="274" t="s">
        <v>151</v>
      </c>
      <c r="N34" s="267"/>
      <c r="O34" s="266"/>
      <c r="P34" s="106"/>
      <c r="Q34" s="128"/>
      <c r="R34" s="174"/>
      <c r="S34" s="49"/>
      <c r="T34" s="49"/>
      <c r="XFD34" s="97">
        <v>43500</v>
      </c>
    </row>
    <row r="35" spans="1:21 16384:16384" ht="15.75">
      <c r="B35" s="33"/>
      <c r="C35" s="33"/>
      <c r="D35" s="33"/>
      <c r="E35" s="33"/>
      <c r="F35" s="33"/>
      <c r="G35" s="33"/>
      <c r="H35" s="124"/>
      <c r="I35" s="33"/>
      <c r="J35" s="49"/>
      <c r="K35" s="125"/>
      <c r="L35" s="271" t="s">
        <v>42</v>
      </c>
      <c r="M35" s="271">
        <v>44817</v>
      </c>
      <c r="N35" s="267"/>
      <c r="O35" s="266"/>
      <c r="P35" s="125"/>
      <c r="Q35" s="106"/>
      <c r="R35" s="174"/>
      <c r="S35" s="49"/>
      <c r="T35" s="49"/>
      <c r="XFD35" s="97">
        <v>44000</v>
      </c>
    </row>
    <row r="36" spans="1:21 16384:16384" ht="15.75">
      <c r="B36" s="33"/>
      <c r="D36" s="33"/>
      <c r="E36" s="33"/>
      <c r="F36" s="113"/>
      <c r="G36" s="218"/>
      <c r="H36" s="33"/>
      <c r="I36" s="33"/>
      <c r="J36" s="49"/>
      <c r="K36" s="125"/>
      <c r="L36" s="271" t="s">
        <v>43</v>
      </c>
      <c r="M36" s="275">
        <v>43073</v>
      </c>
      <c r="N36" s="268"/>
      <c r="O36" s="266"/>
      <c r="P36" s="125"/>
      <c r="Q36" s="125"/>
      <c r="R36" s="174"/>
      <c r="S36" s="49"/>
      <c r="T36" s="49"/>
      <c r="XFD36" s="97">
        <v>43500</v>
      </c>
    </row>
    <row r="37" spans="1:21 16384:16384" ht="15.75">
      <c r="D37" s="33"/>
      <c r="F37" s="113"/>
      <c r="G37" s="170"/>
      <c r="H37" s="167"/>
      <c r="J37" s="49"/>
      <c r="K37" s="125"/>
      <c r="L37" s="271" t="s">
        <v>44</v>
      </c>
      <c r="M37" s="275">
        <v>42733</v>
      </c>
      <c r="N37" s="267"/>
      <c r="O37" s="266"/>
      <c r="P37" s="106"/>
      <c r="Q37" s="106"/>
      <c r="R37" s="264"/>
      <c r="S37" s="117"/>
      <c r="T37" s="117"/>
      <c r="U37" s="264"/>
      <c r="XFD37" s="97">
        <v>44000</v>
      </c>
    </row>
    <row r="38" spans="1:21 16384:16384" ht="15.75">
      <c r="C38" s="33"/>
      <c r="D38" s="33"/>
      <c r="F38" s="112"/>
      <c r="G38" s="170"/>
      <c r="H38" s="169"/>
      <c r="J38" s="49"/>
      <c r="K38" s="106"/>
      <c r="L38" s="271" t="s">
        <v>36</v>
      </c>
      <c r="M38" s="275">
        <v>45892</v>
      </c>
      <c r="N38" s="106"/>
      <c r="O38" s="106"/>
      <c r="P38" s="106"/>
      <c r="Q38" s="106"/>
      <c r="R38" s="174"/>
      <c r="S38" s="174"/>
      <c r="T38" s="174"/>
      <c r="U38" s="174"/>
      <c r="XFD38" s="97">
        <v>43000</v>
      </c>
    </row>
    <row r="39" spans="1:21 16384:16384" ht="15.75">
      <c r="D39" s="33"/>
      <c r="E39" s="33"/>
      <c r="F39" s="112"/>
      <c r="G39" s="170"/>
      <c r="H39" s="170"/>
      <c r="J39" s="49"/>
      <c r="K39" s="106"/>
      <c r="L39" s="271" t="s">
        <v>37</v>
      </c>
      <c r="M39" s="276">
        <v>44017</v>
      </c>
      <c r="N39" s="106"/>
      <c r="O39" s="106"/>
      <c r="P39" s="106"/>
      <c r="Q39" s="106"/>
      <c r="R39" s="174"/>
      <c r="S39" s="174"/>
      <c r="T39" s="174"/>
      <c r="U39" s="27"/>
      <c r="XFD39" s="97">
        <v>43500</v>
      </c>
    </row>
    <row r="40" spans="1:21 16384:16384" ht="15.75">
      <c r="A40" s="39" t="s">
        <v>40</v>
      </c>
      <c r="B40" s="40" t="s">
        <v>49</v>
      </c>
      <c r="C40" s="43"/>
      <c r="F40" s="114"/>
      <c r="G40" s="172"/>
      <c r="H40" s="171"/>
      <c r="J40" s="49"/>
      <c r="K40" s="106"/>
      <c r="L40" s="271" t="s">
        <v>146</v>
      </c>
      <c r="M40" s="271">
        <v>46017</v>
      </c>
      <c r="N40" s="128"/>
      <c r="O40" s="106"/>
      <c r="P40" s="106"/>
      <c r="Q40" s="106"/>
      <c r="R40" s="174"/>
      <c r="S40" s="174"/>
      <c r="T40" s="174"/>
      <c r="U40" s="27"/>
      <c r="XFD40" s="97">
        <v>44000</v>
      </c>
    </row>
    <row r="41" spans="1:21 16384:16384" ht="15.75">
      <c r="A41" s="29" t="s">
        <v>42</v>
      </c>
      <c r="B41" s="29">
        <v>46000</v>
      </c>
      <c r="C41" s="43"/>
      <c r="F41" s="114"/>
      <c r="G41" s="172"/>
      <c r="H41" s="172"/>
      <c r="I41" s="33"/>
      <c r="J41" s="49"/>
      <c r="K41" s="106"/>
      <c r="L41" s="271" t="s">
        <v>147</v>
      </c>
      <c r="M41" s="275">
        <v>44958</v>
      </c>
      <c r="N41" s="106"/>
      <c r="O41" s="106"/>
      <c r="P41" s="106"/>
      <c r="Q41" s="106"/>
      <c r="R41" s="174"/>
      <c r="S41" s="174"/>
      <c r="T41" s="174"/>
      <c r="U41" s="174"/>
      <c r="XFD41" s="97">
        <v>45000</v>
      </c>
    </row>
    <row r="42" spans="1:21 16384:16384" ht="15.75">
      <c r="A42" s="29" t="s">
        <v>43</v>
      </c>
      <c r="B42" s="29">
        <v>42615</v>
      </c>
      <c r="C42" s="43">
        <f>B42+1250</f>
        <v>43865</v>
      </c>
      <c r="F42" s="114"/>
      <c r="G42" s="171"/>
      <c r="H42" s="173"/>
      <c r="J42" s="49"/>
      <c r="K42" s="106"/>
      <c r="L42" s="272" t="s">
        <v>152</v>
      </c>
      <c r="M42" s="275">
        <v>42870</v>
      </c>
      <c r="N42" s="106"/>
      <c r="O42" s="106"/>
      <c r="P42" s="106"/>
      <c r="Q42" s="106"/>
      <c r="R42" s="174"/>
      <c r="S42" s="174"/>
      <c r="T42" s="174"/>
      <c r="U42" s="174"/>
      <c r="XFD42" s="97">
        <v>43500</v>
      </c>
    </row>
    <row r="43" spans="1:21 16384:16384" ht="15.75">
      <c r="A43" s="29" t="s">
        <v>44</v>
      </c>
      <c r="B43" s="29">
        <v>42275</v>
      </c>
      <c r="C43" s="43">
        <f>B43+1000</f>
        <v>43275</v>
      </c>
      <c r="G43" s="33"/>
      <c r="J43" s="49"/>
      <c r="K43" s="106"/>
      <c r="L43" s="106"/>
      <c r="M43" s="106"/>
      <c r="N43" s="106"/>
      <c r="O43" s="106"/>
      <c r="P43" s="106"/>
      <c r="Q43" s="106"/>
      <c r="R43" s="174"/>
      <c r="S43" s="174"/>
      <c r="T43" s="174"/>
      <c r="U43" s="174"/>
      <c r="XFD43" s="97">
        <v>44000</v>
      </c>
    </row>
    <row r="44" spans="1:21 16384:16384" ht="15.75">
      <c r="A44" s="29" t="s">
        <v>36</v>
      </c>
      <c r="B44" s="29">
        <v>46450</v>
      </c>
      <c r="C44" s="43">
        <f>B44+800</f>
        <v>47250</v>
      </c>
      <c r="J44" s="49"/>
      <c r="K44" s="106"/>
      <c r="L44" s="106"/>
      <c r="M44" s="106"/>
      <c r="N44" s="106"/>
      <c r="O44" s="106"/>
      <c r="P44" s="106"/>
      <c r="Q44" s="106"/>
      <c r="R44" s="174"/>
      <c r="S44" s="174"/>
      <c r="T44" s="526"/>
      <c r="U44" s="526"/>
      <c r="XFD44" s="97">
        <v>44000</v>
      </c>
    </row>
    <row r="45" spans="1:21 16384:16384" ht="15.75">
      <c r="A45" s="29" t="s">
        <v>37</v>
      </c>
      <c r="B45" s="29">
        <v>45200</v>
      </c>
      <c r="C45" s="43">
        <f>B45+1000</f>
        <v>46200</v>
      </c>
      <c r="J45" s="49"/>
      <c r="K45" s="106"/>
      <c r="L45" s="106"/>
      <c r="M45" s="106"/>
      <c r="N45" s="106"/>
      <c r="O45" s="106"/>
      <c r="P45" s="106"/>
      <c r="Q45" s="106"/>
      <c r="R45" s="174"/>
      <c r="S45" s="49"/>
      <c r="T45" s="49"/>
      <c r="XFD45" s="97">
        <v>44000</v>
      </c>
    </row>
    <row r="46" spans="1:21 16384:16384" ht="15.75">
      <c r="A46" s="29" t="s">
        <v>45</v>
      </c>
      <c r="B46" s="29">
        <v>44470</v>
      </c>
      <c r="C46" s="43"/>
      <c r="D46" s="24"/>
      <c r="E46" s="24"/>
      <c r="F46" s="24"/>
      <c r="G46" s="24"/>
      <c r="H46" s="24"/>
      <c r="I46" s="24"/>
      <c r="J46" s="49"/>
      <c r="K46" s="106"/>
      <c r="L46" s="106"/>
      <c r="M46" s="106"/>
      <c r="N46" s="106"/>
      <c r="O46" s="106"/>
      <c r="P46" s="106"/>
      <c r="Q46" s="106"/>
      <c r="R46" s="174"/>
      <c r="S46" s="49"/>
      <c r="T46" s="49"/>
      <c r="XFD46" s="97">
        <v>41000</v>
      </c>
    </row>
    <row r="47" spans="1:21 16384:16384" ht="15.75">
      <c r="A47" s="43" t="s">
        <v>50</v>
      </c>
      <c r="B47" s="43">
        <v>43675</v>
      </c>
      <c r="C47" s="43"/>
      <c r="D47" s="33"/>
      <c r="E47" s="33"/>
      <c r="F47" s="33"/>
      <c r="G47" s="33"/>
      <c r="H47" s="33"/>
      <c r="I47" s="33"/>
      <c r="K47" s="523"/>
      <c r="L47" s="523"/>
      <c r="M47" s="106"/>
      <c r="N47" s="106"/>
      <c r="O47" s="106"/>
      <c r="P47" s="106"/>
      <c r="Q47" s="106"/>
    </row>
    <row r="48" spans="1:21 16384:16384">
      <c r="A48" s="46" t="s">
        <v>46</v>
      </c>
      <c r="B48" s="46">
        <f>44500-1000</f>
        <v>43500</v>
      </c>
      <c r="C48" s="46">
        <f>B48+1000</f>
        <v>44500</v>
      </c>
    </row>
    <row r="49" spans="1:14">
      <c r="B49" s="33"/>
    </row>
    <row r="51" spans="1:14" ht="37.5">
      <c r="B51" s="16" t="s">
        <v>18</v>
      </c>
      <c r="C51" s="16" t="s">
        <v>19</v>
      </c>
      <c r="D51" s="16" t="s">
        <v>20</v>
      </c>
      <c r="E51" s="16" t="s">
        <v>21</v>
      </c>
      <c r="F51" s="16" t="s">
        <v>22</v>
      </c>
      <c r="G51" s="16" t="s">
        <v>143</v>
      </c>
      <c r="H51" s="16" t="s">
        <v>39</v>
      </c>
      <c r="I51" s="16" t="s">
        <v>46</v>
      </c>
      <c r="J51" s="16" t="s">
        <v>126</v>
      </c>
    </row>
    <row r="52" spans="1:14">
      <c r="A52" t="s">
        <v>141</v>
      </c>
      <c r="B52" s="33">
        <v>43250</v>
      </c>
      <c r="C52" s="33">
        <v>41000</v>
      </c>
      <c r="D52" s="33">
        <v>44250</v>
      </c>
      <c r="E52" s="33">
        <v>40600</v>
      </c>
      <c r="F52" s="33">
        <v>40750</v>
      </c>
      <c r="G52" s="33">
        <v>42750</v>
      </c>
      <c r="H52" s="33"/>
      <c r="I52" s="33">
        <v>42500</v>
      </c>
      <c r="J52" s="49"/>
    </row>
    <row r="53" spans="1:14">
      <c r="A53" t="s">
        <v>48</v>
      </c>
      <c r="B53" s="33"/>
      <c r="C53" s="33"/>
      <c r="D53" s="33"/>
      <c r="E53" s="33"/>
      <c r="F53" s="33"/>
      <c r="G53" s="33">
        <v>43700</v>
      </c>
      <c r="H53" s="33"/>
      <c r="I53" s="33">
        <v>43500</v>
      </c>
      <c r="J53" s="49"/>
    </row>
    <row r="54" spans="1:14">
      <c r="C54" s="115"/>
      <c r="D54" s="109"/>
      <c r="E54" s="109"/>
      <c r="F54" s="52"/>
      <c r="G54" s="109"/>
      <c r="H54" s="109"/>
      <c r="K54" s="110"/>
      <c r="L54" s="110"/>
      <c r="M54" s="110"/>
      <c r="N54" s="110"/>
    </row>
    <row r="55" spans="1:14">
      <c r="A55" t="s">
        <v>72</v>
      </c>
      <c r="B55" s="33">
        <f>B52-B24</f>
        <v>-1143.75</v>
      </c>
      <c r="C55" s="33">
        <f t="shared" ref="C55:J55" si="0">C52-C24</f>
        <v>-1602.5</v>
      </c>
      <c r="D55" s="33">
        <f t="shared" si="0"/>
        <v>-1212.5</v>
      </c>
      <c r="E55" s="33">
        <f t="shared" si="0"/>
        <v>-1962.5</v>
      </c>
      <c r="F55" s="33">
        <f t="shared" si="0"/>
        <v>-1512.5</v>
      </c>
      <c r="G55" s="33">
        <f t="shared" si="0"/>
        <v>-843.75</v>
      </c>
      <c r="H55" s="33">
        <f t="shared" si="0"/>
        <v>-43907.5</v>
      </c>
      <c r="I55" s="33">
        <f t="shared" si="0"/>
        <v>-3187.5</v>
      </c>
      <c r="J55" s="33">
        <f t="shared" si="0"/>
        <v>-42445</v>
      </c>
      <c r="L55" s="62"/>
      <c r="M55" s="62"/>
      <c r="N55" s="62"/>
    </row>
    <row r="56" spans="1:14">
      <c r="C56" s="52"/>
      <c r="D56" s="111"/>
      <c r="E56" s="111"/>
      <c r="F56" s="58"/>
      <c r="G56" s="111"/>
      <c r="H56" s="111"/>
      <c r="L56" s="62"/>
      <c r="M56" s="62"/>
      <c r="N56" s="62"/>
    </row>
    <row r="57" spans="1:14">
      <c r="C57" s="52"/>
      <c r="D57" s="111"/>
      <c r="E57" s="111"/>
      <c r="F57" s="58"/>
      <c r="G57" s="111"/>
      <c r="H57" s="111"/>
      <c r="L57" s="62"/>
      <c r="M57" s="62"/>
      <c r="N57" s="62"/>
    </row>
    <row r="58" spans="1:14">
      <c r="C58" s="52"/>
      <c r="D58" s="111"/>
      <c r="E58" s="111"/>
      <c r="F58" s="58"/>
      <c r="G58" s="111"/>
      <c r="H58" s="111"/>
      <c r="L58" s="62"/>
      <c r="M58" s="62"/>
      <c r="N58" s="62"/>
    </row>
    <row r="59" spans="1:14">
      <c r="C59" s="52"/>
      <c r="D59" s="111"/>
      <c r="E59" s="111"/>
      <c r="F59" s="58"/>
      <c r="G59" s="111"/>
      <c r="H59" s="111"/>
      <c r="K59" s="116"/>
      <c r="L59" s="117"/>
      <c r="M59" s="117"/>
      <c r="N59" s="117"/>
    </row>
    <row r="60" spans="1:14">
      <c r="C60" s="52"/>
      <c r="D60" s="111"/>
      <c r="E60" s="111"/>
      <c r="F60" s="58"/>
      <c r="G60" s="111"/>
      <c r="H60" s="111"/>
    </row>
    <row r="61" spans="1:14">
      <c r="C61" s="52"/>
      <c r="D61" s="118"/>
      <c r="E61" s="118"/>
      <c r="F61" s="58"/>
      <c r="G61" s="118"/>
      <c r="H61" s="118"/>
    </row>
    <row r="62" spans="1:14">
      <c r="C62" s="52"/>
      <c r="D62" s="118"/>
      <c r="E62" s="118"/>
      <c r="F62" s="58"/>
      <c r="G62" s="118"/>
      <c r="H62" s="118"/>
    </row>
    <row r="63" spans="1:14">
      <c r="C63" s="119"/>
      <c r="D63" s="118"/>
      <c r="E63" s="118"/>
      <c r="F63" s="58"/>
      <c r="G63" s="118"/>
      <c r="H63" s="118"/>
    </row>
    <row r="73" spans="3:12">
      <c r="C73" s="120"/>
      <c r="D73" s="120"/>
      <c r="E73" s="120"/>
      <c r="F73" s="120"/>
      <c r="G73" s="120"/>
      <c r="H73" s="120"/>
      <c r="I73" s="120"/>
      <c r="J73" s="120"/>
      <c r="K73" s="120"/>
      <c r="L73" s="120"/>
    </row>
    <row r="74" spans="3:12">
      <c r="C74" s="120"/>
      <c r="D74" s="121"/>
      <c r="E74" s="122"/>
      <c r="F74" s="122"/>
      <c r="G74" s="122"/>
      <c r="H74" s="122"/>
      <c r="I74" s="122"/>
      <c r="J74" s="122"/>
      <c r="K74" s="122"/>
      <c r="L74" s="122"/>
    </row>
    <row r="75" spans="3:12">
      <c r="C75" s="120"/>
      <c r="D75" s="121"/>
      <c r="E75" s="122"/>
      <c r="F75" s="122"/>
      <c r="G75" s="122"/>
      <c r="H75" s="122"/>
      <c r="I75" s="122"/>
      <c r="J75" s="122"/>
      <c r="K75" s="122"/>
      <c r="L75" s="122"/>
    </row>
    <row r="76" spans="3:12">
      <c r="C76" s="120"/>
      <c r="D76" s="121"/>
      <c r="E76" s="122"/>
      <c r="F76" s="122"/>
      <c r="G76" s="122"/>
      <c r="H76" s="122"/>
      <c r="I76" s="122"/>
      <c r="J76" s="122"/>
      <c r="K76" s="122"/>
      <c r="L76" s="122"/>
    </row>
    <row r="77" spans="3:12">
      <c r="C77" s="120"/>
      <c r="D77" s="121"/>
      <c r="E77" s="122"/>
      <c r="F77" s="122"/>
      <c r="G77" s="122"/>
      <c r="H77" s="122"/>
      <c r="I77" s="122"/>
      <c r="J77" s="122"/>
      <c r="K77" s="122"/>
      <c r="L77" s="122"/>
    </row>
    <row r="78" spans="3:12">
      <c r="C78" s="120"/>
      <c r="D78" s="120"/>
      <c r="E78" s="123"/>
      <c r="F78" s="123"/>
      <c r="G78" s="123"/>
      <c r="H78" s="123"/>
      <c r="I78" s="123"/>
      <c r="J78" s="123"/>
      <c r="K78" s="123"/>
      <c r="L78" s="123"/>
    </row>
  </sheetData>
  <mergeCells count="3">
    <mergeCell ref="B1:Q1"/>
    <mergeCell ref="T44:U44"/>
    <mergeCell ref="K47:L47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CBF2-86BE-4669-B54F-1206364110B3}">
  <dimension ref="A1:XFD78"/>
  <sheetViews>
    <sheetView workbookViewId="0">
      <pane ySplit="2" topLeftCell="Q25" activePane="bottomLeft" state="frozen"/>
      <selection pane="bottomLeft" activeCell="Q25" sqref="Q25"/>
    </sheetView>
  </sheetViews>
  <sheetFormatPr defaultColWidth="15.85546875" defaultRowHeight="15"/>
  <cols>
    <col min="1" max="1" width="22" customWidth="1"/>
    <col min="2" max="14" width="10.7109375" customWidth="1"/>
    <col min="15" max="15" width="15.28515625" customWidth="1"/>
    <col min="16" max="17" width="10.7109375" customWidth="1"/>
    <col min="18" max="18" width="19.5703125" style="27" customWidth="1"/>
    <col min="19" max="19" width="25.28515625" bestFit="1" customWidth="1"/>
    <col min="20" max="20" width="22.5703125" bestFit="1" customWidth="1"/>
    <col min="21" max="21" width="25.28515625" bestFit="1" customWidth="1"/>
  </cols>
  <sheetData>
    <row r="1" spans="1:22">
      <c r="A1" s="81"/>
      <c r="B1" s="519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</row>
    <row r="2" spans="1:22">
      <c r="A2" s="8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</row>
    <row r="3" spans="1:22">
      <c r="A3" s="83">
        <v>46023</v>
      </c>
      <c r="B3" s="36">
        <f>_xlfn.XLOOKUP(A3,'steel Mint data'!A:A,'steel Mint data'!B:B,"",0)</f>
        <v>48400</v>
      </c>
      <c r="C3" s="36"/>
      <c r="D3" s="36"/>
      <c r="E3" s="36">
        <f>_xlfn.XLOOKUP(A3,'steel Mint data'!A:A,'steel Mint data'!D:D,"",0)</f>
        <v>46000</v>
      </c>
      <c r="F3" s="36">
        <f>_xlfn.XLOOKUP(A3,'steel Mint data'!A:A,'steel Mint data'!E:E,"",0)</f>
        <v>41900</v>
      </c>
      <c r="G3" s="36"/>
      <c r="H3" s="36"/>
      <c r="I3" s="36">
        <f>_xlfn.XLOOKUP(A3,'steel Mint data'!A:A,'steel Mint data'!I:I,"",0)</f>
        <v>45400</v>
      </c>
      <c r="J3" s="36"/>
      <c r="K3" s="36">
        <f>_xlfn.XLOOKUP(A3,'steel Mint data'!A:A,'steel Mint data'!L:L,"",0)</f>
        <v>47300</v>
      </c>
      <c r="L3" s="36"/>
      <c r="M3" s="36"/>
      <c r="N3" s="36"/>
      <c r="O3" s="36"/>
      <c r="P3" s="37">
        <f>_xlfn.XLOOKUP(A3,'steel Mint data'!A:A,'steel Mint data'!Q:Q,"",0)</f>
        <v>43800</v>
      </c>
      <c r="Q3" s="36">
        <f>_xlfn.XLOOKUP(A3,'steel Mint data'!A:A,'steel Mint data'!R:R,"",0)</f>
        <v>42500</v>
      </c>
    </row>
    <row r="4" spans="1:22">
      <c r="A4" s="83">
        <v>46024</v>
      </c>
      <c r="B4" s="36">
        <f>_xlfn.XLOOKUP(A4,'steel Mint data'!A:A,'steel Mint data'!B:B,"",0)</f>
        <v>50000</v>
      </c>
      <c r="C4" s="36"/>
      <c r="D4" s="36"/>
      <c r="E4" s="36">
        <f>_xlfn.XLOOKUP(A4,'steel Mint data'!A:A,'steel Mint data'!D:D,"",0)</f>
        <v>47500</v>
      </c>
      <c r="F4" s="36">
        <f>_xlfn.XLOOKUP(A4,'steel Mint data'!A:A,'steel Mint data'!E:E,"",0)</f>
        <v>42500</v>
      </c>
      <c r="G4" s="36"/>
      <c r="H4" s="36"/>
      <c r="I4" s="36">
        <f>_xlfn.XLOOKUP(A4,'steel Mint data'!A:A,'steel Mint data'!I:I,"",0)</f>
        <v>46100</v>
      </c>
      <c r="J4" s="36"/>
      <c r="K4" s="36">
        <f>_xlfn.XLOOKUP(A4,'steel Mint data'!A:A,'steel Mint data'!L:L,"",0)</f>
        <v>48000</v>
      </c>
      <c r="L4" s="36"/>
      <c r="M4" s="36"/>
      <c r="N4" s="36"/>
      <c r="O4" s="36"/>
      <c r="P4" s="37">
        <f>_xlfn.XLOOKUP(A4,'steel Mint data'!A:A,'steel Mint data'!Q:Q,"",0)</f>
        <v>44600</v>
      </c>
      <c r="Q4" s="36">
        <f>_xlfn.XLOOKUP(A4,'steel Mint data'!A:A,'steel Mint data'!R:R,"",0)</f>
        <v>43400</v>
      </c>
    </row>
    <row r="5" spans="1:22">
      <c r="A5" s="83">
        <v>46025</v>
      </c>
      <c r="B5" s="36">
        <f>_xlfn.XLOOKUP(A5,'steel Mint data'!A:A,'steel Mint data'!B:B,"",0)</f>
        <v>50400</v>
      </c>
      <c r="C5" s="36"/>
      <c r="D5" s="36"/>
      <c r="E5" s="36">
        <f>_xlfn.XLOOKUP(A5,'steel Mint data'!A:A,'steel Mint data'!D:D,"",0)</f>
        <v>47500</v>
      </c>
      <c r="F5" s="36">
        <f>_xlfn.XLOOKUP(A5,'steel Mint data'!A:A,'steel Mint data'!E:E,"",0)</f>
        <v>42500</v>
      </c>
      <c r="G5" s="36"/>
      <c r="H5" s="36"/>
      <c r="I5" s="36">
        <f>_xlfn.XLOOKUP(A5,'steel Mint data'!A:A,'steel Mint data'!I:I,"",0)</f>
        <v>46500</v>
      </c>
      <c r="J5" s="36"/>
      <c r="K5" s="36">
        <f>_xlfn.XLOOKUP(A5,'steel Mint data'!A:A,'steel Mint data'!L:L,"",0)</f>
        <v>48200</v>
      </c>
      <c r="L5" s="36"/>
      <c r="M5" s="36"/>
      <c r="N5" s="36"/>
      <c r="O5" s="36"/>
      <c r="P5" s="37">
        <f>_xlfn.XLOOKUP(A5,'steel Mint data'!A:A,'steel Mint data'!Q:Q,"",0)</f>
        <v>44500</v>
      </c>
      <c r="Q5" s="36">
        <f>_xlfn.XLOOKUP(A5,'steel Mint data'!A:A,'steel Mint data'!R:R,"",0)</f>
        <v>43700</v>
      </c>
      <c r="T5" s="27"/>
      <c r="U5" s="27"/>
      <c r="V5" s="27"/>
    </row>
    <row r="6" spans="1:22">
      <c r="A6" s="83">
        <v>46026</v>
      </c>
      <c r="B6" s="36" t="str">
        <f>_xlfn.XLOOKUP(A6,'steel Mint data'!A:A,'steel Mint data'!B:B,"",0)</f>
        <v>H</v>
      </c>
      <c r="C6" s="36"/>
      <c r="D6" s="36"/>
      <c r="E6" s="36" t="str">
        <f>_xlfn.XLOOKUP(A6,'steel Mint data'!A:A,'steel Mint data'!D:D,"",0)</f>
        <v>H</v>
      </c>
      <c r="F6" s="36" t="str">
        <f>_xlfn.XLOOKUP(A6,'steel Mint data'!A:A,'steel Mint data'!E:E,"",0)</f>
        <v>H</v>
      </c>
      <c r="G6" s="36"/>
      <c r="H6" s="36"/>
      <c r="I6" s="36" t="str">
        <f>_xlfn.XLOOKUP(A6,'steel Mint data'!A:A,'steel Mint data'!I:I,"",0)</f>
        <v>H</v>
      </c>
      <c r="J6" s="36"/>
      <c r="K6" s="36" t="str">
        <f>_xlfn.XLOOKUP(A6,'steel Mint data'!A:A,'steel Mint data'!L:L,"",0)</f>
        <v>H</v>
      </c>
      <c r="L6" s="36"/>
      <c r="M6" s="36"/>
      <c r="N6" s="36"/>
      <c r="O6" s="36"/>
      <c r="P6" s="37" t="str">
        <f>_xlfn.XLOOKUP(A6,'steel Mint data'!A:A,'steel Mint data'!Q:Q,"",0)</f>
        <v>H</v>
      </c>
      <c r="Q6" s="36" t="str">
        <f>_xlfn.XLOOKUP(A6,'steel Mint data'!A:A,'steel Mint data'!R:R,"",0)</f>
        <v>H</v>
      </c>
      <c r="T6" s="27"/>
      <c r="U6" s="27"/>
      <c r="V6" s="27"/>
    </row>
    <row r="7" spans="1:22">
      <c r="A7" s="83">
        <v>46027</v>
      </c>
      <c r="B7" s="36">
        <f>_xlfn.XLOOKUP(A7,'steel Mint data'!A:A,'steel Mint data'!B:B,"",0)</f>
        <v>50400</v>
      </c>
      <c r="C7" s="36"/>
      <c r="D7" s="36"/>
      <c r="E7" s="36">
        <f>_xlfn.XLOOKUP(A7,'steel Mint data'!A:A,'steel Mint data'!D:D,"",0)</f>
        <v>47100</v>
      </c>
      <c r="F7" s="36">
        <f>_xlfn.XLOOKUP(A7,'steel Mint data'!A:A,'steel Mint data'!E:E,"",0)</f>
        <v>42000</v>
      </c>
      <c r="G7" s="36"/>
      <c r="H7" s="36"/>
      <c r="I7" s="36">
        <f>_xlfn.XLOOKUP(A7,'steel Mint data'!A:A,'steel Mint data'!I:I,"",0)</f>
        <v>46100</v>
      </c>
      <c r="J7" s="36"/>
      <c r="K7" s="36">
        <f>_xlfn.XLOOKUP(A7,'steel Mint data'!A:A,'steel Mint data'!L:L,"",0)</f>
        <v>47800</v>
      </c>
      <c r="L7" s="36"/>
      <c r="M7" s="36"/>
      <c r="N7" s="36"/>
      <c r="O7" s="36"/>
      <c r="P7" s="37">
        <f>_xlfn.XLOOKUP(A7,'steel Mint data'!A:A,'steel Mint data'!Q:Q,"",0)</f>
        <v>44100</v>
      </c>
      <c r="Q7" s="36">
        <f>_xlfn.XLOOKUP(A7,'steel Mint data'!A:A,'steel Mint data'!R:R,"",0)</f>
        <v>43300</v>
      </c>
      <c r="R7" s="175">
        <f>K24+2500+300</f>
        <v>52000</v>
      </c>
      <c r="T7" s="27"/>
      <c r="U7" s="27"/>
      <c r="V7" s="27"/>
    </row>
    <row r="8" spans="1:22">
      <c r="A8" s="83">
        <v>46028</v>
      </c>
      <c r="B8" s="36">
        <f>_xlfn.XLOOKUP(A8,'steel Mint data'!A:A,'steel Mint data'!B:B,"",0)</f>
        <v>50100</v>
      </c>
      <c r="C8" s="36"/>
      <c r="D8" s="36"/>
      <c r="E8" s="36">
        <f>_xlfn.XLOOKUP(A8,'steel Mint data'!A:A,'steel Mint data'!D:D,"",0)</f>
        <v>46800</v>
      </c>
      <c r="F8" s="36">
        <f>_xlfn.XLOOKUP(A8,'steel Mint data'!A:A,'steel Mint data'!E:E,"",0)</f>
        <v>41900</v>
      </c>
      <c r="G8" s="36"/>
      <c r="H8" s="36"/>
      <c r="I8" s="36">
        <f>_xlfn.XLOOKUP(A8,'steel Mint data'!A:A,'steel Mint data'!I:I,"",0)</f>
        <v>45700</v>
      </c>
      <c r="J8" s="36"/>
      <c r="K8" s="36">
        <f>_xlfn.XLOOKUP(A8,'steel Mint data'!A:A,'steel Mint data'!L:L,"",0)</f>
        <v>47500</v>
      </c>
      <c r="L8" s="36"/>
      <c r="M8" s="36"/>
      <c r="N8" s="36"/>
      <c r="O8" s="36"/>
      <c r="P8" s="37">
        <f>_xlfn.XLOOKUP(A8,'steel Mint data'!A:A,'steel Mint data'!Q:Q,"",0)</f>
        <v>43800</v>
      </c>
      <c r="Q8" s="36">
        <f>_xlfn.XLOOKUP(A8,'steel Mint data'!A:A,'steel Mint data'!R:R,"",0)</f>
        <v>42800</v>
      </c>
      <c r="T8" s="27"/>
      <c r="U8" s="27"/>
      <c r="V8" s="27"/>
    </row>
    <row r="9" spans="1:22">
      <c r="A9" s="83">
        <v>46029</v>
      </c>
      <c r="B9" s="36">
        <f>_xlfn.XLOOKUP(A9,'steel Mint data'!A:A,'steel Mint data'!B:B,"",0)</f>
        <v>49300</v>
      </c>
      <c r="C9" s="36"/>
      <c r="D9" s="36"/>
      <c r="E9" s="36">
        <f>_xlfn.XLOOKUP(A9,'steel Mint data'!A:A,'steel Mint data'!D:D,"",0)</f>
        <v>46800</v>
      </c>
      <c r="F9" s="36">
        <f>_xlfn.XLOOKUP(A9,'steel Mint data'!A:A,'steel Mint data'!E:E,"",0)</f>
        <v>41800</v>
      </c>
      <c r="G9" s="36"/>
      <c r="H9" s="36"/>
      <c r="I9" s="36">
        <f>_xlfn.XLOOKUP(A9,'steel Mint data'!A:A,'steel Mint data'!I:I,"",0)</f>
        <v>45200</v>
      </c>
      <c r="J9" s="36"/>
      <c r="K9" s="36">
        <f>_xlfn.XLOOKUP(A9,'steel Mint data'!A:A,'steel Mint data'!L:L,"",0)</f>
        <v>47300</v>
      </c>
      <c r="L9" s="36"/>
      <c r="M9" s="36"/>
      <c r="N9" s="36"/>
      <c r="O9" s="36"/>
      <c r="P9" s="37">
        <f>_xlfn.XLOOKUP(A9,'steel Mint data'!A:A,'steel Mint data'!Q:Q,"",0)</f>
        <v>43600</v>
      </c>
      <c r="Q9" s="36">
        <f>_xlfn.XLOOKUP(A9,'steel Mint data'!A:A,'steel Mint data'!R:R,"",0)</f>
        <v>42600</v>
      </c>
      <c r="T9" s="27"/>
      <c r="U9" s="27"/>
      <c r="V9" s="27"/>
    </row>
    <row r="10" spans="1:22">
      <c r="A10" s="83">
        <v>46030</v>
      </c>
      <c r="B10" s="36">
        <f>_xlfn.XLOOKUP(A10,'steel Mint data'!A:A,'steel Mint data'!B:B,"",0)</f>
        <v>48700</v>
      </c>
      <c r="C10" s="36"/>
      <c r="D10" s="36"/>
      <c r="E10" s="36">
        <f>_xlfn.XLOOKUP(A10,'steel Mint data'!A:A,'steel Mint data'!D:D,"",0)</f>
        <v>46400</v>
      </c>
      <c r="F10" s="36">
        <f>_xlfn.XLOOKUP(A10,'steel Mint data'!A:A,'steel Mint data'!E:E,"",0)</f>
        <v>41600</v>
      </c>
      <c r="G10" s="36"/>
      <c r="H10" s="36"/>
      <c r="I10" s="36">
        <f>_xlfn.XLOOKUP(A10,'steel Mint data'!A:A,'steel Mint data'!I:I,"",0)</f>
        <v>45000</v>
      </c>
      <c r="J10" s="36"/>
      <c r="K10" s="36">
        <f>_xlfn.XLOOKUP(A10,'steel Mint data'!A:A,'steel Mint data'!L:L,"",0)</f>
        <v>47000</v>
      </c>
      <c r="L10" s="36"/>
      <c r="M10" s="36"/>
      <c r="N10" s="36"/>
      <c r="O10" s="36"/>
      <c r="P10" s="37">
        <f>_xlfn.XLOOKUP(A10,'steel Mint data'!A:A,'steel Mint data'!Q:Q,"",0)</f>
        <v>43000</v>
      </c>
      <c r="Q10" s="36">
        <f>_xlfn.XLOOKUP(A10,'steel Mint data'!A:A,'steel Mint data'!R:R,"",0)</f>
        <v>42400</v>
      </c>
      <c r="R10" s="175"/>
    </row>
    <row r="11" spans="1:22">
      <c r="A11" s="83">
        <v>46031</v>
      </c>
      <c r="B11" s="36">
        <f>_xlfn.XLOOKUP(A11,'steel Mint data'!A:A,'steel Mint data'!B:B,"",0)</f>
        <v>48200</v>
      </c>
      <c r="C11" s="36"/>
      <c r="D11" s="36"/>
      <c r="E11" s="36">
        <f>_xlfn.XLOOKUP(A11,'steel Mint data'!A:A,'steel Mint data'!D:D,"",0)</f>
        <v>46400</v>
      </c>
      <c r="F11" s="36">
        <f>_xlfn.XLOOKUP(A11,'steel Mint data'!A:A,'steel Mint data'!E:E,"",0)</f>
        <v>41600</v>
      </c>
      <c r="G11" s="36"/>
      <c r="H11" s="36"/>
      <c r="I11" s="36">
        <f>_xlfn.XLOOKUP(A11,'steel Mint data'!A:A,'steel Mint data'!I:I,"",0)</f>
        <v>45000</v>
      </c>
      <c r="J11" s="36"/>
      <c r="K11" s="36">
        <f>_xlfn.XLOOKUP(A11,'steel Mint data'!A:A,'steel Mint data'!L:L,"",0)</f>
        <v>47000</v>
      </c>
      <c r="L11" s="36"/>
      <c r="M11" s="36"/>
      <c r="N11" s="36"/>
      <c r="O11" s="36"/>
      <c r="P11" s="37">
        <f>_xlfn.XLOOKUP(A11,'steel Mint data'!A:A,'steel Mint data'!Q:Q,"",0)</f>
        <v>42900</v>
      </c>
      <c r="Q11" s="36">
        <f>_xlfn.XLOOKUP(A11,'steel Mint data'!A:A,'steel Mint data'!R:R,"",0)</f>
        <v>42500</v>
      </c>
    </row>
    <row r="12" spans="1:22">
      <c r="A12" s="83">
        <v>46032</v>
      </c>
      <c r="B12" s="36">
        <f>_xlfn.XLOOKUP(A12,'steel Mint data'!A:A,'steel Mint data'!B:B,"",0)</f>
        <v>48300</v>
      </c>
      <c r="C12" s="36"/>
      <c r="D12" s="36"/>
      <c r="E12" s="36">
        <f>_xlfn.XLOOKUP(A12,'steel Mint data'!A:A,'steel Mint data'!D:D,"",0)</f>
        <v>46300</v>
      </c>
      <c r="F12" s="36">
        <f>_xlfn.XLOOKUP(A12,'steel Mint data'!A:A,'steel Mint data'!E:E,"",0)</f>
        <v>41600</v>
      </c>
      <c r="G12" s="36"/>
      <c r="H12" s="36"/>
      <c r="I12" s="36">
        <f>_xlfn.XLOOKUP(A12,'steel Mint data'!A:A,'steel Mint data'!I:I,"",0)</f>
        <v>45100</v>
      </c>
      <c r="J12" s="36"/>
      <c r="K12" s="36">
        <f>_xlfn.XLOOKUP(A12,'steel Mint data'!A:A,'steel Mint data'!L:L,"",0)</f>
        <v>47200</v>
      </c>
      <c r="L12" s="36"/>
      <c r="M12" s="36"/>
      <c r="N12" s="36"/>
      <c r="O12" s="36"/>
      <c r="P12" s="37">
        <f>_xlfn.XLOOKUP(A12,'steel Mint data'!A:A,'steel Mint data'!Q:Q,"",0)</f>
        <v>43000</v>
      </c>
      <c r="Q12" s="36">
        <f>_xlfn.XLOOKUP(A12,'steel Mint data'!A:A,'steel Mint data'!R:R,"",0)</f>
        <v>42500</v>
      </c>
      <c r="R12" s="27">
        <f>52150-3500</f>
        <v>48650</v>
      </c>
    </row>
    <row r="13" spans="1:22">
      <c r="A13" s="83">
        <v>46033</v>
      </c>
      <c r="B13" s="36" t="str">
        <f>_xlfn.XLOOKUP(A13,'steel Mint data'!A:A,'steel Mint data'!B:B,"",0)</f>
        <v>H</v>
      </c>
      <c r="C13" s="36"/>
      <c r="D13" s="36"/>
      <c r="E13" s="36" t="str">
        <f>_xlfn.XLOOKUP(A13,'steel Mint data'!A:A,'steel Mint data'!D:D,"",0)</f>
        <v>H</v>
      </c>
      <c r="F13" s="36" t="str">
        <f>_xlfn.XLOOKUP(A13,'steel Mint data'!A:A,'steel Mint data'!E:E,"",0)</f>
        <v>H</v>
      </c>
      <c r="G13" s="36"/>
      <c r="H13" s="36"/>
      <c r="I13" s="36" t="str">
        <f>_xlfn.XLOOKUP(A13,'steel Mint data'!A:A,'steel Mint data'!I:I,"",0)</f>
        <v>H</v>
      </c>
      <c r="J13" s="36"/>
      <c r="K13" s="36" t="str">
        <f>_xlfn.XLOOKUP(A13,'steel Mint data'!A:A,'steel Mint data'!L:L,"",0)</f>
        <v>H</v>
      </c>
      <c r="L13" s="36"/>
      <c r="M13" s="36"/>
      <c r="N13" s="36"/>
      <c r="O13" s="36"/>
      <c r="P13" s="37" t="str">
        <f>_xlfn.XLOOKUP(A13,'steel Mint data'!A:A,'steel Mint data'!Q:Q,"",0)</f>
        <v>H</v>
      </c>
      <c r="Q13" s="36" t="str">
        <f>_xlfn.XLOOKUP(A13,'steel Mint data'!A:A,'steel Mint data'!R:R,"",0)</f>
        <v>H</v>
      </c>
      <c r="R13" s="174">
        <f>R12-L24-500</f>
        <v>313.63636363636033</v>
      </c>
      <c r="S13" s="33">
        <f>51400-1050</f>
        <v>50350</v>
      </c>
    </row>
    <row r="14" spans="1:22">
      <c r="A14" s="83">
        <v>46034</v>
      </c>
      <c r="B14" s="36">
        <f>_xlfn.XLOOKUP(A14,'steel Mint data'!A:A,'steel Mint data'!B:B,"",0)</f>
        <v>48300</v>
      </c>
      <c r="C14" s="36"/>
      <c r="D14" s="36"/>
      <c r="E14" s="36">
        <f>_xlfn.XLOOKUP(A14,'steel Mint data'!A:A,'steel Mint data'!D:D,"",0)</f>
        <v>46000</v>
      </c>
      <c r="F14" s="36">
        <f>_xlfn.XLOOKUP(A14,'steel Mint data'!A:A,'steel Mint data'!E:E,"",0)</f>
        <v>41800</v>
      </c>
      <c r="G14" s="36"/>
      <c r="H14" s="36"/>
      <c r="I14" s="36">
        <f>_xlfn.XLOOKUP(A14,'steel Mint data'!A:A,'steel Mint data'!I:I,"",0)</f>
        <v>44900</v>
      </c>
      <c r="J14" s="36"/>
      <c r="K14" s="36">
        <f>_xlfn.XLOOKUP(A14,'steel Mint data'!A:A,'steel Mint data'!L:L,"",0)</f>
        <v>47200</v>
      </c>
      <c r="L14" s="36"/>
      <c r="M14" s="36"/>
      <c r="N14" s="36"/>
      <c r="O14" s="36"/>
      <c r="P14" s="37">
        <f>_xlfn.XLOOKUP(A14,'steel Mint data'!A:A,'steel Mint data'!Q:Q,"",0)</f>
        <v>43000</v>
      </c>
      <c r="Q14" s="36">
        <f>_xlfn.XLOOKUP(A14,'steel Mint data'!A:A,'steel Mint data'!R:R,"",0)</f>
        <v>42500</v>
      </c>
      <c r="S14" s="33"/>
      <c r="T14" s="33"/>
    </row>
    <row r="15" spans="1:22">
      <c r="A15" s="83">
        <v>46035</v>
      </c>
      <c r="B15" s="36">
        <f>_xlfn.XLOOKUP(A15,'steel Mint data'!A:A,'steel Mint data'!B:B,"",0)</f>
        <v>48200</v>
      </c>
      <c r="C15" s="36"/>
      <c r="D15" s="36"/>
      <c r="E15" s="36">
        <f>_xlfn.XLOOKUP(A15,'steel Mint data'!A:A,'steel Mint data'!D:D,"",0)</f>
        <v>45800</v>
      </c>
      <c r="F15" s="36">
        <f>_xlfn.XLOOKUP(A15,'steel Mint data'!A:A,'steel Mint data'!E:E,"",0)</f>
        <v>41900</v>
      </c>
      <c r="G15" s="36"/>
      <c r="H15" s="36"/>
      <c r="I15" s="36">
        <f>_xlfn.XLOOKUP(A15,'steel Mint data'!A:A,'steel Mint data'!I:I,"",0)</f>
        <v>44800</v>
      </c>
      <c r="J15" s="36"/>
      <c r="K15" s="36">
        <f>_xlfn.XLOOKUP(A15,'steel Mint data'!A:A,'steel Mint data'!L:L,"",0)</f>
        <v>47100</v>
      </c>
      <c r="L15" s="36"/>
      <c r="M15" s="36"/>
      <c r="N15" s="36"/>
      <c r="O15" s="36"/>
      <c r="P15" s="37">
        <f>_xlfn.XLOOKUP(A15,'steel Mint data'!A:A,'steel Mint data'!Q:Q,"",0)</f>
        <v>42600</v>
      </c>
      <c r="Q15" s="36">
        <f>_xlfn.XLOOKUP(A15,'steel Mint data'!A:A,'steel Mint data'!R:R,"",0)</f>
        <v>42300</v>
      </c>
      <c r="S15" s="33"/>
      <c r="T15" s="33"/>
    </row>
    <row r="16" spans="1:22">
      <c r="A16" s="83">
        <v>46036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  <c r="Q16" s="36"/>
      <c r="R16" s="175"/>
      <c r="S16" s="33"/>
      <c r="T16" s="33"/>
    </row>
    <row r="17" spans="1:21">
      <c r="A17" s="83">
        <v>46037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36"/>
      <c r="S17" s="33"/>
    </row>
    <row r="18" spans="1:21">
      <c r="A18" s="83"/>
      <c r="B18" s="36" t="str">
        <f>_xlfn.XLOOKUP(A18,'steel Mint data'!A:A,'steel Mint data'!B:B,"",0)</f>
        <v/>
      </c>
      <c r="C18" s="36"/>
      <c r="D18" s="36"/>
      <c r="E18" s="36" t="str">
        <f>_xlfn.XLOOKUP(A18,'steel Mint data'!A:A,'steel Mint data'!D:D,"",0)</f>
        <v/>
      </c>
      <c r="F18" s="36" t="str">
        <f>_xlfn.XLOOKUP(A18,'steel Mint data'!A:A,'steel Mint data'!E:E,"",0)</f>
        <v/>
      </c>
      <c r="G18" s="36"/>
      <c r="H18" s="36"/>
      <c r="I18" s="36" t="str">
        <f>_xlfn.XLOOKUP(A18,'steel Mint data'!A:A,'steel Mint data'!I:I,"",0)</f>
        <v/>
      </c>
      <c r="J18" s="36"/>
      <c r="K18" s="36" t="str">
        <f>_xlfn.XLOOKUP(A18,'steel Mint data'!A:A,'steel Mint data'!L:L,"",0)</f>
        <v/>
      </c>
      <c r="L18" s="36"/>
      <c r="M18" s="36"/>
      <c r="N18" s="36"/>
      <c r="O18" s="36"/>
      <c r="P18" s="37" t="str">
        <f>_xlfn.XLOOKUP(A18,'steel Mint data'!A:A,'steel Mint data'!Q:Q,"",0)</f>
        <v/>
      </c>
      <c r="Q18" s="36" t="str">
        <f>_xlfn.XLOOKUP(A18,'steel Mint data'!A:A,'steel Mint data'!R:R,"",0)</f>
        <v/>
      </c>
      <c r="S18" s="33">
        <f>L24+2800</f>
        <v>50636.36363636364</v>
      </c>
      <c r="T18" s="33"/>
    </row>
    <row r="19" spans="1:21">
      <c r="A19" s="83"/>
      <c r="B19" s="15">
        <f>SUM(B3:B18)</f>
        <v>540300</v>
      </c>
      <c r="C19" s="14"/>
      <c r="D19" s="14"/>
      <c r="E19" s="15">
        <f>SUM(E3:E18)</f>
        <v>512600</v>
      </c>
      <c r="F19" s="15">
        <f>SUM(F3:F18)</f>
        <v>461100</v>
      </c>
      <c r="G19" s="14"/>
      <c r="H19" s="14"/>
      <c r="I19" s="15">
        <f>SUM(I3:I18)</f>
        <v>499800</v>
      </c>
      <c r="J19" s="14"/>
      <c r="K19" s="15">
        <f>SUM(K3:K18)</f>
        <v>521600</v>
      </c>
      <c r="L19" s="14"/>
      <c r="M19" s="14"/>
      <c r="N19" s="14"/>
      <c r="O19" s="14"/>
      <c r="P19" s="15">
        <f>SUM(P3:P18)</f>
        <v>478900</v>
      </c>
      <c r="Q19" s="15">
        <f>SUM(Q3:Q18)</f>
        <v>470500</v>
      </c>
      <c r="R19" s="175">
        <f>51750-1300-K24</f>
        <v>1250</v>
      </c>
      <c r="S19" s="33">
        <f>K24+1750</f>
        <v>50950</v>
      </c>
      <c r="T19" s="33"/>
    </row>
    <row r="20" spans="1:21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23</v>
      </c>
      <c r="H20" s="16" t="s">
        <v>39</v>
      </c>
      <c r="I20" s="16" t="s">
        <v>46</v>
      </c>
      <c r="J20" s="16" t="s">
        <v>126</v>
      </c>
      <c r="K20" s="282" t="s">
        <v>23</v>
      </c>
      <c r="L20" s="282" t="s">
        <v>147</v>
      </c>
      <c r="M20" s="19"/>
      <c r="N20" s="278">
        <f>E17-800+3400</f>
        <v>2600</v>
      </c>
      <c r="O20" s="14"/>
      <c r="P20" s="21"/>
      <c r="Q20" s="14"/>
      <c r="R20" s="175">
        <f>50100-K24</f>
        <v>900</v>
      </c>
      <c r="S20" s="33">
        <f>K24+2800</f>
        <v>52000</v>
      </c>
      <c r="T20" s="33"/>
    </row>
    <row r="21" spans="1:21">
      <c r="A21" s="17" t="s">
        <v>25</v>
      </c>
      <c r="B21" s="18">
        <f>E19/O21</f>
        <v>46600</v>
      </c>
      <c r="C21" s="18">
        <f>P19/O21</f>
        <v>43536.36363636364</v>
      </c>
      <c r="D21" s="18">
        <f>K19/O21</f>
        <v>47418.181818181816</v>
      </c>
      <c r="E21" s="18">
        <f>Q19/O21</f>
        <v>42772.727272727272</v>
      </c>
      <c r="F21" s="18">
        <f>C21</f>
        <v>43536.36363636364</v>
      </c>
      <c r="G21" s="18">
        <f>B21-800</f>
        <v>45800</v>
      </c>
      <c r="H21" s="18">
        <f>I19/O21</f>
        <v>45436.36363636364</v>
      </c>
      <c r="I21" s="18">
        <f>B19/(O21)</f>
        <v>49118.181818181816</v>
      </c>
      <c r="J21" s="18">
        <f>F19/O21</f>
        <v>41918.181818181816</v>
      </c>
      <c r="K21" s="283">
        <f>B21-800</f>
        <v>45800</v>
      </c>
      <c r="L21" s="283">
        <f>P19/O21</f>
        <v>43536.36363636364</v>
      </c>
      <c r="M21" s="146"/>
      <c r="N21" s="19"/>
      <c r="O21" s="20">
        <f>COUNT(E3:E18)</f>
        <v>11</v>
      </c>
      <c r="P21" s="21"/>
      <c r="Q21" s="19">
        <f>P17+4300</f>
        <v>4300</v>
      </c>
      <c r="R21" s="175"/>
      <c r="S21" s="33"/>
      <c r="T21" s="33"/>
    </row>
    <row r="22" spans="1:21">
      <c r="A22" s="17" t="s">
        <v>26</v>
      </c>
      <c r="B22" s="18">
        <v>1200</v>
      </c>
      <c r="C22" s="18">
        <v>2150</v>
      </c>
      <c r="D22" s="18">
        <v>400</v>
      </c>
      <c r="E22" s="18">
        <v>2200</v>
      </c>
      <c r="F22" s="18">
        <v>1800</v>
      </c>
      <c r="G22" s="18">
        <v>1200</v>
      </c>
      <c r="H22" s="18">
        <v>800</v>
      </c>
      <c r="I22" s="18">
        <v>0</v>
      </c>
      <c r="J22" s="18">
        <v>2700</v>
      </c>
      <c r="K22" s="283">
        <v>3200</v>
      </c>
      <c r="L22" s="283">
        <v>4035</v>
      </c>
      <c r="M22" s="146"/>
      <c r="N22" s="19">
        <f>47500+2350</f>
        <v>49850</v>
      </c>
      <c r="O22" s="48"/>
      <c r="P22" s="48"/>
      <c r="Q22" s="176"/>
      <c r="R22" s="174">
        <f>47250-F24</f>
        <v>1638.6363636363603</v>
      </c>
      <c r="S22" s="49">
        <f>51500-1900-D24</f>
        <v>1531.8181818181838</v>
      </c>
      <c r="T22" s="49"/>
    </row>
    <row r="23" spans="1:21">
      <c r="A23" s="17" t="s">
        <v>27</v>
      </c>
      <c r="B23" s="18">
        <v>200</v>
      </c>
      <c r="C23" s="18">
        <v>265</v>
      </c>
      <c r="D23" s="18">
        <v>250</v>
      </c>
      <c r="E23" s="18">
        <v>275</v>
      </c>
      <c r="F23" s="18">
        <v>275</v>
      </c>
      <c r="G23" s="18">
        <v>200</v>
      </c>
      <c r="H23" s="18">
        <v>270</v>
      </c>
      <c r="I23" s="18">
        <v>200</v>
      </c>
      <c r="J23" s="18">
        <v>270</v>
      </c>
      <c r="K23" s="283">
        <v>200</v>
      </c>
      <c r="L23" s="283">
        <v>265</v>
      </c>
      <c r="M23" s="146"/>
      <c r="N23" s="48">
        <f>47250</f>
        <v>47250</v>
      </c>
      <c r="O23" s="48">
        <f>51350-2200</f>
        <v>49150</v>
      </c>
      <c r="P23" s="48">
        <f>53000-2700</f>
        <v>50300</v>
      </c>
      <c r="Q23" s="48">
        <f>51000-1200-L24</f>
        <v>1963.6363636363603</v>
      </c>
      <c r="R23" s="174">
        <f>51000-400-B24</f>
        <v>2600</v>
      </c>
      <c r="S23" s="48"/>
      <c r="T23" s="49"/>
    </row>
    <row r="24" spans="1:21" ht="19.5" customHeight="1">
      <c r="A24" s="22" t="s">
        <v>28</v>
      </c>
      <c r="B24" s="18">
        <f>SUM(B21:B23)</f>
        <v>48000</v>
      </c>
      <c r="C24" s="18">
        <f>SUM(C21:C23)</f>
        <v>45951.36363636364</v>
      </c>
      <c r="D24" s="18">
        <f>SUM(D21:D23)</f>
        <v>48068.181818181816</v>
      </c>
      <c r="E24" s="18">
        <f>SUM(E21:E23)</f>
        <v>45247.727272727272</v>
      </c>
      <c r="F24" s="18">
        <f>SUM(F21:F23)</f>
        <v>45611.36363636364</v>
      </c>
      <c r="G24" s="18">
        <f>SUM(G21:G23)</f>
        <v>47200</v>
      </c>
      <c r="H24" s="18">
        <f>SUM(H21:H23)</f>
        <v>46506.36363636364</v>
      </c>
      <c r="I24" s="18">
        <f>SUM(I21:I23)</f>
        <v>49318.181818181816</v>
      </c>
      <c r="J24" s="18">
        <f>SUM(J21:J23)</f>
        <v>44888.181818181816</v>
      </c>
      <c r="K24" s="283">
        <f>SUM(K21:K23)</f>
        <v>49200</v>
      </c>
      <c r="L24" s="283">
        <f>SUM(L21:L23)</f>
        <v>47836.36363636364</v>
      </c>
      <c r="M24" s="69"/>
      <c r="N24" s="48">
        <f>49500+2200</f>
        <v>51700</v>
      </c>
      <c r="O24" s="48">
        <f>51250-2200</f>
        <v>49050</v>
      </c>
      <c r="P24" s="48"/>
      <c r="Q24" s="48"/>
      <c r="R24" s="174">
        <f>51000-1250-K24</f>
        <v>550</v>
      </c>
      <c r="S24" s="49"/>
      <c r="T24" s="49"/>
    </row>
    <row r="25" spans="1:21">
      <c r="A25" s="22" t="s">
        <v>29</v>
      </c>
      <c r="B25" s="18">
        <v>45100</v>
      </c>
      <c r="C25" s="18">
        <v>42315</v>
      </c>
      <c r="D25" s="18">
        <v>46150</v>
      </c>
      <c r="E25" s="23"/>
      <c r="F25" s="18">
        <v>41975</v>
      </c>
      <c r="G25" s="18">
        <v>44300</v>
      </c>
      <c r="H25" s="18"/>
      <c r="I25" s="18">
        <v>44300</v>
      </c>
      <c r="J25" s="18">
        <f>38000+2700+270</f>
        <v>40970</v>
      </c>
      <c r="K25" s="18"/>
      <c r="L25" s="19"/>
      <c r="M25" s="69"/>
      <c r="N25" s="174"/>
      <c r="O25" s="48"/>
      <c r="P25" s="48">
        <f>49000-2400-F24</f>
        <v>988.63636363636033</v>
      </c>
      <c r="Q25" s="33">
        <f>52250-600-K24</f>
        <v>2450</v>
      </c>
      <c r="R25" s="174"/>
      <c r="S25" s="49"/>
      <c r="T25" s="49"/>
    </row>
    <row r="26" spans="1:21">
      <c r="A26" s="22" t="s">
        <v>30</v>
      </c>
      <c r="B26" s="18">
        <f>B24-B25</f>
        <v>2900</v>
      </c>
      <c r="C26" s="18">
        <f>C24-C25</f>
        <v>3636.3636363636397</v>
      </c>
      <c r="D26" s="18">
        <f>D24-D25</f>
        <v>1918.1818181818162</v>
      </c>
      <c r="E26" s="18">
        <f>E24-E25</f>
        <v>45247.727272727272</v>
      </c>
      <c r="F26" s="18">
        <f>F24-F25</f>
        <v>3636.3636363636397</v>
      </c>
      <c r="G26" s="18">
        <f>G24-G25</f>
        <v>2900</v>
      </c>
      <c r="H26" s="18">
        <f>H24-H25</f>
        <v>46506.36363636364</v>
      </c>
      <c r="I26" s="18">
        <f>I24-I25</f>
        <v>5018.1818181818162</v>
      </c>
      <c r="J26" s="18">
        <f>J24-J25</f>
        <v>3918.1818181818162</v>
      </c>
      <c r="K26" s="174"/>
      <c r="L26" s="19"/>
      <c r="M26" s="69"/>
      <c r="N26" s="174">
        <f>51000-2800-L24</f>
        <v>363.63636363636033</v>
      </c>
      <c r="O26" s="48">
        <f>51400-1250</f>
        <v>50150</v>
      </c>
      <c r="P26" s="48"/>
      <c r="Q26" s="48"/>
      <c r="R26" s="174"/>
      <c r="S26" s="49"/>
      <c r="T26" s="49"/>
    </row>
    <row r="27" spans="1:21">
      <c r="A27" s="14"/>
      <c r="B27" s="19">
        <f>B25-2500</f>
        <v>42600</v>
      </c>
      <c r="C27" s="14"/>
      <c r="D27" s="14"/>
      <c r="E27" s="14"/>
      <c r="F27" s="14"/>
      <c r="G27" s="19">
        <f>G25-2500</f>
        <v>41800</v>
      </c>
      <c r="H27" s="14"/>
      <c r="I27" s="14"/>
      <c r="J27" s="14"/>
      <c r="K27" s="174"/>
      <c r="L27" s="19">
        <f>47200-F24</f>
        <v>1588.6363636363603</v>
      </c>
      <c r="M27" s="69"/>
      <c r="N27" s="174"/>
      <c r="O27" s="48"/>
      <c r="P27" s="286"/>
      <c r="Q27" s="131" t="s">
        <v>153</v>
      </c>
      <c r="R27" s="131" t="s">
        <v>154</v>
      </c>
      <c r="S27" s="131" t="s">
        <v>37</v>
      </c>
      <c r="T27" s="49"/>
    </row>
    <row r="28" spans="1:21">
      <c r="A28" s="22" t="s">
        <v>31</v>
      </c>
      <c r="B28" s="23">
        <v>48300</v>
      </c>
      <c r="C28" s="23">
        <v>45550</v>
      </c>
      <c r="D28" s="18">
        <v>48800</v>
      </c>
      <c r="E28" s="18">
        <v>45550</v>
      </c>
      <c r="F28" s="18">
        <v>45550</v>
      </c>
      <c r="G28" s="18">
        <v>47500</v>
      </c>
      <c r="H28" s="18">
        <v>47800</v>
      </c>
      <c r="I28" s="18">
        <v>48300</v>
      </c>
      <c r="J28" s="18"/>
      <c r="K28" s="174">
        <f>K24+2550+250</f>
        <v>52000</v>
      </c>
      <c r="L28" s="48">
        <f>47750-600-45412</f>
        <v>1738</v>
      </c>
      <c r="M28" s="69"/>
      <c r="N28" s="48">
        <f>49650-1900-C24</f>
        <v>1798.6363636363603</v>
      </c>
      <c r="O28" s="48"/>
      <c r="P28" s="286" t="s">
        <v>71</v>
      </c>
      <c r="Q28" s="129">
        <v>2500</v>
      </c>
      <c r="R28" s="129">
        <v>4150</v>
      </c>
      <c r="S28" s="129">
        <v>3800</v>
      </c>
      <c r="T28" s="49"/>
    </row>
    <row r="29" spans="1:21">
      <c r="A29" s="22" t="s">
        <v>32</v>
      </c>
      <c r="B29" s="26">
        <f>B28-500-(200+300+300)-250-400</f>
        <v>46350</v>
      </c>
      <c r="C29" s="26">
        <f>C28-500-(200+300+300)-250-400</f>
        <v>43600</v>
      </c>
      <c r="D29" s="26">
        <f>D28-500-(200+300+300)-250-400</f>
        <v>46850</v>
      </c>
      <c r="E29" s="26">
        <f>E28-500-(200+300+300)-250-400</f>
        <v>43600</v>
      </c>
      <c r="F29" s="26">
        <f>F28-500-(200+300+300)-250-400</f>
        <v>43600</v>
      </c>
      <c r="G29" s="26">
        <f>G28-500-(200+300+300)-250-400</f>
        <v>45550</v>
      </c>
      <c r="H29" s="26">
        <f>H28-500-(200+300+300)-250-400</f>
        <v>45850</v>
      </c>
      <c r="I29" s="26">
        <f>I28-500-(200+300+300)-250-400</f>
        <v>46350</v>
      </c>
      <c r="J29" s="269"/>
      <c r="K29" s="174"/>
      <c r="L29" s="48">
        <f>50300-1250-K24</f>
        <v>-150</v>
      </c>
      <c r="M29" s="48"/>
      <c r="N29" s="48"/>
      <c r="O29" s="48">
        <f>52750-2500-K24</f>
        <v>1050</v>
      </c>
      <c r="P29" s="286" t="s">
        <v>155</v>
      </c>
      <c r="Q29" s="129">
        <v>50500</v>
      </c>
      <c r="R29" s="129">
        <v>51000</v>
      </c>
      <c r="S29" s="129">
        <v>51000</v>
      </c>
      <c r="T29" s="49"/>
    </row>
    <row r="30" spans="1:21">
      <c r="A30" s="25" t="s">
        <v>33</v>
      </c>
      <c r="B30" s="18">
        <f>B29-B24</f>
        <v>-1650</v>
      </c>
      <c r="C30" s="18">
        <f>C29-C24</f>
        <v>-2351.3636363636397</v>
      </c>
      <c r="D30" s="18">
        <f>D29-D24</f>
        <v>-1218.1818181818162</v>
      </c>
      <c r="E30" s="18">
        <f>E29-E24</f>
        <v>-1647.7272727272721</v>
      </c>
      <c r="F30" s="18">
        <f>F29-F24</f>
        <v>-2011.3636363636397</v>
      </c>
      <c r="G30" s="18">
        <f>G29-G24</f>
        <v>-1650</v>
      </c>
      <c r="H30" s="18">
        <f>H29-H24</f>
        <v>-656.36363636363967</v>
      </c>
      <c r="I30" s="18">
        <f>I29-I24</f>
        <v>-2968.1818181818162</v>
      </c>
      <c r="J30" s="270"/>
      <c r="K30" s="174"/>
      <c r="L30" s="48"/>
      <c r="M30" s="48"/>
      <c r="N30" s="48">
        <f>51650-2500-L24</f>
        <v>1313.6363636363603</v>
      </c>
      <c r="O30" s="48"/>
      <c r="P30" s="286" t="s">
        <v>156</v>
      </c>
      <c r="Q30" s="129">
        <f>Q29-Q28</f>
        <v>48000</v>
      </c>
      <c r="R30" s="290">
        <f>R29-R28</f>
        <v>46850</v>
      </c>
      <c r="S30" s="129">
        <f t="shared" ref="R30:S30" si="0">S29-S28</f>
        <v>47200</v>
      </c>
      <c r="T30" s="49"/>
      <c r="U30" s="33"/>
    </row>
    <row r="31" spans="1:21">
      <c r="I31" s="33"/>
      <c r="J31" s="49"/>
      <c r="K31" s="48"/>
      <c r="L31" s="48">
        <f>49900-1200-B24</f>
        <v>700</v>
      </c>
      <c r="M31" s="48"/>
      <c r="N31" s="48">
        <f>51750-1300-K24</f>
        <v>1250</v>
      </c>
      <c r="O31" s="48">
        <f>49750-2850-F24</f>
        <v>1288.6363636363603</v>
      </c>
      <c r="P31" s="286" t="s">
        <v>157</v>
      </c>
      <c r="Q31" s="288">
        <v>46125</v>
      </c>
      <c r="R31" s="129">
        <v>43772</v>
      </c>
      <c r="S31" s="289">
        <v>45859</v>
      </c>
      <c r="T31" s="49"/>
      <c r="U31" s="33"/>
    </row>
    <row r="32" spans="1:21">
      <c r="A32" s="28" t="s">
        <v>141</v>
      </c>
      <c r="B32" s="380">
        <v>49000</v>
      </c>
      <c r="C32" s="380">
        <v>47000</v>
      </c>
      <c r="D32" s="380">
        <v>49500</v>
      </c>
      <c r="E32" s="380"/>
      <c r="F32" s="380">
        <v>47000</v>
      </c>
      <c r="G32" s="380">
        <v>48200</v>
      </c>
      <c r="H32" s="380"/>
      <c r="I32" s="380"/>
      <c r="J32" s="381">
        <v>47000</v>
      </c>
      <c r="K32" s="382"/>
      <c r="L32" s="382"/>
      <c r="M32" s="48"/>
      <c r="N32" s="265"/>
      <c r="O32" s="266"/>
      <c r="P32" s="286" t="s">
        <v>158</v>
      </c>
      <c r="Q32" s="284">
        <f>Q30-I24</f>
        <v>-1318.1818181818162</v>
      </c>
      <c r="R32" s="291">
        <f>R30-L24</f>
        <v>-986.36363636363967</v>
      </c>
      <c r="S32" s="284">
        <f>S30-K24</f>
        <v>-2000</v>
      </c>
      <c r="T32" s="49"/>
    </row>
    <row r="33" spans="1:21 16384:16384" ht="15.75" customHeight="1">
      <c r="A33" s="28" t="s">
        <v>144</v>
      </c>
      <c r="B33" s="383"/>
      <c r="C33" s="383"/>
      <c r="D33" s="383"/>
      <c r="E33" s="384"/>
      <c r="F33" s="383"/>
      <c r="G33" s="383"/>
      <c r="H33" s="383"/>
      <c r="I33" s="383"/>
      <c r="J33" s="382"/>
      <c r="K33" s="385">
        <v>49700</v>
      </c>
      <c r="L33" s="381">
        <v>48500</v>
      </c>
      <c r="M33" s="48"/>
      <c r="N33" s="265">
        <f>50400-2200-L24</f>
        <v>363.63636363636033</v>
      </c>
      <c r="O33" s="266"/>
      <c r="P33" s="287" t="s">
        <v>159</v>
      </c>
      <c r="Q33" s="285">
        <f>Q30-Q31</f>
        <v>1875</v>
      </c>
      <c r="R33" s="285">
        <f>R30-R31</f>
        <v>3078</v>
      </c>
      <c r="S33" s="285">
        <f t="shared" ref="R33:S33" si="1">S30-S31</f>
        <v>1341</v>
      </c>
      <c r="T33" s="49"/>
      <c r="XFD33" s="96" t="s">
        <v>68</v>
      </c>
    </row>
    <row r="34" spans="1:21 16384:16384" ht="15.75">
      <c r="C34" s="33"/>
      <c r="D34" s="33"/>
      <c r="E34">
        <f>49500+2100</f>
        <v>51600</v>
      </c>
      <c r="F34" s="33"/>
      <c r="G34" s="33"/>
      <c r="H34" s="33"/>
      <c r="I34" s="49"/>
      <c r="J34" s="49"/>
      <c r="K34" s="125">
        <f>49000-2400-C24</f>
        <v>648.63636363636033</v>
      </c>
      <c r="L34" s="273"/>
      <c r="M34" s="274"/>
      <c r="N34" s="267"/>
      <c r="O34" s="266">
        <f>51400-1750</f>
        <v>49650</v>
      </c>
      <c r="P34" s="106"/>
      <c r="Q34" s="128"/>
      <c r="R34" s="174"/>
      <c r="S34" s="49"/>
      <c r="T34" s="49"/>
      <c r="XFD34" s="97">
        <v>43500</v>
      </c>
    </row>
    <row r="35" spans="1:21 16384:16384" ht="15.75">
      <c r="B35" s="33"/>
      <c r="C35" s="33"/>
      <c r="D35" s="33"/>
      <c r="E35" s="33"/>
      <c r="F35" s="33"/>
      <c r="G35" s="33"/>
      <c r="H35" s="124"/>
      <c r="I35" s="33"/>
      <c r="J35" s="49"/>
      <c r="K35" s="125"/>
      <c r="L35" s="274"/>
      <c r="M35" s="271"/>
      <c r="N35" s="267"/>
      <c r="O35" s="266"/>
      <c r="P35" s="125"/>
      <c r="Q35" s="106"/>
      <c r="R35" s="174"/>
      <c r="S35" s="49"/>
      <c r="T35" s="49"/>
      <c r="XFD35" s="97">
        <v>44000</v>
      </c>
    </row>
    <row r="36" spans="1:21 16384:16384" ht="15.75">
      <c r="A36" s="405" t="s">
        <v>160</v>
      </c>
      <c r="B36" s="406">
        <f>B32+500</f>
        <v>49500</v>
      </c>
      <c r="C36" s="406">
        <f>C32+500</f>
        <v>47500</v>
      </c>
      <c r="D36" s="406">
        <f>D32+500</f>
        <v>50000</v>
      </c>
      <c r="E36" s="406">
        <f>E32+500</f>
        <v>500</v>
      </c>
      <c r="F36" s="406">
        <f>F32+500</f>
        <v>47500</v>
      </c>
      <c r="G36" s="406">
        <f>G32+500</f>
        <v>48700</v>
      </c>
      <c r="H36" s="406"/>
      <c r="I36" s="406"/>
      <c r="J36" s="406">
        <f>J32+500</f>
        <v>47500</v>
      </c>
      <c r="K36" s="406"/>
      <c r="L36" s="406"/>
      <c r="M36" s="275"/>
      <c r="N36" s="268"/>
      <c r="O36" s="266"/>
      <c r="P36" s="125"/>
      <c r="Q36" s="125"/>
      <c r="R36" s="174"/>
      <c r="S36" s="49"/>
      <c r="T36" s="49"/>
      <c r="XFD36" s="97">
        <v>43500</v>
      </c>
    </row>
    <row r="37" spans="1:21 16384:16384" ht="15.75">
      <c r="A37" s="405"/>
      <c r="B37" s="406"/>
      <c r="C37" s="406"/>
      <c r="D37" s="406"/>
      <c r="E37" s="406"/>
      <c r="F37" s="406"/>
      <c r="G37" s="406"/>
      <c r="H37" s="406"/>
      <c r="I37" s="406"/>
      <c r="J37" s="406"/>
      <c r="K37" s="406">
        <v>50000</v>
      </c>
      <c r="L37" s="406">
        <v>48500</v>
      </c>
      <c r="M37" s="275"/>
      <c r="N37" s="267"/>
      <c r="O37" s="266"/>
      <c r="P37" s="128"/>
      <c r="Q37" s="106"/>
      <c r="R37" s="264"/>
      <c r="S37" s="117"/>
      <c r="T37" s="117"/>
      <c r="U37" s="264"/>
      <c r="XFD37" s="97">
        <v>44000</v>
      </c>
    </row>
    <row r="38" spans="1:21 16384:16384" ht="15.75">
      <c r="C38" s="33"/>
      <c r="D38" s="33"/>
      <c r="F38" s="112"/>
      <c r="G38" s="170"/>
      <c r="H38" s="169"/>
      <c r="J38" s="49"/>
      <c r="K38" s="106"/>
      <c r="L38" s="271"/>
      <c r="M38" s="275"/>
      <c r="N38" s="125"/>
      <c r="O38" s="106"/>
      <c r="P38" s="106"/>
      <c r="Q38" s="106"/>
      <c r="R38" s="174"/>
      <c r="S38" s="174"/>
      <c r="T38" s="174"/>
      <c r="U38" s="174"/>
      <c r="XFD38" s="97">
        <v>43000</v>
      </c>
    </row>
    <row r="39" spans="1:21 16384:16384" ht="15.75">
      <c r="D39" s="33"/>
      <c r="E39" s="33"/>
      <c r="F39" s="112"/>
      <c r="G39" s="170"/>
      <c r="H39" s="170"/>
      <c r="J39" s="49"/>
      <c r="K39" s="106"/>
      <c r="L39" s="271"/>
      <c r="M39" s="276"/>
      <c r="N39" s="106"/>
      <c r="O39" s="106"/>
      <c r="P39" s="106"/>
      <c r="Q39" s="106"/>
      <c r="R39" s="174"/>
      <c r="S39" s="174"/>
      <c r="T39" s="174"/>
      <c r="U39" s="27"/>
      <c r="XFD39" s="97">
        <v>43500</v>
      </c>
    </row>
    <row r="40" spans="1:21 16384:16384" ht="15.75">
      <c r="A40" s="39"/>
      <c r="B40" s="40"/>
      <c r="C40" s="43"/>
      <c r="F40" s="114"/>
      <c r="G40" s="172"/>
      <c r="H40" s="171">
        <f>-500</f>
        <v>-500</v>
      </c>
      <c r="J40" s="49"/>
      <c r="K40" s="106"/>
      <c r="L40" s="271"/>
      <c r="M40" s="271"/>
      <c r="N40" s="128"/>
      <c r="O40" s="106"/>
      <c r="P40" s="106"/>
      <c r="Q40" s="106"/>
      <c r="R40" s="174"/>
      <c r="S40" s="174"/>
      <c r="T40" s="174"/>
      <c r="U40" s="27"/>
      <c r="XFD40" s="97">
        <v>44000</v>
      </c>
    </row>
    <row r="41" spans="1:21 16384:16384" ht="15.75">
      <c r="A41" s="29" t="s">
        <v>42</v>
      </c>
      <c r="B41" s="29">
        <v>46000</v>
      </c>
      <c r="C41" s="43"/>
      <c r="F41" s="114"/>
      <c r="G41" s="172"/>
      <c r="H41" s="172"/>
      <c r="I41" s="33"/>
      <c r="J41" s="49"/>
      <c r="K41" s="106"/>
      <c r="L41" s="271"/>
      <c r="M41" s="275"/>
      <c r="N41" s="106"/>
      <c r="O41" s="106"/>
      <c r="P41" s="106"/>
      <c r="Q41" s="106"/>
      <c r="R41" s="174"/>
      <c r="S41" s="174"/>
      <c r="T41" s="174"/>
      <c r="U41" s="174"/>
      <c r="XFD41" s="97">
        <v>45000</v>
      </c>
    </row>
    <row r="42" spans="1:21 16384:16384" ht="15.75">
      <c r="A42" s="29" t="s">
        <v>43</v>
      </c>
      <c r="B42" s="29">
        <v>42615</v>
      </c>
      <c r="C42" s="43">
        <f>B42+1250</f>
        <v>43865</v>
      </c>
      <c r="F42" s="114"/>
      <c r="G42" s="171"/>
      <c r="H42" s="173"/>
      <c r="J42" s="49"/>
      <c r="K42" s="106"/>
      <c r="L42" s="272"/>
      <c r="M42" s="275"/>
      <c r="N42" s="106"/>
      <c r="O42" s="106"/>
      <c r="P42" s="106"/>
      <c r="Q42" s="106"/>
      <c r="R42" s="174"/>
      <c r="S42" s="174"/>
      <c r="T42" s="174"/>
      <c r="U42" s="174"/>
      <c r="XFD42" s="97">
        <v>43500</v>
      </c>
    </row>
    <row r="43" spans="1:21 16384:16384" ht="15.75">
      <c r="A43" s="29" t="s">
        <v>44</v>
      </c>
      <c r="B43" s="29">
        <v>42275</v>
      </c>
      <c r="C43" s="43">
        <f>B43+1000</f>
        <v>43275</v>
      </c>
      <c r="G43" s="33"/>
      <c r="J43" s="49"/>
      <c r="K43" s="106"/>
      <c r="L43" s="106"/>
      <c r="M43" s="106"/>
      <c r="N43" s="106"/>
      <c r="O43" s="106"/>
      <c r="P43" s="106"/>
      <c r="Q43" s="106"/>
      <c r="R43" s="174"/>
      <c r="S43" s="174"/>
      <c r="T43" s="174"/>
      <c r="U43" s="174"/>
      <c r="XFD43" s="97">
        <v>44000</v>
      </c>
    </row>
    <row r="44" spans="1:21 16384:16384" ht="15.75">
      <c r="A44" s="29" t="s">
        <v>36</v>
      </c>
      <c r="B44" s="29">
        <v>46450</v>
      </c>
      <c r="C44" s="43">
        <f>B44+800</f>
        <v>47250</v>
      </c>
      <c r="J44" s="49"/>
      <c r="K44" s="106"/>
      <c r="L44" s="106"/>
      <c r="M44" s="106"/>
      <c r="N44" s="106"/>
      <c r="O44" s="106"/>
      <c r="P44" s="106"/>
      <c r="Q44" s="106"/>
      <c r="R44" s="174"/>
      <c r="S44" s="174"/>
      <c r="T44" s="526"/>
      <c r="U44" s="526"/>
      <c r="XFD44" s="97">
        <v>44000</v>
      </c>
    </row>
    <row r="45" spans="1:21 16384:16384" ht="15.75">
      <c r="A45" s="29" t="s">
        <v>37</v>
      </c>
      <c r="B45" s="29">
        <v>45200</v>
      </c>
      <c r="C45" s="43">
        <f>B45+1000</f>
        <v>46200</v>
      </c>
      <c r="J45" s="49"/>
      <c r="K45" s="106"/>
      <c r="L45" s="106"/>
      <c r="M45" s="106"/>
      <c r="N45" s="106"/>
      <c r="O45" s="106"/>
      <c r="P45" s="106"/>
      <c r="Q45" s="106"/>
      <c r="R45" s="174"/>
      <c r="S45" s="49"/>
      <c r="T45" s="49"/>
      <c r="XFD45" s="97">
        <v>44000</v>
      </c>
    </row>
    <row r="46" spans="1:21 16384:16384" ht="15.75">
      <c r="A46" s="29" t="s">
        <v>45</v>
      </c>
      <c r="B46" s="29">
        <v>44470</v>
      </c>
      <c r="C46" s="43"/>
      <c r="D46" s="24"/>
      <c r="E46" s="24"/>
      <c r="F46" s="24"/>
      <c r="G46" s="24"/>
      <c r="H46" s="24"/>
      <c r="I46" s="24"/>
      <c r="J46" s="49"/>
      <c r="K46" s="106"/>
      <c r="L46" s="106"/>
      <c r="M46" s="106"/>
      <c r="N46" s="106"/>
      <c r="O46" s="106"/>
      <c r="P46" s="106"/>
      <c r="Q46" s="106"/>
      <c r="R46" s="174"/>
      <c r="S46" s="49"/>
      <c r="T46" s="49"/>
      <c r="XFD46" s="97">
        <v>41000</v>
      </c>
    </row>
    <row r="47" spans="1:21 16384:16384" ht="15.75">
      <c r="A47" s="43" t="s">
        <v>50</v>
      </c>
      <c r="B47" s="43">
        <v>43675</v>
      </c>
      <c r="C47" s="43"/>
      <c r="D47" s="33"/>
      <c r="E47" s="33"/>
      <c r="F47" s="33"/>
      <c r="G47" s="33"/>
      <c r="H47" s="33"/>
      <c r="I47" s="33"/>
      <c r="K47" s="523"/>
      <c r="L47" s="523"/>
      <c r="M47" s="106"/>
      <c r="N47" s="106"/>
      <c r="O47" s="106"/>
      <c r="P47" s="106"/>
      <c r="Q47" s="106"/>
    </row>
    <row r="48" spans="1:21 16384:16384">
      <c r="A48" s="46" t="s">
        <v>46</v>
      </c>
      <c r="B48" s="46">
        <f>44500-1000</f>
        <v>43500</v>
      </c>
      <c r="C48" s="46">
        <f>B48+1000</f>
        <v>44500</v>
      </c>
    </row>
    <row r="49" spans="1:14">
      <c r="B49" s="33"/>
    </row>
    <row r="51" spans="1:14" ht="37.5">
      <c r="B51" s="16" t="s">
        <v>18</v>
      </c>
      <c r="C51" s="16" t="s">
        <v>19</v>
      </c>
      <c r="D51" s="16" t="s">
        <v>20</v>
      </c>
      <c r="E51" s="16" t="s">
        <v>21</v>
      </c>
      <c r="F51" s="16" t="s">
        <v>22</v>
      </c>
      <c r="G51" s="16" t="s">
        <v>143</v>
      </c>
      <c r="H51" s="16" t="s">
        <v>39</v>
      </c>
      <c r="I51" s="16" t="s">
        <v>46</v>
      </c>
      <c r="J51" s="16" t="s">
        <v>126</v>
      </c>
    </row>
    <row r="52" spans="1:14">
      <c r="A52" t="s">
        <v>141</v>
      </c>
      <c r="B52" s="33">
        <v>43250</v>
      </c>
      <c r="C52" s="33">
        <v>41000</v>
      </c>
      <c r="D52" s="33">
        <v>44250</v>
      </c>
      <c r="E52" s="33">
        <v>40600</v>
      </c>
      <c r="F52" s="33">
        <v>40750</v>
      </c>
      <c r="G52" s="33">
        <v>42750</v>
      </c>
      <c r="H52" s="33"/>
      <c r="I52" s="33">
        <v>42500</v>
      </c>
      <c r="J52" s="49"/>
    </row>
    <row r="53" spans="1:14">
      <c r="A53" t="s">
        <v>48</v>
      </c>
      <c r="B53" s="33"/>
      <c r="C53" s="33"/>
      <c r="D53" s="33"/>
      <c r="E53" s="33"/>
      <c r="F53" s="33"/>
      <c r="G53" s="33">
        <v>43700</v>
      </c>
      <c r="H53" s="33"/>
      <c r="I53" s="33">
        <v>43500</v>
      </c>
      <c r="J53" s="49"/>
    </row>
    <row r="54" spans="1:14">
      <c r="C54" s="115"/>
      <c r="D54" s="109"/>
      <c r="E54" s="109"/>
      <c r="F54" s="52"/>
      <c r="G54" s="109"/>
      <c r="H54" s="109"/>
      <c r="K54" s="110"/>
      <c r="L54" s="110"/>
      <c r="M54" s="110"/>
      <c r="N54" s="110"/>
    </row>
    <row r="55" spans="1:14">
      <c r="A55" t="s">
        <v>72</v>
      </c>
      <c r="B55" s="33">
        <f>B52-B24</f>
        <v>-4750</v>
      </c>
      <c r="C55" s="33">
        <f t="shared" ref="C55:J55" si="2">C52-C24</f>
        <v>-4951.3636363636397</v>
      </c>
      <c r="D55" s="33">
        <f t="shared" si="2"/>
        <v>-3818.1818181818162</v>
      </c>
      <c r="E55" s="33">
        <f t="shared" si="2"/>
        <v>-4647.7272727272721</v>
      </c>
      <c r="F55" s="33">
        <f t="shared" si="2"/>
        <v>-4861.3636363636397</v>
      </c>
      <c r="G55" s="33">
        <f t="shared" si="2"/>
        <v>-4450</v>
      </c>
      <c r="H55" s="33">
        <f t="shared" si="2"/>
        <v>-46506.36363636364</v>
      </c>
      <c r="I55" s="33">
        <f t="shared" si="2"/>
        <v>-6818.1818181818162</v>
      </c>
      <c r="J55" s="33">
        <f t="shared" si="2"/>
        <v>-44888.181818181816</v>
      </c>
      <c r="L55" s="62"/>
      <c r="M55" s="62"/>
      <c r="N55" s="62"/>
    </row>
    <row r="56" spans="1:14">
      <c r="C56" s="52"/>
      <c r="D56" s="111"/>
      <c r="E56" s="111"/>
      <c r="F56" s="58"/>
      <c r="G56" s="111"/>
      <c r="H56" s="111"/>
      <c r="L56" s="62"/>
      <c r="M56" s="62"/>
      <c r="N56" s="62"/>
    </row>
    <row r="57" spans="1:14">
      <c r="C57" s="52"/>
      <c r="D57" s="111"/>
      <c r="E57" s="111"/>
      <c r="F57" s="58"/>
      <c r="G57" s="111"/>
      <c r="H57" s="111"/>
      <c r="L57" s="62"/>
      <c r="M57" s="62"/>
      <c r="N57" s="62"/>
    </row>
    <row r="58" spans="1:14">
      <c r="C58" s="52"/>
      <c r="D58" s="111"/>
      <c r="E58" s="111"/>
      <c r="F58" s="58"/>
      <c r="G58" s="111"/>
      <c r="H58" s="111"/>
      <c r="L58" s="62"/>
      <c r="M58" s="62"/>
      <c r="N58" s="62"/>
    </row>
    <row r="59" spans="1:14">
      <c r="C59" s="52"/>
      <c r="D59" s="111"/>
      <c r="E59" s="111"/>
      <c r="F59" s="58"/>
      <c r="G59" s="111"/>
      <c r="H59" s="111"/>
      <c r="K59" s="116"/>
      <c r="L59" s="117"/>
      <c r="M59" s="117"/>
      <c r="N59" s="117"/>
    </row>
    <row r="60" spans="1:14">
      <c r="C60" s="52"/>
      <c r="D60" s="111"/>
      <c r="E60" s="111"/>
      <c r="F60" s="58"/>
      <c r="G60" s="111"/>
      <c r="H60" s="111"/>
    </row>
    <row r="61" spans="1:14">
      <c r="C61" s="52"/>
      <c r="D61" s="118"/>
      <c r="E61" s="118"/>
      <c r="F61" s="58"/>
      <c r="G61" s="118"/>
      <c r="H61" s="118"/>
    </row>
    <row r="62" spans="1:14">
      <c r="C62" s="52"/>
      <c r="D62" s="118"/>
      <c r="E62" s="118"/>
      <c r="F62" s="58"/>
      <c r="G62" s="118"/>
      <c r="H62" s="118"/>
    </row>
    <row r="63" spans="1:14">
      <c r="C63" s="119"/>
      <c r="D63" s="118"/>
      <c r="E63" s="118"/>
      <c r="F63" s="58"/>
      <c r="G63" s="118"/>
      <c r="H63" s="118"/>
    </row>
    <row r="73" spans="3:12">
      <c r="C73" s="120"/>
      <c r="D73" s="120"/>
      <c r="E73" s="120"/>
      <c r="F73" s="120"/>
      <c r="G73" s="120"/>
      <c r="H73" s="120"/>
      <c r="I73" s="120"/>
      <c r="J73" s="120"/>
      <c r="K73" s="120"/>
      <c r="L73" s="120"/>
    </row>
    <row r="74" spans="3:12">
      <c r="C74" s="120"/>
      <c r="D74" s="121"/>
      <c r="E74" s="122"/>
      <c r="F74" s="122"/>
      <c r="G74" s="122"/>
      <c r="H74" s="122"/>
      <c r="I74" s="122"/>
      <c r="J74" s="122"/>
      <c r="K74" s="122"/>
      <c r="L74" s="122"/>
    </row>
    <row r="75" spans="3:12">
      <c r="C75" s="120"/>
      <c r="D75" s="121"/>
      <c r="E75" s="122"/>
      <c r="F75" s="122"/>
      <c r="G75" s="122"/>
      <c r="H75" s="122"/>
      <c r="I75" s="122"/>
      <c r="J75" s="122"/>
      <c r="K75" s="122"/>
      <c r="L75" s="122"/>
    </row>
    <row r="76" spans="3:12">
      <c r="C76" s="120"/>
      <c r="D76" s="121"/>
      <c r="E76" s="122"/>
      <c r="F76" s="122"/>
      <c r="G76" s="122"/>
      <c r="H76" s="122"/>
      <c r="I76" s="122"/>
      <c r="J76" s="122"/>
      <c r="K76" s="122"/>
      <c r="L76" s="122"/>
    </row>
    <row r="77" spans="3:12">
      <c r="C77" s="120"/>
      <c r="D77" s="121"/>
      <c r="E77" s="122"/>
      <c r="F77" s="122"/>
      <c r="G77" s="122"/>
      <c r="H77" s="122"/>
      <c r="I77" s="122"/>
      <c r="J77" s="122"/>
      <c r="K77" s="122"/>
      <c r="L77" s="122"/>
    </row>
    <row r="78" spans="3:12">
      <c r="C78" s="120"/>
      <c r="D78" s="120"/>
      <c r="E78" s="123"/>
      <c r="F78" s="123"/>
      <c r="G78" s="123"/>
      <c r="H78" s="123"/>
      <c r="I78" s="123"/>
      <c r="J78" s="123"/>
      <c r="K78" s="123"/>
      <c r="L78" s="123"/>
    </row>
  </sheetData>
  <mergeCells count="3">
    <mergeCell ref="B1:Q1"/>
    <mergeCell ref="T44:U44"/>
    <mergeCell ref="K47:L47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9A8A8-4E40-465C-B878-84B29A1EBBF2}">
  <dimension ref="A1:XFD79"/>
  <sheetViews>
    <sheetView workbookViewId="0">
      <pane ySplit="2" topLeftCell="N25" activePane="bottomLeft" state="frozen"/>
      <selection pane="bottomLeft" activeCell="N25" sqref="N25"/>
    </sheetView>
  </sheetViews>
  <sheetFormatPr defaultColWidth="15.85546875" defaultRowHeight="15"/>
  <cols>
    <col min="1" max="1" width="22" customWidth="1"/>
    <col min="2" max="2" width="15.28515625" customWidth="1"/>
    <col min="3" max="14" width="10.7109375" customWidth="1"/>
    <col min="15" max="15" width="15.28515625" customWidth="1"/>
    <col min="16" max="16" width="10.7109375" customWidth="1"/>
    <col min="17" max="17" width="13.28515625" customWidth="1"/>
    <col min="18" max="18" width="19.5703125" style="27" customWidth="1"/>
    <col min="19" max="19" width="25.28515625" bestFit="1" customWidth="1"/>
    <col min="20" max="20" width="22.5703125" bestFit="1" customWidth="1"/>
    <col min="21" max="21" width="25.28515625" bestFit="1" customWidth="1"/>
  </cols>
  <sheetData>
    <row r="1" spans="1:22">
      <c r="A1" s="81"/>
      <c r="B1" s="519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</row>
    <row r="2" spans="1:22">
      <c r="A2" s="8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</row>
    <row r="3" spans="1:22">
      <c r="A3" s="83">
        <v>46038</v>
      </c>
      <c r="B3" s="36">
        <f>_xlfn.XLOOKUP(A3,'steel Mint data'!A:A,'steel Mint data'!B:B,"",0)</f>
        <v>50100</v>
      </c>
      <c r="C3" s="36"/>
      <c r="D3" s="36"/>
      <c r="E3" s="36">
        <f>_xlfn.XLOOKUP(A3,'steel Mint data'!A:A,'steel Mint data'!D:D,"",0)</f>
        <v>48000</v>
      </c>
      <c r="F3" s="36">
        <f>_xlfn.XLOOKUP(A3,'steel Mint data'!A:A,'steel Mint data'!E:E,"",0)</f>
        <v>43300</v>
      </c>
      <c r="G3" s="36"/>
      <c r="H3" s="36"/>
      <c r="I3" s="36">
        <f>_xlfn.XLOOKUP(A3,'steel Mint data'!A:A,'steel Mint data'!I:I,"",0)</f>
        <v>47000</v>
      </c>
      <c r="J3" s="36"/>
      <c r="K3" s="36">
        <f>_xlfn.XLOOKUP(A3,'steel Mint data'!A:A,'steel Mint data'!L:L,"",0)</f>
        <v>48100</v>
      </c>
      <c r="L3" s="36"/>
      <c r="M3" s="36"/>
      <c r="N3" s="36"/>
      <c r="O3" s="36"/>
      <c r="P3" s="37">
        <f>_xlfn.XLOOKUP(A3,'steel Mint data'!A:A,'steel Mint data'!Q:Q,"",0)</f>
        <v>43900</v>
      </c>
      <c r="Q3" s="36">
        <f>_xlfn.XLOOKUP(A3,'steel Mint data'!A:A,'steel Mint data'!R:R,"",0)</f>
        <v>44000</v>
      </c>
    </row>
    <row r="4" spans="1:22">
      <c r="A4" s="83">
        <v>46039</v>
      </c>
      <c r="B4" s="36">
        <f>_xlfn.XLOOKUP(A4,'steel Mint data'!A:A,'steel Mint data'!B:B,"",0)</f>
        <v>50400</v>
      </c>
      <c r="C4" s="36"/>
      <c r="D4" s="36"/>
      <c r="E4" s="36">
        <f>_xlfn.XLOOKUP(A4,'steel Mint data'!A:A,'steel Mint data'!D:D,"",0)</f>
        <v>48550</v>
      </c>
      <c r="F4" s="36">
        <f>_xlfn.XLOOKUP(A4,'steel Mint data'!A:A,'steel Mint data'!E:E,"",0)</f>
        <v>43700</v>
      </c>
      <c r="G4" s="36"/>
      <c r="H4" s="36"/>
      <c r="I4" s="36">
        <f>_xlfn.XLOOKUP(A4,'steel Mint data'!A:A,'steel Mint data'!I:I,"",0)</f>
        <v>47300</v>
      </c>
      <c r="J4" s="36"/>
      <c r="K4" s="36">
        <f>_xlfn.XLOOKUP(A4,'steel Mint data'!A:A,'steel Mint data'!L:L,"",0)</f>
        <v>48500</v>
      </c>
      <c r="L4" s="36"/>
      <c r="M4" s="36"/>
      <c r="N4" s="36"/>
      <c r="O4" s="36"/>
      <c r="P4" s="37">
        <f>_xlfn.XLOOKUP(A4,'steel Mint data'!A:A,'steel Mint data'!Q:Q,"",0)</f>
        <v>44400</v>
      </c>
      <c r="Q4" s="36">
        <f>_xlfn.XLOOKUP(A4,'steel Mint data'!A:A,'steel Mint data'!R:R,"",0)</f>
        <v>44000</v>
      </c>
    </row>
    <row r="5" spans="1:22">
      <c r="A5" s="83">
        <v>46040</v>
      </c>
      <c r="B5" s="36" t="str">
        <f>_xlfn.XLOOKUP(A5,'steel Mint data'!A:A,'steel Mint data'!B:B,"",0)</f>
        <v>H</v>
      </c>
      <c r="C5" s="36"/>
      <c r="D5" s="36"/>
      <c r="E5" s="36" t="str">
        <f>_xlfn.XLOOKUP(A5,'steel Mint data'!A:A,'steel Mint data'!D:D,"",0)</f>
        <v>H</v>
      </c>
      <c r="F5" s="36" t="str">
        <f>_xlfn.XLOOKUP(A5,'steel Mint data'!A:A,'steel Mint data'!E:E,"",0)</f>
        <v>H</v>
      </c>
      <c r="G5" s="36"/>
      <c r="H5" s="36"/>
      <c r="I5" s="36" t="str">
        <f>_xlfn.XLOOKUP(A5,'steel Mint data'!A:A,'steel Mint data'!I:I,"",0)</f>
        <v>H</v>
      </c>
      <c r="J5" s="36"/>
      <c r="K5" s="36" t="str">
        <f>_xlfn.XLOOKUP(A5,'steel Mint data'!A:A,'steel Mint data'!L:L,"",0)</f>
        <v>H</v>
      </c>
      <c r="L5" s="36"/>
      <c r="M5" s="36"/>
      <c r="N5" s="36"/>
      <c r="O5" s="36"/>
      <c r="P5" s="37" t="str">
        <f>_xlfn.XLOOKUP(A5,'steel Mint data'!A:A,'steel Mint data'!Q:Q,"",0)</f>
        <v>H</v>
      </c>
      <c r="Q5" s="36" t="str">
        <f>_xlfn.XLOOKUP(A5,'steel Mint data'!A:A,'steel Mint data'!R:R,"",0)</f>
        <v>H</v>
      </c>
      <c r="T5" s="27"/>
      <c r="U5" s="27"/>
      <c r="V5" s="27"/>
    </row>
    <row r="6" spans="1:22">
      <c r="A6" s="83">
        <v>46041</v>
      </c>
      <c r="B6" s="36">
        <f>_xlfn.XLOOKUP(A6,'steel Mint data'!A:A,'steel Mint data'!B:B,"",0)</f>
        <v>50400</v>
      </c>
      <c r="C6" s="36"/>
      <c r="D6" s="36"/>
      <c r="E6" s="36">
        <f>_xlfn.XLOOKUP(A6,'steel Mint data'!A:A,'steel Mint data'!D:D,"",0)</f>
        <v>48800</v>
      </c>
      <c r="F6" s="36">
        <f>_xlfn.XLOOKUP(A6,'steel Mint data'!A:A,'steel Mint data'!E:E,"",0)</f>
        <v>44150</v>
      </c>
      <c r="G6" s="36"/>
      <c r="H6" s="36"/>
      <c r="I6" s="36">
        <f>_xlfn.XLOOKUP(A6,'steel Mint data'!A:A,'steel Mint data'!I:I,"",0)</f>
        <v>47200</v>
      </c>
      <c r="J6" s="36"/>
      <c r="K6" s="36">
        <f>_xlfn.XLOOKUP(A6,'steel Mint data'!A:A,'steel Mint data'!L:L,"",0)</f>
        <v>49000</v>
      </c>
      <c r="L6" s="36"/>
      <c r="M6" s="36"/>
      <c r="N6" s="36"/>
      <c r="O6" s="36"/>
      <c r="P6" s="37">
        <f>_xlfn.XLOOKUP(A6,'steel Mint data'!A:A,'steel Mint data'!Q:Q,"",0)</f>
        <v>44700</v>
      </c>
      <c r="Q6" s="36">
        <f>_xlfn.XLOOKUP(A6,'steel Mint data'!A:A,'steel Mint data'!R:R,"",0)</f>
        <v>44700</v>
      </c>
      <c r="T6" s="27"/>
      <c r="U6" s="27"/>
      <c r="V6" s="27"/>
    </row>
    <row r="7" spans="1:22">
      <c r="A7" s="83">
        <v>46042</v>
      </c>
      <c r="B7" s="36">
        <f>_xlfn.XLOOKUP(A7,'steel Mint data'!A:A,'steel Mint data'!B:B,"",0)</f>
        <v>50100</v>
      </c>
      <c r="C7" s="36"/>
      <c r="D7" s="36"/>
      <c r="E7" s="36">
        <f>_xlfn.XLOOKUP(A7,'steel Mint data'!A:A,'steel Mint data'!D:D,"",0)</f>
        <v>48000</v>
      </c>
      <c r="F7" s="36">
        <f>_xlfn.XLOOKUP(A7,'steel Mint data'!A:A,'steel Mint data'!E:E,"",0)</f>
        <v>44000</v>
      </c>
      <c r="G7" s="36"/>
      <c r="H7" s="36"/>
      <c r="I7" s="36">
        <f>_xlfn.XLOOKUP(A7,'steel Mint data'!A:A,'steel Mint data'!I:I,"",0)</f>
        <v>46800</v>
      </c>
      <c r="J7" s="36"/>
      <c r="K7" s="36">
        <f>_xlfn.XLOOKUP(A7,'steel Mint data'!A:A,'steel Mint data'!L:L,"",0)</f>
        <v>48800</v>
      </c>
      <c r="L7" s="36"/>
      <c r="M7" s="36"/>
      <c r="N7" s="36"/>
      <c r="O7" s="36"/>
      <c r="P7" s="37">
        <f>_xlfn.XLOOKUP(A7,'steel Mint data'!A:A,'steel Mint data'!Q:Q,"",0)</f>
        <v>44300</v>
      </c>
      <c r="Q7" s="36">
        <f>_xlfn.XLOOKUP(A7,'steel Mint data'!A:A,'steel Mint data'!R:R,"",0)</f>
        <v>44000</v>
      </c>
      <c r="T7" s="27"/>
      <c r="U7" s="27"/>
      <c r="V7" s="27"/>
    </row>
    <row r="8" spans="1:22">
      <c r="A8" s="83">
        <v>46043</v>
      </c>
      <c r="B8" s="36">
        <f>_xlfn.XLOOKUP(A8,'steel Mint data'!A:A,'steel Mint data'!B:B,"",0)</f>
        <v>49900</v>
      </c>
      <c r="C8" s="36"/>
      <c r="D8" s="36"/>
      <c r="E8" s="36">
        <f>_xlfn.XLOOKUP(A8,'steel Mint data'!A:A,'steel Mint data'!D:D,"",0)</f>
        <v>48000</v>
      </c>
      <c r="F8" s="36">
        <f>_xlfn.XLOOKUP(A8,'steel Mint data'!A:A,'steel Mint data'!E:E,"",0)</f>
        <v>44000</v>
      </c>
      <c r="G8" s="36"/>
      <c r="H8" s="36"/>
      <c r="I8" s="36">
        <f>_xlfn.XLOOKUP(A8,'steel Mint data'!A:A,'steel Mint data'!I:I,"",0)</f>
        <v>46500</v>
      </c>
      <c r="J8" s="36"/>
      <c r="K8" s="36">
        <f>_xlfn.XLOOKUP(A8,'steel Mint data'!A:A,'steel Mint data'!L:L,"",0)</f>
        <v>48800</v>
      </c>
      <c r="L8" s="36"/>
      <c r="M8" s="36"/>
      <c r="N8" s="36"/>
      <c r="O8" s="36"/>
      <c r="P8" s="37">
        <f>_xlfn.XLOOKUP(A8,'steel Mint data'!A:A,'steel Mint data'!Q:Q,"",0)</f>
        <v>44000</v>
      </c>
      <c r="Q8" s="36">
        <f>_xlfn.XLOOKUP(A8,'steel Mint data'!A:A,'steel Mint data'!R:R,"",0)</f>
        <v>43800</v>
      </c>
      <c r="T8" s="27"/>
      <c r="U8" s="27"/>
      <c r="V8" s="27"/>
    </row>
    <row r="9" spans="1:22">
      <c r="A9" s="83">
        <v>46044</v>
      </c>
      <c r="B9" s="36">
        <f>_xlfn.XLOOKUP(A9,'steel Mint data'!A:A,'steel Mint data'!B:B,"",0)</f>
        <v>49600</v>
      </c>
      <c r="C9" s="36"/>
      <c r="D9" s="36"/>
      <c r="E9" s="36">
        <f>_xlfn.XLOOKUP(A9,'steel Mint data'!A:A,'steel Mint data'!D:D,"",0)</f>
        <v>48000</v>
      </c>
      <c r="F9" s="36">
        <f>_xlfn.XLOOKUP(A9,'steel Mint data'!A:A,'steel Mint data'!E:E,"",0)</f>
        <v>43900</v>
      </c>
      <c r="G9" s="36"/>
      <c r="H9" s="36"/>
      <c r="I9" s="36">
        <f>_xlfn.XLOOKUP(A9,'steel Mint data'!A:A,'steel Mint data'!I:I,"",0)</f>
        <v>46700</v>
      </c>
      <c r="J9" s="36"/>
      <c r="K9" s="36">
        <f>_xlfn.XLOOKUP(A9,'steel Mint data'!A:A,'steel Mint data'!L:L,"",0)</f>
        <v>48800</v>
      </c>
      <c r="L9" s="36"/>
      <c r="M9" s="36"/>
      <c r="N9" s="36"/>
      <c r="O9" s="36"/>
      <c r="P9" s="37">
        <f>_xlfn.XLOOKUP(A9,'steel Mint data'!A:A,'steel Mint data'!Q:Q,"",0)</f>
        <v>43900</v>
      </c>
      <c r="Q9" s="36">
        <f>_xlfn.XLOOKUP(A9,'steel Mint data'!A:A,'steel Mint data'!R:R,"",0)</f>
        <v>43800</v>
      </c>
      <c r="T9" s="27"/>
      <c r="U9" s="27"/>
      <c r="V9" s="27"/>
    </row>
    <row r="10" spans="1:22">
      <c r="A10" s="83">
        <v>46045</v>
      </c>
      <c r="B10" s="36">
        <f>_xlfn.XLOOKUP(A10,'steel Mint data'!A:A,'steel Mint data'!B:B,"",0)</f>
        <v>49700</v>
      </c>
      <c r="C10" s="36"/>
      <c r="D10" s="36"/>
      <c r="E10" s="36">
        <f>_xlfn.XLOOKUP(A10,'steel Mint data'!A:A,'steel Mint data'!D:D,"",0)</f>
        <v>48150</v>
      </c>
      <c r="F10" s="36">
        <f>_xlfn.XLOOKUP(A10,'steel Mint data'!A:A,'steel Mint data'!E:E,"",0)</f>
        <v>44300</v>
      </c>
      <c r="G10" s="36"/>
      <c r="H10" s="36"/>
      <c r="I10" s="36">
        <f>_xlfn.XLOOKUP(A10,'steel Mint data'!A:A,'steel Mint data'!I:I,"",0)</f>
        <v>47100</v>
      </c>
      <c r="J10" s="36"/>
      <c r="K10" s="36">
        <f>_xlfn.XLOOKUP(A10,'steel Mint data'!A:A,'steel Mint data'!L:L,"",0)</f>
        <v>49300</v>
      </c>
      <c r="L10" s="36"/>
      <c r="M10" s="36"/>
      <c r="N10" s="36"/>
      <c r="O10" s="36"/>
      <c r="P10" s="37">
        <f>_xlfn.XLOOKUP(A10,'steel Mint data'!A:A,'steel Mint data'!Q:Q,"",0)</f>
        <v>43900</v>
      </c>
      <c r="Q10" s="36">
        <f>_xlfn.XLOOKUP(A10,'steel Mint data'!A:A,'steel Mint data'!R:R,"",0)</f>
        <v>44000</v>
      </c>
    </row>
    <row r="11" spans="1:22">
      <c r="A11" s="83">
        <v>46046</v>
      </c>
      <c r="B11" s="36">
        <f>_xlfn.XLOOKUP(A11,'steel Mint data'!A:A,'steel Mint data'!B:B,"",0)</f>
        <v>49700</v>
      </c>
      <c r="C11" s="36"/>
      <c r="D11" s="36"/>
      <c r="E11" s="36">
        <f>_xlfn.XLOOKUP(A11,'steel Mint data'!A:A,'steel Mint data'!D:D,"",0)</f>
        <v>48650</v>
      </c>
      <c r="F11" s="36">
        <f>_xlfn.XLOOKUP(A11,'steel Mint data'!A:A,'steel Mint data'!E:E,"",0)</f>
        <v>44300</v>
      </c>
      <c r="G11" s="36"/>
      <c r="H11" s="36"/>
      <c r="I11" s="36">
        <f>_xlfn.XLOOKUP(A11,'steel Mint data'!A:A,'steel Mint data'!I:I,"",0)</f>
        <v>47200</v>
      </c>
      <c r="J11" s="36"/>
      <c r="K11" s="36">
        <f>_xlfn.XLOOKUP(A11,'steel Mint data'!A:A,'steel Mint data'!L:L,"",0)</f>
        <v>49400</v>
      </c>
      <c r="L11" s="36"/>
      <c r="M11" s="36"/>
      <c r="N11" s="36"/>
      <c r="O11" s="36"/>
      <c r="P11" s="37">
        <f>_xlfn.XLOOKUP(A11,'steel Mint data'!A:A,'steel Mint data'!Q:Q,"",0)</f>
        <v>43900</v>
      </c>
      <c r="Q11" s="36">
        <f>_xlfn.XLOOKUP(A11,'steel Mint data'!A:A,'steel Mint data'!R:R,"",0)</f>
        <v>44500</v>
      </c>
    </row>
    <row r="12" spans="1:22">
      <c r="A12" s="83">
        <v>46047</v>
      </c>
      <c r="B12" s="36" t="str">
        <f>_xlfn.XLOOKUP(A12,'steel Mint data'!A:A,'steel Mint data'!B:B,"",0)</f>
        <v>H</v>
      </c>
      <c r="C12" s="36"/>
      <c r="D12" s="36"/>
      <c r="E12" s="36" t="str">
        <f>_xlfn.XLOOKUP(A12,'steel Mint data'!A:A,'steel Mint data'!D:D,"",0)</f>
        <v>H</v>
      </c>
      <c r="F12" s="36" t="str">
        <f>_xlfn.XLOOKUP(A12,'steel Mint data'!A:A,'steel Mint data'!E:E,"",0)</f>
        <v>H</v>
      </c>
      <c r="G12" s="36"/>
      <c r="H12" s="36"/>
      <c r="I12" s="36" t="str">
        <f>_xlfn.XLOOKUP(A12,'steel Mint data'!A:A,'steel Mint data'!I:I,"",0)</f>
        <v>H</v>
      </c>
      <c r="J12" s="36"/>
      <c r="K12" s="36" t="str">
        <f>_xlfn.XLOOKUP(A12,'steel Mint data'!A:A,'steel Mint data'!L:L,"",0)</f>
        <v>H</v>
      </c>
      <c r="L12" s="36"/>
      <c r="M12" s="36"/>
      <c r="N12" s="36"/>
      <c r="O12" s="36"/>
      <c r="P12" s="37" t="str">
        <f>_xlfn.XLOOKUP(A12,'steel Mint data'!A:A,'steel Mint data'!Q:Q,"",0)</f>
        <v>H</v>
      </c>
      <c r="Q12" s="36" t="str">
        <f>_xlfn.XLOOKUP(A12,'steel Mint data'!A:A,'steel Mint data'!R:R,"",0)</f>
        <v>H</v>
      </c>
    </row>
    <row r="13" spans="1:22">
      <c r="A13" s="83">
        <v>46048</v>
      </c>
      <c r="B13" s="36" t="str">
        <f>_xlfn.XLOOKUP(A13,'steel Mint data'!A:A,'steel Mint data'!B:B,"",0)</f>
        <v>H</v>
      </c>
      <c r="C13" s="36"/>
      <c r="D13" s="36"/>
      <c r="E13" s="36" t="str">
        <f>_xlfn.XLOOKUP(A13,'steel Mint data'!A:A,'steel Mint data'!D:D,"",0)</f>
        <v>H</v>
      </c>
      <c r="F13" s="36" t="str">
        <f>_xlfn.XLOOKUP(A13,'steel Mint data'!A:A,'steel Mint data'!E:E,"",0)</f>
        <v>H</v>
      </c>
      <c r="G13" s="36"/>
      <c r="H13" s="36"/>
      <c r="I13" s="36" t="str">
        <f>_xlfn.XLOOKUP(A13,'steel Mint data'!A:A,'steel Mint data'!I:I,"",0)</f>
        <v>H</v>
      </c>
      <c r="J13" s="36"/>
      <c r="K13" s="36" t="str">
        <f>_xlfn.XLOOKUP(A13,'steel Mint data'!A:A,'steel Mint data'!L:L,"",0)</f>
        <v>H</v>
      </c>
      <c r="L13" s="36"/>
      <c r="M13" s="36"/>
      <c r="N13" s="36"/>
      <c r="O13" s="36"/>
      <c r="P13" s="37" t="str">
        <f>_xlfn.XLOOKUP(A13,'steel Mint data'!A:A,'steel Mint data'!Q:Q,"",0)</f>
        <v>H</v>
      </c>
      <c r="Q13" s="36" t="str">
        <f>_xlfn.XLOOKUP(A13,'steel Mint data'!A:A,'steel Mint data'!R:R,"",0)</f>
        <v>H</v>
      </c>
      <c r="S13" s="33">
        <f>51400-1050</f>
        <v>50350</v>
      </c>
    </row>
    <row r="14" spans="1:22">
      <c r="A14" s="83">
        <v>46049</v>
      </c>
      <c r="B14" s="36">
        <f>_xlfn.XLOOKUP(A14,'steel Mint data'!A:A,'steel Mint data'!B:B,"",0)</f>
        <v>49100</v>
      </c>
      <c r="C14" s="36"/>
      <c r="D14" s="36"/>
      <c r="E14" s="36">
        <f>_xlfn.XLOOKUP(A14,'steel Mint data'!A:A,'steel Mint data'!D:D,"",0)</f>
        <v>48250</v>
      </c>
      <c r="F14" s="36">
        <f>_xlfn.XLOOKUP(A14,'steel Mint data'!A:A,'steel Mint data'!E:E,"",0)</f>
        <v>44100</v>
      </c>
      <c r="G14" s="36"/>
      <c r="H14" s="36"/>
      <c r="I14" s="36">
        <f>_xlfn.XLOOKUP(A14,'steel Mint data'!A:A,'steel Mint data'!I:I,"",0)</f>
        <v>46400</v>
      </c>
      <c r="J14" s="36"/>
      <c r="K14" s="36">
        <f>_xlfn.XLOOKUP(A14,'steel Mint data'!A:A,'steel Mint data'!L:L,"",0)</f>
        <v>49200</v>
      </c>
      <c r="L14" s="36"/>
      <c r="M14" s="36"/>
      <c r="N14" s="36"/>
      <c r="O14" s="36"/>
      <c r="P14" s="37">
        <f>_xlfn.XLOOKUP(A14,'steel Mint data'!A:A,'steel Mint data'!Q:Q,"",0)</f>
        <v>43800</v>
      </c>
      <c r="Q14" s="36">
        <f>_xlfn.XLOOKUP(A14,'steel Mint data'!A:A,'steel Mint data'!R:R,"",0)</f>
        <v>44200</v>
      </c>
      <c r="S14" s="33"/>
      <c r="T14" s="33"/>
    </row>
    <row r="15" spans="1:22">
      <c r="A15" s="83">
        <v>46050</v>
      </c>
      <c r="B15" s="36">
        <f>_xlfn.XLOOKUP(A15,'steel Mint data'!A:A,'steel Mint data'!B:B,"",0)</f>
        <v>48700</v>
      </c>
      <c r="C15" s="36"/>
      <c r="D15" s="36"/>
      <c r="E15" s="36">
        <f>_xlfn.XLOOKUP(A15,'steel Mint data'!A:A,'steel Mint data'!D:D,"",0)</f>
        <v>48000</v>
      </c>
      <c r="F15" s="36">
        <f>_xlfn.XLOOKUP(A15,'steel Mint data'!A:A,'steel Mint data'!E:E,"",0)</f>
        <v>44000</v>
      </c>
      <c r="G15" s="36"/>
      <c r="H15" s="36"/>
      <c r="I15" s="36">
        <f>_xlfn.XLOOKUP(A15,'steel Mint data'!A:A,'steel Mint data'!I:I,"",0)</f>
        <v>46300</v>
      </c>
      <c r="J15" s="36"/>
      <c r="K15" s="36">
        <f>_xlfn.XLOOKUP(A15,'steel Mint data'!A:A,'steel Mint data'!L:L,"",0)</f>
        <v>49000</v>
      </c>
      <c r="L15" s="36"/>
      <c r="M15" s="36"/>
      <c r="N15" s="36"/>
      <c r="O15" s="36"/>
      <c r="P15" s="37">
        <f>_xlfn.XLOOKUP(A15,'steel Mint data'!A:A,'steel Mint data'!Q:Q,"",0)</f>
        <v>43700</v>
      </c>
      <c r="Q15" s="36">
        <f>_xlfn.XLOOKUP(A15,'steel Mint data'!A:A,'steel Mint data'!R:R,"",0)</f>
        <v>44200</v>
      </c>
      <c r="R15" s="175"/>
      <c r="S15" s="33"/>
      <c r="T15" s="33"/>
    </row>
    <row r="16" spans="1:22">
      <c r="A16" s="83">
        <v>46051</v>
      </c>
      <c r="B16" s="36">
        <f>_xlfn.XLOOKUP(A16,'steel Mint data'!A:A,'steel Mint data'!B:B,"",0)</f>
        <v>48700</v>
      </c>
      <c r="C16" s="36"/>
      <c r="D16" s="36"/>
      <c r="E16" s="36">
        <f>_xlfn.XLOOKUP(A16,'steel Mint data'!A:A,'steel Mint data'!D:D,"",0)</f>
        <v>48500</v>
      </c>
      <c r="F16" s="36">
        <f>_xlfn.XLOOKUP(A16,'steel Mint data'!A:A,'steel Mint data'!E:E,"",0)</f>
        <v>44200</v>
      </c>
      <c r="G16" s="36"/>
      <c r="H16" s="36"/>
      <c r="I16" s="36">
        <f>_xlfn.XLOOKUP(A16,'steel Mint data'!A:A,'steel Mint data'!I:I,"",0)</f>
        <v>46800</v>
      </c>
      <c r="J16" s="36"/>
      <c r="K16" s="36">
        <f>_xlfn.XLOOKUP(A16,'steel Mint data'!A:A,'steel Mint data'!L:L,"",0)</f>
        <v>49300</v>
      </c>
      <c r="L16" s="36"/>
      <c r="M16" s="36"/>
      <c r="N16" s="36"/>
      <c r="O16" s="36"/>
      <c r="P16" s="37">
        <f>_xlfn.XLOOKUP(A16,'steel Mint data'!A:A,'steel Mint data'!Q:Q,"",0)</f>
        <v>44000</v>
      </c>
      <c r="Q16" s="36">
        <f>_xlfn.XLOOKUP(A16,'steel Mint data'!A:A,'steel Mint data'!R:R,"",0)</f>
        <v>44200</v>
      </c>
      <c r="S16" s="33"/>
      <c r="T16" s="33"/>
    </row>
    <row r="17" spans="1:25">
      <c r="A17" s="83">
        <v>46052</v>
      </c>
      <c r="B17" s="36">
        <f>_xlfn.XLOOKUP(A17,'steel Mint data'!A:A,'steel Mint data'!B:B,"",0)</f>
        <v>48700</v>
      </c>
      <c r="C17" s="36"/>
      <c r="D17" s="36"/>
      <c r="E17" s="36">
        <f>_xlfn.XLOOKUP(A17,'steel Mint data'!A:A,'steel Mint data'!D:D,"",0)</f>
        <v>48300</v>
      </c>
      <c r="F17" s="36">
        <f>_xlfn.XLOOKUP(A17,'steel Mint data'!A:A,'steel Mint data'!E:E,"",0)</f>
        <v>44300</v>
      </c>
      <c r="G17" s="36"/>
      <c r="H17" s="36"/>
      <c r="I17" s="36">
        <f>_xlfn.XLOOKUP(A17,'steel Mint data'!A:A,'steel Mint data'!I:I,"",0)</f>
        <v>46700</v>
      </c>
      <c r="J17" s="36"/>
      <c r="K17" s="36">
        <f>_xlfn.XLOOKUP(A17,'steel Mint data'!A:A,'steel Mint data'!L:L,"",0)</f>
        <v>49200</v>
      </c>
      <c r="L17" s="36"/>
      <c r="M17" s="36"/>
      <c r="N17" s="36"/>
      <c r="O17" s="36"/>
      <c r="P17" s="37">
        <f>_xlfn.XLOOKUP(A17,'steel Mint data'!A:A,'steel Mint data'!Q:Q,"",0)</f>
        <v>44200</v>
      </c>
      <c r="Q17" s="36">
        <f>_xlfn.XLOOKUP(A17,'steel Mint data'!A:A,'steel Mint data'!R:R,"",0)</f>
        <v>44200</v>
      </c>
      <c r="S17" s="33">
        <f>55150-48200</f>
        <v>6950</v>
      </c>
    </row>
    <row r="18" spans="1:25">
      <c r="A18" s="83">
        <v>46053</v>
      </c>
      <c r="B18" s="36">
        <f>_xlfn.XLOOKUP(A18,'steel Mint data'!A:A,'steel Mint data'!B:B,"",0)</f>
        <v>48700</v>
      </c>
      <c r="C18" s="36"/>
      <c r="D18" s="36"/>
      <c r="E18" s="36">
        <f>_xlfn.XLOOKUP(A18,'steel Mint data'!A:A,'steel Mint data'!D:D,"",0)</f>
        <v>48100</v>
      </c>
      <c r="F18" s="36">
        <f>_xlfn.XLOOKUP(A18,'steel Mint data'!A:A,'steel Mint data'!E:E,"",0)</f>
        <v>44100</v>
      </c>
      <c r="G18" s="36"/>
      <c r="H18" s="36"/>
      <c r="I18" s="36">
        <f>_xlfn.XLOOKUP(A18,'steel Mint data'!A:A,'steel Mint data'!I:I,"",0)</f>
        <v>46500</v>
      </c>
      <c r="J18" s="36"/>
      <c r="K18" s="36">
        <f>_xlfn.XLOOKUP(A18,'steel Mint data'!A:A,'steel Mint data'!L:L,"",0)</f>
        <v>49100</v>
      </c>
      <c r="L18" s="36"/>
      <c r="M18" s="36"/>
      <c r="N18" s="36"/>
      <c r="O18" s="36"/>
      <c r="P18" s="37">
        <f>_xlfn.XLOOKUP(A18,'steel Mint data'!A:A,'steel Mint data'!Q:Q,"",0)</f>
        <v>44000</v>
      </c>
      <c r="Q18" s="36">
        <f>_xlfn.XLOOKUP(A18,'steel Mint data'!A:A,'steel Mint data'!R:R,"",0)</f>
        <v>44200</v>
      </c>
      <c r="S18" s="33"/>
      <c r="T18" s="33"/>
    </row>
    <row r="19" spans="1:25">
      <c r="A19" s="83"/>
      <c r="B19" s="15">
        <f>SUM(B3:B18)</f>
        <v>643800</v>
      </c>
      <c r="C19" s="14"/>
      <c r="D19" s="14"/>
      <c r="E19" s="15">
        <f>SUM(E3:E18)</f>
        <v>627300</v>
      </c>
      <c r="F19" s="15">
        <f>SUM(F3:F18)</f>
        <v>572350</v>
      </c>
      <c r="G19" s="14"/>
      <c r="H19" s="14"/>
      <c r="I19" s="15">
        <f>SUM(I3:I18)</f>
        <v>608500</v>
      </c>
      <c r="J19" s="14"/>
      <c r="K19" s="15">
        <f>SUM(K3:K18)</f>
        <v>636500</v>
      </c>
      <c r="L19" s="14"/>
      <c r="M19" s="14"/>
      <c r="N19" s="14"/>
      <c r="O19" s="14"/>
      <c r="P19" s="15">
        <f>SUM(P3:P18)</f>
        <v>572700</v>
      </c>
      <c r="Q19" s="15">
        <f>SUM(Q3:Q18)</f>
        <v>573800</v>
      </c>
      <c r="S19" s="33"/>
      <c r="T19" s="33"/>
    </row>
    <row r="20" spans="1:25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23</v>
      </c>
      <c r="H20" s="16" t="s">
        <v>39</v>
      </c>
      <c r="I20" s="16" t="s">
        <v>46</v>
      </c>
      <c r="J20" s="16" t="s">
        <v>126</v>
      </c>
      <c r="K20" s="282" t="s">
        <v>23</v>
      </c>
      <c r="L20" s="282" t="s">
        <v>147</v>
      </c>
      <c r="M20" s="19"/>
      <c r="N20" s="278"/>
      <c r="O20" s="14"/>
      <c r="P20" s="21"/>
      <c r="Q20" s="14"/>
      <c r="S20" s="33"/>
      <c r="T20" s="33" t="s">
        <v>161</v>
      </c>
    </row>
    <row r="21" spans="1:25">
      <c r="A21" s="17" t="s">
        <v>25</v>
      </c>
      <c r="B21" s="18">
        <f>E19/O21</f>
        <v>48253.846153846156</v>
      </c>
      <c r="C21" s="18">
        <f>P19/O21</f>
        <v>44053.846153846156</v>
      </c>
      <c r="D21" s="18">
        <f>K19/O21</f>
        <v>48961.538461538461</v>
      </c>
      <c r="E21" s="18">
        <f>Q19/O21</f>
        <v>44138.461538461539</v>
      </c>
      <c r="F21" s="18">
        <f>C21</f>
        <v>44053.846153846156</v>
      </c>
      <c r="G21" s="18">
        <f>B21-800</f>
        <v>47453.846153846156</v>
      </c>
      <c r="H21" s="18">
        <f>I19/O21</f>
        <v>46807.692307692305</v>
      </c>
      <c r="I21" s="18">
        <f>B19/(O21)</f>
        <v>49523.076923076922</v>
      </c>
      <c r="J21" s="18">
        <f>F19/O21</f>
        <v>44026.923076923078</v>
      </c>
      <c r="K21" s="283">
        <f>B21-800</f>
        <v>47453.846153846156</v>
      </c>
      <c r="L21" s="283">
        <f>P19/O21</f>
        <v>44053.846153846156</v>
      </c>
      <c r="M21" s="146"/>
      <c r="N21" s="19"/>
      <c r="O21" s="20">
        <f>COUNT(E3:E18)</f>
        <v>13</v>
      </c>
      <c r="P21" s="21"/>
      <c r="Q21" s="19"/>
      <c r="R21" s="175"/>
      <c r="S21" s="33">
        <v>1800</v>
      </c>
      <c r="T21" s="33">
        <f>49050-1800</f>
        <v>47250</v>
      </c>
    </row>
    <row r="22" spans="1:25">
      <c r="A22" s="17" t="s">
        <v>26</v>
      </c>
      <c r="B22" s="18">
        <v>1200</v>
      </c>
      <c r="C22" s="18">
        <v>2150</v>
      </c>
      <c r="D22" s="18">
        <v>400</v>
      </c>
      <c r="E22" s="18">
        <v>2200</v>
      </c>
      <c r="F22" s="18">
        <v>1800</v>
      </c>
      <c r="G22" s="18">
        <v>1200</v>
      </c>
      <c r="H22" s="18">
        <v>800</v>
      </c>
      <c r="I22" s="18">
        <v>0</v>
      </c>
      <c r="J22" s="18">
        <v>2700</v>
      </c>
      <c r="K22" s="283">
        <v>3200</v>
      </c>
      <c r="L22" s="283">
        <v>4035</v>
      </c>
      <c r="M22" s="33"/>
      <c r="P22" s="33"/>
      <c r="Q22" s="176"/>
      <c r="R22" s="174"/>
      <c r="S22" s="49">
        <v>51650</v>
      </c>
      <c r="T22" s="49"/>
    </row>
    <row r="23" spans="1:25">
      <c r="A23" s="17" t="s">
        <v>27</v>
      </c>
      <c r="B23" s="18">
        <v>200</v>
      </c>
      <c r="C23" s="18">
        <v>265</v>
      </c>
      <c r="D23" s="18">
        <v>250</v>
      </c>
      <c r="E23" s="18">
        <v>275</v>
      </c>
      <c r="F23" s="18">
        <v>275</v>
      </c>
      <c r="G23" s="18">
        <v>200</v>
      </c>
      <c r="H23" s="18">
        <v>270</v>
      </c>
      <c r="I23" s="18">
        <v>200</v>
      </c>
      <c r="J23" s="18">
        <v>270</v>
      </c>
      <c r="K23" s="283">
        <v>200</v>
      </c>
      <c r="L23" s="283">
        <v>265</v>
      </c>
      <c r="N23" s="33"/>
      <c r="O23" s="33"/>
      <c r="P23" s="33">
        <f>53300-3600-L24</f>
        <v>1346.1538461538439</v>
      </c>
      <c r="Q23" s="48">
        <f>52800-2600-L24</f>
        <v>1846.1538461538439</v>
      </c>
      <c r="R23" s="174"/>
      <c r="S23" s="48">
        <f>50500-1800</f>
        <v>48700</v>
      </c>
      <c r="T23" s="49">
        <f>S23-T21</f>
        <v>1450</v>
      </c>
    </row>
    <row r="24" spans="1:25" ht="19.5" customHeight="1">
      <c r="A24" s="22" t="s">
        <v>28</v>
      </c>
      <c r="B24" s="454">
        <f>SUM(B21:B23)</f>
        <v>49653.846153846156</v>
      </c>
      <c r="C24" s="454">
        <f>SUM(C21:C23)</f>
        <v>46468.846153846156</v>
      </c>
      <c r="D24" s="454">
        <f>SUM(D21:D23)</f>
        <v>49611.538461538461</v>
      </c>
      <c r="E24" s="454">
        <f>SUM(E21:E23)</f>
        <v>46613.461538461539</v>
      </c>
      <c r="F24" s="454">
        <f>SUM(F21:F23)</f>
        <v>46128.846153846156</v>
      </c>
      <c r="G24" s="454">
        <f>SUM(G21:G23)</f>
        <v>48853.846153846156</v>
      </c>
      <c r="H24" s="454">
        <f>SUM(H21:H23)</f>
        <v>47877.692307692305</v>
      </c>
      <c r="I24" s="454">
        <f>SUM(I21:I23)</f>
        <v>49723.076923076922</v>
      </c>
      <c r="J24" s="454">
        <f>SUM(J21:J23)</f>
        <v>46996.923076923078</v>
      </c>
      <c r="K24" s="283">
        <f>SUM(K21:K23)</f>
        <v>50853.846153846156</v>
      </c>
      <c r="L24" s="283">
        <f>SUM(L21:L23)</f>
        <v>48353.846153846156</v>
      </c>
      <c r="N24" s="33"/>
      <c r="O24" s="33">
        <f>51750-2900-F24</f>
        <v>2721.1538461538439</v>
      </c>
      <c r="P24">
        <v>47434</v>
      </c>
      <c r="Q24" s="48">
        <f>52900-1500-K24</f>
        <v>546.15384615384392</v>
      </c>
      <c r="R24" s="174"/>
      <c r="S24" s="49">
        <f>S23-F24</f>
        <v>2571.1538461538439</v>
      </c>
      <c r="T24" s="49"/>
    </row>
    <row r="25" spans="1:25">
      <c r="A25" s="22" t="s">
        <v>29</v>
      </c>
      <c r="B25" s="18">
        <v>45100</v>
      </c>
      <c r="C25" s="18">
        <v>42315</v>
      </c>
      <c r="D25" s="18">
        <v>46150</v>
      </c>
      <c r="E25" s="23"/>
      <c r="F25" s="18">
        <v>41975</v>
      </c>
      <c r="G25" s="18">
        <v>44300</v>
      </c>
      <c r="H25" s="18"/>
      <c r="I25" s="18">
        <v>44300</v>
      </c>
      <c r="J25" s="18">
        <f>38000+2700+270</f>
        <v>40970</v>
      </c>
      <c r="K25" s="18"/>
      <c r="L25" s="19"/>
      <c r="N25" s="33"/>
      <c r="O25" s="33"/>
      <c r="P25" s="33"/>
      <c r="Q25" s="33"/>
      <c r="R25" s="174"/>
      <c r="S25" s="49"/>
      <c r="T25" s="49"/>
    </row>
    <row r="26" spans="1:25">
      <c r="A26" s="22" t="s">
        <v>30</v>
      </c>
      <c r="B26" s="18">
        <f>B24-B25</f>
        <v>4553.8461538461561</v>
      </c>
      <c r="C26" s="18">
        <f>C24-C25</f>
        <v>4153.8461538461561</v>
      </c>
      <c r="D26" s="18">
        <f>D24-D25</f>
        <v>3461.538461538461</v>
      </c>
      <c r="E26" s="18">
        <f>E24-E25</f>
        <v>46613.461538461539</v>
      </c>
      <c r="F26" s="18">
        <f>F24-F25</f>
        <v>4153.8461538461561</v>
      </c>
      <c r="G26" s="18">
        <f>G24-G25</f>
        <v>4553.8461538461561</v>
      </c>
      <c r="H26" s="18">
        <f>H24-H25</f>
        <v>47877.692307692305</v>
      </c>
      <c r="I26" s="18">
        <f>I24-I25</f>
        <v>5423.076923076922</v>
      </c>
      <c r="J26" s="18">
        <f>J24-J25</f>
        <v>6026.923076923078</v>
      </c>
      <c r="K26" s="174"/>
      <c r="L26" s="19"/>
      <c r="M26" s="69"/>
      <c r="N26" s="174"/>
      <c r="O26" s="48"/>
      <c r="P26" s="48">
        <f>53300-3600-P24</f>
        <v>2266</v>
      </c>
      <c r="Q26" s="48"/>
      <c r="R26" s="174"/>
      <c r="S26" s="49"/>
      <c r="T26" s="49"/>
    </row>
    <row r="27" spans="1:25">
      <c r="A27" s="14"/>
      <c r="B27" s="19">
        <f>B25-2500</f>
        <v>42600</v>
      </c>
      <c r="C27" s="14"/>
      <c r="D27" s="14"/>
      <c r="E27" s="14"/>
      <c r="F27" s="14"/>
      <c r="G27" s="19">
        <f>G25-2500</f>
        <v>41800</v>
      </c>
      <c r="H27" s="14"/>
      <c r="I27" s="14"/>
      <c r="J27" s="14"/>
      <c r="K27" s="174"/>
      <c r="L27" s="19"/>
      <c r="M27" s="69"/>
      <c r="N27" s="174"/>
      <c r="O27">
        <f>56500-3100</f>
        <v>53400</v>
      </c>
      <c r="P27" s="174"/>
      <c r="Q27" s="174">
        <f>53500-1400-L24</f>
        <v>3746.1538461538439</v>
      </c>
      <c r="R27" s="117"/>
      <c r="S27" s="117"/>
      <c r="T27" s="49"/>
    </row>
    <row r="28" spans="1:25">
      <c r="A28" s="22" t="s">
        <v>31</v>
      </c>
      <c r="B28" s="23">
        <v>48300</v>
      </c>
      <c r="C28" s="23">
        <v>45550</v>
      </c>
      <c r="D28" s="18">
        <v>48800</v>
      </c>
      <c r="E28" s="18">
        <v>45550</v>
      </c>
      <c r="F28" s="18">
        <v>45550</v>
      </c>
      <c r="G28" s="18">
        <v>47500</v>
      </c>
      <c r="H28" s="18">
        <v>47800</v>
      </c>
      <c r="I28" s="18">
        <v>48300</v>
      </c>
      <c r="J28" s="18"/>
      <c r="K28" s="174"/>
      <c r="L28" s="48">
        <f>52500-1200-J24</f>
        <v>4303.076923076922</v>
      </c>
      <c r="M28" s="69"/>
      <c r="N28" s="48"/>
      <c r="O28" s="48"/>
      <c r="P28" s="117"/>
      <c r="Q28" s="174"/>
      <c r="R28" s="174"/>
      <c r="S28" s="174"/>
      <c r="T28" s="49"/>
    </row>
    <row r="29" spans="1:25">
      <c r="A29" s="22" t="s">
        <v>32</v>
      </c>
      <c r="B29" s="26">
        <f>B28-500-(200+300+300)-250-400</f>
        <v>46350</v>
      </c>
      <c r="C29" s="26">
        <f>C28-500-(200+300+300)-250-400</f>
        <v>43600</v>
      </c>
      <c r="D29" s="26">
        <f>D28-500-(200+300+300)-250-400</f>
        <v>46850</v>
      </c>
      <c r="E29" s="26">
        <f>E28-500-(200+300+300)-250-400</f>
        <v>43600</v>
      </c>
      <c r="F29" s="26">
        <f>F28-500-(200+300+300)-250-400</f>
        <v>43600</v>
      </c>
      <c r="G29" s="26">
        <f>G28-500-(200+300+300)-250-400</f>
        <v>45550</v>
      </c>
      <c r="H29" s="26">
        <f>H28-500-(200+300+300)-250-400</f>
        <v>45850</v>
      </c>
      <c r="I29" s="26">
        <f>I28-500-(200+300+300)-250-400</f>
        <v>46350</v>
      </c>
      <c r="J29" s="269"/>
      <c r="K29" s="174"/>
      <c r="L29" s="48"/>
      <c r="M29" s="48"/>
      <c r="N29" s="48"/>
      <c r="O29" s="48"/>
      <c r="P29" s="117"/>
      <c r="Q29" s="33"/>
      <c r="R29" s="174"/>
      <c r="S29" s="174"/>
      <c r="T29" s="49"/>
    </row>
    <row r="30" spans="1:25">
      <c r="A30" s="25" t="s">
        <v>33</v>
      </c>
      <c r="B30" s="18">
        <f>B29-B24</f>
        <v>-3303.8461538461561</v>
      </c>
      <c r="C30" s="18">
        <f>C29-C24</f>
        <v>-2868.8461538461561</v>
      </c>
      <c r="D30" s="18">
        <f>D29-D24</f>
        <v>-2761.538461538461</v>
      </c>
      <c r="E30" s="18">
        <f>E29-E24</f>
        <v>-3013.461538461539</v>
      </c>
      <c r="F30" s="18">
        <f>F29-F24</f>
        <v>-2528.8461538461561</v>
      </c>
      <c r="G30" s="18">
        <f>G29-G24</f>
        <v>-3303.8461538461561</v>
      </c>
      <c r="H30" s="18">
        <f>H29-H24</f>
        <v>-2027.6923076923049</v>
      </c>
      <c r="I30" s="18">
        <f>I29-I24</f>
        <v>-3373.076923076922</v>
      </c>
      <c r="J30" s="270"/>
      <c r="K30" s="174"/>
      <c r="L30" s="48"/>
      <c r="M30" s="48"/>
      <c r="N30" s="48"/>
      <c r="O30" s="48"/>
      <c r="P30" s="117"/>
      <c r="Q30" s="174"/>
      <c r="R30" s="174"/>
      <c r="S30" s="174"/>
      <c r="T30" s="49"/>
      <c r="U30" s="33"/>
    </row>
    <row r="31" spans="1:25" ht="10.5" customHeight="1">
      <c r="I31" s="33"/>
      <c r="J31" s="49"/>
      <c r="K31" s="48"/>
      <c r="L31" s="48"/>
      <c r="M31" s="48"/>
      <c r="N31" s="48"/>
      <c r="O31" s="48"/>
      <c r="P31" s="117"/>
      <c r="Q31" s="174"/>
      <c r="R31" s="174"/>
      <c r="S31" s="174"/>
      <c r="T31" s="49"/>
      <c r="U31" s="33"/>
      <c r="V31" s="146"/>
      <c r="W31" s="19"/>
      <c r="X31" s="48"/>
      <c r="Y31" s="48"/>
    </row>
    <row r="32" spans="1:25">
      <c r="A32" s="28" t="s">
        <v>141</v>
      </c>
      <c r="B32" s="380">
        <v>49000</v>
      </c>
      <c r="C32" s="380">
        <v>47000</v>
      </c>
      <c r="D32" s="380">
        <v>49500</v>
      </c>
      <c r="E32" s="380"/>
      <c r="F32" s="380">
        <v>47000</v>
      </c>
      <c r="G32" s="380">
        <v>48200</v>
      </c>
      <c r="H32" s="380"/>
      <c r="I32" s="380"/>
      <c r="J32" s="381">
        <v>47000</v>
      </c>
      <c r="K32" s="382"/>
      <c r="L32" s="382"/>
      <c r="M32" s="48"/>
      <c r="N32" s="265"/>
      <c r="O32" s="266"/>
      <c r="P32" s="117"/>
      <c r="Q32" s="174"/>
      <c r="R32" s="174"/>
      <c r="S32" s="174"/>
      <c r="T32" s="49"/>
      <c r="V32" s="146"/>
      <c r="W32" s="48"/>
      <c r="X32" s="48"/>
      <c r="Y32" s="48"/>
    </row>
    <row r="33" spans="1:25 16384:16384" ht="15.75" customHeight="1">
      <c r="A33" s="28" t="s">
        <v>144</v>
      </c>
      <c r="B33" s="383"/>
      <c r="C33" s="383"/>
      <c r="D33" s="383"/>
      <c r="E33" s="384"/>
      <c r="F33" s="383"/>
      <c r="G33" s="383"/>
      <c r="H33" s="383"/>
      <c r="I33" s="383"/>
      <c r="J33" s="382"/>
      <c r="K33" s="385">
        <v>49700</v>
      </c>
      <c r="L33" s="381">
        <v>48500</v>
      </c>
      <c r="M33" s="48"/>
      <c r="N33" s="265"/>
      <c r="O33" s="266"/>
      <c r="P33" s="407"/>
      <c r="Q33" s="117"/>
      <c r="R33" s="117"/>
      <c r="S33" s="117"/>
      <c r="T33" s="49"/>
      <c r="V33" s="69"/>
      <c r="W33" s="48"/>
      <c r="X33" s="48"/>
      <c r="Y33" s="48"/>
      <c r="XFD33" s="96" t="s">
        <v>68</v>
      </c>
    </row>
    <row r="34" spans="1:25 16384:16384" ht="15.75">
      <c r="C34" s="33"/>
      <c r="D34" s="33"/>
      <c r="E34">
        <f>49500+2100</f>
        <v>51600</v>
      </c>
      <c r="F34" s="33"/>
      <c r="G34" s="33"/>
      <c r="H34" s="33"/>
      <c r="I34" s="49"/>
      <c r="J34" s="49"/>
      <c r="K34" s="125">
        <f>49000-2400-C24</f>
        <v>131.15384615384392</v>
      </c>
      <c r="L34" s="273"/>
      <c r="M34" s="274"/>
      <c r="N34" s="267"/>
      <c r="O34" s="266"/>
      <c r="P34" s="106"/>
      <c r="Q34" s="128"/>
      <c r="R34" s="174"/>
      <c r="S34" s="49"/>
      <c r="T34" s="49"/>
      <c r="V34" s="69"/>
      <c r="W34" s="174"/>
      <c r="X34" s="48"/>
      <c r="Y34" s="48"/>
      <c r="XFD34" s="97">
        <v>43500</v>
      </c>
    </row>
    <row r="35" spans="1:25 16384:16384" ht="15.75">
      <c r="B35" s="33">
        <f>B24-'Jan H1'!B24</f>
        <v>1653.8461538461561</v>
      </c>
      <c r="C35" s="33">
        <f>C24-'Jan H1'!C24</f>
        <v>517.48251748251641</v>
      </c>
      <c r="D35" s="33">
        <f>D24-'Jan H1'!D24</f>
        <v>1543.3566433566448</v>
      </c>
      <c r="E35" s="33">
        <f>E24-'Jan H1'!E24</f>
        <v>1365.734265734267</v>
      </c>
      <c r="F35" s="33">
        <f>F24-'Jan H1'!F24</f>
        <v>517.48251748251641</v>
      </c>
      <c r="G35" s="33">
        <f>G24-'Jan H1'!G24</f>
        <v>1653.8461538461561</v>
      </c>
      <c r="H35" s="33">
        <f>H24-'Jan H1'!H24</f>
        <v>1371.3286713286652</v>
      </c>
      <c r="I35" s="33">
        <f>I24-'Jan H1'!I24</f>
        <v>404.89510489510576</v>
      </c>
      <c r="J35" s="33">
        <f>J24-'Jan H1'!J24</f>
        <v>2108.7412587412618</v>
      </c>
      <c r="K35" s="125"/>
      <c r="L35" s="274"/>
      <c r="M35" s="271"/>
      <c r="N35" s="267"/>
      <c r="O35" s="266"/>
      <c r="P35" s="125"/>
      <c r="Q35" s="106"/>
      <c r="R35" s="174"/>
      <c r="S35" s="49"/>
      <c r="T35" s="49"/>
      <c r="XFD35" s="97">
        <v>44000</v>
      </c>
    </row>
    <row r="36" spans="1:25 16384:16384" ht="15.75">
      <c r="A36" s="405" t="s">
        <v>162</v>
      </c>
      <c r="B36" s="406">
        <v>50300</v>
      </c>
      <c r="C36" s="406">
        <f>C32+500</f>
        <v>47500</v>
      </c>
      <c r="D36" s="406">
        <f>D32+500</f>
        <v>50000</v>
      </c>
      <c r="E36" s="406">
        <f>E32+500</f>
        <v>500</v>
      </c>
      <c r="F36" s="406">
        <f>F32+500</f>
        <v>47500</v>
      </c>
      <c r="G36" s="406">
        <v>49500</v>
      </c>
      <c r="H36" s="406"/>
      <c r="I36" s="406"/>
      <c r="J36" s="406">
        <f>J32+500</f>
        <v>47500</v>
      </c>
      <c r="K36" s="406"/>
      <c r="L36" s="406"/>
      <c r="M36" s="275"/>
      <c r="N36" s="268"/>
      <c r="O36" s="266"/>
      <c r="P36" s="125"/>
      <c r="Q36" s="125"/>
      <c r="R36" s="174"/>
      <c r="S36" s="49"/>
      <c r="T36" s="49"/>
      <c r="U36">
        <f>54150-1750-2550</f>
        <v>49850</v>
      </c>
      <c r="XFD36" s="97">
        <v>43500</v>
      </c>
    </row>
    <row r="37" spans="1:25 16384:16384" ht="15.75">
      <c r="A37" s="405" t="s">
        <v>163</v>
      </c>
      <c r="B37" s="406">
        <v>51500</v>
      </c>
      <c r="C37" s="406">
        <v>48000</v>
      </c>
      <c r="D37" s="406">
        <v>52000</v>
      </c>
      <c r="E37" s="406"/>
      <c r="F37" s="406">
        <v>49000</v>
      </c>
      <c r="G37" s="406">
        <v>50750</v>
      </c>
      <c r="H37" s="406"/>
      <c r="I37" s="406">
        <v>52000</v>
      </c>
      <c r="J37" s="406"/>
      <c r="K37" s="406">
        <v>52500</v>
      </c>
      <c r="L37" s="406">
        <v>51000</v>
      </c>
      <c r="M37" s="275"/>
      <c r="N37" s="267"/>
      <c r="O37" s="266"/>
      <c r="P37" s="128"/>
      <c r="Q37" s="106"/>
      <c r="R37" s="264"/>
      <c r="S37" s="117"/>
      <c r="T37" s="117"/>
      <c r="U37" s="264"/>
      <c r="XFD37" s="97">
        <v>44000</v>
      </c>
    </row>
    <row r="38" spans="1:25 16384:16384" ht="15.75">
      <c r="C38" s="33"/>
      <c r="D38" s="33"/>
      <c r="F38" s="112"/>
      <c r="G38" s="170"/>
      <c r="H38" s="169"/>
      <c r="J38" s="49"/>
      <c r="K38" s="106"/>
      <c r="L38" s="271"/>
      <c r="M38" s="275"/>
      <c r="N38" s="125"/>
      <c r="O38" s="106"/>
      <c r="P38" s="106"/>
      <c r="Q38" s="125"/>
      <c r="R38" s="174"/>
      <c r="S38" s="174"/>
      <c r="T38" s="174"/>
      <c r="U38" s="174"/>
      <c r="XFD38" s="97">
        <v>43000</v>
      </c>
    </row>
    <row r="39" spans="1:25 16384:16384" ht="15.75">
      <c r="A39" t="s">
        <v>164</v>
      </c>
      <c r="B39">
        <v>51000</v>
      </c>
      <c r="C39" s="33">
        <v>48000</v>
      </c>
      <c r="D39" s="33">
        <v>51500</v>
      </c>
      <c r="F39" s="112">
        <v>48000</v>
      </c>
      <c r="G39" s="170">
        <f>B39-800</f>
        <v>50200</v>
      </c>
      <c r="H39" s="169"/>
      <c r="I39">
        <v>51000</v>
      </c>
      <c r="J39" s="49">
        <v>48000</v>
      </c>
      <c r="K39" s="271">
        <v>51500</v>
      </c>
      <c r="L39" s="271">
        <v>50000</v>
      </c>
      <c r="M39" s="275"/>
      <c r="N39" s="125"/>
      <c r="O39" s="106"/>
      <c r="P39" s="106"/>
      <c r="Q39" s="125"/>
      <c r="R39" s="174"/>
      <c r="S39" s="174"/>
      <c r="T39" s="174"/>
      <c r="U39" s="174"/>
      <c r="XFD39" s="97"/>
    </row>
    <row r="40" spans="1:25 16384:16384" ht="15.75">
      <c r="D40" s="33"/>
      <c r="E40" s="33"/>
      <c r="F40" s="112"/>
      <c r="G40" s="170"/>
      <c r="H40" s="170"/>
      <c r="J40" s="49"/>
      <c r="K40" s="106"/>
      <c r="L40" s="271"/>
      <c r="M40" s="276"/>
      <c r="N40" s="106"/>
      <c r="O40" s="106"/>
      <c r="P40" s="106"/>
      <c r="Q40" s="106"/>
      <c r="R40" s="174"/>
      <c r="S40" s="174"/>
      <c r="T40" s="174"/>
      <c r="U40" s="27"/>
      <c r="XFD40" s="97">
        <v>43500</v>
      </c>
    </row>
    <row r="41" spans="1:25 16384:16384" ht="15.75">
      <c r="A41" s="39"/>
      <c r="B41" s="40"/>
      <c r="C41" s="43"/>
      <c r="F41" s="114"/>
      <c r="G41" s="172"/>
      <c r="H41" s="171"/>
      <c r="J41" s="49"/>
      <c r="K41" s="106"/>
      <c r="L41" s="271"/>
      <c r="M41" s="271"/>
      <c r="N41" s="128"/>
      <c r="O41" s="106"/>
      <c r="P41" s="106"/>
      <c r="Q41" s="106"/>
      <c r="R41" s="174"/>
      <c r="S41" s="174"/>
      <c r="T41" s="174"/>
      <c r="U41" s="27"/>
      <c r="XFD41" s="97">
        <v>44000</v>
      </c>
    </row>
    <row r="42" spans="1:25 16384:16384" ht="15.75">
      <c r="A42" s="29" t="s">
        <v>42</v>
      </c>
      <c r="B42" s="29">
        <v>46000</v>
      </c>
      <c r="C42" s="43"/>
      <c r="F42" s="114"/>
      <c r="G42" s="172"/>
      <c r="H42" s="172"/>
      <c r="I42" s="33"/>
      <c r="J42" s="49"/>
      <c r="K42" s="106"/>
      <c r="L42" s="271"/>
      <c r="M42" s="275"/>
      <c r="N42" s="106"/>
      <c r="O42" s="106"/>
      <c r="P42" s="106"/>
      <c r="Q42" s="106"/>
      <c r="R42" s="174"/>
      <c r="S42" s="174"/>
      <c r="T42" s="174"/>
      <c r="U42" s="174"/>
      <c r="XFD42" s="97">
        <v>45000</v>
      </c>
    </row>
    <row r="43" spans="1:25 16384:16384" ht="15.75">
      <c r="A43" s="29" t="s">
        <v>43</v>
      </c>
      <c r="B43" s="29">
        <v>42615</v>
      </c>
      <c r="C43" s="43">
        <f>B43+1250</f>
        <v>43865</v>
      </c>
      <c r="F43" s="114"/>
      <c r="G43" s="171"/>
      <c r="H43" s="173"/>
      <c r="J43" s="49"/>
      <c r="K43" s="106"/>
      <c r="L43" s="272"/>
      <c r="M43" s="275"/>
      <c r="N43" s="106"/>
      <c r="O43" s="106"/>
      <c r="P43" s="106"/>
      <c r="Q43" s="106"/>
      <c r="R43" s="174"/>
      <c r="S43" s="174"/>
      <c r="T43" s="174"/>
      <c r="U43" s="174"/>
      <c r="XFD43" s="97">
        <v>43500</v>
      </c>
    </row>
    <row r="44" spans="1:25 16384:16384" ht="15.75">
      <c r="A44" s="29" t="s">
        <v>44</v>
      </c>
      <c r="B44" s="29">
        <v>42275</v>
      </c>
      <c r="C44" s="43">
        <f>B44+1000</f>
        <v>43275</v>
      </c>
      <c r="G44" s="33"/>
      <c r="J44" s="49"/>
      <c r="K44" s="106"/>
      <c r="L44" s="106"/>
      <c r="M44" s="106"/>
      <c r="N44" s="106"/>
      <c r="O44" s="106"/>
      <c r="P44" s="106"/>
      <c r="Q44" s="106"/>
      <c r="R44" s="174"/>
      <c r="S44" s="174"/>
      <c r="T44" s="174"/>
      <c r="U44" s="174"/>
      <c r="XFD44" s="97">
        <v>44000</v>
      </c>
    </row>
    <row r="45" spans="1:25 16384:16384" ht="15.75">
      <c r="A45" s="29" t="s">
        <v>36</v>
      </c>
      <c r="B45" s="29">
        <v>46450</v>
      </c>
      <c r="C45" s="43">
        <f>B45+800</f>
        <v>47250</v>
      </c>
      <c r="J45" s="49"/>
      <c r="K45" s="106"/>
      <c r="L45" s="106"/>
      <c r="M45" s="106"/>
      <c r="N45" s="106"/>
      <c r="O45" s="106"/>
      <c r="P45" s="106"/>
      <c r="Q45" s="106"/>
      <c r="R45" s="174"/>
      <c r="S45" s="174"/>
      <c r="T45" s="526"/>
      <c r="U45" s="526"/>
      <c r="XFD45" s="97">
        <v>44000</v>
      </c>
    </row>
    <row r="46" spans="1:25 16384:16384" ht="15.75">
      <c r="A46" s="29" t="s">
        <v>37</v>
      </c>
      <c r="B46" s="29">
        <v>45200</v>
      </c>
      <c r="C46" s="43">
        <f>B46+1000</f>
        <v>46200</v>
      </c>
      <c r="J46" s="49"/>
      <c r="K46" s="106"/>
      <c r="L46" s="106"/>
      <c r="M46" s="106"/>
      <c r="N46" s="106"/>
      <c r="O46" s="106"/>
      <c r="P46" s="106"/>
      <c r="Q46" s="106"/>
      <c r="R46" s="174"/>
      <c r="S46" s="49"/>
      <c r="T46" s="49"/>
      <c r="XFD46" s="97">
        <v>44000</v>
      </c>
    </row>
    <row r="47" spans="1:25 16384:16384" ht="15.75">
      <c r="A47" s="29" t="s">
        <v>45</v>
      </c>
      <c r="B47" s="29">
        <v>44470</v>
      </c>
      <c r="C47" s="43"/>
      <c r="D47" s="24"/>
      <c r="E47" s="24"/>
      <c r="F47" s="24"/>
      <c r="G47" s="24"/>
      <c r="H47" s="24"/>
      <c r="I47" s="24"/>
      <c r="J47" s="49"/>
      <c r="K47" s="106"/>
      <c r="L47" s="106"/>
      <c r="M47" s="106"/>
      <c r="N47" s="106"/>
      <c r="O47" s="106"/>
      <c r="P47" s="106"/>
      <c r="Q47" s="106"/>
      <c r="R47" s="174"/>
      <c r="S47" s="49"/>
      <c r="T47" s="49"/>
      <c r="XFD47" s="97">
        <v>41000</v>
      </c>
    </row>
    <row r="48" spans="1:25 16384:16384" ht="15.75">
      <c r="A48" s="43" t="s">
        <v>50</v>
      </c>
      <c r="B48" s="43">
        <v>43675</v>
      </c>
      <c r="C48" s="43"/>
      <c r="D48" s="33"/>
      <c r="E48" s="33"/>
      <c r="F48" s="33"/>
      <c r="G48" s="33"/>
      <c r="H48" s="33"/>
      <c r="I48" s="33"/>
      <c r="K48" s="523"/>
      <c r="L48" s="523"/>
      <c r="M48" s="106"/>
      <c r="N48" s="106"/>
      <c r="O48" s="106"/>
      <c r="P48" s="106"/>
      <c r="Q48" s="106"/>
    </row>
    <row r="49" spans="1:14">
      <c r="A49" s="46" t="s">
        <v>46</v>
      </c>
      <c r="B49" s="46">
        <f>44500-1000</f>
        <v>43500</v>
      </c>
      <c r="C49" s="46">
        <f>B49+1000</f>
        <v>44500</v>
      </c>
    </row>
    <row r="50" spans="1:14">
      <c r="B50" s="33"/>
    </row>
    <row r="52" spans="1:14" ht="37.5">
      <c r="B52" s="16" t="s">
        <v>18</v>
      </c>
      <c r="C52" s="16" t="s">
        <v>19</v>
      </c>
      <c r="D52" s="16" t="s">
        <v>20</v>
      </c>
      <c r="E52" s="16" t="s">
        <v>21</v>
      </c>
      <c r="F52" s="16" t="s">
        <v>22</v>
      </c>
      <c r="G52" s="16" t="s">
        <v>143</v>
      </c>
      <c r="H52" s="16" t="s">
        <v>39</v>
      </c>
      <c r="I52" s="16" t="s">
        <v>46</v>
      </c>
      <c r="J52" s="16" t="s">
        <v>126</v>
      </c>
    </row>
    <row r="53" spans="1:14">
      <c r="A53" t="s">
        <v>141</v>
      </c>
      <c r="B53" s="33">
        <v>43250</v>
      </c>
      <c r="C53" s="33">
        <v>41000</v>
      </c>
      <c r="D53" s="33">
        <v>44250</v>
      </c>
      <c r="E53" s="33">
        <v>40600</v>
      </c>
      <c r="F53" s="33">
        <v>40750</v>
      </c>
      <c r="G53" s="33">
        <v>42750</v>
      </c>
      <c r="H53" s="33"/>
      <c r="I53" s="33">
        <v>42500</v>
      </c>
      <c r="J53" s="49"/>
    </row>
    <row r="54" spans="1:14">
      <c r="A54" t="s">
        <v>48</v>
      </c>
      <c r="B54" s="33"/>
      <c r="C54" s="33"/>
      <c r="D54" s="33"/>
      <c r="E54" s="33"/>
      <c r="F54" s="33"/>
      <c r="G54" s="33">
        <v>43700</v>
      </c>
      <c r="H54" s="33"/>
      <c r="I54" s="33">
        <v>43500</v>
      </c>
      <c r="J54" s="49"/>
    </row>
    <row r="55" spans="1:14">
      <c r="C55" s="115"/>
      <c r="D55" s="109"/>
      <c r="E55" s="109"/>
      <c r="F55" s="52"/>
      <c r="G55" s="109"/>
      <c r="H55" s="109"/>
      <c r="K55" s="110"/>
      <c r="L55" s="110"/>
      <c r="M55" s="110"/>
      <c r="N55" s="110"/>
    </row>
    <row r="56" spans="1:14">
      <c r="A56" t="s">
        <v>72</v>
      </c>
      <c r="B56" s="33">
        <f>B53-B24</f>
        <v>-6403.8461538461561</v>
      </c>
      <c r="C56" s="33">
        <f t="shared" ref="C56:J56" si="0">C53-C24</f>
        <v>-5468.8461538461561</v>
      </c>
      <c r="D56" s="33">
        <f t="shared" si="0"/>
        <v>-5361.538461538461</v>
      </c>
      <c r="E56" s="33">
        <f t="shared" si="0"/>
        <v>-6013.461538461539</v>
      </c>
      <c r="F56" s="33">
        <f t="shared" si="0"/>
        <v>-5378.8461538461561</v>
      </c>
      <c r="G56" s="33">
        <f t="shared" si="0"/>
        <v>-6103.8461538461561</v>
      </c>
      <c r="H56" s="33">
        <f t="shared" si="0"/>
        <v>-47877.692307692305</v>
      </c>
      <c r="I56" s="33">
        <f t="shared" si="0"/>
        <v>-7223.076923076922</v>
      </c>
      <c r="J56" s="33">
        <f t="shared" si="0"/>
        <v>-46996.923076923078</v>
      </c>
      <c r="L56" s="62"/>
      <c r="M56" s="62"/>
      <c r="N56" s="62"/>
    </row>
    <row r="57" spans="1:14">
      <c r="C57" s="52"/>
      <c r="D57" s="111"/>
      <c r="E57" s="111"/>
      <c r="F57" s="58"/>
      <c r="G57" s="111"/>
      <c r="H57" s="111"/>
      <c r="L57" s="62"/>
      <c r="M57" s="62"/>
      <c r="N57" s="62"/>
    </row>
    <row r="58" spans="1:14">
      <c r="C58" s="52"/>
      <c r="D58" s="111"/>
      <c r="E58" s="111"/>
      <c r="F58" s="58"/>
      <c r="G58" s="111"/>
      <c r="H58" s="111"/>
      <c r="L58" s="62"/>
      <c r="M58" s="62"/>
      <c r="N58" s="62"/>
    </row>
    <row r="59" spans="1:14">
      <c r="C59" s="52"/>
      <c r="D59" s="111"/>
      <c r="E59" s="111"/>
      <c r="F59" s="58"/>
      <c r="G59" s="111"/>
      <c r="H59" s="111"/>
      <c r="L59" s="62"/>
      <c r="M59" s="62"/>
      <c r="N59" s="62"/>
    </row>
    <row r="60" spans="1:14">
      <c r="C60" s="52"/>
      <c r="D60" s="111"/>
      <c r="E60" s="111"/>
      <c r="F60" s="58"/>
      <c r="G60" s="111"/>
      <c r="H60" s="111"/>
      <c r="K60" s="116"/>
      <c r="L60" s="117"/>
      <c r="M60" s="117"/>
      <c r="N60" s="117"/>
    </row>
    <row r="61" spans="1:14">
      <c r="C61" s="52"/>
      <c r="D61" s="111"/>
      <c r="E61" s="111"/>
      <c r="F61" s="58"/>
      <c r="G61" s="111"/>
      <c r="H61" s="111"/>
    </row>
    <row r="62" spans="1:14">
      <c r="C62" s="52"/>
      <c r="D62" s="118"/>
      <c r="E62" s="118"/>
      <c r="F62" s="58"/>
      <c r="G62" s="118"/>
      <c r="H62" s="118"/>
    </row>
    <row r="63" spans="1:14">
      <c r="C63" s="52"/>
      <c r="D63" s="118"/>
      <c r="E63" s="118"/>
      <c r="F63" s="58"/>
      <c r="G63" s="118"/>
      <c r="H63" s="118"/>
    </row>
    <row r="64" spans="1:14">
      <c r="C64" s="119"/>
      <c r="D64" s="118"/>
      <c r="E64" s="118"/>
      <c r="F64" s="58"/>
      <c r="G64" s="118"/>
      <c r="H64" s="118"/>
    </row>
    <row r="74" spans="3:12">
      <c r="C74" s="120"/>
      <c r="D74" s="120"/>
      <c r="E74" s="120"/>
      <c r="F74" s="120"/>
      <c r="G74" s="120"/>
      <c r="H74" s="120"/>
      <c r="I74" s="120"/>
      <c r="J74" s="120"/>
      <c r="K74" s="120"/>
      <c r="L74" s="120"/>
    </row>
    <row r="75" spans="3:12">
      <c r="C75" s="120"/>
      <c r="D75" s="121"/>
      <c r="E75" s="122"/>
      <c r="F75" s="122"/>
      <c r="G75" s="122"/>
      <c r="H75" s="122"/>
      <c r="I75" s="122"/>
      <c r="J75" s="122"/>
      <c r="K75" s="122"/>
      <c r="L75" s="122"/>
    </row>
    <row r="76" spans="3:12">
      <c r="C76" s="120"/>
      <c r="D76" s="121"/>
      <c r="E76" s="122"/>
      <c r="F76" s="122"/>
      <c r="G76" s="122"/>
      <c r="H76" s="122"/>
      <c r="I76" s="122"/>
      <c r="J76" s="122"/>
      <c r="K76" s="122"/>
      <c r="L76" s="122"/>
    </row>
    <row r="77" spans="3:12">
      <c r="C77" s="120"/>
      <c r="D77" s="121"/>
      <c r="E77" s="122"/>
      <c r="F77" s="122"/>
      <c r="G77" s="122"/>
      <c r="H77" s="122"/>
      <c r="I77" s="122"/>
      <c r="J77" s="122"/>
      <c r="K77" s="122"/>
      <c r="L77" s="122"/>
    </row>
    <row r="78" spans="3:12">
      <c r="C78" s="120"/>
      <c r="D78" s="121"/>
      <c r="E78" s="122"/>
      <c r="F78" s="122"/>
      <c r="G78" s="122"/>
      <c r="H78" s="122"/>
      <c r="I78" s="122"/>
      <c r="J78" s="122"/>
      <c r="K78" s="122"/>
      <c r="L78" s="122"/>
    </row>
    <row r="79" spans="3:12">
      <c r="C79" s="120"/>
      <c r="D79" s="120"/>
      <c r="E79" s="123"/>
      <c r="F79" s="123"/>
      <c r="G79" s="123"/>
      <c r="H79" s="123"/>
      <c r="I79" s="123"/>
      <c r="J79" s="123"/>
      <c r="K79" s="123"/>
      <c r="L79" s="123"/>
    </row>
  </sheetData>
  <mergeCells count="3">
    <mergeCell ref="B1:Q1"/>
    <mergeCell ref="T45:U45"/>
    <mergeCell ref="K48:L48"/>
  </mergeCell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95091-E721-4FF1-8349-02B83A4C9C14}">
  <dimension ref="A1:XFD54"/>
  <sheetViews>
    <sheetView workbookViewId="0">
      <pane ySplit="2" topLeftCell="A8" activePane="bottomLeft" state="frozen"/>
      <selection pane="bottomLeft" activeCell="P48" sqref="P48"/>
    </sheetView>
  </sheetViews>
  <sheetFormatPr defaultColWidth="15.85546875" defaultRowHeight="15"/>
  <cols>
    <col min="1" max="1" width="27.85546875" customWidth="1"/>
    <col min="2" max="2" width="15.28515625" customWidth="1"/>
    <col min="3" max="14" width="10.7109375" customWidth="1"/>
    <col min="15" max="15" width="27.42578125" customWidth="1"/>
    <col min="16" max="16" width="17.140625" customWidth="1"/>
    <col min="17" max="17" width="15.140625" customWidth="1"/>
    <col min="18" max="18" width="19.5703125" style="27" customWidth="1"/>
    <col min="19" max="19" width="15" customWidth="1"/>
    <col min="20" max="20" width="22.5703125" bestFit="1" customWidth="1"/>
    <col min="21" max="21" width="25.28515625" bestFit="1" customWidth="1"/>
  </cols>
  <sheetData>
    <row r="1" spans="1:22">
      <c r="A1" s="81"/>
      <c r="B1" s="519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</row>
    <row r="2" spans="1:22">
      <c r="A2" s="8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</row>
    <row r="3" spans="1:22">
      <c r="A3" s="83">
        <v>46054</v>
      </c>
      <c r="B3" s="36" t="str">
        <f>_xlfn.XLOOKUP(A3,'steel Mint data'!A:A,'steel Mint data'!B:B,"",0)</f>
        <v>H</v>
      </c>
      <c r="C3" s="36"/>
      <c r="D3" s="36"/>
      <c r="E3" s="36" t="str">
        <f>_xlfn.XLOOKUP(A3,'steel Mint data'!A:A,'steel Mint data'!D:D,"",0)</f>
        <v>H</v>
      </c>
      <c r="F3" s="36" t="str">
        <f>_xlfn.XLOOKUP(A3,'steel Mint data'!A:A,'steel Mint data'!E:E,"",0)</f>
        <v>H</v>
      </c>
      <c r="G3" s="36"/>
      <c r="H3" s="36"/>
      <c r="I3" s="36" t="str">
        <f>_xlfn.XLOOKUP(A3,'steel Mint data'!A:A,'steel Mint data'!I:I,"",0)</f>
        <v>H</v>
      </c>
      <c r="J3" s="36"/>
      <c r="K3" s="36" t="str">
        <f>_xlfn.XLOOKUP(A3,'steel Mint data'!A:A,'steel Mint data'!L:L,"",0)</f>
        <v>H</v>
      </c>
      <c r="L3" s="36"/>
      <c r="M3" s="36"/>
      <c r="N3" s="36"/>
      <c r="O3" s="36"/>
      <c r="P3" s="37" t="str">
        <f>_xlfn.XLOOKUP(A3,'steel Mint data'!A:A,'steel Mint data'!Q:Q,"",0)</f>
        <v>H</v>
      </c>
      <c r="Q3" s="36" t="str">
        <f>_xlfn.XLOOKUP(A3,'steel Mint data'!A:A,'steel Mint data'!R:R,"",0)</f>
        <v>H</v>
      </c>
    </row>
    <row r="4" spans="1:22">
      <c r="A4" s="83">
        <v>46055</v>
      </c>
      <c r="B4" s="36">
        <f>_xlfn.XLOOKUP(A4,'steel Mint data'!A:A,'steel Mint data'!B:B,"",0)</f>
        <v>48400</v>
      </c>
      <c r="C4" s="36"/>
      <c r="D4" s="36"/>
      <c r="E4" s="36">
        <f>_xlfn.XLOOKUP(A4,'steel Mint data'!A:A,'steel Mint data'!D:D,"",0)</f>
        <v>48000</v>
      </c>
      <c r="F4" s="36">
        <f>_xlfn.XLOOKUP(A4,'steel Mint data'!A:A,'steel Mint data'!E:E,"",0)</f>
        <v>44200</v>
      </c>
      <c r="G4" s="36"/>
      <c r="H4" s="36"/>
      <c r="I4" s="36">
        <f>_xlfn.XLOOKUP(A4,'steel Mint data'!A:A,'steel Mint data'!I:I,"",0)</f>
        <v>46400</v>
      </c>
      <c r="J4" s="36"/>
      <c r="K4" s="36">
        <f>_xlfn.XLOOKUP(A4,'steel Mint data'!A:A,'steel Mint data'!L:L,"",0)</f>
        <v>49100</v>
      </c>
      <c r="L4" s="36"/>
      <c r="M4" s="36"/>
      <c r="N4" s="36"/>
      <c r="O4" s="36"/>
      <c r="P4" s="37">
        <f>_xlfn.XLOOKUP(A4,'steel Mint data'!A:A,'steel Mint data'!Q:Q,"",0)</f>
        <v>43900</v>
      </c>
      <c r="Q4" s="36">
        <f>_xlfn.XLOOKUP(A4,'steel Mint data'!A:A,'steel Mint data'!R:R,"",0)</f>
        <v>44200</v>
      </c>
    </row>
    <row r="5" spans="1:22">
      <c r="A5" s="83">
        <v>46056</v>
      </c>
      <c r="B5" s="36">
        <f>_xlfn.XLOOKUP(A5,'steel Mint data'!A:A,'steel Mint data'!B:B,"",0)</f>
        <v>48800</v>
      </c>
      <c r="C5" s="36"/>
      <c r="D5" s="36"/>
      <c r="E5" s="36">
        <f>_xlfn.XLOOKUP(A5,'steel Mint data'!A:A,'steel Mint data'!D:D,"",0)</f>
        <v>47700</v>
      </c>
      <c r="F5" s="36">
        <f>_xlfn.XLOOKUP(A5,'steel Mint data'!A:A,'steel Mint data'!E:E,"",0)</f>
        <v>44400</v>
      </c>
      <c r="G5" s="36"/>
      <c r="H5" s="36"/>
      <c r="I5" s="36">
        <f>_xlfn.XLOOKUP(A5,'steel Mint data'!A:A,'steel Mint data'!I:I,"",0)</f>
        <v>47000</v>
      </c>
      <c r="J5" s="36"/>
      <c r="K5" s="36">
        <f>_xlfn.XLOOKUP(A5,'steel Mint data'!A:A,'steel Mint data'!L:L,"",0)</f>
        <v>49400</v>
      </c>
      <c r="L5" s="36"/>
      <c r="M5" s="36"/>
      <c r="N5" s="36"/>
      <c r="O5" s="36"/>
      <c r="P5" s="37">
        <f>_xlfn.XLOOKUP(A5,'steel Mint data'!A:A,'steel Mint data'!Q:Q,"",0)</f>
        <v>44000</v>
      </c>
      <c r="Q5" s="36">
        <f>_xlfn.XLOOKUP(A5,'steel Mint data'!A:A,'steel Mint data'!R:R,"",0)</f>
        <v>44200</v>
      </c>
      <c r="T5" s="27"/>
      <c r="U5" s="27"/>
      <c r="V5" s="27"/>
    </row>
    <row r="6" spans="1:22">
      <c r="A6" s="83">
        <v>46057</v>
      </c>
      <c r="B6" s="36">
        <f>_xlfn.XLOOKUP(A6,'steel Mint data'!A:A,'steel Mint data'!B:B,"",0)</f>
        <v>49000</v>
      </c>
      <c r="C6" s="36"/>
      <c r="D6" s="36"/>
      <c r="E6" s="36">
        <f>_xlfn.XLOOKUP(A6,'steel Mint data'!A:A,'steel Mint data'!D:D,"",0)</f>
        <v>48650</v>
      </c>
      <c r="F6" s="36">
        <f>_xlfn.XLOOKUP(A6,'steel Mint data'!A:A,'steel Mint data'!E:E,"",0)</f>
        <v>44900</v>
      </c>
      <c r="G6" s="36"/>
      <c r="H6" s="36"/>
      <c r="I6" s="36">
        <f>_xlfn.XLOOKUP(A6,'steel Mint data'!A:A,'steel Mint data'!I:I,"",0)</f>
        <v>47300</v>
      </c>
      <c r="J6" s="36"/>
      <c r="K6" s="36">
        <f>_xlfn.XLOOKUP(A6,'steel Mint data'!A:A,'steel Mint data'!L:L,"",0)</f>
        <v>49800</v>
      </c>
      <c r="L6" s="36"/>
      <c r="M6" s="36"/>
      <c r="N6" s="36"/>
      <c r="O6" s="36"/>
      <c r="P6" s="37">
        <f>_xlfn.XLOOKUP(A6,'steel Mint data'!A:A,'steel Mint data'!Q:Q,"",0)</f>
        <v>44700</v>
      </c>
      <c r="Q6" s="36">
        <f>_xlfn.XLOOKUP(A6,'steel Mint data'!A:A,'steel Mint data'!R:R,"",0)</f>
        <v>44700</v>
      </c>
      <c r="T6" s="27"/>
      <c r="U6" s="27"/>
      <c r="V6" s="27"/>
    </row>
    <row r="7" spans="1:22">
      <c r="A7" s="83">
        <v>46058</v>
      </c>
      <c r="B7" s="36">
        <f>_xlfn.XLOOKUP(A7,'steel Mint data'!A:A,'steel Mint data'!B:B,"",0)</f>
        <v>49000</v>
      </c>
      <c r="C7" s="36"/>
      <c r="D7" s="36"/>
      <c r="E7" s="36">
        <f>_xlfn.XLOOKUP(A7,'steel Mint data'!A:A,'steel Mint data'!D:D,"",0)</f>
        <v>48500</v>
      </c>
      <c r="F7" s="36">
        <f>_xlfn.XLOOKUP(A7,'steel Mint data'!A:A,'steel Mint data'!E:E,"",0)</f>
        <v>44900</v>
      </c>
      <c r="G7" s="36"/>
      <c r="H7" s="36"/>
      <c r="I7" s="36">
        <f>_xlfn.XLOOKUP(A7,'steel Mint data'!A:A,'steel Mint data'!I:I,"",0)</f>
        <v>47300</v>
      </c>
      <c r="J7" s="36"/>
      <c r="K7" s="36">
        <f>_xlfn.XLOOKUP(A7,'steel Mint data'!A:A,'steel Mint data'!L:L,"",0)</f>
        <v>49600</v>
      </c>
      <c r="L7" s="36"/>
      <c r="M7" s="36"/>
      <c r="N7" s="36"/>
      <c r="O7" s="36"/>
      <c r="P7" s="37">
        <f>_xlfn.XLOOKUP(A7,'steel Mint data'!A:A,'steel Mint data'!Q:Q,"",0)</f>
        <v>44500</v>
      </c>
      <c r="Q7" s="36">
        <f>_xlfn.XLOOKUP(A7,'steel Mint data'!A:A,'steel Mint data'!R:R,"",0)</f>
        <v>44700</v>
      </c>
      <c r="R7" s="455"/>
      <c r="T7" s="27"/>
      <c r="U7" s="27"/>
      <c r="V7" s="27"/>
    </row>
    <row r="8" spans="1:22">
      <c r="A8" s="83">
        <v>46059</v>
      </c>
      <c r="B8" s="36">
        <f>_xlfn.XLOOKUP(A8,'steel Mint data'!A:A,'steel Mint data'!B:B,"",0)</f>
        <v>49000</v>
      </c>
      <c r="C8" s="36"/>
      <c r="D8" s="36"/>
      <c r="E8" s="36">
        <f>_xlfn.XLOOKUP(A8,'steel Mint data'!A:A,'steel Mint data'!D:D,"",0)</f>
        <v>48500</v>
      </c>
      <c r="F8" s="36">
        <f>_xlfn.XLOOKUP(A8,'steel Mint data'!A:A,'steel Mint data'!E:E,"",0)</f>
        <v>45000</v>
      </c>
      <c r="G8" s="36"/>
      <c r="H8" s="36"/>
      <c r="I8" s="36">
        <f>_xlfn.XLOOKUP(A8,'steel Mint data'!A:A,'steel Mint data'!I:I,"",0)</f>
        <v>47300</v>
      </c>
      <c r="J8" s="36"/>
      <c r="K8" s="36">
        <f>_xlfn.XLOOKUP(A8,'steel Mint data'!A:A,'steel Mint data'!L:L,"",0)</f>
        <v>49600</v>
      </c>
      <c r="L8" s="36"/>
      <c r="M8" s="36"/>
      <c r="N8" s="36"/>
      <c r="O8" s="36"/>
      <c r="P8" s="37">
        <f>_xlfn.XLOOKUP(A8,'steel Mint data'!A:A,'steel Mint data'!Q:Q,"",0)</f>
        <v>44500</v>
      </c>
      <c r="Q8" s="36">
        <f>_xlfn.XLOOKUP(A8,'steel Mint data'!A:A,'steel Mint data'!R:R,"",0)</f>
        <v>44700</v>
      </c>
      <c r="T8" s="27"/>
      <c r="U8" s="27"/>
      <c r="V8" s="27"/>
    </row>
    <row r="9" spans="1:22">
      <c r="A9" s="83">
        <v>46060</v>
      </c>
      <c r="B9" s="36">
        <f>_xlfn.XLOOKUP(A9,'steel Mint data'!A:A,'steel Mint data'!B:B,"",0)</f>
        <v>49000</v>
      </c>
      <c r="C9" s="36"/>
      <c r="D9" s="36"/>
      <c r="E9" s="36">
        <f>_xlfn.XLOOKUP(A9,'steel Mint data'!A:A,'steel Mint data'!D:D,"",0)</f>
        <v>48900</v>
      </c>
      <c r="F9" s="36">
        <f>_xlfn.XLOOKUP(A9,'steel Mint data'!A:A,'steel Mint data'!E:E,"",0)</f>
        <v>45300</v>
      </c>
      <c r="G9" s="36"/>
      <c r="H9" s="36"/>
      <c r="I9" s="36">
        <f>_xlfn.XLOOKUP(A9,'steel Mint data'!A:A,'steel Mint data'!I:I,"",0)</f>
        <v>47500</v>
      </c>
      <c r="J9" s="36"/>
      <c r="K9" s="36">
        <f>_xlfn.XLOOKUP(A9,'steel Mint data'!A:A,'steel Mint data'!L:L,"",0)</f>
        <v>49900</v>
      </c>
      <c r="L9" s="36"/>
      <c r="M9" s="36"/>
      <c r="N9" s="36"/>
      <c r="O9" s="36"/>
      <c r="P9" s="37">
        <f>_xlfn.XLOOKUP(A9,'steel Mint data'!A:A,'steel Mint data'!Q:Q,"",0)</f>
        <v>45300</v>
      </c>
      <c r="Q9" s="36">
        <f>_xlfn.XLOOKUP(A9,'steel Mint data'!A:A,'steel Mint data'!R:R,"",0)</f>
        <v>45000</v>
      </c>
      <c r="T9" s="27"/>
      <c r="U9" s="27"/>
      <c r="V9" s="27"/>
    </row>
    <row r="10" spans="1:22">
      <c r="A10" s="83">
        <v>46061</v>
      </c>
      <c r="B10" s="36" t="str">
        <f>_xlfn.XLOOKUP(A10,'steel Mint data'!A:A,'steel Mint data'!B:B,"",0)</f>
        <v>H</v>
      </c>
      <c r="C10" s="36"/>
      <c r="D10" s="36"/>
      <c r="E10" s="36" t="str">
        <f>_xlfn.XLOOKUP(A10,'steel Mint data'!A:A,'steel Mint data'!D:D,"",0)</f>
        <v>H</v>
      </c>
      <c r="F10" s="36" t="str">
        <f>_xlfn.XLOOKUP(A10,'steel Mint data'!A:A,'steel Mint data'!E:E,"",0)</f>
        <v>H</v>
      </c>
      <c r="G10" s="36"/>
      <c r="H10" s="36"/>
      <c r="I10" s="36" t="str">
        <f>_xlfn.XLOOKUP(A10,'steel Mint data'!A:A,'steel Mint data'!I:I,"",0)</f>
        <v>H</v>
      </c>
      <c r="J10" s="36"/>
      <c r="K10" s="36" t="str">
        <f>_xlfn.XLOOKUP(A10,'steel Mint data'!A:A,'steel Mint data'!L:L,"",0)</f>
        <v>H</v>
      </c>
      <c r="L10" s="36"/>
      <c r="M10" s="36"/>
      <c r="N10" s="36"/>
      <c r="O10" s="36"/>
      <c r="P10" s="37" t="str">
        <f>_xlfn.XLOOKUP(A10,'steel Mint data'!A:A,'steel Mint data'!Q:Q,"",0)</f>
        <v>H</v>
      </c>
      <c r="Q10" s="36" t="str">
        <f>_xlfn.XLOOKUP(A10,'steel Mint data'!A:A,'steel Mint data'!R:R,"",0)</f>
        <v>H</v>
      </c>
    </row>
    <row r="11" spans="1:22">
      <c r="A11" s="83">
        <v>46062</v>
      </c>
      <c r="B11" s="36">
        <f>_xlfn.XLOOKUP(A11,'steel Mint data'!A:A,'steel Mint data'!B:B,"",0)</f>
        <v>49400</v>
      </c>
      <c r="C11" s="36"/>
      <c r="D11" s="36"/>
      <c r="E11" s="36">
        <f>_xlfn.XLOOKUP(A11,'steel Mint data'!A:A,'steel Mint data'!D:D,"",0)</f>
        <v>49200</v>
      </c>
      <c r="F11" s="36">
        <f>_xlfn.XLOOKUP(A11,'steel Mint data'!A:A,'steel Mint data'!E:E,"",0)</f>
        <v>45700</v>
      </c>
      <c r="G11" s="36"/>
      <c r="H11" s="36"/>
      <c r="I11" s="36">
        <f>_xlfn.XLOOKUP(A11,'steel Mint data'!A:A,'steel Mint data'!I:I,"",0)</f>
        <v>47500</v>
      </c>
      <c r="J11" s="36"/>
      <c r="K11" s="36">
        <f>_xlfn.XLOOKUP(A11,'steel Mint data'!A:A,'steel Mint data'!L:L,"",0)</f>
        <v>50000</v>
      </c>
      <c r="L11" s="36"/>
      <c r="M11" s="36"/>
      <c r="N11" s="36"/>
      <c r="O11" s="36"/>
      <c r="P11" s="37">
        <f>_xlfn.XLOOKUP(A11,'steel Mint data'!A:A,'steel Mint data'!Q:Q,"",0)</f>
        <v>45200</v>
      </c>
      <c r="Q11" s="36">
        <f>_xlfn.XLOOKUP(A11,'steel Mint data'!A:A,'steel Mint data'!R:R,"",0)</f>
        <v>45500</v>
      </c>
      <c r="R11" s="456"/>
    </row>
    <row r="12" spans="1:22">
      <c r="A12" s="83">
        <v>46063</v>
      </c>
      <c r="B12" s="36">
        <f>_xlfn.XLOOKUP(A12,'steel Mint data'!A:A,'steel Mint data'!B:B,"",0)</f>
        <v>49400</v>
      </c>
      <c r="C12" s="36"/>
      <c r="D12" s="36"/>
      <c r="E12" s="36">
        <f>_xlfn.XLOOKUP(A12,'steel Mint data'!A:A,'steel Mint data'!D:D,"",0)</f>
        <v>49500</v>
      </c>
      <c r="F12" s="36">
        <f>_xlfn.XLOOKUP(A12,'steel Mint data'!A:A,'steel Mint data'!E:E,"",0)</f>
        <v>46000</v>
      </c>
      <c r="G12" s="36"/>
      <c r="H12" s="36"/>
      <c r="I12" s="36">
        <f>_xlfn.XLOOKUP(A12,'steel Mint data'!A:A,'steel Mint data'!I:I,"",0)</f>
        <v>47600</v>
      </c>
      <c r="J12" s="36"/>
      <c r="K12" s="36">
        <f>_xlfn.XLOOKUP(A12,'steel Mint data'!A:A,'steel Mint data'!L:L,"",0)</f>
        <v>50000</v>
      </c>
      <c r="L12" s="36"/>
      <c r="M12" s="36"/>
      <c r="N12" s="36"/>
      <c r="O12" s="36"/>
      <c r="P12" s="37">
        <f>_xlfn.XLOOKUP(A12,'steel Mint data'!A:A,'steel Mint data'!Q:Q,"",0)</f>
        <v>45700</v>
      </c>
      <c r="Q12" s="36">
        <f>_xlfn.XLOOKUP(A12,'steel Mint data'!A:A,'steel Mint data'!R:R,"",0)</f>
        <v>45500</v>
      </c>
    </row>
    <row r="13" spans="1:22">
      <c r="A13" s="83">
        <v>46064</v>
      </c>
      <c r="B13" s="36">
        <f>_xlfn.XLOOKUP(A13,'steel Mint data'!A:A,'steel Mint data'!B:B,"",0)</f>
        <v>49300</v>
      </c>
      <c r="C13" s="36"/>
      <c r="D13" s="36"/>
      <c r="E13" s="36">
        <f>_xlfn.XLOOKUP(A13,'steel Mint data'!A:A,'steel Mint data'!D:D,"",0)</f>
        <v>49050</v>
      </c>
      <c r="F13" s="36">
        <f>_xlfn.XLOOKUP(A13,'steel Mint data'!A:A,'steel Mint data'!E:E,"",0)</f>
        <v>45900</v>
      </c>
      <c r="G13" s="36"/>
      <c r="H13" s="36"/>
      <c r="I13" s="36">
        <f>_xlfn.XLOOKUP(A13,'steel Mint data'!A:A,'steel Mint data'!I:I,"",0)</f>
        <v>47500</v>
      </c>
      <c r="J13" s="36"/>
      <c r="K13" s="36">
        <f>_xlfn.XLOOKUP(A13,'steel Mint data'!A:A,'steel Mint data'!L:L,"",0)</f>
        <v>49900</v>
      </c>
      <c r="L13" s="36"/>
      <c r="M13" s="36"/>
      <c r="N13" s="36"/>
      <c r="O13" s="36"/>
      <c r="P13" s="37">
        <f>_xlfn.XLOOKUP(A13,'steel Mint data'!A:A,'steel Mint data'!Q:Q,"",0)</f>
        <v>45300</v>
      </c>
      <c r="Q13" s="36">
        <f>_xlfn.XLOOKUP(A13,'steel Mint data'!A:A,'steel Mint data'!R:R,"",0)</f>
        <v>45500</v>
      </c>
      <c r="S13" s="33"/>
    </row>
    <row r="14" spans="1:22">
      <c r="A14" s="83">
        <v>46065</v>
      </c>
      <c r="B14" s="36">
        <f>_xlfn.XLOOKUP(A14,'steel Mint data'!A:A,'steel Mint data'!B:B,"",0)</f>
        <v>49200</v>
      </c>
      <c r="C14" s="36"/>
      <c r="D14" s="36"/>
      <c r="E14" s="36">
        <f>_xlfn.XLOOKUP(A14,'steel Mint data'!A:A,'steel Mint data'!D:D,"",0)</f>
        <v>48800</v>
      </c>
      <c r="F14" s="36">
        <f>_xlfn.XLOOKUP(A14,'steel Mint data'!A:A,'steel Mint data'!E:E,"",0)</f>
        <v>45700</v>
      </c>
      <c r="G14" s="36"/>
      <c r="H14" s="36"/>
      <c r="I14" s="36">
        <f>_xlfn.XLOOKUP(A14,'steel Mint data'!A:A,'steel Mint data'!I:I,"",0)</f>
        <v>47200</v>
      </c>
      <c r="J14" s="36"/>
      <c r="K14" s="36">
        <f>_xlfn.XLOOKUP(A14,'steel Mint data'!A:A,'steel Mint data'!L:L,"",0)</f>
        <v>49700</v>
      </c>
      <c r="L14" s="36"/>
      <c r="M14" s="36"/>
      <c r="N14" s="36"/>
      <c r="O14" s="36"/>
      <c r="P14" s="37">
        <f>_xlfn.XLOOKUP(A14,'steel Mint data'!A:A,'steel Mint data'!Q:Q,"",0)</f>
        <v>45200</v>
      </c>
      <c r="Q14" s="36">
        <f>_xlfn.XLOOKUP(A14,'steel Mint data'!A:A,'steel Mint data'!R:R,"",0)</f>
        <v>45500</v>
      </c>
      <c r="S14" s="33"/>
      <c r="T14" s="33"/>
    </row>
    <row r="15" spans="1:22">
      <c r="A15" s="83">
        <v>46066</v>
      </c>
      <c r="B15" s="36">
        <f>_xlfn.XLOOKUP(A15,'steel Mint data'!A:A,'steel Mint data'!B:B,"",0)</f>
        <v>49100</v>
      </c>
      <c r="C15" s="36"/>
      <c r="D15" s="36"/>
      <c r="E15" s="36">
        <f>_xlfn.XLOOKUP(A15,'steel Mint data'!A:A,'steel Mint data'!D:D,"",0)</f>
        <v>48500</v>
      </c>
      <c r="F15" s="36">
        <f>_xlfn.XLOOKUP(A15,'steel Mint data'!A:A,'steel Mint data'!E:E,"",0)</f>
        <v>45500</v>
      </c>
      <c r="G15" s="36"/>
      <c r="H15" s="36"/>
      <c r="I15" s="36">
        <f>_xlfn.XLOOKUP(A15,'steel Mint data'!A:A,'steel Mint data'!I:I,"",0)</f>
        <v>47000</v>
      </c>
      <c r="J15" s="36"/>
      <c r="K15" s="36">
        <f>_xlfn.XLOOKUP(A15,'steel Mint data'!A:A,'steel Mint data'!L:L,"",0)</f>
        <v>49700</v>
      </c>
      <c r="L15" s="36"/>
      <c r="M15" s="36"/>
      <c r="N15" s="36"/>
      <c r="O15" s="36"/>
      <c r="P15" s="37">
        <f>_xlfn.XLOOKUP(A15,'steel Mint data'!A:A,'steel Mint data'!Q:Q,"",0)</f>
        <v>45000</v>
      </c>
      <c r="Q15" s="36">
        <f>_xlfn.XLOOKUP(A15,'steel Mint data'!A:A,'steel Mint data'!R:R,"",0)</f>
        <v>45000</v>
      </c>
      <c r="R15" s="175"/>
      <c r="S15" s="33"/>
      <c r="T15" s="33"/>
    </row>
    <row r="16" spans="1:22">
      <c r="A16" s="83">
        <v>46067</v>
      </c>
      <c r="B16" s="36">
        <f>_xlfn.XLOOKUP(A16,'steel Mint data'!A:A,'steel Mint data'!B:B,"",0)</f>
        <v>49100</v>
      </c>
      <c r="C16" s="36"/>
      <c r="D16" s="36"/>
      <c r="E16" s="36">
        <f>_xlfn.XLOOKUP(A16,'steel Mint data'!A:A,'steel Mint data'!D:D,"",0)</f>
        <v>48500</v>
      </c>
      <c r="F16" s="36">
        <f>_xlfn.XLOOKUP(A16,'steel Mint data'!A:A,'steel Mint data'!E:E,"",0)</f>
        <v>45700</v>
      </c>
      <c r="G16" s="36"/>
      <c r="H16" s="36"/>
      <c r="I16" s="36">
        <f>_xlfn.XLOOKUP(A16,'steel Mint data'!A:A,'steel Mint data'!I:I,"",0)</f>
        <v>47100</v>
      </c>
      <c r="J16" s="36"/>
      <c r="K16" s="36">
        <f>_xlfn.XLOOKUP(A16,'steel Mint data'!A:A,'steel Mint data'!L:L,"",0)</f>
        <v>49900</v>
      </c>
      <c r="L16" s="36"/>
      <c r="M16" s="36"/>
      <c r="N16" s="36"/>
      <c r="O16" s="36"/>
      <c r="P16" s="37">
        <f>_xlfn.XLOOKUP(A16,'steel Mint data'!A:A,'steel Mint data'!Q:Q,"",0)</f>
        <v>45200</v>
      </c>
      <c r="Q16" s="36">
        <f>_xlfn.XLOOKUP(A16,'steel Mint data'!A:A,'steel Mint data'!R:R,"",0)</f>
        <v>45000</v>
      </c>
      <c r="S16" s="33"/>
      <c r="T16" s="33"/>
    </row>
    <row r="17" spans="1:20">
      <c r="A17" s="83">
        <v>46068</v>
      </c>
      <c r="B17" s="36" t="str">
        <f>_xlfn.XLOOKUP(A17,'steel Mint data'!A:A,'steel Mint data'!B:B,"",0)</f>
        <v>H</v>
      </c>
      <c r="C17" s="36"/>
      <c r="D17" s="36"/>
      <c r="E17" s="36" t="str">
        <f>_xlfn.XLOOKUP(A17,'steel Mint data'!A:A,'steel Mint data'!D:D,"",0)</f>
        <v>H</v>
      </c>
      <c r="F17" s="36" t="str">
        <f>_xlfn.XLOOKUP(A17,'steel Mint data'!A:A,'steel Mint data'!E:E,"",0)</f>
        <v>H</v>
      </c>
      <c r="G17" s="36"/>
      <c r="H17" s="36"/>
      <c r="I17" s="36" t="str">
        <f>_xlfn.XLOOKUP(A17,'steel Mint data'!A:A,'steel Mint data'!I:I,"",0)</f>
        <v>H</v>
      </c>
      <c r="J17" s="36"/>
      <c r="K17" s="36" t="str">
        <f>_xlfn.XLOOKUP(A17,'steel Mint data'!A:A,'steel Mint data'!L:L,"",0)</f>
        <v>H</v>
      </c>
      <c r="L17" s="36"/>
      <c r="M17" s="36"/>
      <c r="N17" s="36"/>
      <c r="O17" s="36"/>
      <c r="P17" s="37" t="str">
        <f>_xlfn.XLOOKUP(A17,'steel Mint data'!A:A,'steel Mint data'!Q:Q,"",0)</f>
        <v>H</v>
      </c>
      <c r="Q17" s="36" t="str">
        <f>_xlfn.XLOOKUP(A17,'steel Mint data'!A:A,'steel Mint data'!R:R,"",0)</f>
        <v>H</v>
      </c>
      <c r="S17" s="33"/>
    </row>
    <row r="18" spans="1:20">
      <c r="A18" s="83">
        <v>46069</v>
      </c>
      <c r="B18" s="36">
        <f>_xlfn.XLOOKUP(A18,'steel Mint data'!A:A,'steel Mint data'!B:B,"",0)</f>
        <v>49100</v>
      </c>
      <c r="C18" s="36"/>
      <c r="D18" s="36"/>
      <c r="E18" s="36">
        <f>_xlfn.XLOOKUP(A18,'steel Mint data'!A:A,'steel Mint data'!D:D,"",0)</f>
        <v>48350</v>
      </c>
      <c r="F18" s="36">
        <f>_xlfn.XLOOKUP(A18,'steel Mint data'!A:A,'steel Mint data'!E:E,"",0)</f>
        <v>45500</v>
      </c>
      <c r="G18" s="36"/>
      <c r="H18" s="36"/>
      <c r="I18" s="36">
        <f>_xlfn.XLOOKUP(A18,'steel Mint data'!A:A,'steel Mint data'!I:I,"",0)</f>
        <v>47200</v>
      </c>
      <c r="J18" s="36"/>
      <c r="K18" s="36">
        <f>_xlfn.XLOOKUP(A18,'steel Mint data'!A:A,'steel Mint data'!L:L,"",0)</f>
        <v>49600</v>
      </c>
      <c r="L18" s="36"/>
      <c r="M18" s="36"/>
      <c r="N18" s="36"/>
      <c r="O18" s="36"/>
      <c r="P18" s="37">
        <f>_xlfn.XLOOKUP(A18,'steel Mint data'!A:A,'steel Mint data'!Q:Q,"",0)</f>
        <v>44900</v>
      </c>
      <c r="Q18" s="36">
        <f>_xlfn.XLOOKUP(A18,'steel Mint data'!A:A,'steel Mint data'!R:R,"",0)</f>
        <v>44800</v>
      </c>
      <c r="S18" s="33"/>
      <c r="T18" s="33"/>
    </row>
    <row r="19" spans="1:20">
      <c r="A19" s="83"/>
      <c r="B19" s="15">
        <f>SUM(B3:B18)</f>
        <v>637800</v>
      </c>
      <c r="C19" s="14"/>
      <c r="D19" s="14"/>
      <c r="E19" s="15">
        <f>SUM(E3:E18)</f>
        <v>632150</v>
      </c>
      <c r="F19" s="15">
        <f>SUM(F3:F18)</f>
        <v>588700</v>
      </c>
      <c r="G19" s="14"/>
      <c r="H19" s="14"/>
      <c r="I19" s="15">
        <f>SUM(I3:I18)</f>
        <v>613900</v>
      </c>
      <c r="J19" s="14"/>
      <c r="K19" s="15">
        <f>SUM(K3:K18)</f>
        <v>646200</v>
      </c>
      <c r="L19" s="14"/>
      <c r="M19" s="14"/>
      <c r="N19" s="14"/>
      <c r="O19" s="14"/>
      <c r="P19" s="15">
        <f>SUM(P3:P18)</f>
        <v>583400</v>
      </c>
      <c r="Q19" s="15">
        <f>SUM(Q3:Q18)</f>
        <v>584300</v>
      </c>
      <c r="S19" s="33"/>
      <c r="T19" s="33"/>
    </row>
    <row r="20" spans="1:20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23</v>
      </c>
      <c r="H20" s="16" t="s">
        <v>39</v>
      </c>
      <c r="I20" s="16" t="s">
        <v>46</v>
      </c>
      <c r="J20" s="16" t="s">
        <v>126</v>
      </c>
      <c r="K20" s="282" t="s">
        <v>23</v>
      </c>
      <c r="L20" s="282" t="s">
        <v>147</v>
      </c>
      <c r="M20" s="19"/>
      <c r="N20" s="19"/>
      <c r="O20" s="14"/>
      <c r="P20" s="21"/>
      <c r="Q20" s="14"/>
      <c r="S20" s="33"/>
      <c r="T20" s="33"/>
    </row>
    <row r="21" spans="1:20" ht="29.25">
      <c r="A21" s="462" t="s">
        <v>165</v>
      </c>
      <c r="B21" s="458">
        <f ca="1">AVERAGEIFS('steel Mint data'!D:D, 'steel Mint data'!A:A, "&gt;="&amp;TODAY()-15, 'steel Mint data'!A:A, "&lt;="&amp;TODAY())</f>
        <v>52783.333333333336</v>
      </c>
      <c r="C21" s="458">
        <f ca="1">AVERAGEIFS('steel Mint data'!Q:Q, 'steel Mint data'!A:A, "&gt;="&amp;TODAY()-15, 'steel Mint data'!A:A, "&lt;="&amp;TODAY())</f>
        <v>47741.666666666664</v>
      </c>
      <c r="D21" s="458">
        <f ca="1">AVERAGEIFS('steel Mint data'!L:L, 'steel Mint data'!A:A, "&gt;="&amp;TODAY()-15, 'steel Mint data'!A:A, "&lt;="&amp;TODAY())</f>
        <v>51991.666666666664</v>
      </c>
      <c r="E21" s="458">
        <f ca="1">AVERAGEIFS('steel Mint data'!R:R, 'steel Mint data'!A:A, "&gt;="&amp;TODAY()-15, 'steel Mint data'!A:A, "&lt;="&amp;TODAY())</f>
        <v>47508.333333333336</v>
      </c>
      <c r="F21" s="458">
        <f ca="1">AVERAGEIFS('steel Mint data'!Q:Q, 'steel Mint data'!A:A, "&gt;="&amp;TODAY()-15, 'steel Mint data'!A:A, "&lt;="&amp;TODAY())</f>
        <v>47741.666666666664</v>
      </c>
      <c r="G21" s="458">
        <f ca="1">B21-800</f>
        <v>51983.333333333336</v>
      </c>
      <c r="H21" s="458">
        <f ca="1">AVERAGEIFS('steel Mint data'!I:I, 'steel Mint data'!A:A, "&gt;="&amp;TODAY()-15, 'steel Mint data'!A:A, "&lt;="&amp;TODAY())</f>
        <v>51083.333333333336</v>
      </c>
      <c r="I21" s="458">
        <f ca="1">AVERAGEIFS('steel Mint data'!B:B, 'steel Mint data'!A:A, "&gt;="&amp;TODAY()-15, 'steel Mint data'!A:A, "&lt;="&amp;TODAY())</f>
        <v>53691.666666666664</v>
      </c>
      <c r="J21" s="458">
        <f ca="1">AVERAGEIFS('steel Mint data'!E:E, 'steel Mint data'!A:A, "&gt;="&amp;TODAY()-15, 'steel Mint data'!A:A, "&lt;="&amp;TODAY())</f>
        <v>47191.666666666664</v>
      </c>
      <c r="K21" s="459">
        <f ca="1">B21-800</f>
        <v>51983.333333333336</v>
      </c>
      <c r="L21" s="459">
        <f ca="1">AVERAGEIFS('steel Mint data'!Q:Q, 'steel Mint data'!A:A, "&gt;="&amp;TODAY()-15, 'steel Mint data'!A:A, "&lt;="&amp;TODAY())</f>
        <v>47741.666666666664</v>
      </c>
      <c r="M21" s="19"/>
      <c r="N21" s="19"/>
      <c r="O21" s="14"/>
      <c r="P21" s="21"/>
      <c r="Q21" s="14"/>
      <c r="S21" s="33"/>
      <c r="T21" s="33"/>
    </row>
    <row r="22" spans="1:20">
      <c r="A22" s="17" t="s">
        <v>25</v>
      </c>
      <c r="B22" s="18">
        <f>E19/O22</f>
        <v>48626.923076923078</v>
      </c>
      <c r="C22" s="18">
        <f>P19/O22</f>
        <v>44876.923076923078</v>
      </c>
      <c r="D22" s="18">
        <f>K19/O22</f>
        <v>49707.692307692305</v>
      </c>
      <c r="E22" s="18">
        <f>Q19/O22</f>
        <v>44946.153846153844</v>
      </c>
      <c r="F22" s="18">
        <f>C22</f>
        <v>44876.923076923078</v>
      </c>
      <c r="G22" s="18">
        <f>B22-800</f>
        <v>47826.923076923078</v>
      </c>
      <c r="H22" s="18">
        <f>I19/O22</f>
        <v>47223.076923076922</v>
      </c>
      <c r="I22" s="18">
        <f>B19/(O22)</f>
        <v>49061.538461538461</v>
      </c>
      <c r="J22" s="18">
        <f>F19/O22</f>
        <v>45284.615384615383</v>
      </c>
      <c r="K22" s="283">
        <f>B22-800</f>
        <v>47826.923076923078</v>
      </c>
      <c r="L22" s="283">
        <f>P19/O22</f>
        <v>44876.923076923078</v>
      </c>
      <c r="M22" s="146"/>
      <c r="N22" s="19"/>
      <c r="O22" s="463">
        <f>COUNT(E3:E18)</f>
        <v>13</v>
      </c>
      <c r="P22" s="21"/>
      <c r="Q22" s="465"/>
      <c r="R22" s="174"/>
      <c r="S22" s="174"/>
      <c r="T22" s="33"/>
    </row>
    <row r="23" spans="1:20">
      <c r="A23" s="17" t="s">
        <v>26</v>
      </c>
      <c r="B23" s="18">
        <v>1200</v>
      </c>
      <c r="C23" s="18">
        <v>2150</v>
      </c>
      <c r="D23" s="18">
        <v>400</v>
      </c>
      <c r="E23" s="18">
        <v>2200</v>
      </c>
      <c r="F23" s="18">
        <v>1800</v>
      </c>
      <c r="G23" s="18">
        <v>1200</v>
      </c>
      <c r="H23" s="18">
        <v>800</v>
      </c>
      <c r="I23" s="18">
        <v>0</v>
      </c>
      <c r="J23" s="18">
        <v>2700</v>
      </c>
      <c r="K23" s="283">
        <v>3200</v>
      </c>
      <c r="L23" s="283">
        <v>4235</v>
      </c>
      <c r="M23" s="33"/>
      <c r="P23" s="175"/>
      <c r="Q23" s="465"/>
      <c r="R23" s="174"/>
      <c r="S23" s="174"/>
      <c r="T23" s="49"/>
    </row>
    <row r="24" spans="1:20">
      <c r="A24" s="17" t="s">
        <v>27</v>
      </c>
      <c r="B24" s="18">
        <v>200</v>
      </c>
      <c r="C24" s="18">
        <v>265</v>
      </c>
      <c r="D24" s="18">
        <v>250</v>
      </c>
      <c r="E24" s="18">
        <v>275</v>
      </c>
      <c r="F24" s="18">
        <v>275</v>
      </c>
      <c r="G24" s="18">
        <v>200</v>
      </c>
      <c r="H24" s="18">
        <v>270</v>
      </c>
      <c r="I24" s="18">
        <v>200</v>
      </c>
      <c r="J24" s="18">
        <v>270</v>
      </c>
      <c r="K24" s="283">
        <v>200</v>
      </c>
      <c r="L24" s="283">
        <v>265</v>
      </c>
      <c r="M24" s="33"/>
      <c r="N24" s="33"/>
      <c r="O24" s="469"/>
      <c r="P24" s="175"/>
      <c r="Q24" s="174"/>
      <c r="R24" s="174"/>
      <c r="S24" s="174">
        <f>57550-3800</f>
        <v>53750</v>
      </c>
      <c r="T24" s="49"/>
    </row>
    <row r="25" spans="1:20">
      <c r="A25" s="17" t="s">
        <v>166</v>
      </c>
      <c r="B25" s="18">
        <v>500</v>
      </c>
      <c r="C25" s="18">
        <f>B25</f>
        <v>500</v>
      </c>
      <c r="D25" s="18">
        <f>B25</f>
        <v>500</v>
      </c>
      <c r="E25" s="18">
        <f>B25</f>
        <v>500</v>
      </c>
      <c r="F25" s="18">
        <v>500</v>
      </c>
      <c r="G25" s="18">
        <f>B25</f>
        <v>500</v>
      </c>
      <c r="H25" s="18">
        <f>B25</f>
        <v>500</v>
      </c>
      <c r="I25" s="18">
        <f>B25</f>
        <v>500</v>
      </c>
      <c r="J25" s="18">
        <f>B25</f>
        <v>500</v>
      </c>
      <c r="K25" s="283">
        <f>B25</f>
        <v>500</v>
      </c>
      <c r="L25" s="283">
        <v>500</v>
      </c>
      <c r="M25" s="33"/>
      <c r="N25" s="33"/>
      <c r="O25" s="33"/>
      <c r="P25" s="175"/>
      <c r="Q25" s="175"/>
      <c r="S25" s="27"/>
      <c r="T25" s="49"/>
    </row>
    <row r="26" spans="1:20" ht="19.5" hidden="1" customHeight="1">
      <c r="A26" s="22" t="s">
        <v>28</v>
      </c>
      <c r="B26" s="461">
        <f>SUM(B22:B24)</f>
        <v>50026.923076923078</v>
      </c>
      <c r="C26" s="461">
        <f>SUM(C22:C24)</f>
        <v>47291.923076923078</v>
      </c>
      <c r="D26" s="461">
        <f>SUM(D22:D24)</f>
        <v>50357.692307692305</v>
      </c>
      <c r="E26" s="461">
        <f>SUM(E22:E24)</f>
        <v>47421.153846153844</v>
      </c>
      <c r="F26" s="461">
        <f>SUM(F22:F24)</f>
        <v>46951.923076923078</v>
      </c>
      <c r="G26" s="461">
        <f>SUM(G22:G24)</f>
        <v>49226.923076923078</v>
      </c>
      <c r="H26" s="461">
        <f>SUM(H22:H24)</f>
        <v>48293.076923076922</v>
      </c>
      <c r="I26" s="461">
        <f>SUM(I22:I24)</f>
        <v>49261.538461538461</v>
      </c>
      <c r="J26" s="461">
        <f>SUM(J22:J24)</f>
        <v>48254.615384615383</v>
      </c>
      <c r="K26" s="283">
        <f>SUM(K22:K24)</f>
        <v>51226.923076923078</v>
      </c>
      <c r="L26" s="283">
        <f>SUM(L22:L24)</f>
        <v>49376.923076923078</v>
      </c>
      <c r="M26" s="33"/>
      <c r="N26" s="33"/>
      <c r="O26" s="33"/>
      <c r="P26" s="175"/>
      <c r="Q26" s="174"/>
      <c r="R26" s="174"/>
      <c r="S26" s="174"/>
      <c r="T26" s="49"/>
    </row>
    <row r="27" spans="1:20" ht="26.25" customHeight="1">
      <c r="A27" s="457" t="s">
        <v>167</v>
      </c>
      <c r="B27" s="460">
        <f ca="1">B21+B23+B24+B25</f>
        <v>54683.333333333336</v>
      </c>
      <c r="C27" s="460">
        <f t="shared" ref="C27:L27" ca="1" si="0">C21+C23+C24+C25</f>
        <v>50656.666666666664</v>
      </c>
      <c r="D27" s="460">
        <f t="shared" ca="1" si="0"/>
        <v>53141.666666666664</v>
      </c>
      <c r="E27" s="460">
        <f t="shared" ca="1" si="0"/>
        <v>50483.333333333336</v>
      </c>
      <c r="F27" s="460">
        <f ca="1">F21+F23+F24+F25</f>
        <v>50316.666666666664</v>
      </c>
      <c r="G27" s="460">
        <f t="shared" ca="1" si="0"/>
        <v>53883.333333333336</v>
      </c>
      <c r="H27" s="460">
        <f t="shared" ca="1" si="0"/>
        <v>52653.333333333336</v>
      </c>
      <c r="I27" s="460">
        <f t="shared" ca="1" si="0"/>
        <v>54391.666666666664</v>
      </c>
      <c r="J27" s="460">
        <f t="shared" ca="1" si="0"/>
        <v>50661.666666666664</v>
      </c>
      <c r="K27" s="464">
        <f ca="1">K21+K23+K24+K25</f>
        <v>55883.333333333336</v>
      </c>
      <c r="L27" s="464">
        <f t="shared" ca="1" si="0"/>
        <v>52741.666666666664</v>
      </c>
      <c r="M27" s="33"/>
      <c r="N27" s="33"/>
      <c r="O27" s="33"/>
      <c r="P27" s="175"/>
      <c r="Q27" s="174"/>
      <c r="R27" s="174"/>
      <c r="S27" s="174"/>
      <c r="T27" s="49"/>
    </row>
    <row r="28" spans="1:20">
      <c r="A28" s="22" t="s">
        <v>29</v>
      </c>
      <c r="B28" s="18">
        <v>45100</v>
      </c>
      <c r="C28" s="18">
        <v>42315</v>
      </c>
      <c r="D28" s="18">
        <v>46150</v>
      </c>
      <c r="E28" s="23"/>
      <c r="F28" s="18">
        <v>41975</v>
      </c>
      <c r="G28" s="18">
        <v>44300</v>
      </c>
      <c r="H28" s="18"/>
      <c r="I28" s="18">
        <v>44300</v>
      </c>
      <c r="J28" s="18">
        <f>38000+2700+270</f>
        <v>40970</v>
      </c>
      <c r="K28" s="270"/>
      <c r="L28" s="298"/>
      <c r="N28" s="33"/>
      <c r="O28" s="33"/>
      <c r="P28" s="175"/>
      <c r="Q28" s="27"/>
      <c r="R28" s="174"/>
      <c r="S28" s="174"/>
      <c r="T28" s="49"/>
    </row>
    <row r="29" spans="1:20">
      <c r="A29" s="22" t="s">
        <v>30</v>
      </c>
      <c r="B29" s="18">
        <f>B26-B28</f>
        <v>4926.923076923078</v>
      </c>
      <c r="C29" s="18">
        <f>C26-C28</f>
        <v>4976.923076923078</v>
      </c>
      <c r="D29" s="18">
        <f>D26-D28</f>
        <v>4207.6923076923049</v>
      </c>
      <c r="E29" s="18">
        <f>E26-E28</f>
        <v>47421.153846153844</v>
      </c>
      <c r="F29" s="18">
        <f>F26-F28</f>
        <v>4976.923076923078</v>
      </c>
      <c r="G29" s="18">
        <f>G26-G28</f>
        <v>4926.923076923078</v>
      </c>
      <c r="H29" s="18">
        <f>H26-H28</f>
        <v>48293.076923076922</v>
      </c>
      <c r="I29" s="18">
        <f>I26-I28</f>
        <v>4961.538461538461</v>
      </c>
      <c r="J29" s="18">
        <f>J26-J28</f>
        <v>7284.6153846153829</v>
      </c>
      <c r="K29" s="174"/>
      <c r="L29" s="19"/>
      <c r="M29" s="69"/>
      <c r="N29" s="174"/>
      <c r="O29" s="464"/>
      <c r="P29" s="174"/>
      <c r="Q29" s="174"/>
      <c r="R29" s="174"/>
      <c r="S29" s="174"/>
      <c r="T29" s="49"/>
    </row>
    <row r="30" spans="1:20">
      <c r="A30" s="14"/>
      <c r="B30" s="19"/>
      <c r="C30" s="14"/>
      <c r="D30" s="14"/>
      <c r="E30" s="14"/>
      <c r="F30" s="14"/>
      <c r="G30" s="19">
        <f>G28-2500</f>
        <v>41800</v>
      </c>
      <c r="H30" s="14"/>
      <c r="I30" s="14"/>
      <c r="J30" s="14"/>
      <c r="K30" s="174"/>
      <c r="L30" s="19"/>
      <c r="M30" s="69"/>
      <c r="N30" s="174"/>
      <c r="O30" s="33"/>
      <c r="P30" s="466"/>
      <c r="Q30" s="174"/>
      <c r="R30" s="174"/>
      <c r="S30" s="174"/>
      <c r="T30" s="49"/>
    </row>
    <row r="31" spans="1:20">
      <c r="A31" s="22" t="s">
        <v>31</v>
      </c>
      <c r="B31" s="23">
        <v>48300</v>
      </c>
      <c r="C31" s="23">
        <v>45550</v>
      </c>
      <c r="D31" s="18">
        <v>48800</v>
      </c>
      <c r="E31" s="18">
        <v>45550</v>
      </c>
      <c r="F31" s="18">
        <v>45550</v>
      </c>
      <c r="G31" s="18">
        <v>47500</v>
      </c>
      <c r="H31" s="18">
        <v>47800</v>
      </c>
      <c r="I31" s="18">
        <v>48300</v>
      </c>
      <c r="J31" s="18"/>
      <c r="K31" s="174"/>
      <c r="L31" s="48"/>
      <c r="M31" s="69"/>
      <c r="N31" s="48"/>
      <c r="O31" s="48"/>
      <c r="P31" s="117"/>
      <c r="Q31" s="174"/>
      <c r="R31" s="174"/>
      <c r="S31" s="174"/>
      <c r="T31" s="49"/>
    </row>
    <row r="32" spans="1:20">
      <c r="A32" s="22" t="s">
        <v>32</v>
      </c>
      <c r="B32" s="26">
        <f>B31-500-(200+300+300)-250-400</f>
        <v>46350</v>
      </c>
      <c r="C32" s="26">
        <f>C31-500-(200+300+300)-250-400</f>
        <v>43600</v>
      </c>
      <c r="D32" s="26">
        <f>D31-500-(200+300+300)-250-400</f>
        <v>46850</v>
      </c>
      <c r="E32" s="26">
        <f>E31-500-(200+300+300)-250-400</f>
        <v>43600</v>
      </c>
      <c r="F32" s="26">
        <f>F31-500-(200+300+300)-250-400</f>
        <v>43600</v>
      </c>
      <c r="G32" s="26">
        <f>G31-500-(200+300+300)-250-400</f>
        <v>45550</v>
      </c>
      <c r="H32" s="26">
        <f>H31-500-(200+300+300)-250-400</f>
        <v>45850</v>
      </c>
      <c r="I32" s="26">
        <f>I31-500-(200+300+300)-250-400</f>
        <v>46350</v>
      </c>
      <c r="J32" s="269"/>
      <c r="K32" s="174"/>
      <c r="M32" s="48"/>
      <c r="N32" s="48"/>
      <c r="O32" s="48"/>
      <c r="P32" s="117"/>
      <c r="Q32" s="174"/>
      <c r="R32" s="174"/>
      <c r="S32" s="174"/>
      <c r="T32" s="49"/>
    </row>
    <row r="33" spans="1:25 16384:16384">
      <c r="A33" s="25" t="s">
        <v>33</v>
      </c>
      <c r="B33" s="18">
        <f>B32-B26</f>
        <v>-3676.923076923078</v>
      </c>
      <c r="C33" s="18">
        <f>C32-C26</f>
        <v>-3691.923076923078</v>
      </c>
      <c r="D33" s="18">
        <f>D32-D26</f>
        <v>-3507.6923076923049</v>
      </c>
      <c r="E33" s="18">
        <f>E32-E26</f>
        <v>-3821.1538461538439</v>
      </c>
      <c r="F33" s="18">
        <f>F32-F26</f>
        <v>-3351.923076923078</v>
      </c>
      <c r="G33" s="18">
        <f>G32-G26</f>
        <v>-3676.923076923078</v>
      </c>
      <c r="H33" s="18">
        <f>H32-H26</f>
        <v>-2443.076923076922</v>
      </c>
      <c r="I33" s="18">
        <f>I32-I26</f>
        <v>-2911.538461538461</v>
      </c>
      <c r="J33" s="270"/>
      <c r="K33" s="174"/>
      <c r="L33" s="48"/>
      <c r="M33" s="48"/>
      <c r="N33" s="48"/>
      <c r="O33" s="48"/>
      <c r="P33" s="117"/>
      <c r="Q33" s="466"/>
      <c r="R33" s="467"/>
      <c r="S33" s="174"/>
      <c r="T33" s="49"/>
      <c r="U33" s="33"/>
    </row>
    <row r="34" spans="1:25 16384:16384" ht="10.5" customHeight="1">
      <c r="I34" s="33"/>
      <c r="J34" s="49"/>
      <c r="K34" s="48"/>
      <c r="L34" s="48"/>
      <c r="M34" s="48"/>
      <c r="N34" s="48"/>
      <c r="O34" s="48"/>
      <c r="P34" s="117"/>
      <c r="Q34" s="174"/>
      <c r="R34" s="174"/>
      <c r="S34" s="174"/>
      <c r="T34" s="49"/>
      <c r="U34" s="33"/>
      <c r="V34" s="146"/>
      <c r="W34" s="19"/>
      <c r="X34" s="48"/>
      <c r="Y34" s="48"/>
    </row>
    <row r="35" spans="1:25 16384:16384">
      <c r="A35" s="28" t="s">
        <v>141</v>
      </c>
      <c r="B35" s="380">
        <f>52250+750</f>
        <v>53000</v>
      </c>
      <c r="C35" s="380">
        <v>51000</v>
      </c>
      <c r="D35" s="380">
        <v>53500</v>
      </c>
      <c r="E35" s="380"/>
      <c r="F35" s="380">
        <v>51000</v>
      </c>
      <c r="G35" s="380">
        <f>B35-750</f>
        <v>52250</v>
      </c>
      <c r="H35" s="380"/>
      <c r="I35" s="380"/>
      <c r="J35" s="381">
        <f>C35</f>
        <v>51000</v>
      </c>
      <c r="K35" s="382"/>
      <c r="L35" s="382"/>
      <c r="M35" s="48"/>
      <c r="N35" s="265"/>
      <c r="O35" s="266"/>
      <c r="P35" s="117"/>
      <c r="Q35" s="174"/>
      <c r="R35" s="174"/>
      <c r="S35" s="174"/>
      <c r="T35" s="49"/>
      <c r="V35" s="146"/>
      <c r="W35" s="48"/>
      <c r="X35" s="48"/>
      <c r="Y35" s="48"/>
    </row>
    <row r="36" spans="1:25 16384:16384" ht="15.75" customHeight="1">
      <c r="A36" s="28" t="s">
        <v>144</v>
      </c>
      <c r="B36" s="383"/>
      <c r="C36" s="383"/>
      <c r="D36" s="383"/>
      <c r="E36" s="384"/>
      <c r="F36" s="383"/>
      <c r="G36" s="383"/>
      <c r="H36" s="383"/>
      <c r="I36" s="380">
        <v>53000</v>
      </c>
      <c r="J36" s="382"/>
      <c r="K36" s="385">
        <v>53750</v>
      </c>
      <c r="L36" s="381">
        <v>52500</v>
      </c>
      <c r="M36" s="48"/>
      <c r="N36" s="265"/>
      <c r="O36" s="266"/>
      <c r="P36" s="407"/>
      <c r="Q36" s="117"/>
      <c r="R36" s="117"/>
      <c r="S36" s="117"/>
      <c r="T36" s="49"/>
      <c r="V36" s="69"/>
      <c r="W36" s="48"/>
      <c r="X36" s="48"/>
      <c r="Y36" s="48"/>
      <c r="XFD36" s="96" t="s">
        <v>68</v>
      </c>
    </row>
    <row r="37" spans="1:25 16384:16384">
      <c r="C37" s="52"/>
      <c r="D37" s="118"/>
      <c r="E37" s="118"/>
      <c r="F37" s="58"/>
      <c r="G37" s="118"/>
      <c r="H37" s="118"/>
    </row>
    <row r="38" spans="1:25 16384:16384">
      <c r="C38" s="52"/>
      <c r="D38" s="118">
        <f ca="1">D27+500+200</f>
        <v>53841.666666666664</v>
      </c>
      <c r="E38" s="118"/>
      <c r="F38" s="58"/>
      <c r="G38" s="118"/>
      <c r="H38" s="118"/>
      <c r="P38" s="33"/>
    </row>
    <row r="39" spans="1:25 16384:16384">
      <c r="B39" s="33">
        <f ca="1">B27+2000</f>
        <v>56683.333333333336</v>
      </c>
      <c r="C39" s="33">
        <f ca="1">C27+2000</f>
        <v>52656.666666666664</v>
      </c>
      <c r="D39" s="33">
        <f ca="1">D27+2000</f>
        <v>55141.666666666664</v>
      </c>
      <c r="E39" s="33">
        <f ca="1">E27+2000</f>
        <v>52483.333333333336</v>
      </c>
      <c r="F39" s="33">
        <f ca="1">F27+2000</f>
        <v>52316.666666666664</v>
      </c>
      <c r="G39" s="33">
        <f ca="1">G27+2000</f>
        <v>55883.333333333336</v>
      </c>
      <c r="H39" s="33">
        <f ca="1">H27+2000</f>
        <v>54653.333333333336</v>
      </c>
      <c r="I39" s="33">
        <f ca="1">I27+2000</f>
        <v>56391.666666666664</v>
      </c>
      <c r="J39" s="33">
        <f ca="1">J27+2000</f>
        <v>52661.666666666664</v>
      </c>
      <c r="K39" s="33">
        <f ca="1">K27+2000</f>
        <v>57883.333333333336</v>
      </c>
      <c r="L39" s="33">
        <f ca="1">L27+2000</f>
        <v>54741.666666666664</v>
      </c>
      <c r="M39" s="33"/>
      <c r="Q39" s="49"/>
      <c r="R39" s="49"/>
      <c r="S39" s="49"/>
    </row>
    <row r="40" spans="1:25 16384:16384">
      <c r="Q40" s="33"/>
      <c r="R40" s="33"/>
      <c r="S40" s="33"/>
    </row>
    <row r="41" spans="1:25 16384:16384">
      <c r="O41" s="33"/>
      <c r="R41" s="174"/>
    </row>
    <row r="45" spans="1:25 16384:16384">
      <c r="S45" s="33"/>
    </row>
    <row r="46" spans="1:25 16384:16384">
      <c r="S46" s="33"/>
    </row>
    <row r="47" spans="1:25 16384:16384">
      <c r="S47" s="33"/>
    </row>
    <row r="49" spans="3:12">
      <c r="C49" s="120"/>
      <c r="D49" s="120"/>
      <c r="E49" s="120"/>
      <c r="F49" s="120"/>
      <c r="G49" s="120"/>
      <c r="H49" s="120"/>
      <c r="I49" s="120"/>
      <c r="J49" s="120"/>
      <c r="K49" s="120"/>
      <c r="L49" s="120"/>
    </row>
    <row r="50" spans="3:12">
      <c r="C50" s="120"/>
      <c r="D50" s="121"/>
      <c r="E50" s="122"/>
      <c r="F50" s="122"/>
      <c r="G50" s="122"/>
      <c r="H50" s="122"/>
      <c r="I50" s="122"/>
      <c r="J50" s="122"/>
      <c r="K50" s="122"/>
      <c r="L50" s="122"/>
    </row>
    <row r="51" spans="3:12">
      <c r="C51" s="120"/>
      <c r="D51" s="121"/>
      <c r="E51" s="122"/>
      <c r="F51" s="122"/>
      <c r="G51" s="122"/>
      <c r="H51" s="122"/>
      <c r="I51" s="122"/>
      <c r="J51" s="122"/>
      <c r="K51" s="122"/>
      <c r="L51" s="122"/>
    </row>
    <row r="52" spans="3:12">
      <c r="C52" s="120"/>
      <c r="D52" s="121"/>
      <c r="E52" s="122"/>
      <c r="F52" s="122"/>
      <c r="G52" s="122"/>
      <c r="H52" s="122"/>
      <c r="I52" s="122"/>
      <c r="J52" s="122"/>
      <c r="K52" s="122"/>
      <c r="L52" s="122"/>
    </row>
    <row r="53" spans="3:12">
      <c r="C53" s="120"/>
      <c r="D53" s="121"/>
      <c r="E53" s="122"/>
      <c r="F53" s="122"/>
      <c r="G53" s="122"/>
      <c r="H53" s="122"/>
      <c r="I53" s="122"/>
      <c r="J53" s="122"/>
      <c r="K53" s="122"/>
      <c r="L53" s="122"/>
    </row>
    <row r="54" spans="3:12">
      <c r="C54" s="120"/>
      <c r="D54" s="120"/>
      <c r="E54" s="123"/>
      <c r="F54" s="123"/>
      <c r="G54" s="123"/>
      <c r="H54" s="123"/>
      <c r="I54" s="123"/>
      <c r="J54" s="123"/>
      <c r="K54" s="123"/>
      <c r="L54" s="123"/>
    </row>
  </sheetData>
  <mergeCells count="1">
    <mergeCell ref="B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30E1C-8045-42C8-AED0-0621796493FF}">
  <dimension ref="A1:XFD54"/>
  <sheetViews>
    <sheetView workbookViewId="0">
      <pane ySplit="2" topLeftCell="A3" activePane="bottomLeft" state="frozen"/>
      <selection pane="bottomLeft" activeCell="D27" sqref="D27"/>
    </sheetView>
  </sheetViews>
  <sheetFormatPr defaultColWidth="15.85546875" defaultRowHeight="15"/>
  <cols>
    <col min="1" max="1" width="27.85546875" customWidth="1"/>
    <col min="2" max="2" width="15.28515625" customWidth="1"/>
    <col min="3" max="10" width="10.7109375" customWidth="1"/>
    <col min="11" max="13" width="15.140625" customWidth="1"/>
    <col min="14" max="14" width="15.5703125" customWidth="1"/>
    <col min="15" max="15" width="23.140625" customWidth="1"/>
    <col min="16" max="16" width="17.140625" customWidth="1"/>
    <col min="17" max="17" width="15.140625" customWidth="1"/>
    <col min="18" max="18" width="19.5703125" style="27" customWidth="1"/>
    <col min="19" max="19" width="15" customWidth="1"/>
    <col min="20" max="20" width="22.5703125" bestFit="1" customWidth="1"/>
    <col min="21" max="21" width="25.28515625" bestFit="1" customWidth="1"/>
  </cols>
  <sheetData>
    <row r="1" spans="1:22">
      <c r="A1" s="81"/>
      <c r="B1" s="519" t="s">
        <v>0</v>
      </c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527"/>
      <c r="N1" s="527"/>
      <c r="O1" s="527"/>
      <c r="P1" s="527"/>
      <c r="Q1" s="527"/>
    </row>
    <row r="2" spans="1:22">
      <c r="A2" s="82" t="s">
        <v>1</v>
      </c>
      <c r="B2" s="470" t="s">
        <v>2</v>
      </c>
      <c r="C2" s="470" t="s">
        <v>3</v>
      </c>
      <c r="D2" s="470" t="s">
        <v>4</v>
      </c>
      <c r="E2" s="470" t="s">
        <v>5</v>
      </c>
      <c r="F2" s="470" t="s">
        <v>6</v>
      </c>
      <c r="G2" s="470" t="s">
        <v>7</v>
      </c>
      <c r="H2" s="470" t="s">
        <v>8</v>
      </c>
      <c r="I2" s="470" t="s">
        <v>9</v>
      </c>
      <c r="J2" s="470" t="s">
        <v>10</v>
      </c>
      <c r="K2" s="470" t="s">
        <v>11</v>
      </c>
      <c r="L2" s="470" t="s">
        <v>12</v>
      </c>
      <c r="M2" s="470" t="s">
        <v>13</v>
      </c>
      <c r="N2" s="470" t="s">
        <v>14</v>
      </c>
      <c r="O2" s="470" t="s">
        <v>15</v>
      </c>
      <c r="P2" s="470" t="s">
        <v>16</v>
      </c>
      <c r="Q2" s="471" t="s">
        <v>17</v>
      </c>
    </row>
    <row r="3" spans="1:22">
      <c r="A3" s="83">
        <v>46069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7"/>
      <c r="Q3" s="36"/>
    </row>
    <row r="4" spans="1:22">
      <c r="A4" s="83">
        <v>46070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7"/>
      <c r="Q4" s="36"/>
    </row>
    <row r="5" spans="1:22">
      <c r="A5" s="83">
        <v>46071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7"/>
      <c r="Q5" s="36"/>
      <c r="T5" s="27"/>
      <c r="U5" s="27"/>
      <c r="V5" s="27"/>
    </row>
    <row r="6" spans="1:22">
      <c r="A6" s="83">
        <v>46072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7"/>
      <c r="Q6" s="36"/>
      <c r="T6" s="27"/>
      <c r="U6" s="27"/>
      <c r="V6" s="27"/>
    </row>
    <row r="7" spans="1:22">
      <c r="A7" s="83">
        <v>46073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7"/>
      <c r="Q7" s="36"/>
      <c r="R7" s="455"/>
      <c r="T7" s="27"/>
      <c r="U7" s="27"/>
      <c r="V7" s="27"/>
    </row>
    <row r="8" spans="1:22">
      <c r="A8" s="83">
        <v>46074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7"/>
      <c r="Q8" s="36"/>
      <c r="T8" s="27"/>
      <c r="U8" s="27"/>
      <c r="V8" s="27"/>
    </row>
    <row r="9" spans="1:22">
      <c r="A9" s="83">
        <v>46075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7"/>
      <c r="Q9" s="36"/>
      <c r="T9" s="27"/>
      <c r="U9" s="27"/>
      <c r="V9" s="27"/>
    </row>
    <row r="10" spans="1:22">
      <c r="A10" s="83">
        <v>46076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7"/>
      <c r="Q10" s="36"/>
    </row>
    <row r="11" spans="1:22">
      <c r="A11" s="83">
        <v>46077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7"/>
      <c r="Q11" s="36"/>
      <c r="R11" s="456"/>
    </row>
    <row r="12" spans="1:22">
      <c r="A12" s="83">
        <v>46078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  <c r="Q12" s="36"/>
      <c r="V12" s="472">
        <f ca="1">TODAY()-15</f>
        <v>46109</v>
      </c>
    </row>
    <row r="13" spans="1:22">
      <c r="A13" s="83">
        <v>46079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7"/>
      <c r="Q13" s="36"/>
      <c r="S13" s="33"/>
    </row>
    <row r="14" spans="1:22">
      <c r="A14" s="83">
        <v>46080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7"/>
      <c r="Q14" s="36"/>
      <c r="S14" s="33"/>
      <c r="T14" s="33"/>
    </row>
    <row r="15" spans="1:22">
      <c r="A15" s="83">
        <v>46081</v>
      </c>
      <c r="B15" s="36">
        <f>_xlfn.XLOOKUP(A15,'steel Mint data'!A:A,'steel Mint data'!B:B,"",0)</f>
        <v>47500</v>
      </c>
      <c r="C15" s="36"/>
      <c r="D15" s="36"/>
      <c r="E15" s="36">
        <f>_xlfn.XLOOKUP(A15,'steel Mint data'!A:A,'steel Mint data'!D:D,"",0)</f>
        <v>47850</v>
      </c>
      <c r="F15" s="36">
        <f>_xlfn.XLOOKUP(A15,'steel Mint data'!A:A,'steel Mint data'!E:E,"",0)</f>
        <v>44900</v>
      </c>
      <c r="G15" s="36"/>
      <c r="H15" s="36"/>
      <c r="I15" s="36">
        <f>_xlfn.XLOOKUP(A15,'steel Mint data'!A:A,'steel Mint data'!I:I,"",0)</f>
        <v>46200</v>
      </c>
      <c r="J15" s="36"/>
      <c r="K15" s="36">
        <f>_xlfn.XLOOKUP(A15,'steel Mint data'!A:A,'steel Mint data'!L:L,"",0)</f>
        <v>47600</v>
      </c>
      <c r="L15" s="36"/>
      <c r="M15" s="36"/>
      <c r="N15" s="36"/>
      <c r="O15" s="36"/>
      <c r="P15" s="37">
        <f>_xlfn.XLOOKUP(A15,'steel Mint data'!A:A,'steel Mint data'!Q:Q,"",0)</f>
        <v>43600</v>
      </c>
      <c r="Q15" s="36">
        <f>_xlfn.XLOOKUP(A15,'steel Mint data'!A:A,'steel Mint data'!R:R,"",0)</f>
        <v>43800</v>
      </c>
      <c r="R15" s="175"/>
      <c r="S15" s="33"/>
      <c r="T15" s="33"/>
    </row>
    <row r="16" spans="1:22">
      <c r="A16" s="83">
        <v>46082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  <c r="Q16" s="36"/>
      <c r="S16" s="33"/>
      <c r="T16" s="33"/>
    </row>
    <row r="17" spans="1:20">
      <c r="A17" s="83">
        <v>46083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36"/>
      <c r="S17" s="33"/>
    </row>
    <row r="18" spans="1:20">
      <c r="A18" s="83">
        <v>46084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7"/>
      <c r="Q18" s="36"/>
      <c r="S18" s="33"/>
      <c r="T18" s="33"/>
    </row>
    <row r="19" spans="1:20">
      <c r="A19" s="83"/>
      <c r="B19" s="15">
        <f>SUM(B3:B18)</f>
        <v>47500</v>
      </c>
      <c r="C19" s="14"/>
      <c r="D19" s="14"/>
      <c r="E19" s="15">
        <f>SUM(E3:E18)</f>
        <v>47850</v>
      </c>
      <c r="F19" s="15">
        <f>SUM(F3:F18)</f>
        <v>44900</v>
      </c>
      <c r="G19" s="14"/>
      <c r="H19" s="14"/>
      <c r="I19" s="15">
        <f>SUM(I3:I18)</f>
        <v>46200</v>
      </c>
      <c r="J19" s="14"/>
      <c r="K19" s="15">
        <f>SUM(K3:K18)</f>
        <v>47600</v>
      </c>
      <c r="L19" s="14"/>
      <c r="M19" s="14"/>
      <c r="N19" s="14"/>
      <c r="O19" s="14"/>
      <c r="P19" s="15">
        <f>SUM(P3:P18)</f>
        <v>43600</v>
      </c>
      <c r="Q19" s="15">
        <f>SUM(Q3:Q18)</f>
        <v>43800</v>
      </c>
      <c r="S19" s="33"/>
      <c r="T19" s="33"/>
    </row>
    <row r="20" spans="1:20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23</v>
      </c>
      <c r="H20" s="16" t="s">
        <v>39</v>
      </c>
      <c r="I20" s="16" t="s">
        <v>46</v>
      </c>
      <c r="J20" s="16" t="s">
        <v>126</v>
      </c>
      <c r="K20" s="282" t="s">
        <v>23</v>
      </c>
      <c r="L20" s="282" t="s">
        <v>147</v>
      </c>
      <c r="M20" s="19"/>
      <c r="N20" s="19"/>
      <c r="O20" s="14"/>
      <c r="P20" s="21"/>
      <c r="Q20" s="14"/>
      <c r="S20" s="33"/>
      <c r="T20" s="33"/>
    </row>
    <row r="21" spans="1:20" ht="29.25">
      <c r="A21" s="462" t="s">
        <v>165</v>
      </c>
      <c r="B21" s="458">
        <f ca="1">AVERAGEIFS('steel Mint data'!D:D, 'steel Mint data'!A:A, "&gt;="&amp;TODAY()-15, 'steel Mint data'!A:A, "&lt;="&amp;TODAY())</f>
        <v>52783.333333333336</v>
      </c>
      <c r="C21" s="458">
        <f ca="1">AVERAGEIFS('steel Mint data'!Q:Q, 'steel Mint data'!A:A, "&gt;="&amp;TODAY()-15, 'steel Mint data'!A:A, "&lt;="&amp;TODAY())</f>
        <v>47741.666666666664</v>
      </c>
      <c r="D21" s="458">
        <f ca="1">AVERAGEIFS('steel Mint data'!L:L, 'steel Mint data'!A:A, "&gt;="&amp;TODAY()-15, 'steel Mint data'!A:A, "&lt;="&amp;TODAY())</f>
        <v>51991.666666666664</v>
      </c>
      <c r="E21" s="458">
        <f ca="1">AVERAGEIFS('steel Mint data'!R:R, 'steel Mint data'!A:A, "&gt;="&amp;TODAY()-15, 'steel Mint data'!A:A, "&lt;="&amp;TODAY())</f>
        <v>47508.333333333336</v>
      </c>
      <c r="F21" s="458">
        <f ca="1">AVERAGEIFS('steel Mint data'!Q:Q, 'steel Mint data'!A:A, "&gt;="&amp;TODAY()-15, 'steel Mint data'!A:A, "&lt;="&amp;TODAY())</f>
        <v>47741.666666666664</v>
      </c>
      <c r="G21" s="458">
        <f ca="1">B21-800</f>
        <v>51983.333333333336</v>
      </c>
      <c r="H21" s="458">
        <f ca="1">AVERAGEIFS('steel Mint data'!I:I, 'steel Mint data'!A:A, "&gt;="&amp;TODAY()-15, 'steel Mint data'!A:A, "&lt;="&amp;TODAY())</f>
        <v>51083.333333333336</v>
      </c>
      <c r="I21" s="458">
        <f ca="1">AVERAGEIFS('steel Mint data'!B:B, 'steel Mint data'!A:A, "&gt;="&amp;TODAY()-15, 'steel Mint data'!A:A, "&lt;="&amp;TODAY())</f>
        <v>53691.666666666664</v>
      </c>
      <c r="J21" s="458">
        <f ca="1">AVERAGEIFS('steel Mint data'!E:E, 'steel Mint data'!A:A, "&gt;="&amp;TODAY()-15, 'steel Mint data'!A:A, "&lt;="&amp;TODAY())</f>
        <v>47191.666666666664</v>
      </c>
      <c r="K21" s="459">
        <f ca="1">B21-800</f>
        <v>51983.333333333336</v>
      </c>
      <c r="L21" s="459">
        <f ca="1">AVERAGEIFS('steel Mint data'!Q:Q, 'steel Mint data'!A:A, "&gt;="&amp;TODAY()-15, 'steel Mint data'!A:A, "&lt;="&amp;TODAY())</f>
        <v>47741.666666666664</v>
      </c>
      <c r="M21" s="19"/>
      <c r="N21" s="19"/>
      <c r="O21" s="14"/>
      <c r="P21" s="21"/>
      <c r="Q21" s="14"/>
      <c r="S21" s="33"/>
      <c r="T21" s="33"/>
    </row>
    <row r="22" spans="1:20">
      <c r="A22" s="17" t="s">
        <v>25</v>
      </c>
      <c r="B22" s="18">
        <f>E19/O22</f>
        <v>47850</v>
      </c>
      <c r="C22" s="18">
        <f>P19/O22</f>
        <v>43600</v>
      </c>
      <c r="D22" s="18">
        <f>K19/O22</f>
        <v>47600</v>
      </c>
      <c r="E22" s="18">
        <f>Q19/O22</f>
        <v>43800</v>
      </c>
      <c r="F22" s="18">
        <f>C22</f>
        <v>43600</v>
      </c>
      <c r="G22" s="18">
        <f>B22-800</f>
        <v>47050</v>
      </c>
      <c r="H22" s="18">
        <f>I19/O22</f>
        <v>46200</v>
      </c>
      <c r="I22" s="18">
        <f>B19/(O22)</f>
        <v>47500</v>
      </c>
      <c r="J22" s="18">
        <f>F19/O22</f>
        <v>44900</v>
      </c>
      <c r="K22" s="283">
        <f>B22-800</f>
        <v>47050</v>
      </c>
      <c r="L22" s="283">
        <f>P19/O22</f>
        <v>43600</v>
      </c>
      <c r="M22" s="146"/>
      <c r="N22" s="19"/>
      <c r="O22" s="463">
        <f>COUNT(E3:E18)</f>
        <v>1</v>
      </c>
      <c r="P22" s="21"/>
      <c r="Q22" s="465"/>
      <c r="R22" s="174"/>
      <c r="S22" s="174"/>
      <c r="T22" s="33"/>
    </row>
    <row r="23" spans="1:20">
      <c r="A23" s="17" t="s">
        <v>26</v>
      </c>
      <c r="B23" s="18">
        <v>1200</v>
      </c>
      <c r="C23" s="18">
        <v>2150</v>
      </c>
      <c r="D23" s="18">
        <v>400</v>
      </c>
      <c r="E23" s="18">
        <v>2200</v>
      </c>
      <c r="F23" s="18">
        <v>1800</v>
      </c>
      <c r="G23" s="18">
        <v>1200</v>
      </c>
      <c r="H23" s="18">
        <v>800</v>
      </c>
      <c r="I23" s="18">
        <v>0</v>
      </c>
      <c r="J23" s="18">
        <v>2700</v>
      </c>
      <c r="K23" s="283">
        <v>3200</v>
      </c>
      <c r="L23" s="283">
        <v>4235</v>
      </c>
      <c r="M23" s="33"/>
      <c r="P23" s="175"/>
      <c r="Q23" s="27"/>
      <c r="S23" s="27"/>
    </row>
    <row r="24" spans="1:20">
      <c r="A24" s="17" t="s">
        <v>27</v>
      </c>
      <c r="B24" s="18">
        <v>200</v>
      </c>
      <c r="C24" s="18">
        <v>265</v>
      </c>
      <c r="D24" s="18">
        <v>250</v>
      </c>
      <c r="E24" s="18">
        <v>275</v>
      </c>
      <c r="F24" s="18">
        <v>275</v>
      </c>
      <c r="G24" s="18">
        <v>200</v>
      </c>
      <c r="H24" s="18">
        <v>270</v>
      </c>
      <c r="I24" s="18">
        <v>200</v>
      </c>
      <c r="J24" s="18">
        <v>270</v>
      </c>
      <c r="K24" s="283">
        <v>200</v>
      </c>
      <c r="L24" s="283">
        <v>265</v>
      </c>
      <c r="N24" s="33"/>
      <c r="O24" s="33"/>
      <c r="P24" s="27"/>
      <c r="Q24" s="27"/>
      <c r="S24" s="27">
        <f>57550-3800</f>
        <v>53750</v>
      </c>
    </row>
    <row r="25" spans="1:20">
      <c r="A25" s="17" t="s">
        <v>166</v>
      </c>
      <c r="B25" s="18">
        <v>500</v>
      </c>
      <c r="C25" s="18">
        <f>B25</f>
        <v>500</v>
      </c>
      <c r="D25" s="18">
        <f>B25</f>
        <v>500</v>
      </c>
      <c r="E25" s="18">
        <f>B25</f>
        <v>500</v>
      </c>
      <c r="F25" s="18">
        <v>500</v>
      </c>
      <c r="G25" s="18">
        <f>B25</f>
        <v>500</v>
      </c>
      <c r="H25" s="18">
        <f>B25</f>
        <v>500</v>
      </c>
      <c r="I25" s="18">
        <f>B25</f>
        <v>500</v>
      </c>
      <c r="J25" s="18">
        <f>B25</f>
        <v>500</v>
      </c>
      <c r="K25" s="283">
        <f>B25</f>
        <v>500</v>
      </c>
      <c r="L25" s="283">
        <v>500</v>
      </c>
      <c r="N25" s="33"/>
      <c r="O25" s="33">
        <f ca="1">57000-2100-K27</f>
        <v>-983.33333333333576</v>
      </c>
      <c r="P25" s="175"/>
      <c r="Q25" s="27"/>
      <c r="S25" s="27"/>
    </row>
    <row r="26" spans="1:20" ht="19.5" customHeight="1">
      <c r="A26" s="22" t="s">
        <v>28</v>
      </c>
      <c r="B26" s="461">
        <f>SUM(B22:B25)</f>
        <v>49750</v>
      </c>
      <c r="C26" s="461">
        <f>SUM(C22:C25)</f>
        <v>46515</v>
      </c>
      <c r="D26" s="461">
        <f>SUM(D22:D25)</f>
        <v>48750</v>
      </c>
      <c r="E26" s="461">
        <f>SUM(E22:E25)</f>
        <v>46775</v>
      </c>
      <c r="F26" s="461">
        <f>SUM(F22:F25)</f>
        <v>46175</v>
      </c>
      <c r="G26" s="461">
        <f>SUM(G22:G25)</f>
        <v>48950</v>
      </c>
      <c r="H26" s="461">
        <f>SUM(H22:H25)</f>
        <v>47770</v>
      </c>
      <c r="I26" s="461">
        <f>SUM(I22:I25)</f>
        <v>48200</v>
      </c>
      <c r="J26" s="461">
        <f>SUM(J22:J25)</f>
        <v>48370</v>
      </c>
      <c r="K26" s="461">
        <f>SUM(K22:K25)</f>
        <v>50950</v>
      </c>
      <c r="L26" s="461">
        <f>SUM(L22:L25)</f>
        <v>48600</v>
      </c>
      <c r="P26" s="27"/>
      <c r="Q26" s="27"/>
      <c r="S26" s="27"/>
    </row>
    <row r="27" spans="1:20" ht="26.25" customHeight="1">
      <c r="A27" s="457" t="s">
        <v>167</v>
      </c>
      <c r="B27" s="460">
        <f ca="1">B21+B23+B24+B25</f>
        <v>54683.333333333336</v>
      </c>
      <c r="C27" s="460">
        <f t="shared" ref="C27:L27" ca="1" si="0">C21+C23+C24+C25</f>
        <v>50656.666666666664</v>
      </c>
      <c r="D27" s="460">
        <f t="shared" ca="1" si="0"/>
        <v>53141.666666666664</v>
      </c>
      <c r="E27" s="460">
        <f t="shared" ca="1" si="0"/>
        <v>50483.333333333336</v>
      </c>
      <c r="F27" s="460">
        <f ca="1">F21+F23+F24+F25</f>
        <v>50316.666666666664</v>
      </c>
      <c r="G27" s="460">
        <f t="shared" ca="1" si="0"/>
        <v>53883.333333333336</v>
      </c>
      <c r="H27" s="460">
        <f t="shared" ca="1" si="0"/>
        <v>52653.333333333336</v>
      </c>
      <c r="I27" s="460">
        <f t="shared" ca="1" si="0"/>
        <v>54391.666666666664</v>
      </c>
      <c r="J27" s="460">
        <f t="shared" ca="1" si="0"/>
        <v>50661.666666666664</v>
      </c>
      <c r="K27" s="464">
        <f ca="1">K21+K23+K24+K25</f>
        <v>55883.333333333336</v>
      </c>
      <c r="L27" s="464">
        <f ca="1">L21+L23+L24+L25</f>
        <v>52741.666666666664</v>
      </c>
      <c r="M27" s="33"/>
      <c r="N27" s="33"/>
      <c r="O27" s="33"/>
      <c r="P27" s="27"/>
      <c r="Q27" s="27"/>
      <c r="S27" s="27"/>
    </row>
    <row r="28" spans="1:20">
      <c r="A28" s="22" t="s">
        <v>29</v>
      </c>
      <c r="B28" s="18">
        <v>45100</v>
      </c>
      <c r="C28" s="18">
        <v>42315</v>
      </c>
      <c r="D28" s="18">
        <v>46150</v>
      </c>
      <c r="E28" s="23"/>
      <c r="F28" s="18">
        <v>41975</v>
      </c>
      <c r="G28" s="18">
        <v>44300</v>
      </c>
      <c r="H28" s="18"/>
      <c r="I28" s="18">
        <v>44300</v>
      </c>
      <c r="J28" s="18">
        <f>38000+2700+270</f>
        <v>40970</v>
      </c>
      <c r="K28" s="270"/>
      <c r="L28" s="298"/>
      <c r="N28" s="33"/>
      <c r="O28" s="33"/>
      <c r="P28" s="27"/>
      <c r="Q28" s="27"/>
      <c r="S28" s="27"/>
    </row>
    <row r="29" spans="1:20">
      <c r="A29" s="22" t="s">
        <v>30</v>
      </c>
      <c r="B29" s="18">
        <f>B26-B28</f>
        <v>4650</v>
      </c>
      <c r="C29" s="18">
        <f>C26-C28</f>
        <v>4200</v>
      </c>
      <c r="D29" s="18">
        <f>D26-D28</f>
        <v>2600</v>
      </c>
      <c r="E29" s="18">
        <f>E26-E28</f>
        <v>46775</v>
      </c>
      <c r="F29" s="18">
        <f>F26-F28</f>
        <v>4200</v>
      </c>
      <c r="G29" s="18">
        <f>G26-G28</f>
        <v>4650</v>
      </c>
      <c r="H29" s="18">
        <f>H26-H28</f>
        <v>47770</v>
      </c>
      <c r="I29" s="18">
        <f>I26-I28</f>
        <v>3900</v>
      </c>
      <c r="J29" s="18">
        <f>J26-J28</f>
        <v>7400</v>
      </c>
      <c r="K29" s="174"/>
      <c r="L29" s="19"/>
      <c r="M29" s="146"/>
      <c r="N29" s="33"/>
      <c r="O29" s="33"/>
      <c r="P29" s="175"/>
      <c r="Q29" s="27"/>
      <c r="S29" s="27"/>
    </row>
    <row r="30" spans="1:20">
      <c r="A30" s="14"/>
      <c r="B30" s="19"/>
      <c r="C30" s="14"/>
      <c r="D30" s="14"/>
      <c r="E30" s="14"/>
      <c r="F30" s="14"/>
      <c r="G30" s="19">
        <f>G28-2500</f>
        <v>41800</v>
      </c>
      <c r="H30" s="14"/>
      <c r="I30" s="14"/>
      <c r="J30" s="14"/>
      <c r="K30" s="174"/>
      <c r="L30" s="19"/>
      <c r="M30" s="146"/>
      <c r="N30" s="175"/>
      <c r="O30" s="488"/>
      <c r="P30" s="490"/>
      <c r="Q30" s="27"/>
      <c r="S30" s="27"/>
    </row>
    <row r="31" spans="1:20">
      <c r="A31" s="22" t="s">
        <v>31</v>
      </c>
      <c r="B31" s="23">
        <v>48300</v>
      </c>
      <c r="C31" s="23">
        <v>45550</v>
      </c>
      <c r="D31" s="18">
        <v>48800</v>
      </c>
      <c r="E31" s="18">
        <v>45550</v>
      </c>
      <c r="F31" s="18">
        <v>45550</v>
      </c>
      <c r="G31" s="18">
        <v>47500</v>
      </c>
      <c r="H31" s="18">
        <v>47800</v>
      </c>
      <c r="I31" s="18">
        <v>48300</v>
      </c>
      <c r="J31" s="18"/>
      <c r="K31" s="174"/>
      <c r="L31" s="48"/>
      <c r="M31" s="137"/>
      <c r="N31" s="175"/>
      <c r="O31" s="33"/>
      <c r="P31" s="264"/>
      <c r="Q31" s="27"/>
      <c r="S31" s="27"/>
    </row>
    <row r="32" spans="1:20">
      <c r="A32" s="22" t="s">
        <v>32</v>
      </c>
      <c r="B32" s="26">
        <f>B31-500-(200+300+300)-250-400</f>
        <v>46350</v>
      </c>
      <c r="C32" s="26">
        <f>C31-500-(200+300+300)-250-400</f>
        <v>43600</v>
      </c>
      <c r="D32" s="26">
        <f>D31-500-(200+300+300)-250-400</f>
        <v>46850</v>
      </c>
      <c r="E32" s="26">
        <f>E31-500-(200+300+300)-250-400</f>
        <v>43600</v>
      </c>
      <c r="F32" s="26">
        <f>F31-500-(200+300+300)-250-400</f>
        <v>43600</v>
      </c>
      <c r="G32" s="26">
        <f>G31-500-(200+300+300)-250-400</f>
        <v>45550</v>
      </c>
      <c r="H32" s="26">
        <f>H31-500-(200+300+300)-250-400</f>
        <v>45850</v>
      </c>
      <c r="I32" s="26">
        <f>I31-500-(200+300+300)-250-400</f>
        <v>46350</v>
      </c>
      <c r="J32" s="269"/>
      <c r="K32" s="174"/>
      <c r="L32" s="33"/>
      <c r="M32" s="19"/>
      <c r="N32" s="14"/>
      <c r="O32" s="14"/>
      <c r="P32" s="264"/>
      <c r="Q32" s="27"/>
      <c r="S32" s="27"/>
    </row>
    <row r="33" spans="1:25 16384:16384">
      <c r="A33" s="25" t="s">
        <v>33</v>
      </c>
      <c r="B33" s="18">
        <f>B32-B26</f>
        <v>-3400</v>
      </c>
      <c r="C33" s="18">
        <f>C32-C26</f>
        <v>-2915</v>
      </c>
      <c r="D33" s="18">
        <f>D32-D26</f>
        <v>-1900</v>
      </c>
      <c r="E33" s="18">
        <f>E32-E26</f>
        <v>-3175</v>
      </c>
      <c r="F33" s="18">
        <f>F32-F26</f>
        <v>-2575</v>
      </c>
      <c r="G33" s="18">
        <f>G32-G26</f>
        <v>-3400</v>
      </c>
      <c r="H33" s="18">
        <f>H32-H26</f>
        <v>-1920</v>
      </c>
      <c r="I33" s="18">
        <f>I32-I26</f>
        <v>-1850</v>
      </c>
      <c r="J33" s="270"/>
      <c r="K33" s="174"/>
      <c r="L33" s="48"/>
      <c r="M33" s="14"/>
      <c r="N33" s="19"/>
      <c r="O33" s="14"/>
      <c r="P33" s="264"/>
      <c r="Q33" s="473"/>
      <c r="R33" s="474"/>
      <c r="S33" s="27"/>
    </row>
    <row r="34" spans="1:25 16384:16384" ht="10.5" customHeight="1">
      <c r="I34" s="33"/>
      <c r="J34" s="49"/>
      <c r="K34" s="48"/>
      <c r="L34" s="48"/>
      <c r="M34" s="14"/>
      <c r="N34" s="19"/>
      <c r="O34" s="19"/>
      <c r="P34" s="264"/>
      <c r="Q34" s="27"/>
      <c r="R34" s="27">
        <v>182.5</v>
      </c>
      <c r="S34" s="27">
        <v>182.5</v>
      </c>
      <c r="V34" s="137"/>
      <c r="W34" s="14"/>
      <c r="X34" s="48"/>
      <c r="Y34" s="48"/>
    </row>
    <row r="35" spans="1:25 16384:16384">
      <c r="A35" s="28" t="s">
        <v>141</v>
      </c>
      <c r="B35" s="380">
        <f>52250+750</f>
        <v>53000</v>
      </c>
      <c r="C35" s="380">
        <v>51000</v>
      </c>
      <c r="D35" s="380">
        <v>53500</v>
      </c>
      <c r="E35" s="380"/>
      <c r="F35" s="380">
        <v>51000</v>
      </c>
      <c r="G35" s="380">
        <f>B35-750</f>
        <v>52250</v>
      </c>
      <c r="H35" s="380"/>
      <c r="I35" s="380"/>
      <c r="J35" s="381">
        <f>C35</f>
        <v>51000</v>
      </c>
      <c r="K35" s="382"/>
      <c r="L35" s="382"/>
      <c r="M35" s="14"/>
      <c r="N35" s="475"/>
      <c r="O35" s="266"/>
      <c r="P35" s="264"/>
      <c r="Q35" s="27"/>
      <c r="R35" s="27" t="s">
        <v>141</v>
      </c>
      <c r="S35" s="27" t="s">
        <v>48</v>
      </c>
      <c r="V35" s="137"/>
      <c r="W35" s="14"/>
      <c r="X35" s="48"/>
      <c r="Y35" s="48"/>
    </row>
    <row r="36" spans="1:25 16384:16384" ht="15.75" customHeight="1">
      <c r="A36" s="28" t="s">
        <v>144</v>
      </c>
      <c r="B36" s="383"/>
      <c r="C36" s="383"/>
      <c r="D36" s="383"/>
      <c r="E36" s="384"/>
      <c r="F36" s="383"/>
      <c r="G36" s="383"/>
      <c r="H36" s="383"/>
      <c r="I36" s="380">
        <v>53000</v>
      </c>
      <c r="J36" s="382"/>
      <c r="K36" s="385">
        <v>53750</v>
      </c>
      <c r="L36" s="381"/>
      <c r="M36" s="14"/>
      <c r="N36" s="489"/>
      <c r="O36" s="476"/>
      <c r="P36" s="27"/>
      <c r="Q36" s="264" t="s">
        <v>168</v>
      </c>
      <c r="R36" s="491">
        <v>46943</v>
      </c>
      <c r="S36" s="264">
        <v>48717</v>
      </c>
      <c r="V36" s="137"/>
      <c r="W36" s="14"/>
      <c r="X36" s="48"/>
      <c r="Y36" s="48"/>
      <c r="XFD36" s="96" t="s">
        <v>68</v>
      </c>
    </row>
    <row r="37" spans="1:25 16384:16384">
      <c r="C37" s="52"/>
      <c r="D37" s="118"/>
      <c r="E37" s="118"/>
      <c r="F37" s="58"/>
      <c r="G37" s="118"/>
      <c r="H37" s="118"/>
      <c r="Q37" t="s">
        <v>169</v>
      </c>
      <c r="R37" s="27">
        <v>500</v>
      </c>
      <c r="S37">
        <v>500</v>
      </c>
    </row>
    <row r="38" spans="1:25 16384:16384">
      <c r="A38" s="28" t="s">
        <v>141</v>
      </c>
      <c r="B38" s="380">
        <f>B35-250</f>
        <v>52750</v>
      </c>
      <c r="C38" s="380">
        <f t="shared" ref="C38:M38" si="1">C35-250</f>
        <v>50750</v>
      </c>
      <c r="D38" s="380">
        <f t="shared" si="1"/>
        <v>53250</v>
      </c>
      <c r="E38" s="380"/>
      <c r="F38" s="380">
        <f t="shared" si="1"/>
        <v>50750</v>
      </c>
      <c r="G38" s="380">
        <f t="shared" si="1"/>
        <v>52000</v>
      </c>
      <c r="H38" s="380"/>
      <c r="I38" s="380"/>
      <c r="J38" s="380">
        <f t="shared" si="1"/>
        <v>50750</v>
      </c>
      <c r="K38" s="380"/>
      <c r="L38" s="380"/>
      <c r="M38" s="380"/>
      <c r="O38" s="33">
        <f ca="1">55750-1500-L27</f>
        <v>1508.3333333333358</v>
      </c>
      <c r="Q38" t="s">
        <v>155</v>
      </c>
      <c r="R38" s="27">
        <v>54750</v>
      </c>
      <c r="S38">
        <v>55750</v>
      </c>
    </row>
    <row r="39" spans="1:25 16384:16384">
      <c r="A39" s="28" t="s">
        <v>144</v>
      </c>
      <c r="B39" s="383"/>
      <c r="C39" s="383"/>
      <c r="D39" s="383"/>
      <c r="E39" s="384"/>
      <c r="F39" s="383"/>
      <c r="G39" s="383"/>
      <c r="H39" s="383"/>
      <c r="I39" s="380">
        <f>53000-250</f>
        <v>52750</v>
      </c>
      <c r="J39" s="382"/>
      <c r="K39" s="385">
        <f>53750-250</f>
        <v>53500</v>
      </c>
      <c r="L39" s="381"/>
      <c r="Q39" t="s">
        <v>170</v>
      </c>
      <c r="R39">
        <v>1500</v>
      </c>
      <c r="S39">
        <v>1500</v>
      </c>
    </row>
    <row r="40" spans="1:25 16384:16384">
      <c r="Q40" t="s">
        <v>171</v>
      </c>
      <c r="R40">
        <f>R38-R39-R37-R36</f>
        <v>5807</v>
      </c>
      <c r="S40">
        <f>S38-S39-S37-S36</f>
        <v>5033</v>
      </c>
    </row>
    <row r="41" spans="1:25 16384:16384">
      <c r="Q41" t="s">
        <v>172</v>
      </c>
      <c r="R41" s="27">
        <f>R40-1500</f>
        <v>4307</v>
      </c>
      <c r="S41" s="27">
        <f>S40-1500</f>
        <v>3533</v>
      </c>
    </row>
    <row r="42" spans="1:25 16384:16384">
      <c r="S42">
        <f>SUMPRODUCT(R40:S40,R34:S34)/SUM(R34:S34)</f>
        <v>5420</v>
      </c>
    </row>
    <row r="45" spans="1:25 16384:16384">
      <c r="R45" s="27">
        <f>SUMPRODUCT(R41:S41,R34:S34)/SUM(R34:S34)</f>
        <v>3920</v>
      </c>
    </row>
    <row r="47" spans="1:25 16384:16384">
      <c r="S47" s="33"/>
    </row>
    <row r="49" spans="3:12">
      <c r="C49" s="120"/>
      <c r="D49" s="120"/>
      <c r="E49" s="120"/>
      <c r="F49" s="120"/>
      <c r="G49" s="120"/>
      <c r="H49" s="120"/>
      <c r="I49" s="120"/>
      <c r="J49" s="120"/>
      <c r="K49" s="120"/>
      <c r="L49" s="120"/>
    </row>
    <row r="50" spans="3:12">
      <c r="C50" s="120"/>
      <c r="D50" s="121"/>
      <c r="E50" s="122"/>
      <c r="F50" s="122"/>
      <c r="G50" s="122"/>
      <c r="H50" s="122"/>
      <c r="I50" s="122"/>
      <c r="J50" s="122"/>
      <c r="K50" s="122"/>
      <c r="L50" s="122"/>
    </row>
    <row r="51" spans="3:12">
      <c r="C51" s="120"/>
      <c r="D51" s="121"/>
      <c r="E51" s="122"/>
      <c r="F51" s="122"/>
      <c r="G51" s="122"/>
      <c r="H51" s="122"/>
      <c r="I51" s="122"/>
      <c r="J51" s="122"/>
      <c r="K51" s="122"/>
      <c r="L51" s="122"/>
    </row>
    <row r="52" spans="3:12">
      <c r="C52" s="120"/>
      <c r="D52" s="121"/>
      <c r="E52" s="122"/>
      <c r="F52" s="122"/>
      <c r="G52" s="122"/>
      <c r="H52" s="122"/>
      <c r="I52" s="122"/>
      <c r="J52" s="122"/>
      <c r="K52" s="122"/>
      <c r="L52" s="122"/>
    </row>
    <row r="53" spans="3:12">
      <c r="C53" s="120"/>
      <c r="D53" s="121"/>
      <c r="E53" s="122"/>
      <c r="F53" s="122"/>
      <c r="G53" s="122"/>
      <c r="H53" s="122"/>
      <c r="I53" s="122"/>
      <c r="J53" s="122"/>
      <c r="K53" s="122"/>
      <c r="L53" s="122"/>
    </row>
    <row r="54" spans="3:12">
      <c r="C54" s="120"/>
      <c r="D54" s="120"/>
      <c r="E54" s="123"/>
      <c r="F54" s="123"/>
      <c r="G54" s="123"/>
      <c r="H54" s="123"/>
      <c r="I54" s="123"/>
      <c r="J54" s="123"/>
      <c r="K54" s="123"/>
      <c r="L54" s="123"/>
    </row>
  </sheetData>
  <mergeCells count="1">
    <mergeCell ref="B1:Q1"/>
  </mergeCell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9B4CA-8564-4216-9FCE-C9D64E9CD799}">
  <dimension ref="A1:XFD54"/>
  <sheetViews>
    <sheetView workbookViewId="0">
      <pane ySplit="2" topLeftCell="A15" activePane="bottomLeft" state="frozen"/>
      <selection pane="bottomLeft" activeCell="N28" sqref="N28"/>
    </sheetView>
  </sheetViews>
  <sheetFormatPr defaultColWidth="15.85546875" defaultRowHeight="15"/>
  <cols>
    <col min="1" max="1" width="27.85546875" customWidth="1"/>
    <col min="2" max="2" width="15.28515625" customWidth="1"/>
    <col min="3" max="3" width="13.85546875" customWidth="1"/>
    <col min="4" max="4" width="10.42578125" customWidth="1"/>
    <col min="5" max="5" width="13" customWidth="1"/>
    <col min="6" max="10" width="10.7109375" customWidth="1"/>
    <col min="11" max="13" width="15.140625" customWidth="1"/>
    <col min="14" max="14" width="15.5703125" customWidth="1"/>
    <col min="15" max="15" width="23.140625" customWidth="1"/>
    <col min="16" max="16" width="17.140625" customWidth="1"/>
    <col min="17" max="17" width="15.140625" customWidth="1"/>
    <col min="18" max="18" width="19.5703125" style="27" customWidth="1"/>
    <col min="19" max="19" width="15" customWidth="1"/>
    <col min="20" max="20" width="22.5703125" bestFit="1" customWidth="1"/>
    <col min="21" max="21" width="25.28515625" bestFit="1" customWidth="1"/>
  </cols>
  <sheetData>
    <row r="1" spans="1:22">
      <c r="A1" s="81"/>
      <c r="B1" s="519" t="s">
        <v>0</v>
      </c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527"/>
      <c r="N1" s="527"/>
      <c r="O1" s="527"/>
      <c r="P1" s="527"/>
      <c r="Q1" s="527"/>
    </row>
    <row r="2" spans="1:22">
      <c r="A2" s="82" t="s">
        <v>1</v>
      </c>
      <c r="B2" s="470" t="s">
        <v>2</v>
      </c>
      <c r="C2" s="470" t="s">
        <v>3</v>
      </c>
      <c r="D2" s="470" t="s">
        <v>4</v>
      </c>
      <c r="E2" s="470" t="s">
        <v>5</v>
      </c>
      <c r="F2" s="470" t="s">
        <v>6</v>
      </c>
      <c r="G2" s="470" t="s">
        <v>7</v>
      </c>
      <c r="H2" s="470" t="s">
        <v>8</v>
      </c>
      <c r="I2" s="470" t="s">
        <v>9</v>
      </c>
      <c r="J2" s="470" t="s">
        <v>10</v>
      </c>
      <c r="K2" s="470" t="s">
        <v>11</v>
      </c>
      <c r="L2" s="470" t="s">
        <v>12</v>
      </c>
      <c r="M2" s="470" t="s">
        <v>13</v>
      </c>
      <c r="N2" s="470" t="s">
        <v>14</v>
      </c>
      <c r="O2" s="470" t="s">
        <v>15</v>
      </c>
      <c r="P2" s="470" t="s">
        <v>16</v>
      </c>
      <c r="Q2" s="471" t="s">
        <v>17</v>
      </c>
    </row>
    <row r="3" spans="1:22">
      <c r="A3" s="83">
        <v>46082</v>
      </c>
      <c r="B3" s="36" t="str">
        <f>_xlfn.XLOOKUP(A3,'steel Mint data'!A:A,'steel Mint data'!B:B,"",0)</f>
        <v>H</v>
      </c>
      <c r="C3" s="36"/>
      <c r="D3" s="36"/>
      <c r="E3" s="36" t="str">
        <f>_xlfn.XLOOKUP(A3,'steel Mint data'!A:A,'steel Mint data'!D:D,"",0)</f>
        <v>H</v>
      </c>
      <c r="F3" s="36" t="str">
        <f>_xlfn.XLOOKUP(A3,'steel Mint data'!A:A,'steel Mint data'!E:E,"",0)</f>
        <v>H</v>
      </c>
      <c r="G3" s="36"/>
      <c r="H3" s="36"/>
      <c r="I3" s="36" t="str">
        <f>_xlfn.XLOOKUP(A3,'steel Mint data'!A:A,'steel Mint data'!I:I,"",0)</f>
        <v>H</v>
      </c>
      <c r="J3" s="36"/>
      <c r="K3" s="36" t="str">
        <f>_xlfn.XLOOKUP(A3,'steel Mint data'!A:A,'steel Mint data'!L:L,"",0)</f>
        <v>H</v>
      </c>
      <c r="L3" s="36"/>
      <c r="M3" s="36"/>
      <c r="N3" s="36"/>
      <c r="O3" s="36"/>
      <c r="P3" s="37" t="str">
        <f>_xlfn.XLOOKUP(A3,'steel Mint data'!A:A,'steel Mint data'!Q:Q,"",0)</f>
        <v>H</v>
      </c>
      <c r="Q3" s="36" t="str">
        <f>_xlfn.XLOOKUP(A3,'steel Mint data'!A:A,'steel Mint data'!R:R,"",0)</f>
        <v>H</v>
      </c>
    </row>
    <row r="4" spans="1:22">
      <c r="A4" s="83">
        <v>46083</v>
      </c>
      <c r="B4" s="36">
        <f>_xlfn.XLOOKUP(A4,'steel Mint data'!A:A,'steel Mint data'!B:B,"",0)</f>
        <v>48700</v>
      </c>
      <c r="C4" s="36"/>
      <c r="D4" s="36"/>
      <c r="E4" s="36">
        <f>_xlfn.XLOOKUP(A4,'steel Mint data'!A:A,'steel Mint data'!D:D,"",0)</f>
        <v>49500</v>
      </c>
      <c r="F4" s="36">
        <f>_xlfn.XLOOKUP(A4,'steel Mint data'!A:A,'steel Mint data'!E:E,"",0)</f>
        <v>46100</v>
      </c>
      <c r="G4" s="36"/>
      <c r="H4" s="36"/>
      <c r="I4" s="36">
        <f>_xlfn.XLOOKUP(A4,'steel Mint data'!A:A,'steel Mint data'!I:I,"",0)</f>
        <v>47400</v>
      </c>
      <c r="J4" s="36"/>
      <c r="K4" s="36">
        <f>_xlfn.XLOOKUP(A4,'steel Mint data'!A:A,'steel Mint data'!L:L,"",0)</f>
        <v>48600</v>
      </c>
      <c r="L4" s="36"/>
      <c r="M4" s="36"/>
      <c r="N4" s="36"/>
      <c r="O4" s="36"/>
      <c r="P4" s="37">
        <f>_xlfn.XLOOKUP(A4,'steel Mint data'!A:A,'steel Mint data'!Q:Q,"",0)</f>
        <v>45600</v>
      </c>
      <c r="Q4" s="36">
        <f>_xlfn.XLOOKUP(A4,'steel Mint data'!A:A,'steel Mint data'!R:R,"",0)</f>
        <v>45700</v>
      </c>
    </row>
    <row r="5" spans="1:22">
      <c r="A5" s="83">
        <v>46084</v>
      </c>
      <c r="B5" s="36">
        <f>_xlfn.XLOOKUP(A5,'steel Mint data'!A:A,'steel Mint data'!B:B,"",0)</f>
        <v>48700</v>
      </c>
      <c r="C5" s="36"/>
      <c r="D5" s="36"/>
      <c r="E5" s="36">
        <f>_xlfn.XLOOKUP(A5,'steel Mint data'!A:A,'steel Mint data'!D:D,"",0)</f>
        <v>49350</v>
      </c>
      <c r="F5" s="36">
        <f>_xlfn.XLOOKUP(A5,'steel Mint data'!A:A,'steel Mint data'!E:E,"",0)</f>
        <v>46000</v>
      </c>
      <c r="G5" s="36"/>
      <c r="H5" s="36"/>
      <c r="I5" s="36" t="str">
        <f>_xlfn.XLOOKUP(A5,'steel Mint data'!A:A,'steel Mint data'!I:I,"",0)</f>
        <v>-</v>
      </c>
      <c r="J5" s="36"/>
      <c r="K5" s="36">
        <f>_xlfn.XLOOKUP(A5,'steel Mint data'!A:A,'steel Mint data'!L:L,"",0)</f>
        <v>48500</v>
      </c>
      <c r="L5" s="36"/>
      <c r="M5" s="36"/>
      <c r="N5" s="36"/>
      <c r="O5" s="36"/>
      <c r="P5" s="37">
        <f>_xlfn.XLOOKUP(A5,'steel Mint data'!A:A,'steel Mint data'!Q:Q,"",0)</f>
        <v>45300</v>
      </c>
      <c r="Q5" s="36">
        <f>_xlfn.XLOOKUP(A5,'steel Mint data'!A:A,'steel Mint data'!R:R,"",0)</f>
        <v>45700</v>
      </c>
      <c r="T5" s="27"/>
      <c r="U5" s="27"/>
      <c r="V5" s="27"/>
    </row>
    <row r="6" spans="1:22">
      <c r="A6" s="83">
        <v>46085</v>
      </c>
      <c r="B6" s="36" t="str">
        <f>_xlfn.XLOOKUP(A6,'steel Mint data'!A:A,'steel Mint data'!B:B,"",0)</f>
        <v>H</v>
      </c>
      <c r="C6" s="36"/>
      <c r="D6" s="36"/>
      <c r="E6" s="36" t="str">
        <f>_xlfn.XLOOKUP(A6,'steel Mint data'!A:A,'steel Mint data'!D:D,"",0)</f>
        <v>H</v>
      </c>
      <c r="F6" s="36" t="str">
        <f>_xlfn.XLOOKUP(A6,'steel Mint data'!A:A,'steel Mint data'!E:E,"",0)</f>
        <v>H</v>
      </c>
      <c r="G6" s="36"/>
      <c r="H6" s="36"/>
      <c r="I6" s="36" t="str">
        <f>_xlfn.XLOOKUP(A6,'steel Mint data'!A:A,'steel Mint data'!I:I,"",0)</f>
        <v>H</v>
      </c>
      <c r="J6" s="36"/>
      <c r="K6" s="36" t="str">
        <f>_xlfn.XLOOKUP(A6,'steel Mint data'!A:A,'steel Mint data'!L:L,"",0)</f>
        <v>H</v>
      </c>
      <c r="L6" s="36"/>
      <c r="M6" s="36"/>
      <c r="N6" s="36"/>
      <c r="O6" s="36"/>
      <c r="P6" s="37" t="str">
        <f>_xlfn.XLOOKUP(A6,'steel Mint data'!A:A,'steel Mint data'!Q:Q,"",0)</f>
        <v>H</v>
      </c>
      <c r="Q6" s="36" t="str">
        <f>_xlfn.XLOOKUP(A6,'steel Mint data'!A:A,'steel Mint data'!R:R,"",0)</f>
        <v>H</v>
      </c>
      <c r="T6" s="27"/>
      <c r="U6" s="27"/>
      <c r="V6" s="27"/>
    </row>
    <row r="7" spans="1:22">
      <c r="A7" s="83">
        <v>46086</v>
      </c>
      <c r="B7" s="36">
        <f>_xlfn.XLOOKUP(A7,'steel Mint data'!A:A,'steel Mint data'!B:B,"",0)</f>
        <v>49100</v>
      </c>
      <c r="C7" s="36"/>
      <c r="D7" s="36"/>
      <c r="E7" s="36">
        <f>_xlfn.XLOOKUP(A7,'steel Mint data'!A:A,'steel Mint data'!D:D,"",0)</f>
        <v>50550</v>
      </c>
      <c r="F7" s="36">
        <f>_xlfn.XLOOKUP(A7,'steel Mint data'!A:A,'steel Mint data'!E:E,"",0)</f>
        <v>46300</v>
      </c>
      <c r="G7" s="36"/>
      <c r="H7" s="36"/>
      <c r="I7" s="36">
        <f>_xlfn.XLOOKUP(A7,'steel Mint data'!A:A,'steel Mint data'!I:I,"",0)</f>
        <v>47600</v>
      </c>
      <c r="J7" s="36"/>
      <c r="K7" s="36">
        <f>_xlfn.XLOOKUP(A7,'steel Mint data'!A:A,'steel Mint data'!L:L,"",0)</f>
        <v>48800</v>
      </c>
      <c r="L7" s="36"/>
      <c r="M7" s="36"/>
      <c r="N7" s="36"/>
      <c r="O7" s="36"/>
      <c r="P7" s="37">
        <f>_xlfn.XLOOKUP(A7,'steel Mint data'!A:A,'steel Mint data'!Q:Q,"",0)</f>
        <v>46000</v>
      </c>
      <c r="Q7" s="36">
        <f>_xlfn.XLOOKUP(A7,'steel Mint data'!A:A,'steel Mint data'!R:R,"",0)</f>
        <v>45700</v>
      </c>
      <c r="R7" s="455"/>
      <c r="T7" s="27"/>
      <c r="U7" s="27"/>
      <c r="V7" s="27"/>
    </row>
    <row r="8" spans="1:22">
      <c r="A8" s="83">
        <v>46087</v>
      </c>
      <c r="B8" s="36">
        <f>_xlfn.XLOOKUP(A8,'steel Mint data'!A:A,'steel Mint data'!B:B,"",0)</f>
        <v>49400</v>
      </c>
      <c r="C8" s="36"/>
      <c r="D8" s="36"/>
      <c r="E8" s="36">
        <f>_xlfn.XLOOKUP(A8,'steel Mint data'!A:A,'steel Mint data'!D:D,"",0)</f>
        <v>50550</v>
      </c>
      <c r="F8" s="36">
        <f>_xlfn.XLOOKUP(A8,'steel Mint data'!A:A,'steel Mint data'!E:E,"",0)</f>
        <v>46800</v>
      </c>
      <c r="G8" s="36"/>
      <c r="H8" s="36"/>
      <c r="I8" s="36">
        <f>_xlfn.XLOOKUP(A8,'steel Mint data'!A:A,'steel Mint data'!I:I,"",0)</f>
        <v>47800</v>
      </c>
      <c r="J8" s="36"/>
      <c r="K8" s="36">
        <f>_xlfn.XLOOKUP(A8,'steel Mint data'!A:A,'steel Mint data'!L:L,"",0)</f>
        <v>49100</v>
      </c>
      <c r="L8" s="36"/>
      <c r="M8" s="36"/>
      <c r="N8" s="36"/>
      <c r="O8" s="36"/>
      <c r="P8" s="37">
        <f>_xlfn.XLOOKUP(A8,'steel Mint data'!A:A,'steel Mint data'!Q:Q,"",0)</f>
        <v>46300</v>
      </c>
      <c r="Q8" s="36">
        <f>_xlfn.XLOOKUP(A8,'steel Mint data'!A:A,'steel Mint data'!R:R,"",0)</f>
        <v>45700</v>
      </c>
      <c r="T8" s="27"/>
      <c r="U8" s="27"/>
      <c r="V8" s="27"/>
    </row>
    <row r="9" spans="1:22">
      <c r="A9" s="83">
        <v>46088</v>
      </c>
      <c r="B9" s="36">
        <f>_xlfn.XLOOKUP(A9,'steel Mint data'!A:A,'steel Mint data'!B:B,"",0)</f>
        <v>49400</v>
      </c>
      <c r="C9" s="36"/>
      <c r="D9" s="36"/>
      <c r="E9" s="36">
        <f>_xlfn.XLOOKUP(A9,'steel Mint data'!A:A,'steel Mint data'!D:D,"",0)</f>
        <v>50400</v>
      </c>
      <c r="F9" s="36">
        <f>_xlfn.XLOOKUP(A9,'steel Mint data'!A:A,'steel Mint data'!E:E,"",0)</f>
        <v>46800</v>
      </c>
      <c r="G9" s="36"/>
      <c r="H9" s="36"/>
      <c r="I9" s="36">
        <f>_xlfn.XLOOKUP(A9,'steel Mint data'!A:A,'steel Mint data'!I:I,"",0)</f>
        <v>47800</v>
      </c>
      <c r="J9" s="36"/>
      <c r="K9" s="36">
        <f>_xlfn.XLOOKUP(A9,'steel Mint data'!A:A,'steel Mint data'!L:L,"",0)</f>
        <v>49000</v>
      </c>
      <c r="L9" s="36"/>
      <c r="M9" s="36"/>
      <c r="N9" s="36"/>
      <c r="O9" s="36"/>
      <c r="P9" s="37">
        <f>_xlfn.XLOOKUP(A9,'steel Mint data'!A:A,'steel Mint data'!Q:Q,"",0)</f>
        <v>46000</v>
      </c>
      <c r="Q9" s="36">
        <f>_xlfn.XLOOKUP(A9,'steel Mint data'!A:A,'steel Mint data'!R:R,"",0)</f>
        <v>45700</v>
      </c>
      <c r="T9" s="27"/>
      <c r="U9" s="27"/>
      <c r="V9" s="27"/>
    </row>
    <row r="10" spans="1:22">
      <c r="A10" s="83">
        <v>46089</v>
      </c>
      <c r="B10" s="36" t="str">
        <f>_xlfn.XLOOKUP(A10,'steel Mint data'!A:A,'steel Mint data'!B:B,"",0)</f>
        <v>H</v>
      </c>
      <c r="C10" s="36"/>
      <c r="D10" s="36"/>
      <c r="E10" s="36" t="str">
        <f>_xlfn.XLOOKUP(A10,'steel Mint data'!A:A,'steel Mint data'!D:D,"",0)</f>
        <v>H</v>
      </c>
      <c r="F10" s="36" t="str">
        <f>_xlfn.XLOOKUP(A10,'steel Mint data'!A:A,'steel Mint data'!E:E,"",0)</f>
        <v>H</v>
      </c>
      <c r="G10" s="36"/>
      <c r="H10" s="36"/>
      <c r="I10" s="36" t="str">
        <f>_xlfn.XLOOKUP(A10,'steel Mint data'!A:A,'steel Mint data'!I:I,"",0)</f>
        <v>H</v>
      </c>
      <c r="J10" s="36"/>
      <c r="K10" s="36" t="str">
        <f>_xlfn.XLOOKUP(A10,'steel Mint data'!A:A,'steel Mint data'!L:L,"",0)</f>
        <v>H</v>
      </c>
      <c r="L10" s="36"/>
      <c r="M10" s="36"/>
      <c r="N10" s="36"/>
      <c r="O10" s="36"/>
      <c r="P10" s="37" t="str">
        <f>_xlfn.XLOOKUP(A10,'steel Mint data'!A:A,'steel Mint data'!Q:Q,"",0)</f>
        <v>H</v>
      </c>
      <c r="Q10" s="36" t="str">
        <f>_xlfn.XLOOKUP(A10,'steel Mint data'!A:A,'steel Mint data'!R:R,"",0)</f>
        <v>H</v>
      </c>
    </row>
    <row r="11" spans="1:22">
      <c r="A11" s="83">
        <v>46090</v>
      </c>
      <c r="B11" s="36">
        <f>_xlfn.XLOOKUP(A11,'steel Mint data'!A:A,'steel Mint data'!B:B,"",0)</f>
        <v>49800</v>
      </c>
      <c r="C11" s="36"/>
      <c r="D11" s="36"/>
      <c r="E11" s="36">
        <f>_xlfn.XLOOKUP(A11,'steel Mint data'!A:A,'steel Mint data'!D:D,"",0)</f>
        <v>50950</v>
      </c>
      <c r="F11" s="36">
        <f>_xlfn.XLOOKUP(A11,'steel Mint data'!A:A,'steel Mint data'!E:E,"",0)</f>
        <v>47000</v>
      </c>
      <c r="G11" s="36"/>
      <c r="H11" s="36"/>
      <c r="I11" s="36">
        <f>_xlfn.XLOOKUP(A11,'steel Mint data'!A:A,'steel Mint data'!I:I,"",0)</f>
        <v>48100</v>
      </c>
      <c r="J11" s="36"/>
      <c r="K11" s="36">
        <f>_xlfn.XLOOKUP(A11,'steel Mint data'!A:A,'steel Mint data'!L:L,"",0)</f>
        <v>49400</v>
      </c>
      <c r="L11" s="36"/>
      <c r="M11" s="36"/>
      <c r="N11" s="36"/>
      <c r="O11" s="36"/>
      <c r="P11" s="37">
        <f>_xlfn.XLOOKUP(A11,'steel Mint data'!A:A,'steel Mint data'!Q:Q,"",0)</f>
        <v>46500</v>
      </c>
      <c r="Q11" s="36">
        <f>_xlfn.XLOOKUP(A11,'steel Mint data'!A:A,'steel Mint data'!R:R,"",0)</f>
        <v>46000</v>
      </c>
      <c r="R11" s="456"/>
    </row>
    <row r="12" spans="1:22">
      <c r="A12" s="83">
        <v>46091</v>
      </c>
      <c r="B12" s="36">
        <f>_xlfn.XLOOKUP(A12,'steel Mint data'!A:A,'steel Mint data'!B:B,"",0)</f>
        <v>50200</v>
      </c>
      <c r="C12" s="36"/>
      <c r="D12" s="36"/>
      <c r="E12" s="36">
        <f>_xlfn.XLOOKUP(A12,'steel Mint data'!A:A,'steel Mint data'!D:D,"",0)</f>
        <v>51500</v>
      </c>
      <c r="F12" s="36">
        <f>_xlfn.XLOOKUP(A12,'steel Mint data'!A:A,'steel Mint data'!E:E,"",0)</f>
        <v>47100</v>
      </c>
      <c r="G12" s="36"/>
      <c r="H12" s="36"/>
      <c r="I12" s="36">
        <f>_xlfn.XLOOKUP(A12,'steel Mint data'!A:A,'steel Mint data'!I:I,"",0)</f>
        <v>49300</v>
      </c>
      <c r="J12" s="36"/>
      <c r="K12" s="36">
        <f>_xlfn.XLOOKUP(A12,'steel Mint data'!A:A,'steel Mint data'!L:L,"",0)</f>
        <v>49600</v>
      </c>
      <c r="L12" s="36"/>
      <c r="M12" s="36"/>
      <c r="N12" s="36"/>
      <c r="O12" s="36"/>
      <c r="P12" s="37">
        <f>_xlfn.XLOOKUP(A12,'steel Mint data'!A:A,'steel Mint data'!Q:Q,"",0)</f>
        <v>46400</v>
      </c>
      <c r="Q12" s="36">
        <f>_xlfn.XLOOKUP(A12,'steel Mint data'!A:A,'steel Mint data'!R:R,"",0)</f>
        <v>46300</v>
      </c>
      <c r="V12" s="472">
        <f ca="1">TODAY()-15</f>
        <v>46109</v>
      </c>
    </row>
    <row r="13" spans="1:22">
      <c r="A13" s="83">
        <v>46092</v>
      </c>
      <c r="B13" s="36">
        <f>_xlfn.XLOOKUP(A13,'steel Mint data'!A:A,'steel Mint data'!B:B,"",0)</f>
        <v>50200</v>
      </c>
      <c r="C13" s="36"/>
      <c r="D13" s="36"/>
      <c r="E13" s="36">
        <f>_xlfn.XLOOKUP(A13,'steel Mint data'!A:A,'steel Mint data'!D:D,"",0)</f>
        <v>51400</v>
      </c>
      <c r="F13" s="36">
        <f>_xlfn.XLOOKUP(A13,'steel Mint data'!A:A,'steel Mint data'!E:E,"",0)</f>
        <v>47000</v>
      </c>
      <c r="G13" s="36"/>
      <c r="H13" s="36"/>
      <c r="I13" s="36">
        <f>_xlfn.XLOOKUP(A13,'steel Mint data'!A:A,'steel Mint data'!I:I,"",0)</f>
        <v>49300</v>
      </c>
      <c r="J13" s="36"/>
      <c r="K13" s="36">
        <f>_xlfn.XLOOKUP(A13,'steel Mint data'!A:A,'steel Mint data'!L:L,"",0)</f>
        <v>49500</v>
      </c>
      <c r="L13" s="36"/>
      <c r="M13" s="36"/>
      <c r="N13" s="36"/>
      <c r="O13" s="36"/>
      <c r="P13" s="37">
        <f>_xlfn.XLOOKUP(A13,'steel Mint data'!A:A,'steel Mint data'!Q:Q,"",0)</f>
        <v>46000</v>
      </c>
      <c r="Q13" s="36">
        <f>_xlfn.XLOOKUP(A13,'steel Mint data'!A:A,'steel Mint data'!R:R,"",0)</f>
        <v>46300</v>
      </c>
      <c r="S13" s="33"/>
    </row>
    <row r="14" spans="1:22">
      <c r="A14" s="83">
        <v>46093</v>
      </c>
      <c r="B14" s="36">
        <f>_xlfn.XLOOKUP(A14,'steel Mint data'!A:A,'steel Mint data'!B:B,"",0)</f>
        <v>50200</v>
      </c>
      <c r="C14" s="36"/>
      <c r="D14" s="36"/>
      <c r="E14" s="36">
        <f>_xlfn.XLOOKUP(A14,'steel Mint data'!A:A,'steel Mint data'!D:D,"",0)</f>
        <v>51400</v>
      </c>
      <c r="F14" s="36">
        <f>_xlfn.XLOOKUP(A14,'steel Mint data'!A:A,'steel Mint data'!E:E,"",0)</f>
        <v>47200</v>
      </c>
      <c r="G14" s="36"/>
      <c r="H14" s="36"/>
      <c r="I14" s="36">
        <f>_xlfn.XLOOKUP(A14,'steel Mint data'!A:A,'steel Mint data'!I:I,"",0)</f>
        <v>49400</v>
      </c>
      <c r="J14" s="36"/>
      <c r="K14" s="36">
        <f>_xlfn.XLOOKUP(A14,'steel Mint data'!A:A,'steel Mint data'!L:L,"",0)</f>
        <v>49500</v>
      </c>
      <c r="L14" s="36"/>
      <c r="M14" s="36"/>
      <c r="N14" s="36"/>
      <c r="O14" s="36"/>
      <c r="P14" s="37">
        <f>_xlfn.XLOOKUP(A14,'steel Mint data'!A:A,'steel Mint data'!Q:Q,"",0)</f>
        <v>46400</v>
      </c>
      <c r="Q14" s="36">
        <f>_xlfn.XLOOKUP(A14,'steel Mint data'!A:A,'steel Mint data'!R:R,"",0)</f>
        <v>46300</v>
      </c>
      <c r="S14" s="33"/>
      <c r="T14" s="33"/>
    </row>
    <row r="15" spans="1:22">
      <c r="A15" s="83">
        <v>46094</v>
      </c>
      <c r="B15" s="36">
        <f>_xlfn.XLOOKUP(A15,'steel Mint data'!A:A,'steel Mint data'!B:B,"",0)</f>
        <v>50200</v>
      </c>
      <c r="C15" s="36"/>
      <c r="D15" s="36"/>
      <c r="E15" s="36">
        <f>_xlfn.XLOOKUP(A15,'steel Mint data'!A:A,'steel Mint data'!D:D,"",0)</f>
        <v>51400</v>
      </c>
      <c r="F15" s="36">
        <f>_xlfn.XLOOKUP(A15,'steel Mint data'!A:A,'steel Mint data'!E:E,"",0)</f>
        <v>47000</v>
      </c>
      <c r="G15" s="36"/>
      <c r="H15" s="36"/>
      <c r="I15" s="36">
        <f>_xlfn.XLOOKUP(A15,'steel Mint data'!A:A,'steel Mint data'!I:I,"",0)</f>
        <v>49400</v>
      </c>
      <c r="J15" s="36"/>
      <c r="K15" s="36">
        <f>_xlfn.XLOOKUP(A15,'steel Mint data'!A:A,'steel Mint data'!L:L,"",0)</f>
        <v>49500</v>
      </c>
      <c r="L15" s="36"/>
      <c r="M15" s="36"/>
      <c r="N15" s="36"/>
      <c r="O15" s="36"/>
      <c r="P15" s="37">
        <f>_xlfn.XLOOKUP(A15,'steel Mint data'!A:A,'steel Mint data'!Q:Q,"",0)</f>
        <v>46000</v>
      </c>
      <c r="Q15" s="36">
        <f>_xlfn.XLOOKUP(A15,'steel Mint data'!A:A,'steel Mint data'!R:R,"",0)</f>
        <v>46000</v>
      </c>
      <c r="R15" s="175"/>
      <c r="S15" s="33"/>
      <c r="T15" s="33"/>
    </row>
    <row r="16" spans="1:22">
      <c r="A16" s="83">
        <v>46095</v>
      </c>
      <c r="B16" s="36">
        <f>_xlfn.XLOOKUP(A16,'steel Mint data'!A:A,'steel Mint data'!B:B,"",0)</f>
        <v>50200</v>
      </c>
      <c r="C16" s="36"/>
      <c r="D16" s="36"/>
      <c r="E16" s="36">
        <f>_xlfn.XLOOKUP(A16,'steel Mint data'!A:A,'steel Mint data'!D:D,"",0)</f>
        <v>51400</v>
      </c>
      <c r="F16" s="36">
        <f>_xlfn.XLOOKUP(A16,'steel Mint data'!A:A,'steel Mint data'!E:E,"",0)</f>
        <v>46800</v>
      </c>
      <c r="G16" s="36"/>
      <c r="H16" s="36"/>
      <c r="I16" s="36">
        <f>_xlfn.XLOOKUP(A16,'steel Mint data'!A:A,'steel Mint data'!I:I,"",0)</f>
        <v>49400</v>
      </c>
      <c r="J16" s="36"/>
      <c r="K16" s="36">
        <f>_xlfn.XLOOKUP(A16,'steel Mint data'!A:A,'steel Mint data'!L:L,"",0)</f>
        <v>49200</v>
      </c>
      <c r="L16" s="36"/>
      <c r="M16" s="36"/>
      <c r="N16" s="36"/>
      <c r="O16" s="36"/>
      <c r="P16" s="37">
        <f>_xlfn.XLOOKUP(A16,'steel Mint data'!A:A,'steel Mint data'!Q:Q,"",0)</f>
        <v>45800</v>
      </c>
      <c r="Q16" s="36">
        <f>_xlfn.XLOOKUP(A16,'steel Mint data'!A:A,'steel Mint data'!R:R,"",0)</f>
        <v>46000</v>
      </c>
      <c r="S16" s="33"/>
      <c r="T16" s="33"/>
    </row>
    <row r="17" spans="1:20">
      <c r="A17" s="83">
        <v>46096</v>
      </c>
      <c r="B17" s="36" t="str">
        <f>_xlfn.XLOOKUP(A17,'steel Mint data'!A:A,'steel Mint data'!B:B,"",0)</f>
        <v>H</v>
      </c>
      <c r="C17" s="36"/>
      <c r="D17" s="36"/>
      <c r="E17" s="36" t="str">
        <f>_xlfn.XLOOKUP(A17,'steel Mint data'!A:A,'steel Mint data'!D:D,"",0)</f>
        <v>H</v>
      </c>
      <c r="F17" s="36" t="str">
        <f>_xlfn.XLOOKUP(A17,'steel Mint data'!A:A,'steel Mint data'!E:E,"",0)</f>
        <v>H</v>
      </c>
      <c r="G17" s="36"/>
      <c r="H17" s="36"/>
      <c r="I17" s="36" t="str">
        <f>_xlfn.XLOOKUP(A17,'steel Mint data'!A:A,'steel Mint data'!I:I,"",0)</f>
        <v>H</v>
      </c>
      <c r="J17" s="36"/>
      <c r="K17" s="36" t="str">
        <f>_xlfn.XLOOKUP(A17,'steel Mint data'!A:A,'steel Mint data'!L:L,"",0)</f>
        <v>H</v>
      </c>
      <c r="L17" s="36"/>
      <c r="M17" s="36"/>
      <c r="N17" s="36"/>
      <c r="O17" s="36"/>
      <c r="P17" s="37" t="str">
        <f>_xlfn.XLOOKUP(A17,'steel Mint data'!A:A,'steel Mint data'!Q:Q,"",0)</f>
        <v>H</v>
      </c>
      <c r="Q17" s="36" t="str">
        <f>_xlfn.XLOOKUP(A17,'steel Mint data'!A:A,'steel Mint data'!R:R,"",0)</f>
        <v>H</v>
      </c>
      <c r="S17" s="33"/>
    </row>
    <row r="18" spans="1:20">
      <c r="A18" s="83">
        <v>46097</v>
      </c>
      <c r="B18" s="36">
        <f>_xlfn.XLOOKUP(A18,'steel Mint data'!A:A,'steel Mint data'!B:B,"",0)</f>
        <v>50300</v>
      </c>
      <c r="C18" s="36"/>
      <c r="D18" s="36"/>
      <c r="E18" s="36">
        <f>_xlfn.XLOOKUP(A18,'steel Mint data'!A:A,'steel Mint data'!D:D,"",0)</f>
        <v>50750</v>
      </c>
      <c r="F18" s="36">
        <f>_xlfn.XLOOKUP(A18,'steel Mint data'!A:A,'steel Mint data'!E:E,"",0)</f>
        <v>46900</v>
      </c>
      <c r="G18" s="36"/>
      <c r="H18" s="36"/>
      <c r="I18" s="36">
        <f>_xlfn.XLOOKUP(A18,'steel Mint data'!A:A,'steel Mint data'!I:I,"",0)</f>
        <v>49500</v>
      </c>
      <c r="J18" s="36"/>
      <c r="K18" s="36">
        <f>_xlfn.XLOOKUP(A18,'steel Mint data'!A:A,'steel Mint data'!L:L,"",0)</f>
        <v>49400</v>
      </c>
      <c r="L18" s="36"/>
      <c r="M18" s="36"/>
      <c r="N18" s="36"/>
      <c r="O18" s="36"/>
      <c r="P18" s="37">
        <f>_xlfn.XLOOKUP(A18,'steel Mint data'!A:A,'steel Mint data'!Q:Q,"",0)</f>
        <v>46200</v>
      </c>
      <c r="Q18" s="36">
        <f>_xlfn.XLOOKUP(A18,'steel Mint data'!A:A,'steel Mint data'!R:R,"",0)</f>
        <v>46000</v>
      </c>
      <c r="S18" s="33"/>
      <c r="T18" s="33"/>
    </row>
    <row r="19" spans="1:20">
      <c r="A19" s="83"/>
      <c r="B19" s="15">
        <f>SUM(B3:B18)</f>
        <v>596400</v>
      </c>
      <c r="C19" s="14"/>
      <c r="D19" s="14"/>
      <c r="E19" s="15">
        <f>SUM(E3:E18)</f>
        <v>609150</v>
      </c>
      <c r="F19" s="15">
        <f>SUM(F3:F18)</f>
        <v>561000</v>
      </c>
      <c r="G19" s="14"/>
      <c r="H19" s="14"/>
      <c r="I19" s="15">
        <f>SUM(I3:I18)</f>
        <v>535000</v>
      </c>
      <c r="J19" s="14"/>
      <c r="K19" s="15">
        <f>SUM(K3:K18)</f>
        <v>590100</v>
      </c>
      <c r="L19" s="14"/>
      <c r="M19" s="14"/>
      <c r="N19" s="14"/>
      <c r="O19" s="14"/>
      <c r="P19" s="15">
        <f>SUM(P3:P18)</f>
        <v>552500</v>
      </c>
      <c r="Q19" s="15">
        <f>SUM(Q3:Q18)</f>
        <v>551400</v>
      </c>
      <c r="S19" s="33"/>
      <c r="T19" s="33"/>
    </row>
    <row r="20" spans="1:20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23</v>
      </c>
      <c r="H20" s="16" t="s">
        <v>39</v>
      </c>
      <c r="I20" s="16" t="s">
        <v>46</v>
      </c>
      <c r="J20" s="16" t="s">
        <v>126</v>
      </c>
      <c r="K20" s="282" t="s">
        <v>23</v>
      </c>
      <c r="L20" s="282" t="s">
        <v>147</v>
      </c>
      <c r="M20" s="19"/>
      <c r="N20" s="19"/>
      <c r="O20" s="14"/>
      <c r="P20" s="21"/>
      <c r="Q20" s="14"/>
      <c r="R20" s="407">
        <f>E14-800+3900+3000</f>
        <v>57500</v>
      </c>
      <c r="S20" s="33"/>
      <c r="T20" s="33"/>
    </row>
    <row r="21" spans="1:20" ht="29.25">
      <c r="A21" s="462" t="s">
        <v>165</v>
      </c>
      <c r="B21" s="458">
        <f ca="1">AVERAGEIFS('steel Mint data'!D:D, 'steel Mint data'!A:A, "&gt;="&amp;TODAY()-15, 'steel Mint data'!A:A, "&lt;="&amp;TODAY())</f>
        <v>52783.333333333336</v>
      </c>
      <c r="C21" s="458">
        <f ca="1">AVERAGEIFS('steel Mint data'!Q:Q, 'steel Mint data'!A:A, "&gt;="&amp;TODAY()-15, 'steel Mint data'!A:A, "&lt;="&amp;TODAY())</f>
        <v>47741.666666666664</v>
      </c>
      <c r="D21" s="458">
        <f ca="1">AVERAGEIFS('steel Mint data'!L:L, 'steel Mint data'!A:A, "&gt;="&amp;TODAY()-15, 'steel Mint data'!A:A, "&lt;="&amp;TODAY())</f>
        <v>51991.666666666664</v>
      </c>
      <c r="E21" s="458">
        <f ca="1">AVERAGEIFS('steel Mint data'!R:R, 'steel Mint data'!A:A, "&gt;="&amp;TODAY()-15, 'steel Mint data'!A:A, "&lt;="&amp;TODAY())</f>
        <v>47508.333333333336</v>
      </c>
      <c r="F21" s="458">
        <f ca="1">AVERAGEIFS('steel Mint data'!Q:Q, 'steel Mint data'!A:A, "&gt;="&amp;TODAY()-15, 'steel Mint data'!A:A, "&lt;="&amp;TODAY())</f>
        <v>47741.666666666664</v>
      </c>
      <c r="G21" s="458">
        <f ca="1">B21-800</f>
        <v>51983.333333333336</v>
      </c>
      <c r="H21" s="458">
        <f ca="1">AVERAGEIFS('steel Mint data'!I:I, 'steel Mint data'!A:A, "&gt;="&amp;TODAY()-15, 'steel Mint data'!A:A, "&lt;="&amp;TODAY())</f>
        <v>51083.333333333336</v>
      </c>
      <c r="I21" s="458">
        <f ca="1">AVERAGEIFS('steel Mint data'!B:B, 'steel Mint data'!A:A, "&gt;="&amp;TODAY()-15, 'steel Mint data'!A:A, "&lt;="&amp;TODAY())</f>
        <v>53691.666666666664</v>
      </c>
      <c r="J21" s="458">
        <f ca="1">AVERAGEIFS('steel Mint data'!E:E, 'steel Mint data'!A:A, "&gt;="&amp;TODAY()-15, 'steel Mint data'!A:A, "&lt;="&amp;TODAY())</f>
        <v>47191.666666666664</v>
      </c>
      <c r="K21" s="459">
        <f ca="1">B21-800</f>
        <v>51983.333333333336</v>
      </c>
      <c r="L21" s="459">
        <f ca="1">AVERAGEIFS('steel Mint data'!Q:Q, 'steel Mint data'!A:A, "&gt;="&amp;TODAY()-15, 'steel Mint data'!A:A, "&lt;="&amp;TODAY())</f>
        <v>47741.666666666664</v>
      </c>
      <c r="M21" s="19"/>
      <c r="N21" s="19"/>
      <c r="O21" s="14"/>
      <c r="P21" s="21"/>
      <c r="Q21" s="14"/>
      <c r="S21" s="33"/>
      <c r="T21" s="33"/>
    </row>
    <row r="22" spans="1:20">
      <c r="A22" s="17" t="s">
        <v>25</v>
      </c>
      <c r="B22" s="18">
        <f>E19/O22</f>
        <v>50762.5</v>
      </c>
      <c r="C22" s="18">
        <f>P19/O22</f>
        <v>46041.666666666664</v>
      </c>
      <c r="D22" s="18">
        <f>K19/O22</f>
        <v>49175</v>
      </c>
      <c r="E22" s="18">
        <f>Q19/O22</f>
        <v>45950</v>
      </c>
      <c r="F22" s="18">
        <f>C22</f>
        <v>46041.666666666664</v>
      </c>
      <c r="G22" s="18">
        <f>B22-800</f>
        <v>49962.5</v>
      </c>
      <c r="H22" s="18">
        <f>I19/O22</f>
        <v>44583.333333333336</v>
      </c>
      <c r="I22" s="18">
        <f>B19/(O22)</f>
        <v>49700</v>
      </c>
      <c r="J22" s="18">
        <f>F19/O22</f>
        <v>46750</v>
      </c>
      <c r="K22" s="283">
        <f>B22-800</f>
        <v>49962.5</v>
      </c>
      <c r="L22" s="283">
        <f>P19/O22</f>
        <v>46041.666666666664</v>
      </c>
      <c r="M22" s="146"/>
      <c r="N22" s="19"/>
      <c r="O22" s="463">
        <f>COUNT(E3:E18)</f>
        <v>12</v>
      </c>
      <c r="P22" s="21"/>
      <c r="Q22" s="465"/>
      <c r="R22" s="174"/>
      <c r="S22" s="174"/>
      <c r="T22" s="33"/>
    </row>
    <row r="23" spans="1:20">
      <c r="A23" s="17" t="s">
        <v>26</v>
      </c>
      <c r="B23" s="18">
        <v>1200</v>
      </c>
      <c r="C23" s="18">
        <v>2150</v>
      </c>
      <c r="D23" s="18">
        <v>400</v>
      </c>
      <c r="E23" s="18">
        <v>2200</v>
      </c>
      <c r="F23" s="18">
        <v>1800</v>
      </c>
      <c r="G23" s="18">
        <v>1200</v>
      </c>
      <c r="H23" s="18">
        <v>800</v>
      </c>
      <c r="I23" s="18">
        <v>0</v>
      </c>
      <c r="J23" s="18">
        <v>2700</v>
      </c>
      <c r="K23" s="283">
        <v>3200</v>
      </c>
      <c r="L23" s="283">
        <v>4235</v>
      </c>
      <c r="M23" s="33"/>
      <c r="P23" s="175"/>
      <c r="Q23" s="27"/>
      <c r="S23" s="27"/>
    </row>
    <row r="24" spans="1:20">
      <c r="A24" s="17" t="s">
        <v>27</v>
      </c>
      <c r="B24" s="18">
        <v>200</v>
      </c>
      <c r="C24" s="18">
        <v>265</v>
      </c>
      <c r="D24" s="18">
        <v>250</v>
      </c>
      <c r="E24" s="18">
        <v>275</v>
      </c>
      <c r="F24" s="18">
        <v>275</v>
      </c>
      <c r="G24" s="18">
        <v>200</v>
      </c>
      <c r="H24" s="18">
        <v>270</v>
      </c>
      <c r="I24" s="18">
        <v>200</v>
      </c>
      <c r="J24" s="18">
        <v>270</v>
      </c>
      <c r="K24" s="283">
        <v>200</v>
      </c>
      <c r="L24" s="283">
        <v>265</v>
      </c>
      <c r="M24" s="33"/>
      <c r="N24" s="33"/>
      <c r="O24" s="33"/>
      <c r="P24" s="27"/>
      <c r="Q24" s="27"/>
      <c r="S24" s="27">
        <f>57550-3800</f>
        <v>53750</v>
      </c>
    </row>
    <row r="25" spans="1:20">
      <c r="A25" s="17" t="s">
        <v>166</v>
      </c>
      <c r="B25" s="18">
        <v>500</v>
      </c>
      <c r="C25" s="18">
        <f>B25</f>
        <v>500</v>
      </c>
      <c r="D25" s="18">
        <f>B25</f>
        <v>500</v>
      </c>
      <c r="E25" s="18">
        <f>B25</f>
        <v>500</v>
      </c>
      <c r="F25" s="18">
        <v>500</v>
      </c>
      <c r="G25" s="18">
        <f>B25</f>
        <v>500</v>
      </c>
      <c r="H25" s="18">
        <f>B25</f>
        <v>500</v>
      </c>
      <c r="I25" s="18">
        <f>B25</f>
        <v>500</v>
      </c>
      <c r="J25" s="18">
        <f>B25</f>
        <v>500</v>
      </c>
      <c r="K25" s="283">
        <f>B25</f>
        <v>500</v>
      </c>
      <c r="L25" s="283">
        <v>500</v>
      </c>
      <c r="N25" s="33"/>
      <c r="O25" s="33"/>
      <c r="P25" s="175"/>
      <c r="Q25" s="27"/>
      <c r="S25" s="27"/>
    </row>
    <row r="26" spans="1:20" ht="19.5" customHeight="1">
      <c r="A26" s="22" t="s">
        <v>28</v>
      </c>
      <c r="B26" s="461">
        <f>SUM(B22:B25)</f>
        <v>52662.5</v>
      </c>
      <c r="C26" s="461">
        <f>SUM(C22:C25)</f>
        <v>48956.666666666664</v>
      </c>
      <c r="D26" s="461">
        <f>SUM(D22:D25)</f>
        <v>50325</v>
      </c>
      <c r="E26" s="461">
        <f>SUM(E22:E25)</f>
        <v>48925</v>
      </c>
      <c r="F26" s="461">
        <f>SUM(F22:F25)</f>
        <v>48616.666666666664</v>
      </c>
      <c r="G26" s="461">
        <f>SUM(G22:G25)</f>
        <v>51862.5</v>
      </c>
      <c r="H26" s="461">
        <f>SUM(H22:H25)</f>
        <v>46153.333333333336</v>
      </c>
      <c r="I26" s="461">
        <f>SUM(I22:I25)</f>
        <v>50400</v>
      </c>
      <c r="J26" s="461">
        <f>SUM(J22:J25)</f>
        <v>50220</v>
      </c>
      <c r="K26" s="461">
        <f>SUM(K22:K25)</f>
        <v>53862.5</v>
      </c>
      <c r="L26" s="461">
        <f>SUM(L22:L25)</f>
        <v>51041.666666666664</v>
      </c>
      <c r="M26" s="33"/>
      <c r="N26" s="33"/>
      <c r="O26" s="33">
        <f ca="1">56750-2500-E27</f>
        <v>3766.6666666666642</v>
      </c>
      <c r="P26" s="175"/>
      <c r="Q26" s="27"/>
      <c r="R26" s="175">
        <f>F26+3100+2500</f>
        <v>54216.666666666664</v>
      </c>
      <c r="S26" s="27"/>
    </row>
    <row r="27" spans="1:20" ht="26.25" customHeight="1">
      <c r="A27" s="457" t="s">
        <v>167</v>
      </c>
      <c r="B27" s="460">
        <f ca="1">B21+B23+B24+B25</f>
        <v>54683.333333333336</v>
      </c>
      <c r="C27" s="460">
        <f ca="1">C21+C23+C24+C25</f>
        <v>50656.666666666664</v>
      </c>
      <c r="D27" s="460">
        <f ca="1">D21+D23+D24+D25</f>
        <v>53141.666666666664</v>
      </c>
      <c r="E27" s="460">
        <f ca="1">E21+E23+E24+E25</f>
        <v>50483.333333333336</v>
      </c>
      <c r="F27" s="460">
        <f ca="1">F21+F23+F24+F25</f>
        <v>50316.666666666664</v>
      </c>
      <c r="G27" s="460">
        <f ca="1">G21+G23+G24+G25</f>
        <v>53883.333333333336</v>
      </c>
      <c r="H27" s="460">
        <f ca="1">H21+H23+H24+H25</f>
        <v>52653.333333333336</v>
      </c>
      <c r="I27" s="460">
        <f ca="1">I21+I23+I24+I25</f>
        <v>54391.666666666664</v>
      </c>
      <c r="J27" s="460">
        <f ca="1">J21+J23+J24+J25</f>
        <v>50661.666666666664</v>
      </c>
      <c r="K27" s="464">
        <f ca="1">K21+K23+K24+K25</f>
        <v>55883.333333333336</v>
      </c>
      <c r="L27" s="464">
        <f ca="1">L21+L23+L24+L25</f>
        <v>52741.666666666664</v>
      </c>
      <c r="M27" s="33"/>
      <c r="N27" s="33">
        <f ca="1">58000-3600-F27</f>
        <v>4083.3333333333358</v>
      </c>
      <c r="O27" s="33"/>
      <c r="P27" s="27"/>
      <c r="Q27" s="27"/>
      <c r="S27" s="27"/>
    </row>
    <row r="28" spans="1:20">
      <c r="A28" s="22" t="s">
        <v>29</v>
      </c>
      <c r="B28" s="18">
        <v>45100</v>
      </c>
      <c r="C28" s="18">
        <v>42315</v>
      </c>
      <c r="D28" s="18">
        <v>46150</v>
      </c>
      <c r="E28" s="23"/>
      <c r="F28" s="18">
        <v>41975</v>
      </c>
      <c r="G28" s="18">
        <v>44300</v>
      </c>
      <c r="H28" s="18"/>
      <c r="I28" s="18">
        <v>44300</v>
      </c>
      <c r="J28" s="18">
        <f>38000+2700+270</f>
        <v>40970</v>
      </c>
      <c r="K28" s="270"/>
      <c r="L28" s="298"/>
      <c r="M28" s="33"/>
      <c r="N28" s="33"/>
      <c r="O28" s="33"/>
      <c r="P28" s="175"/>
      <c r="Q28" s="27"/>
      <c r="S28" s="27"/>
    </row>
    <row r="29" spans="1:20">
      <c r="A29" s="22" t="s">
        <v>30</v>
      </c>
      <c r="B29" s="18">
        <f>B26-B28</f>
        <v>7562.5</v>
      </c>
      <c r="C29" s="18">
        <f>C26-C28</f>
        <v>6641.6666666666642</v>
      </c>
      <c r="D29" s="18">
        <f>D26-D28</f>
        <v>4175</v>
      </c>
      <c r="E29" s="18">
        <f>E26-E28</f>
        <v>48925</v>
      </c>
      <c r="F29" s="18">
        <f>F26-F28</f>
        <v>6641.6666666666642</v>
      </c>
      <c r="G29" s="18">
        <f>G26-G28</f>
        <v>7562.5</v>
      </c>
      <c r="H29" s="18">
        <f>H26-H28</f>
        <v>46153.333333333336</v>
      </c>
      <c r="I29" s="18">
        <f>I26-I28</f>
        <v>6100</v>
      </c>
      <c r="J29" s="18">
        <f>J26-J28</f>
        <v>9250</v>
      </c>
      <c r="K29" s="174"/>
      <c r="L29" s="19"/>
      <c r="M29" s="146"/>
      <c r="N29" s="33"/>
      <c r="O29" s="33"/>
      <c r="P29" s="175"/>
      <c r="Q29" s="27"/>
      <c r="S29" s="27"/>
    </row>
    <row r="30" spans="1:20">
      <c r="A30" s="14"/>
      <c r="B30" s="19"/>
      <c r="C30" s="14"/>
      <c r="D30" s="14"/>
      <c r="E30" s="14"/>
      <c r="F30" s="14"/>
      <c r="G30" s="19">
        <f>G28-2500</f>
        <v>41800</v>
      </c>
      <c r="H30" s="14"/>
      <c r="I30" s="14"/>
      <c r="J30" s="14"/>
      <c r="K30" s="174">
        <f ca="1">B26-B27</f>
        <v>-2020.8333333333358</v>
      </c>
      <c r="L30" s="19">
        <f ca="1">C26-C27</f>
        <v>-1700</v>
      </c>
      <c r="M30" s="146"/>
      <c r="N30" s="175"/>
      <c r="O30" s="488"/>
      <c r="P30" s="490"/>
      <c r="Q30" s="27"/>
      <c r="S30" s="27"/>
    </row>
    <row r="31" spans="1:20">
      <c r="A31" s="22" t="s">
        <v>31</v>
      </c>
      <c r="B31" s="23">
        <v>48300</v>
      </c>
      <c r="C31" s="23">
        <v>45550</v>
      </c>
      <c r="D31" s="18">
        <v>48800</v>
      </c>
      <c r="E31" s="18">
        <v>45550</v>
      </c>
      <c r="F31" s="18">
        <v>45550</v>
      </c>
      <c r="G31" s="18">
        <v>47500</v>
      </c>
      <c r="H31" s="18">
        <v>47800</v>
      </c>
      <c r="I31" s="18">
        <v>48300</v>
      </c>
      <c r="J31" s="18"/>
      <c r="K31" s="174"/>
      <c r="L31" s="48"/>
      <c r="M31" s="146"/>
      <c r="N31" s="175"/>
      <c r="O31" s="33"/>
      <c r="P31" s="264"/>
      <c r="Q31" s="27"/>
      <c r="S31" s="27"/>
    </row>
    <row r="32" spans="1:20">
      <c r="A32" s="22" t="s">
        <v>32</v>
      </c>
      <c r="B32" s="26">
        <f>B31-500-(200+300+300)-250-400</f>
        <v>46350</v>
      </c>
      <c r="C32" s="26">
        <f>C31-500-(200+300+300)-250-400</f>
        <v>43600</v>
      </c>
      <c r="D32" s="26">
        <f>D31-500-(200+300+300)-250-400</f>
        <v>46850</v>
      </c>
      <c r="E32" s="26">
        <f>E31-500-(200+300+300)-250-400</f>
        <v>43600</v>
      </c>
      <c r="F32" s="26">
        <f>F31-500-(200+300+300)-250-400</f>
        <v>43600</v>
      </c>
      <c r="G32" s="26">
        <f>G31-500-(200+300+300)-250-400</f>
        <v>45550</v>
      </c>
      <c r="H32" s="26">
        <f>H31-500-(200+300+300)-250-400</f>
        <v>45850</v>
      </c>
      <c r="I32" s="26">
        <f>I31-500-(200+300+300)-250-400</f>
        <v>46350</v>
      </c>
      <c r="J32" s="269"/>
      <c r="K32" s="174"/>
      <c r="L32" s="33"/>
      <c r="M32" s="19"/>
      <c r="N32" s="19"/>
      <c r="O32" s="19"/>
      <c r="P32" s="264"/>
      <c r="Q32" s="27"/>
      <c r="S32" s="27"/>
    </row>
    <row r="33" spans="1:25 16384:16384">
      <c r="A33" s="25" t="s">
        <v>33</v>
      </c>
      <c r="B33" s="18">
        <f>B32-B26</f>
        <v>-6312.5</v>
      </c>
      <c r="C33" s="18">
        <f>C32-C26</f>
        <v>-5356.6666666666642</v>
      </c>
      <c r="D33" s="18">
        <f>D32-D26</f>
        <v>-3475</v>
      </c>
      <c r="E33" s="18">
        <f>E32-E26</f>
        <v>-5325</v>
      </c>
      <c r="F33" s="18">
        <f>F32-F26</f>
        <v>-5016.6666666666642</v>
      </c>
      <c r="G33" s="18">
        <f>G32-G26</f>
        <v>-6312.5</v>
      </c>
      <c r="H33" s="18">
        <f>H32-H26</f>
        <v>-303.33333333333576</v>
      </c>
      <c r="I33" s="18">
        <f>I32-I26</f>
        <v>-4050</v>
      </c>
      <c r="J33" s="270"/>
      <c r="K33" s="174"/>
      <c r="L33" s="48"/>
      <c r="M33" s="14"/>
      <c r="N33" s="19"/>
      <c r="O33" s="14"/>
      <c r="P33" s="264"/>
      <c r="Q33" s="473"/>
      <c r="R33" s="474"/>
      <c r="S33" s="27"/>
    </row>
    <row r="34" spans="1:25 16384:16384" ht="10.5" customHeight="1">
      <c r="I34" s="33"/>
      <c r="J34" s="49"/>
      <c r="K34" s="48"/>
      <c r="L34" s="48"/>
      <c r="M34" s="14"/>
      <c r="N34" s="19"/>
      <c r="O34" s="19"/>
      <c r="P34" s="264"/>
      <c r="Q34" s="27"/>
      <c r="R34" s="27">
        <v>182.5</v>
      </c>
      <c r="S34" s="27">
        <v>182.5</v>
      </c>
      <c r="V34" s="137"/>
      <c r="W34" s="14"/>
      <c r="X34" s="48"/>
      <c r="Y34" s="48"/>
    </row>
    <row r="35" spans="1:25 16384:16384">
      <c r="A35" s="28" t="s">
        <v>141</v>
      </c>
      <c r="B35" s="380">
        <f>52250+750</f>
        <v>53000</v>
      </c>
      <c r="C35" s="380">
        <v>51000</v>
      </c>
      <c r="D35" s="380">
        <v>53500</v>
      </c>
      <c r="E35" s="380"/>
      <c r="F35" s="380">
        <v>51000</v>
      </c>
      <c r="G35" s="380">
        <f>B35-750</f>
        <v>52250</v>
      </c>
      <c r="H35" s="380"/>
      <c r="I35" s="380"/>
      <c r="J35" s="381">
        <f>C35</f>
        <v>51000</v>
      </c>
      <c r="K35" s="382"/>
      <c r="L35" s="382"/>
      <c r="M35" s="14"/>
      <c r="N35" s="27"/>
      <c r="O35" s="499"/>
      <c r="P35" s="264"/>
      <c r="Q35" s="27"/>
      <c r="R35" s="27" t="s">
        <v>141</v>
      </c>
      <c r="S35" s="27" t="s">
        <v>48</v>
      </c>
      <c r="V35" s="137"/>
      <c r="W35" s="14"/>
      <c r="X35" s="48"/>
      <c r="Y35" s="48"/>
    </row>
    <row r="36" spans="1:25 16384:16384" ht="15.75" customHeight="1">
      <c r="A36" s="28" t="s">
        <v>144</v>
      </c>
      <c r="B36" s="383"/>
      <c r="C36" s="383"/>
      <c r="D36" s="383"/>
      <c r="E36" s="384"/>
      <c r="F36" s="383"/>
      <c r="G36" s="383"/>
      <c r="H36" s="383"/>
      <c r="I36" s="380">
        <v>53000</v>
      </c>
      <c r="J36" s="382"/>
      <c r="K36" s="385">
        <v>53750</v>
      </c>
      <c r="L36" s="381"/>
      <c r="M36" s="14"/>
      <c r="N36" s="175"/>
      <c r="O36" s="500"/>
      <c r="P36" s="27"/>
      <c r="Q36" s="264" t="s">
        <v>168</v>
      </c>
      <c r="R36" s="491">
        <v>46943</v>
      </c>
      <c r="S36" s="264">
        <v>48717</v>
      </c>
      <c r="V36" s="137"/>
      <c r="W36" s="14"/>
      <c r="X36" s="48"/>
      <c r="Y36" s="48"/>
      <c r="XFD36" s="96" t="s">
        <v>68</v>
      </c>
    </row>
    <row r="37" spans="1:25 16384:16384">
      <c r="C37" s="52"/>
      <c r="D37" s="118"/>
      <c r="E37" s="118"/>
      <c r="F37" s="58"/>
      <c r="G37" s="118"/>
      <c r="H37" s="118"/>
      <c r="Q37" t="s">
        <v>169</v>
      </c>
      <c r="R37" s="27">
        <v>500</v>
      </c>
      <c r="S37">
        <v>500</v>
      </c>
    </row>
    <row r="38" spans="1:25 16384:16384">
      <c r="A38" s="28" t="s">
        <v>141</v>
      </c>
      <c r="B38" s="380">
        <v>53500</v>
      </c>
      <c r="C38" s="380">
        <v>51000</v>
      </c>
      <c r="D38" s="380">
        <v>54000</v>
      </c>
      <c r="E38" s="380"/>
      <c r="F38" s="380"/>
      <c r="G38" s="380">
        <f>B38-800</f>
        <v>52700</v>
      </c>
      <c r="H38" s="380"/>
      <c r="I38" s="380"/>
      <c r="J38" s="380"/>
      <c r="K38" s="380">
        <v>54000</v>
      </c>
      <c r="L38" s="380">
        <v>52000</v>
      </c>
      <c r="M38" s="380"/>
      <c r="O38" s="33"/>
      <c r="Q38" t="s">
        <v>155</v>
      </c>
      <c r="R38" s="27">
        <v>54750</v>
      </c>
      <c r="S38">
        <v>55750</v>
      </c>
    </row>
    <row r="39" spans="1:25 16384:16384">
      <c r="A39" s="28" t="s">
        <v>144</v>
      </c>
      <c r="B39" s="383"/>
      <c r="C39" s="383"/>
      <c r="D39" s="383"/>
      <c r="E39" s="384"/>
      <c r="F39" s="383"/>
      <c r="G39" s="383"/>
      <c r="H39" s="383"/>
      <c r="I39" s="380"/>
      <c r="J39" s="382"/>
      <c r="K39" s="385"/>
      <c r="L39" s="381"/>
      <c r="Q39" t="s">
        <v>170</v>
      </c>
      <c r="R39">
        <v>1500</v>
      </c>
      <c r="S39">
        <v>1500</v>
      </c>
    </row>
    <row r="40" spans="1:25 16384:16384">
      <c r="Q40" t="s">
        <v>171</v>
      </c>
      <c r="R40">
        <f>R38-R39-R37-R36</f>
        <v>5807</v>
      </c>
      <c r="S40">
        <f>S38-S39-S37-S36</f>
        <v>5033</v>
      </c>
    </row>
    <row r="41" spans="1:25 16384:16384">
      <c r="Q41" t="s">
        <v>172</v>
      </c>
      <c r="R41" s="27">
        <f>R40-1500</f>
        <v>4307</v>
      </c>
      <c r="S41" s="27">
        <f>S40-1500</f>
        <v>3533</v>
      </c>
    </row>
    <row r="42" spans="1:25 16384:16384">
      <c r="S42">
        <f>SUMPRODUCT(R40:S40,R34:S34)/SUM(R34:S34)</f>
        <v>5420</v>
      </c>
    </row>
    <row r="45" spans="1:25 16384:16384">
      <c r="R45" s="27">
        <f>SUMPRODUCT(R41:S41,R34:S34)/SUM(R34:S34)</f>
        <v>3920</v>
      </c>
    </row>
    <row r="47" spans="1:25 16384:16384">
      <c r="S47" s="33"/>
    </row>
    <row r="49" spans="3:12">
      <c r="C49" s="120"/>
      <c r="D49" s="120"/>
      <c r="E49" s="120"/>
      <c r="F49" s="120"/>
      <c r="G49" s="120"/>
      <c r="H49" s="120"/>
      <c r="I49" s="120"/>
      <c r="J49" s="120"/>
      <c r="K49" s="120"/>
      <c r="L49" s="120"/>
    </row>
    <row r="50" spans="3:12">
      <c r="C50" s="120"/>
      <c r="D50" s="121"/>
      <c r="E50" s="122"/>
      <c r="F50" s="122"/>
      <c r="G50" s="122"/>
      <c r="H50" s="122"/>
      <c r="I50" s="122"/>
      <c r="J50" s="122"/>
      <c r="K50" s="122"/>
      <c r="L50" s="122"/>
    </row>
    <row r="51" spans="3:12">
      <c r="C51" s="120"/>
      <c r="D51" s="121"/>
      <c r="E51" s="122"/>
      <c r="F51" s="122"/>
      <c r="G51" s="122"/>
      <c r="H51" s="122"/>
      <c r="I51" s="122"/>
      <c r="J51" s="122"/>
      <c r="K51" s="122"/>
      <c r="L51" s="122"/>
    </row>
    <row r="52" spans="3:12">
      <c r="C52" s="120"/>
      <c r="D52" s="121"/>
      <c r="E52" s="122"/>
      <c r="F52" s="122"/>
      <c r="G52" s="122"/>
      <c r="H52" s="122"/>
      <c r="I52" s="122"/>
      <c r="J52" s="122"/>
      <c r="K52" s="122"/>
      <c r="L52" s="122"/>
    </row>
    <row r="53" spans="3:12">
      <c r="C53" s="120"/>
      <c r="D53" s="121"/>
      <c r="E53" s="122"/>
      <c r="F53" s="122"/>
      <c r="G53" s="122"/>
      <c r="H53" s="122"/>
      <c r="I53" s="122"/>
      <c r="J53" s="122"/>
      <c r="K53" s="122"/>
      <c r="L53" s="122"/>
    </row>
    <row r="54" spans="3:12">
      <c r="C54" s="120"/>
      <c r="D54" s="120"/>
      <c r="E54" s="123"/>
      <c r="F54" s="123"/>
      <c r="G54" s="123"/>
      <c r="H54" s="123"/>
      <c r="I54" s="123"/>
      <c r="J54" s="123"/>
      <c r="K54" s="123"/>
      <c r="L54" s="123"/>
    </row>
  </sheetData>
  <mergeCells count="1">
    <mergeCell ref="B1:Q1"/>
  </mergeCell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EAE1-F9F3-4CFC-8D34-430A723B4E60}">
  <dimension ref="A1:XFD55"/>
  <sheetViews>
    <sheetView workbookViewId="0">
      <pane ySplit="2" topLeftCell="A17" activePane="bottomLeft" state="frozen"/>
      <selection pane="bottomLeft" activeCell="F27" sqref="F27"/>
    </sheetView>
  </sheetViews>
  <sheetFormatPr defaultColWidth="15.85546875" defaultRowHeight="15"/>
  <cols>
    <col min="1" max="1" width="27.85546875" customWidth="1"/>
    <col min="2" max="2" width="15.28515625" customWidth="1"/>
    <col min="3" max="3" width="13.85546875" customWidth="1"/>
    <col min="4" max="4" width="10.42578125" customWidth="1"/>
    <col min="5" max="5" width="13" customWidth="1"/>
    <col min="6" max="10" width="10.7109375" customWidth="1"/>
    <col min="11" max="11" width="26.140625" customWidth="1"/>
    <col min="12" max="13" width="15.140625" customWidth="1"/>
    <col min="14" max="14" width="15.5703125" customWidth="1"/>
    <col min="15" max="15" width="23.140625" customWidth="1"/>
    <col min="16" max="16" width="17.140625" customWidth="1"/>
    <col min="17" max="17" width="15.140625" customWidth="1"/>
    <col min="18" max="18" width="19.5703125" style="27" customWidth="1"/>
    <col min="19" max="19" width="15" customWidth="1"/>
    <col min="20" max="20" width="22.5703125" bestFit="1" customWidth="1"/>
    <col min="21" max="21" width="25.28515625" bestFit="1" customWidth="1"/>
  </cols>
  <sheetData>
    <row r="1" spans="1:22">
      <c r="A1" s="81"/>
      <c r="B1" s="519" t="s">
        <v>0</v>
      </c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527"/>
      <c r="N1" s="527"/>
      <c r="O1" s="527"/>
      <c r="P1" s="527"/>
      <c r="Q1" s="527"/>
    </row>
    <row r="2" spans="1:22">
      <c r="A2" s="82" t="s">
        <v>1</v>
      </c>
      <c r="B2" s="470" t="s">
        <v>2</v>
      </c>
      <c r="C2" s="470" t="s">
        <v>3</v>
      </c>
      <c r="D2" s="470" t="s">
        <v>4</v>
      </c>
      <c r="E2" s="470" t="s">
        <v>5</v>
      </c>
      <c r="F2" s="470" t="s">
        <v>6</v>
      </c>
      <c r="G2" s="470" t="s">
        <v>7</v>
      </c>
      <c r="H2" s="470" t="s">
        <v>8</v>
      </c>
      <c r="I2" s="470" t="s">
        <v>9</v>
      </c>
      <c r="J2" s="470" t="s">
        <v>10</v>
      </c>
      <c r="K2" s="470" t="s">
        <v>11</v>
      </c>
      <c r="L2" s="470" t="s">
        <v>12</v>
      </c>
      <c r="M2" s="470" t="s">
        <v>13</v>
      </c>
      <c r="N2" s="470" t="s">
        <v>14</v>
      </c>
      <c r="O2" s="470" t="s">
        <v>15</v>
      </c>
      <c r="P2" s="470" t="s">
        <v>16</v>
      </c>
      <c r="Q2" s="471" t="s">
        <v>17</v>
      </c>
    </row>
    <row r="3" spans="1:22">
      <c r="A3" s="83">
        <v>46097</v>
      </c>
      <c r="B3" s="36">
        <f>_xlfn.XLOOKUP(A3,'steel Mint data'!A:A,'steel Mint data'!B:B,"",0)</f>
        <v>50300</v>
      </c>
      <c r="C3" s="36"/>
      <c r="D3" s="36"/>
      <c r="E3" s="36">
        <f>_xlfn.XLOOKUP(A3,'steel Mint data'!A:A,'steel Mint data'!D:D,"",0)</f>
        <v>50750</v>
      </c>
      <c r="F3" s="36">
        <f>_xlfn.XLOOKUP(A3,'steel Mint data'!A:A,'steel Mint data'!E:E,"",0)</f>
        <v>46900</v>
      </c>
      <c r="G3" s="36"/>
      <c r="H3" s="36"/>
      <c r="I3" s="36">
        <f>_xlfn.XLOOKUP(A3,'steel Mint data'!A:A,'steel Mint data'!I:I,"",0)</f>
        <v>49500</v>
      </c>
      <c r="J3" s="36"/>
      <c r="K3" s="36">
        <f>_xlfn.XLOOKUP(A3,'steel Mint data'!A:A,'steel Mint data'!L:L,"",0)</f>
        <v>49400</v>
      </c>
      <c r="L3" s="36"/>
      <c r="M3" s="36"/>
      <c r="N3" s="36"/>
      <c r="O3" s="36"/>
      <c r="P3" s="37">
        <f>_xlfn.XLOOKUP(A3,'steel Mint data'!A:A,'steel Mint data'!Q:Q,"",0)</f>
        <v>46200</v>
      </c>
      <c r="Q3" s="36">
        <f>_xlfn.XLOOKUP(A3,'steel Mint data'!A:A,'steel Mint data'!R:R,"",0)</f>
        <v>46000</v>
      </c>
    </row>
    <row r="4" spans="1:22">
      <c r="A4" s="83">
        <v>46098</v>
      </c>
      <c r="B4" s="36">
        <f>_xlfn.XLOOKUP(A4,'steel Mint data'!A:A,'steel Mint data'!B:B,"",0)</f>
        <v>50400</v>
      </c>
      <c r="C4" s="36"/>
      <c r="D4" s="36"/>
      <c r="E4" s="36">
        <f>_xlfn.XLOOKUP(A4,'steel Mint data'!A:A,'steel Mint data'!D:D,"",0)</f>
        <v>50900</v>
      </c>
      <c r="F4" s="36">
        <f>_xlfn.XLOOKUP(A4,'steel Mint data'!A:A,'steel Mint data'!E:E,"",0)</f>
        <v>46700</v>
      </c>
      <c r="G4" s="36"/>
      <c r="H4" s="36"/>
      <c r="I4" s="36">
        <f>_xlfn.XLOOKUP(A4,'steel Mint data'!A:A,'steel Mint data'!I:I,"",0)</f>
        <v>49500</v>
      </c>
      <c r="J4" s="36"/>
      <c r="K4" s="36">
        <f>_xlfn.XLOOKUP(A4,'steel Mint data'!A:A,'steel Mint data'!L:L,"",0)</f>
        <v>49800</v>
      </c>
      <c r="L4" s="36"/>
      <c r="M4" s="36"/>
      <c r="N4" s="36"/>
      <c r="O4" s="36"/>
      <c r="P4" s="37">
        <f>_xlfn.XLOOKUP(A4,'steel Mint data'!A:A,'steel Mint data'!Q:Q,"",0)</f>
        <v>46200</v>
      </c>
      <c r="Q4" s="36">
        <f>_xlfn.XLOOKUP(A4,'steel Mint data'!A:A,'steel Mint data'!R:R,"",0)</f>
        <v>46000</v>
      </c>
    </row>
    <row r="5" spans="1:22">
      <c r="A5" s="83">
        <v>46099</v>
      </c>
      <c r="B5" s="36">
        <f>_xlfn.XLOOKUP(A5,'steel Mint data'!A:A,'steel Mint data'!B:B,"",0)</f>
        <v>50300</v>
      </c>
      <c r="C5" s="36"/>
      <c r="D5" s="36"/>
      <c r="E5" s="36">
        <f>_xlfn.XLOOKUP(A5,'steel Mint data'!A:A,'steel Mint data'!D:D,"",0)</f>
        <v>50600</v>
      </c>
      <c r="F5" s="36">
        <f>_xlfn.XLOOKUP(A5,'steel Mint data'!A:A,'steel Mint data'!E:E,"",0)</f>
        <v>46300</v>
      </c>
      <c r="G5" s="36"/>
      <c r="H5" s="36"/>
      <c r="I5" s="36">
        <f>_xlfn.XLOOKUP(A5,'steel Mint data'!A:A,'steel Mint data'!I:I,"",0)</f>
        <v>49500</v>
      </c>
      <c r="J5" s="36"/>
      <c r="K5" s="36">
        <f>_xlfn.XLOOKUP(A5,'steel Mint data'!A:A,'steel Mint data'!L:L,"",0)</f>
        <v>49600</v>
      </c>
      <c r="L5" s="36"/>
      <c r="M5" s="36"/>
      <c r="N5" s="36"/>
      <c r="O5" s="36"/>
      <c r="P5" s="37">
        <f>_xlfn.XLOOKUP(A5,'steel Mint data'!A:A,'steel Mint data'!Q:Q,"",0)</f>
        <v>46100</v>
      </c>
      <c r="Q5" s="36">
        <f>_xlfn.XLOOKUP(A5,'steel Mint data'!A:A,'steel Mint data'!R:R,"",0)</f>
        <v>46000</v>
      </c>
      <c r="T5" s="27"/>
      <c r="U5" s="27"/>
      <c r="V5" s="27"/>
    </row>
    <row r="6" spans="1:22">
      <c r="A6" s="83">
        <v>46100</v>
      </c>
      <c r="B6" s="36">
        <f>_xlfn.XLOOKUP(A6,'steel Mint data'!A:A,'steel Mint data'!B:B,"",0)</f>
        <v>50100</v>
      </c>
      <c r="C6" s="36"/>
      <c r="D6" s="36"/>
      <c r="E6" s="36">
        <f>_xlfn.XLOOKUP(A6,'steel Mint data'!A:A,'steel Mint data'!D:D,"",0)</f>
        <v>50600</v>
      </c>
      <c r="F6" s="36">
        <f>_xlfn.XLOOKUP(A6,'steel Mint data'!A:A,'steel Mint data'!E:E,"",0)</f>
        <v>46200</v>
      </c>
      <c r="G6" s="36"/>
      <c r="H6" s="36"/>
      <c r="I6" s="36">
        <f>_xlfn.XLOOKUP(A6,'steel Mint data'!A:A,'steel Mint data'!I:I,"",0)</f>
        <v>49100</v>
      </c>
      <c r="J6" s="36"/>
      <c r="K6" s="36">
        <f>_xlfn.XLOOKUP(A6,'steel Mint data'!A:A,'steel Mint data'!L:L,"",0)</f>
        <v>49500</v>
      </c>
      <c r="L6" s="36"/>
      <c r="M6" s="36"/>
      <c r="N6" s="36"/>
      <c r="O6" s="36"/>
      <c r="P6" s="37">
        <f>_xlfn.XLOOKUP(A6,'steel Mint data'!A:A,'steel Mint data'!Q:Q,"",0)</f>
        <v>46000</v>
      </c>
      <c r="Q6" s="36">
        <f>_xlfn.XLOOKUP(A6,'steel Mint data'!A:A,'steel Mint data'!R:R,"",0)</f>
        <v>45700</v>
      </c>
      <c r="T6" s="27"/>
      <c r="U6" s="27"/>
      <c r="V6" s="27"/>
    </row>
    <row r="7" spans="1:22">
      <c r="A7" s="83">
        <v>46101</v>
      </c>
      <c r="B7" s="36">
        <f>_xlfn.XLOOKUP(A7,'steel Mint data'!A:A,'steel Mint data'!B:B,"",0)</f>
        <v>50200</v>
      </c>
      <c r="C7" s="36"/>
      <c r="D7" s="36"/>
      <c r="E7" s="36">
        <f>_xlfn.XLOOKUP(A7,'steel Mint data'!A:A,'steel Mint data'!D:D,"",0)</f>
        <v>50600</v>
      </c>
      <c r="F7" s="36">
        <f>_xlfn.XLOOKUP(A7,'steel Mint data'!A:A,'steel Mint data'!E:E,"",0)</f>
        <v>46200</v>
      </c>
      <c r="G7" s="36"/>
      <c r="H7" s="36"/>
      <c r="I7" s="36">
        <f>_xlfn.XLOOKUP(A7,'steel Mint data'!A:A,'steel Mint data'!I:I,"",0)</f>
        <v>49100</v>
      </c>
      <c r="J7" s="36"/>
      <c r="K7" s="36">
        <f>_xlfn.XLOOKUP(A7,'steel Mint data'!A:A,'steel Mint data'!L:L,"",0)</f>
        <v>49600</v>
      </c>
      <c r="L7" s="36"/>
      <c r="M7" s="36"/>
      <c r="N7" s="36"/>
      <c r="O7" s="36"/>
      <c r="P7" s="37">
        <f>_xlfn.XLOOKUP(A7,'steel Mint data'!A:A,'steel Mint data'!Q:Q,"",0)</f>
        <v>46200</v>
      </c>
      <c r="Q7" s="36">
        <f>_xlfn.XLOOKUP(A7,'steel Mint data'!A:A,'steel Mint data'!R:R,"",0)</f>
        <v>45700</v>
      </c>
      <c r="R7" s="455"/>
      <c r="T7" s="27"/>
      <c r="U7" s="27"/>
      <c r="V7" s="27"/>
    </row>
    <row r="8" spans="1:22">
      <c r="A8" s="83">
        <v>46102</v>
      </c>
      <c r="B8" s="36" t="str">
        <f>_xlfn.XLOOKUP(A8,'steel Mint data'!A:A,'steel Mint data'!B:B,"",0)</f>
        <v>H</v>
      </c>
      <c r="C8" s="36"/>
      <c r="D8" s="36"/>
      <c r="E8" s="36" t="str">
        <f>_xlfn.XLOOKUP(A8,'steel Mint data'!A:A,'steel Mint data'!D:D,"",0)</f>
        <v>H</v>
      </c>
      <c r="F8" s="36" t="str">
        <f>_xlfn.XLOOKUP(A8,'steel Mint data'!A:A,'steel Mint data'!E:E,"",0)</f>
        <v>H</v>
      </c>
      <c r="G8" s="36"/>
      <c r="H8" s="36"/>
      <c r="I8" s="36" t="str">
        <f>_xlfn.XLOOKUP(A8,'steel Mint data'!A:A,'steel Mint data'!I:I,"",0)</f>
        <v>H</v>
      </c>
      <c r="J8" s="36"/>
      <c r="K8" s="36" t="str">
        <f>_xlfn.XLOOKUP(A8,'steel Mint data'!A:A,'steel Mint data'!L:L,"",0)</f>
        <v>H</v>
      </c>
      <c r="L8" s="36"/>
      <c r="M8" s="36"/>
      <c r="N8" s="36"/>
      <c r="O8" s="36"/>
      <c r="P8" s="37" t="str">
        <f>_xlfn.XLOOKUP(A8,'steel Mint data'!A:A,'steel Mint data'!Q:Q,"",0)</f>
        <v>H</v>
      </c>
      <c r="Q8" s="36" t="str">
        <f>_xlfn.XLOOKUP(A8,'steel Mint data'!A:A,'steel Mint data'!R:R,"",0)</f>
        <v>H</v>
      </c>
      <c r="T8" s="27"/>
      <c r="U8" s="27"/>
      <c r="V8" s="27"/>
    </row>
    <row r="9" spans="1:22">
      <c r="A9" s="83">
        <v>46103</v>
      </c>
      <c r="B9" s="36" t="str">
        <f>_xlfn.XLOOKUP(A9,'steel Mint data'!A:A,'steel Mint data'!B:B,"",0)</f>
        <v>H</v>
      </c>
      <c r="C9" s="36"/>
      <c r="D9" s="36"/>
      <c r="E9" s="36" t="str">
        <f>_xlfn.XLOOKUP(A9,'steel Mint data'!A:A,'steel Mint data'!D:D,"",0)</f>
        <v>H</v>
      </c>
      <c r="F9" s="36" t="str">
        <f>_xlfn.XLOOKUP(A9,'steel Mint data'!A:A,'steel Mint data'!E:E,"",0)</f>
        <v>H</v>
      </c>
      <c r="G9" s="36"/>
      <c r="H9" s="36"/>
      <c r="I9" s="36" t="str">
        <f>_xlfn.XLOOKUP(A9,'steel Mint data'!A:A,'steel Mint data'!I:I,"",0)</f>
        <v>H</v>
      </c>
      <c r="J9" s="36"/>
      <c r="K9" s="36" t="str">
        <f>_xlfn.XLOOKUP(A9,'steel Mint data'!A:A,'steel Mint data'!L:L,"",0)</f>
        <v>H</v>
      </c>
      <c r="L9" s="36"/>
      <c r="M9" s="36"/>
      <c r="N9" s="36"/>
      <c r="O9" s="36"/>
      <c r="P9" s="37" t="str">
        <f>_xlfn.XLOOKUP(A9,'steel Mint data'!A:A,'steel Mint data'!Q:Q,"",0)</f>
        <v>H</v>
      </c>
      <c r="Q9" s="36" t="str">
        <f>_xlfn.XLOOKUP(A9,'steel Mint data'!A:A,'steel Mint data'!R:R,"",0)</f>
        <v>H</v>
      </c>
      <c r="T9" s="27"/>
      <c r="U9" s="27"/>
      <c r="V9" s="27"/>
    </row>
    <row r="10" spans="1:22">
      <c r="A10" s="83">
        <v>46104</v>
      </c>
      <c r="B10" s="36">
        <f>_xlfn.XLOOKUP(A10,'steel Mint data'!A:A,'steel Mint data'!B:B,"",0)</f>
        <v>50200</v>
      </c>
      <c r="C10" s="36"/>
      <c r="D10" s="36"/>
      <c r="E10" s="36">
        <f>_xlfn.XLOOKUP(A10,'steel Mint data'!A:A,'steel Mint data'!D:D,"",0)</f>
        <v>50500</v>
      </c>
      <c r="F10" s="36">
        <f>_xlfn.XLOOKUP(A10,'steel Mint data'!A:A,'steel Mint data'!E:E,"",0)</f>
        <v>46200</v>
      </c>
      <c r="G10" s="36"/>
      <c r="H10" s="36"/>
      <c r="I10" s="36">
        <f>_xlfn.XLOOKUP(A10,'steel Mint data'!A:A,'steel Mint data'!I:I,"",0)</f>
        <v>49000</v>
      </c>
      <c r="J10" s="36"/>
      <c r="K10" s="36">
        <f>_xlfn.XLOOKUP(A10,'steel Mint data'!A:A,'steel Mint data'!L:L,"",0)</f>
        <v>49800</v>
      </c>
      <c r="L10" s="36"/>
      <c r="M10" s="36"/>
      <c r="N10" s="36"/>
      <c r="O10" s="36"/>
      <c r="P10" s="37">
        <f>_xlfn.XLOOKUP(A10,'steel Mint data'!A:A,'steel Mint data'!Q:Q,"",0)</f>
        <v>46000</v>
      </c>
      <c r="Q10" s="36">
        <f>_xlfn.XLOOKUP(A10,'steel Mint data'!A:A,'steel Mint data'!R:R,"",0)</f>
        <v>45700</v>
      </c>
    </row>
    <row r="11" spans="1:22">
      <c r="A11" s="83">
        <v>46105</v>
      </c>
      <c r="B11" s="36">
        <f>_xlfn.XLOOKUP(A11,'steel Mint data'!A:A,'steel Mint data'!B:B,"",0)</f>
        <v>50200</v>
      </c>
      <c r="C11" s="36"/>
      <c r="D11" s="36"/>
      <c r="E11" s="36">
        <f>_xlfn.XLOOKUP(A11,'steel Mint data'!A:A,'steel Mint data'!D:D,"",0)</f>
        <v>50250</v>
      </c>
      <c r="F11" s="36">
        <f>_xlfn.XLOOKUP(A11,'steel Mint data'!A:A,'steel Mint data'!E:E,"",0)</f>
        <v>46100</v>
      </c>
      <c r="G11" s="36"/>
      <c r="H11" s="36"/>
      <c r="I11" s="36">
        <f>_xlfn.XLOOKUP(A11,'steel Mint data'!A:A,'steel Mint data'!I:I,"",0)</f>
        <v>48800</v>
      </c>
      <c r="J11" s="36"/>
      <c r="K11" s="36">
        <f>_xlfn.XLOOKUP(A11,'steel Mint data'!A:A,'steel Mint data'!L:L,"",0)</f>
        <v>49600</v>
      </c>
      <c r="L11" s="36"/>
      <c r="M11" s="36"/>
      <c r="N11" s="36"/>
      <c r="O11" s="36"/>
      <c r="P11" s="37">
        <f>_xlfn.XLOOKUP(A11,'steel Mint data'!A:A,'steel Mint data'!Q:Q,"",0)</f>
        <v>45700</v>
      </c>
      <c r="Q11" s="36">
        <f>_xlfn.XLOOKUP(A11,'steel Mint data'!A:A,'steel Mint data'!R:R,"",0)</f>
        <v>45500</v>
      </c>
      <c r="R11" s="456"/>
    </row>
    <row r="12" spans="1:22">
      <c r="A12" s="83">
        <v>46106</v>
      </c>
      <c r="B12" s="36">
        <f>_xlfn.XLOOKUP(A12,'steel Mint data'!A:A,'steel Mint data'!B:B,"",0)</f>
        <v>50100</v>
      </c>
      <c r="C12" s="36"/>
      <c r="D12" s="36"/>
      <c r="E12" s="36">
        <f>_xlfn.XLOOKUP(A12,'steel Mint data'!A:A,'steel Mint data'!D:D,"",0)</f>
        <v>49500</v>
      </c>
      <c r="F12" s="36">
        <f>_xlfn.XLOOKUP(A12,'steel Mint data'!A:A,'steel Mint data'!E:E,"",0)</f>
        <v>45700</v>
      </c>
      <c r="G12" s="36"/>
      <c r="H12" s="36"/>
      <c r="I12" s="36">
        <f>_xlfn.XLOOKUP(A12,'steel Mint data'!A:A,'steel Mint data'!I:I,"",0)</f>
        <v>48500</v>
      </c>
      <c r="J12" s="36"/>
      <c r="K12" s="36">
        <f>_xlfn.XLOOKUP(A12,'steel Mint data'!A:A,'steel Mint data'!L:L,"",0)</f>
        <v>49400</v>
      </c>
      <c r="L12" s="36"/>
      <c r="M12" s="36"/>
      <c r="N12" s="36"/>
      <c r="O12" s="36"/>
      <c r="P12" s="37">
        <f>_xlfn.XLOOKUP(A12,'steel Mint data'!A:A,'steel Mint data'!Q:Q,"",0)</f>
        <v>45200</v>
      </c>
      <c r="Q12" s="36">
        <f>_xlfn.XLOOKUP(A12,'steel Mint data'!A:A,'steel Mint data'!R:R,"",0)</f>
        <v>45500</v>
      </c>
      <c r="V12" s="472">
        <f ca="1">TODAY()-15</f>
        <v>46109</v>
      </c>
    </row>
    <row r="13" spans="1:22">
      <c r="A13" s="83">
        <v>46107</v>
      </c>
      <c r="B13" s="36">
        <f>_xlfn.XLOOKUP(A13,'steel Mint data'!A:A,'steel Mint data'!B:B,"",0)</f>
        <v>50200</v>
      </c>
      <c r="C13" s="36"/>
      <c r="D13" s="36"/>
      <c r="E13" s="36">
        <f>_xlfn.XLOOKUP(A13,'steel Mint data'!A:A,'steel Mint data'!D:D,"",0)</f>
        <v>49700</v>
      </c>
      <c r="F13" s="36">
        <f>_xlfn.XLOOKUP(A13,'steel Mint data'!A:A,'steel Mint data'!E:E,"",0)</f>
        <v>45500</v>
      </c>
      <c r="G13" s="36"/>
      <c r="H13" s="36"/>
      <c r="I13" s="36">
        <f>_xlfn.XLOOKUP(A13,'steel Mint data'!A:A,'steel Mint data'!I:I,"",0)</f>
        <v>48500</v>
      </c>
      <c r="J13" s="36"/>
      <c r="K13" s="36">
        <f>_xlfn.XLOOKUP(A13,'steel Mint data'!A:A,'steel Mint data'!L:L,"",0)</f>
        <v>49300</v>
      </c>
      <c r="L13" s="36"/>
      <c r="M13" s="36"/>
      <c r="N13" s="36"/>
      <c r="O13" s="36"/>
      <c r="P13" s="37">
        <f>_xlfn.XLOOKUP(A13,'steel Mint data'!A:A,'steel Mint data'!Q:Q,"",0)</f>
        <v>45300</v>
      </c>
      <c r="Q13" s="36">
        <f>_xlfn.XLOOKUP(A13,'steel Mint data'!A:A,'steel Mint data'!R:R,"",0)</f>
        <v>45500</v>
      </c>
      <c r="S13" s="33"/>
    </row>
    <row r="14" spans="1:22">
      <c r="A14" s="83">
        <v>46108</v>
      </c>
      <c r="B14" s="36">
        <f>_xlfn.XLOOKUP(A14,'steel Mint data'!A:A,'steel Mint data'!B:B,"",0)</f>
        <v>51000</v>
      </c>
      <c r="C14" s="36"/>
      <c r="D14" s="36"/>
      <c r="E14" s="36">
        <f>_xlfn.XLOOKUP(A14,'steel Mint data'!A:A,'steel Mint data'!D:D,"",0)</f>
        <v>50300</v>
      </c>
      <c r="F14" s="36">
        <f>_xlfn.XLOOKUP(A14,'steel Mint data'!A:A,'steel Mint data'!E:E,"",0)</f>
        <v>45700</v>
      </c>
      <c r="G14" s="36"/>
      <c r="H14" s="36"/>
      <c r="I14" s="36">
        <f>_xlfn.XLOOKUP(A14,'steel Mint data'!A:A,'steel Mint data'!I:I,"",0)</f>
        <v>48500</v>
      </c>
      <c r="J14" s="36"/>
      <c r="K14" s="36">
        <f>_xlfn.XLOOKUP(A14,'steel Mint data'!A:A,'steel Mint data'!L:L,"",0)</f>
        <v>49500</v>
      </c>
      <c r="L14" s="36"/>
      <c r="M14" s="36"/>
      <c r="N14" s="36"/>
      <c r="O14" s="36"/>
      <c r="P14" s="37">
        <f>_xlfn.XLOOKUP(A14,'steel Mint data'!A:A,'steel Mint data'!Q:Q,"",0)</f>
        <v>45600</v>
      </c>
      <c r="Q14" s="36">
        <f>_xlfn.XLOOKUP(A14,'steel Mint data'!A:A,'steel Mint data'!R:R,"",0)</f>
        <v>45500</v>
      </c>
      <c r="S14" s="33"/>
      <c r="T14" s="33"/>
    </row>
    <row r="15" spans="1:22">
      <c r="A15" s="83">
        <v>46109</v>
      </c>
      <c r="B15" s="36">
        <f>_xlfn.XLOOKUP(A15,'steel Mint data'!A:A,'steel Mint data'!B:B,"",0)</f>
        <v>51300</v>
      </c>
      <c r="C15" s="36"/>
      <c r="D15" s="36"/>
      <c r="E15" s="36">
        <f>_xlfn.XLOOKUP(A15,'steel Mint data'!A:A,'steel Mint data'!D:D,"",0)</f>
        <v>50300</v>
      </c>
      <c r="F15" s="36">
        <f>_xlfn.XLOOKUP(A15,'steel Mint data'!A:A,'steel Mint data'!E:E,"",0)</f>
        <v>45800</v>
      </c>
      <c r="G15" s="36"/>
      <c r="H15" s="36"/>
      <c r="I15" s="36">
        <f>_xlfn.XLOOKUP(A15,'steel Mint data'!A:A,'steel Mint data'!I:I,"",0)</f>
        <v>48900</v>
      </c>
      <c r="J15" s="36"/>
      <c r="K15" s="36">
        <f>_xlfn.XLOOKUP(A15,'steel Mint data'!A:A,'steel Mint data'!L:L,"",0)</f>
        <v>49600</v>
      </c>
      <c r="L15" s="36"/>
      <c r="M15" s="36"/>
      <c r="N15" s="36"/>
      <c r="O15" s="36"/>
      <c r="P15" s="37">
        <f>_xlfn.XLOOKUP(A15,'steel Mint data'!A:A,'steel Mint data'!Q:Q,"",0)</f>
        <v>45500</v>
      </c>
      <c r="Q15" s="36">
        <f>_xlfn.XLOOKUP(A15,'steel Mint data'!A:A,'steel Mint data'!R:R,"",0)</f>
        <v>45500</v>
      </c>
      <c r="R15" s="175"/>
      <c r="S15" s="33"/>
      <c r="T15" s="33"/>
    </row>
    <row r="16" spans="1:22">
      <c r="A16" s="83">
        <v>46110</v>
      </c>
      <c r="B16" s="36" t="str">
        <f>_xlfn.XLOOKUP(A16,'steel Mint data'!A:A,'steel Mint data'!B:B,"",0)</f>
        <v>H</v>
      </c>
      <c r="C16" s="36"/>
      <c r="D16" s="36"/>
      <c r="E16" s="36" t="str">
        <f>_xlfn.XLOOKUP(A16,'steel Mint data'!A:A,'steel Mint data'!D:D,"",0)</f>
        <v>H</v>
      </c>
      <c r="F16" s="36" t="str">
        <f>_xlfn.XLOOKUP(A16,'steel Mint data'!A:A,'steel Mint data'!E:E,"",0)</f>
        <v>H</v>
      </c>
      <c r="G16" s="36"/>
      <c r="H16" s="36"/>
      <c r="I16" s="36" t="str">
        <f>_xlfn.XLOOKUP(A16,'steel Mint data'!A:A,'steel Mint data'!I:I,"",0)</f>
        <v>H</v>
      </c>
      <c r="J16" s="36"/>
      <c r="K16" s="36" t="str">
        <f>_xlfn.XLOOKUP(A16,'steel Mint data'!A:A,'steel Mint data'!L:L,"",0)</f>
        <v>H</v>
      </c>
      <c r="L16" s="36"/>
      <c r="M16" s="36"/>
      <c r="N16" s="36"/>
      <c r="O16" s="36"/>
      <c r="P16" s="37" t="str">
        <f>_xlfn.XLOOKUP(A16,'steel Mint data'!A:A,'steel Mint data'!Q:Q,"",0)</f>
        <v>H</v>
      </c>
      <c r="Q16" s="36" t="str">
        <f>_xlfn.XLOOKUP(A16,'steel Mint data'!A:A,'steel Mint data'!R:R,"",0)</f>
        <v>H</v>
      </c>
      <c r="S16" s="33"/>
      <c r="T16" s="33"/>
    </row>
    <row r="17" spans="1:31">
      <c r="A17" s="83">
        <v>46111</v>
      </c>
      <c r="B17" s="36">
        <f>_xlfn.XLOOKUP(A17,'steel Mint data'!A:A,'steel Mint data'!B:B,"",0)</f>
        <v>52500</v>
      </c>
      <c r="C17" s="36"/>
      <c r="D17" s="36"/>
      <c r="E17" s="36">
        <f>_xlfn.XLOOKUP(A17,'steel Mint data'!A:A,'steel Mint data'!D:D,"",0)</f>
        <v>52400</v>
      </c>
      <c r="F17" s="36">
        <f>_xlfn.XLOOKUP(A17,'steel Mint data'!A:A,'steel Mint data'!E:E,"",0)</f>
        <v>47000</v>
      </c>
      <c r="G17" s="36"/>
      <c r="H17" s="36"/>
      <c r="I17" s="36">
        <f>_xlfn.XLOOKUP(A17,'steel Mint data'!A:A,'steel Mint data'!I:I,"",0)</f>
        <v>49400</v>
      </c>
      <c r="J17" s="36"/>
      <c r="K17" s="36">
        <f>_xlfn.XLOOKUP(A17,'steel Mint data'!A:A,'steel Mint data'!L:L,"",0)</f>
        <v>50600</v>
      </c>
      <c r="L17" s="36"/>
      <c r="M17" s="36"/>
      <c r="N17" s="36"/>
      <c r="O17" s="36"/>
      <c r="P17" s="37">
        <f>_xlfn.XLOOKUP(A17,'steel Mint data'!A:A,'steel Mint data'!Q:Q,"",0)</f>
        <v>48000</v>
      </c>
      <c r="Q17" s="36">
        <f>_xlfn.XLOOKUP(A17,'steel Mint data'!A:A,'steel Mint data'!R:R,"",0)</f>
        <v>47500</v>
      </c>
      <c r="S17" s="33"/>
    </row>
    <row r="18" spans="1:31">
      <c r="A18" s="83">
        <v>46112</v>
      </c>
      <c r="B18" s="36">
        <f>_xlfn.XLOOKUP(A18,'steel Mint data'!A:A,'steel Mint data'!B:B,"",0)</f>
        <v>52900</v>
      </c>
      <c r="C18" s="36"/>
      <c r="D18" s="36"/>
      <c r="E18" s="36">
        <f>_xlfn.XLOOKUP(A18,'steel Mint data'!A:A,'steel Mint data'!D:D,"",0)</f>
        <v>52400</v>
      </c>
      <c r="F18" s="36">
        <f>_xlfn.XLOOKUP(A18,'steel Mint data'!A:A,'steel Mint data'!E:E,"",0)</f>
        <v>46900</v>
      </c>
      <c r="G18" s="36"/>
      <c r="H18" s="36"/>
      <c r="I18" s="36">
        <f>_xlfn.XLOOKUP(A18,'steel Mint data'!A:A,'steel Mint data'!I:I,"",0)</f>
        <v>50100</v>
      </c>
      <c r="J18" s="36"/>
      <c r="K18" s="36">
        <f>_xlfn.XLOOKUP(A18,'steel Mint data'!A:A,'steel Mint data'!L:L,"",0)</f>
        <v>50900</v>
      </c>
      <c r="L18" s="36"/>
      <c r="M18" s="36"/>
      <c r="N18" s="36"/>
      <c r="O18" s="36"/>
      <c r="P18" s="37">
        <f>_xlfn.XLOOKUP(A18,'steel Mint data'!A:A,'steel Mint data'!Q:Q,"",0)</f>
        <v>47500</v>
      </c>
      <c r="Q18" s="36">
        <f>_xlfn.XLOOKUP(A18,'steel Mint data'!A:A,'steel Mint data'!R:R,"",0)</f>
        <v>47500</v>
      </c>
      <c r="S18" s="33"/>
      <c r="T18" s="33"/>
    </row>
    <row r="19" spans="1:31">
      <c r="A19" s="83"/>
      <c r="B19" s="503"/>
      <c r="C19" s="503"/>
      <c r="D19" s="503"/>
      <c r="E19" s="503"/>
      <c r="F19" s="503"/>
      <c r="G19" s="503"/>
      <c r="H19" s="503"/>
      <c r="I19" s="503"/>
      <c r="J19" s="503"/>
      <c r="K19" s="503"/>
      <c r="L19" s="503"/>
      <c r="M19" s="503"/>
      <c r="N19" s="503"/>
      <c r="O19" s="503"/>
      <c r="P19" s="503"/>
      <c r="Q19" s="503"/>
      <c r="S19" s="33"/>
      <c r="T19" s="33"/>
    </row>
    <row r="20" spans="1:31">
      <c r="A20" s="83"/>
      <c r="B20" s="15">
        <f>SUM(B3:B18)</f>
        <v>659700</v>
      </c>
      <c r="C20" s="14"/>
      <c r="D20" s="14"/>
      <c r="E20" s="15">
        <f>SUM(E3:E18)</f>
        <v>658800</v>
      </c>
      <c r="F20" s="15">
        <f>SUM(F3:F18)</f>
        <v>601200</v>
      </c>
      <c r="G20" s="14"/>
      <c r="H20" s="14"/>
      <c r="I20" s="15">
        <f>SUM(I3:I18)</f>
        <v>638400</v>
      </c>
      <c r="J20" s="14"/>
      <c r="K20" s="15">
        <f>SUM(K3:K18)</f>
        <v>646600</v>
      </c>
      <c r="L20" s="14"/>
      <c r="M20" s="14"/>
      <c r="N20" s="14"/>
      <c r="O20" s="14"/>
      <c r="P20" s="15">
        <f>SUM(P3:P18)</f>
        <v>599500</v>
      </c>
      <c r="Q20" s="15">
        <f>SUM(Q3:Q18)</f>
        <v>597600</v>
      </c>
      <c r="S20" s="33"/>
      <c r="T20" s="33"/>
    </row>
    <row r="21" spans="1:31" ht="37.5">
      <c r="A21" s="14"/>
      <c r="B21" s="16" t="s">
        <v>18</v>
      </c>
      <c r="C21" s="16" t="s">
        <v>19</v>
      </c>
      <c r="D21" s="16" t="s">
        <v>20</v>
      </c>
      <c r="E21" s="16" t="s">
        <v>21</v>
      </c>
      <c r="F21" s="16" t="s">
        <v>22</v>
      </c>
      <c r="G21" s="16" t="s">
        <v>23</v>
      </c>
      <c r="H21" s="16" t="s">
        <v>39</v>
      </c>
      <c r="I21" s="16" t="s">
        <v>46</v>
      </c>
      <c r="J21" s="16" t="s">
        <v>126</v>
      </c>
      <c r="K21" s="282" t="s">
        <v>23</v>
      </c>
      <c r="L21" s="282" t="s">
        <v>147</v>
      </c>
      <c r="M21" s="19"/>
      <c r="N21" s="19"/>
      <c r="O21" s="14"/>
      <c r="P21" s="21"/>
      <c r="Q21" s="14"/>
      <c r="R21" s="407">
        <f>E14-800+3900+3000</f>
        <v>56400</v>
      </c>
      <c r="S21" s="33"/>
      <c r="T21" s="33"/>
    </row>
    <row r="22" spans="1:31" ht="29.25">
      <c r="A22" s="462" t="s">
        <v>165</v>
      </c>
      <c r="B22" s="458">
        <f ca="1">AVERAGEIFS('steel Mint data'!D:D, 'steel Mint data'!A:A, "&gt;="&amp;TODAY()-15, 'steel Mint data'!A:A, "&lt;="&amp;TODAY())</f>
        <v>52783.333333333336</v>
      </c>
      <c r="C22" s="458">
        <f ca="1">AVERAGEIFS('steel Mint data'!Q:Q, 'steel Mint data'!A:A, "&gt;="&amp;TODAY()-15, 'steel Mint data'!A:A, "&lt;="&amp;TODAY())</f>
        <v>47741.666666666664</v>
      </c>
      <c r="D22" s="458">
        <f ca="1">AVERAGEIFS('steel Mint data'!L:L, 'steel Mint data'!A:A, "&gt;="&amp;TODAY()-15, 'steel Mint data'!A:A, "&lt;="&amp;TODAY())</f>
        <v>51991.666666666664</v>
      </c>
      <c r="E22" s="458">
        <f ca="1">AVERAGEIFS('steel Mint data'!R:R, 'steel Mint data'!A:A, "&gt;="&amp;TODAY()-15, 'steel Mint data'!A:A, "&lt;="&amp;TODAY())</f>
        <v>47508.333333333336</v>
      </c>
      <c r="F22" s="458">
        <f ca="1">AVERAGEIFS('steel Mint data'!Q:Q, 'steel Mint data'!A:A, "&gt;="&amp;TODAY()-15, 'steel Mint data'!A:A, "&lt;="&amp;TODAY())</f>
        <v>47741.666666666664</v>
      </c>
      <c r="G22" s="458">
        <f ca="1">B22-800</f>
        <v>51983.333333333336</v>
      </c>
      <c r="H22" s="458">
        <f ca="1">AVERAGEIFS('steel Mint data'!I:I, 'steel Mint data'!A:A, "&gt;="&amp;TODAY()-15, 'steel Mint data'!A:A, "&lt;="&amp;TODAY())</f>
        <v>51083.333333333336</v>
      </c>
      <c r="I22" s="458">
        <f ca="1">AVERAGEIFS('steel Mint data'!B:B, 'steel Mint data'!A:A, "&gt;="&amp;TODAY()-15, 'steel Mint data'!A:A, "&lt;="&amp;TODAY())</f>
        <v>53691.666666666664</v>
      </c>
      <c r="J22" s="458">
        <f ca="1">AVERAGEIFS('steel Mint data'!E:E, 'steel Mint data'!A:A, "&gt;="&amp;TODAY()-15, 'steel Mint data'!A:A, "&lt;="&amp;TODAY())</f>
        <v>47191.666666666664</v>
      </c>
      <c r="K22" s="459">
        <f ca="1">B22-800</f>
        <v>51983.333333333336</v>
      </c>
      <c r="L22" s="459">
        <f ca="1">AVERAGEIFS('steel Mint data'!Q:Q, 'steel Mint data'!A:A, "&gt;="&amp;TODAY()-15, 'steel Mint data'!A:A, "&lt;="&amp;TODAY())</f>
        <v>47741.666666666664</v>
      </c>
      <c r="M22" s="19"/>
      <c r="N22" s="19"/>
      <c r="O22" s="14"/>
      <c r="P22" s="21"/>
      <c r="Q22" s="14"/>
      <c r="S22" s="33"/>
      <c r="T22" s="33"/>
      <c r="Y22" s="511" t="s">
        <v>173</v>
      </c>
      <c r="Z22" s="512" t="s">
        <v>174</v>
      </c>
      <c r="AA22" s="512" t="s">
        <v>175</v>
      </c>
      <c r="AB22" s="512" t="s">
        <v>176</v>
      </c>
      <c r="AC22" s="512" t="s">
        <v>177</v>
      </c>
      <c r="AD22" s="512" t="s">
        <v>178</v>
      </c>
      <c r="AE22" s="512" t="s">
        <v>179</v>
      </c>
    </row>
    <row r="23" spans="1:31">
      <c r="A23" s="17" t="s">
        <v>25</v>
      </c>
      <c r="B23" s="18">
        <f>E20/O23</f>
        <v>50676.923076923078</v>
      </c>
      <c r="C23" s="18">
        <f>P20/O23</f>
        <v>46115.384615384617</v>
      </c>
      <c r="D23" s="18">
        <f>K20/O23</f>
        <v>49738.461538461539</v>
      </c>
      <c r="E23" s="18">
        <f>Q20/O23</f>
        <v>45969.230769230766</v>
      </c>
      <c r="F23" s="18">
        <f>C23</f>
        <v>46115.384615384617</v>
      </c>
      <c r="G23" s="18">
        <f>B23-800</f>
        <v>49876.923076923078</v>
      </c>
      <c r="H23" s="18">
        <f>I20/O23</f>
        <v>49107.692307692305</v>
      </c>
      <c r="I23" s="18">
        <f>B20/(O23)</f>
        <v>50746.153846153844</v>
      </c>
      <c r="J23" s="18">
        <f>F20/O23</f>
        <v>46246.153846153844</v>
      </c>
      <c r="K23" s="283">
        <f>B23-800</f>
        <v>49876.923076923078</v>
      </c>
      <c r="L23" s="283">
        <f>P20/O23</f>
        <v>46115.384615384617</v>
      </c>
      <c r="M23" s="146"/>
      <c r="N23" s="19"/>
      <c r="O23" s="463">
        <f>COUNT(E3:E18)</f>
        <v>13</v>
      </c>
      <c r="P23" s="21"/>
      <c r="Q23" s="465"/>
      <c r="R23" s="174"/>
      <c r="S23" s="174"/>
      <c r="T23" s="33"/>
      <c r="Y23" s="513">
        <v>8</v>
      </c>
      <c r="Z23" s="514">
        <v>30</v>
      </c>
      <c r="AA23" s="514" t="s">
        <v>110</v>
      </c>
      <c r="AB23" s="514">
        <v>30</v>
      </c>
      <c r="AC23" s="514">
        <v>30</v>
      </c>
      <c r="AD23" s="514" t="s">
        <v>110</v>
      </c>
      <c r="AE23" s="514">
        <v>30</v>
      </c>
    </row>
    <row r="24" spans="1:31">
      <c r="A24" s="17" t="s">
        <v>26</v>
      </c>
      <c r="B24" s="18">
        <v>1200</v>
      </c>
      <c r="C24" s="18">
        <v>2150</v>
      </c>
      <c r="D24" s="18">
        <v>400</v>
      </c>
      <c r="E24" s="18">
        <v>2200</v>
      </c>
      <c r="F24" s="18">
        <v>1800</v>
      </c>
      <c r="G24" s="18">
        <v>1200</v>
      </c>
      <c r="H24" s="18">
        <v>800</v>
      </c>
      <c r="I24" s="18">
        <v>0</v>
      </c>
      <c r="J24" s="18">
        <v>2700</v>
      </c>
      <c r="K24" s="283">
        <v>3200</v>
      </c>
      <c r="L24" s="283">
        <v>4235</v>
      </c>
      <c r="M24" s="33"/>
      <c r="N24" s="33">
        <f>P17+L24+L25+L26</f>
        <v>53000</v>
      </c>
      <c r="P24" s="175"/>
      <c r="Q24" s="27"/>
      <c r="S24" s="27"/>
      <c r="Y24" s="513">
        <v>16</v>
      </c>
      <c r="Z24" s="514">
        <v>120</v>
      </c>
      <c r="AA24" s="514">
        <v>40</v>
      </c>
      <c r="AB24" s="514">
        <v>80</v>
      </c>
      <c r="AC24" s="514">
        <v>51</v>
      </c>
      <c r="AD24" s="514" t="s">
        <v>110</v>
      </c>
      <c r="AE24" s="514">
        <v>51</v>
      </c>
    </row>
    <row r="25" spans="1:31">
      <c r="A25" s="17" t="s">
        <v>27</v>
      </c>
      <c r="B25" s="18">
        <v>200</v>
      </c>
      <c r="C25" s="18">
        <v>265</v>
      </c>
      <c r="D25" s="18">
        <v>250</v>
      </c>
      <c r="E25" s="18">
        <v>275</v>
      </c>
      <c r="F25" s="18">
        <v>275</v>
      </c>
      <c r="G25" s="18">
        <v>200</v>
      </c>
      <c r="H25" s="18">
        <v>270</v>
      </c>
      <c r="I25" s="18">
        <v>200</v>
      </c>
      <c r="J25" s="18">
        <v>270</v>
      </c>
      <c r="K25" s="283">
        <v>200</v>
      </c>
      <c r="L25" s="283">
        <v>265</v>
      </c>
      <c r="M25" s="33"/>
      <c r="N25" s="33">
        <f>N24+2000</f>
        <v>55000</v>
      </c>
      <c r="O25" s="33"/>
      <c r="P25" s="27"/>
      <c r="Q25" s="27"/>
      <c r="S25" s="27">
        <f>57550-3800</f>
        <v>53750</v>
      </c>
      <c r="Y25" s="513">
        <v>20</v>
      </c>
      <c r="Z25" s="514">
        <v>15</v>
      </c>
      <c r="AA25" s="514" t="s">
        <v>110</v>
      </c>
      <c r="AB25" s="514">
        <v>15</v>
      </c>
      <c r="AC25" s="514">
        <v>42</v>
      </c>
      <c r="AD25" s="514">
        <v>42</v>
      </c>
      <c r="AE25" s="514" t="s">
        <v>110</v>
      </c>
    </row>
    <row r="26" spans="1:31">
      <c r="A26" s="17" t="s">
        <v>166</v>
      </c>
      <c r="B26" s="18">
        <v>500</v>
      </c>
      <c r="C26" s="18">
        <f>B26</f>
        <v>500</v>
      </c>
      <c r="D26" s="18">
        <f>B26</f>
        <v>500</v>
      </c>
      <c r="E26" s="18">
        <f>B26</f>
        <v>500</v>
      </c>
      <c r="F26" s="18">
        <v>500</v>
      </c>
      <c r="G26" s="18">
        <f>B26</f>
        <v>500</v>
      </c>
      <c r="H26" s="18">
        <f>B26</f>
        <v>500</v>
      </c>
      <c r="I26" s="18">
        <f>B26</f>
        <v>500</v>
      </c>
      <c r="J26" s="18">
        <f>B26</f>
        <v>500</v>
      </c>
      <c r="K26" s="283">
        <f>B26</f>
        <v>500</v>
      </c>
      <c r="L26" s="283">
        <v>500</v>
      </c>
      <c r="N26" s="33"/>
      <c r="O26" s="33"/>
      <c r="P26" s="175"/>
      <c r="Q26" s="27"/>
      <c r="S26" s="27"/>
      <c r="Y26" s="515" t="s">
        <v>180</v>
      </c>
      <c r="Z26" s="516">
        <v>165</v>
      </c>
      <c r="AA26" s="516">
        <v>40</v>
      </c>
      <c r="AB26" s="516">
        <v>125</v>
      </c>
      <c r="AC26" s="516">
        <v>123</v>
      </c>
      <c r="AD26" s="516">
        <v>42</v>
      </c>
      <c r="AE26" s="516">
        <v>81</v>
      </c>
    </row>
    <row r="27" spans="1:31" ht="19.5" customHeight="1">
      <c r="A27" s="22" t="s">
        <v>28</v>
      </c>
      <c r="B27" s="461">
        <f>SUM(B23:B26)</f>
        <v>52576.923076923078</v>
      </c>
      <c r="C27" s="461">
        <f>SUM(C23:C26)</f>
        <v>49030.384615384617</v>
      </c>
      <c r="D27" s="461">
        <f>SUM(D23:D26)</f>
        <v>50888.461538461539</v>
      </c>
      <c r="E27" s="461">
        <f t="shared" ref="E27:N27" si="0">SUM(E23:E26)</f>
        <v>48944.230769230766</v>
      </c>
      <c r="F27" s="461">
        <f t="shared" si="0"/>
        <v>48690.384615384617</v>
      </c>
      <c r="G27" s="461">
        <f t="shared" si="0"/>
        <v>51776.923076923078</v>
      </c>
      <c r="H27" s="461">
        <f t="shared" si="0"/>
        <v>50677.692307692305</v>
      </c>
      <c r="I27" s="461">
        <f t="shared" si="0"/>
        <v>51446.153846153844</v>
      </c>
      <c r="J27" s="461">
        <f t="shared" si="0"/>
        <v>49716.153846153844</v>
      </c>
      <c r="K27" s="461">
        <f>SUM(K23:K26)</f>
        <v>53776.923076923078</v>
      </c>
      <c r="L27" s="461">
        <f>SUM(L23:L26)</f>
        <v>51115.384615384617</v>
      </c>
      <c r="M27" s="33"/>
      <c r="N27" s="33"/>
      <c r="O27" s="33"/>
      <c r="P27" s="175"/>
      <c r="Q27" s="27"/>
      <c r="R27" s="175">
        <f>F27+3100+2500</f>
        <v>54290.384615384617</v>
      </c>
      <c r="S27" s="27"/>
    </row>
    <row r="28" spans="1:31" ht="26.25" customHeight="1">
      <c r="A28" s="457" t="s">
        <v>167</v>
      </c>
      <c r="B28" s="460">
        <f ca="1">B22+B24+B25+B26</f>
        <v>54683.333333333336</v>
      </c>
      <c r="C28" s="460">
        <f ca="1">C22+C24+C25+C26</f>
        <v>50656.666666666664</v>
      </c>
      <c r="D28" s="460">
        <f t="shared" ref="C28:L28" ca="1" si="1">D22+D24+D25+D26</f>
        <v>53141.666666666664</v>
      </c>
      <c r="E28" s="460">
        <f t="shared" ca="1" si="1"/>
        <v>50483.333333333336</v>
      </c>
      <c r="F28" s="460">
        <f ca="1">F22+F24+F25+F26</f>
        <v>50316.666666666664</v>
      </c>
      <c r="G28" s="460">
        <f t="shared" ca="1" si="1"/>
        <v>53883.333333333336</v>
      </c>
      <c r="H28" s="460">
        <f t="shared" ca="1" si="1"/>
        <v>52653.333333333336</v>
      </c>
      <c r="I28" s="460">
        <f ca="1">I22+I24+I25+I26</f>
        <v>54391.666666666664</v>
      </c>
      <c r="J28" s="460">
        <f t="shared" ca="1" si="1"/>
        <v>50661.666666666664</v>
      </c>
      <c r="K28" s="464">
        <f ca="1">K22+K24+K25+K26</f>
        <v>55883.333333333336</v>
      </c>
      <c r="L28" s="464">
        <f ca="1">L22+L24+L25+L26</f>
        <v>52741.666666666664</v>
      </c>
      <c r="M28" s="33"/>
      <c r="N28" s="33"/>
      <c r="O28" s="33"/>
      <c r="P28" s="175"/>
      <c r="Q28" s="27"/>
      <c r="S28" s="27"/>
    </row>
    <row r="29" spans="1:31">
      <c r="A29" s="22" t="s">
        <v>29</v>
      </c>
      <c r="B29" s="18">
        <v>45100</v>
      </c>
      <c r="C29" s="18">
        <v>42315</v>
      </c>
      <c r="D29" s="18">
        <v>46150</v>
      </c>
      <c r="E29" s="23"/>
      <c r="F29" s="18">
        <v>41975</v>
      </c>
      <c r="G29" s="18">
        <v>44300</v>
      </c>
      <c r="H29" s="18"/>
      <c r="I29" s="18">
        <v>44300</v>
      </c>
      <c r="J29" s="18">
        <f>38000+2700+270</f>
        <v>40970</v>
      </c>
      <c r="K29" s="270"/>
      <c r="L29" s="298"/>
      <c r="M29" s="33"/>
      <c r="N29" s="33"/>
      <c r="O29" s="33"/>
      <c r="P29" s="175"/>
      <c r="Q29" s="27"/>
      <c r="S29" s="27"/>
    </row>
    <row r="30" spans="1:31">
      <c r="A30" s="22" t="s">
        <v>30</v>
      </c>
      <c r="B30" s="18">
        <f>B27-B29</f>
        <v>7476.923076923078</v>
      </c>
      <c r="C30" s="18">
        <f>C27-C29</f>
        <v>6715.3846153846171</v>
      </c>
      <c r="D30" s="18">
        <f>D27-D29</f>
        <v>4738.461538461539</v>
      </c>
      <c r="E30" s="18">
        <f>E27-E29</f>
        <v>48944.230769230766</v>
      </c>
      <c r="F30" s="18">
        <f>F27-F29</f>
        <v>6715.3846153846171</v>
      </c>
      <c r="G30" s="18">
        <f>G27-G29</f>
        <v>7476.923076923078</v>
      </c>
      <c r="H30" s="18">
        <f>H27-H29</f>
        <v>50677.692307692305</v>
      </c>
      <c r="I30" s="18">
        <f>I27-I29</f>
        <v>7146.1538461538439</v>
      </c>
      <c r="J30" s="18">
        <f>J27-J29</f>
        <v>8746.1538461538439</v>
      </c>
      <c r="K30" s="174"/>
      <c r="L30" s="19"/>
      <c r="M30" s="146"/>
      <c r="N30" s="33"/>
      <c r="O30" s="33"/>
      <c r="P30" s="175"/>
      <c r="Q30" s="27"/>
      <c r="S30" s="27"/>
    </row>
    <row r="31" spans="1:31">
      <c r="A31" s="14"/>
      <c r="B31" s="19"/>
      <c r="C31" s="14"/>
      <c r="D31" s="14"/>
      <c r="E31" s="14"/>
      <c r="F31" s="14"/>
      <c r="G31" s="19">
        <f>G29-2500</f>
        <v>41800</v>
      </c>
      <c r="H31" s="14"/>
      <c r="I31" s="14"/>
      <c r="J31" s="14"/>
      <c r="K31" s="174"/>
      <c r="L31" s="19"/>
      <c r="M31" s="146"/>
      <c r="N31" s="175"/>
      <c r="O31" s="488"/>
      <c r="P31" s="490"/>
      <c r="Q31" s="27"/>
      <c r="S31" s="27"/>
    </row>
    <row r="32" spans="1:31">
      <c r="A32" s="22" t="s">
        <v>31</v>
      </c>
      <c r="B32" s="23">
        <v>48300</v>
      </c>
      <c r="C32" s="23">
        <v>45550</v>
      </c>
      <c r="D32" s="18">
        <v>48800</v>
      </c>
      <c r="E32" s="18">
        <v>45550</v>
      </c>
      <c r="F32" s="18">
        <v>45550</v>
      </c>
      <c r="G32" s="18">
        <v>47500</v>
      </c>
      <c r="H32" s="18">
        <v>47800</v>
      </c>
      <c r="I32" s="18">
        <v>48300</v>
      </c>
      <c r="J32" s="18"/>
      <c r="K32" s="174">
        <f>E18-800+3900</f>
        <v>55500</v>
      </c>
      <c r="L32" s="48">
        <f>K32+2600+2000</f>
        <v>60100</v>
      </c>
      <c r="M32" s="146"/>
      <c r="N32" s="175"/>
      <c r="O32" s="33"/>
      <c r="P32" s="264"/>
      <c r="Q32" s="27"/>
      <c r="S32" s="27"/>
    </row>
    <row r="33" spans="1:25 16384:16384">
      <c r="A33" s="22" t="s">
        <v>32</v>
      </c>
      <c r="B33" s="26">
        <f>B32-500-(200+300+300)-250-400</f>
        <v>46350</v>
      </c>
      <c r="C33" s="26">
        <f>C32-500-(200+300+300)-250-400</f>
        <v>43600</v>
      </c>
      <c r="D33" s="26">
        <f>D32-500-(200+300+300)-250-400</f>
        <v>46850</v>
      </c>
      <c r="E33" s="26">
        <f>E32-500-(200+300+300)-250-400</f>
        <v>43600</v>
      </c>
      <c r="F33" s="26">
        <f>F32-500-(200+300+300)-250-400</f>
        <v>43600</v>
      </c>
      <c r="G33" s="26">
        <f>G32-500-(200+300+300)-250-400</f>
        <v>45550</v>
      </c>
      <c r="H33" s="26">
        <f>H32-500-(200+300+300)-250-400</f>
        <v>45850</v>
      </c>
      <c r="I33" s="26">
        <f>I32-500-(200+300+300)-250-400</f>
        <v>46350</v>
      </c>
      <c r="J33" s="269"/>
      <c r="K33" s="174"/>
      <c r="L33" s="33"/>
      <c r="M33" s="19"/>
      <c r="N33" s="19"/>
      <c r="O33" s="19"/>
      <c r="P33" s="501"/>
      <c r="Q33" s="27"/>
      <c r="S33" s="27"/>
    </row>
    <row r="34" spans="1:25 16384:16384">
      <c r="A34" s="25" t="s">
        <v>33</v>
      </c>
      <c r="B34" s="18">
        <f>B33-B27</f>
        <v>-6226.923076923078</v>
      </c>
      <c r="C34" s="18">
        <f>C33-C27</f>
        <v>-5430.3846153846171</v>
      </c>
      <c r="D34" s="18">
        <f>D33-D27</f>
        <v>-4038.461538461539</v>
      </c>
      <c r="E34" s="18">
        <f>E33-E27</f>
        <v>-5344.2307692307659</v>
      </c>
      <c r="F34" s="18">
        <f>F33-F27</f>
        <v>-5090.3846153846171</v>
      </c>
      <c r="G34" s="18">
        <f>G33-G27</f>
        <v>-6226.923076923078</v>
      </c>
      <c r="H34" s="18">
        <f>H33-H27</f>
        <v>-4827.6923076923049</v>
      </c>
      <c r="I34" s="18">
        <f>I33-I27</f>
        <v>-5096.1538461538439</v>
      </c>
      <c r="J34" s="270"/>
      <c r="K34" s="174"/>
      <c r="L34" s="48">
        <f ca="1">57000-2250-F28</f>
        <v>4433.3333333333358</v>
      </c>
      <c r="M34" s="19"/>
      <c r="N34" s="19"/>
      <c r="O34" s="19"/>
      <c r="P34" s="501"/>
      <c r="Q34" s="473"/>
      <c r="R34" s="474"/>
      <c r="S34" s="27"/>
    </row>
    <row r="35" spans="1:25 16384:16384" ht="10.5" customHeight="1">
      <c r="I35" s="33"/>
      <c r="J35" s="49"/>
      <c r="K35" s="48"/>
      <c r="L35" s="48"/>
      <c r="M35" s="14"/>
      <c r="N35" s="142"/>
      <c r="O35" s="19"/>
      <c r="P35" s="264"/>
      <c r="Q35" s="27"/>
      <c r="R35" s="27">
        <v>182.5</v>
      </c>
      <c r="S35" s="27">
        <v>182.5</v>
      </c>
      <c r="V35" s="137"/>
      <c r="W35" s="14"/>
      <c r="X35" s="48"/>
      <c r="Y35" s="48"/>
    </row>
    <row r="36" spans="1:25 16384:16384">
      <c r="A36" s="28" t="s">
        <v>141</v>
      </c>
      <c r="B36" s="380">
        <f>52250+750</f>
        <v>53000</v>
      </c>
      <c r="C36" s="380">
        <v>51000</v>
      </c>
      <c r="D36" s="380">
        <v>53500</v>
      </c>
      <c r="E36" s="380"/>
      <c r="F36" s="380">
        <v>51000</v>
      </c>
      <c r="G36" s="380">
        <f>B36-750</f>
        <v>52250</v>
      </c>
      <c r="H36" s="380"/>
      <c r="I36" s="380"/>
      <c r="J36" s="381">
        <f>C36</f>
        <v>51000</v>
      </c>
      <c r="K36" s="382"/>
      <c r="L36" s="382"/>
      <c r="M36" s="14"/>
      <c r="N36" s="475"/>
      <c r="O36" s="266"/>
      <c r="P36" s="264"/>
      <c r="Q36" s="27"/>
      <c r="R36" s="27" t="s">
        <v>141</v>
      </c>
      <c r="S36" s="27" t="s">
        <v>48</v>
      </c>
      <c r="V36" s="137"/>
      <c r="W36" s="14"/>
      <c r="X36" s="48"/>
      <c r="Y36" s="48"/>
    </row>
    <row r="37" spans="1:25 16384:16384" ht="15.75" customHeight="1">
      <c r="A37" s="28" t="s">
        <v>144</v>
      </c>
      <c r="B37" s="383"/>
      <c r="C37" s="383"/>
      <c r="D37" s="383"/>
      <c r="E37" s="384"/>
      <c r="F37" s="383"/>
      <c r="G37" s="383"/>
      <c r="H37" s="383"/>
      <c r="I37" s="380">
        <v>53000</v>
      </c>
      <c r="J37" s="382"/>
      <c r="K37" s="385">
        <v>53750</v>
      </c>
      <c r="L37" s="381"/>
      <c r="M37" s="14"/>
      <c r="N37" s="489"/>
      <c r="O37" s="266"/>
      <c r="P37" s="27"/>
      <c r="Q37" s="264"/>
      <c r="R37" s="491">
        <v>46943</v>
      </c>
      <c r="S37" s="264">
        <v>48717</v>
      </c>
      <c r="V37" s="137"/>
      <c r="W37" s="14"/>
      <c r="X37" s="48"/>
      <c r="Y37" s="48"/>
      <c r="XFD37" s="96" t="s">
        <v>68</v>
      </c>
    </row>
    <row r="38" spans="1:25 16384:16384">
      <c r="C38" s="52"/>
      <c r="D38" s="118"/>
      <c r="E38" s="118"/>
      <c r="F38" s="58"/>
      <c r="G38" s="118"/>
      <c r="H38" s="118"/>
      <c r="R38" s="27">
        <v>500</v>
      </c>
      <c r="S38">
        <v>500</v>
      </c>
    </row>
    <row r="39" spans="1:25 16384:16384">
      <c r="A39" s="28" t="s">
        <v>141</v>
      </c>
      <c r="B39" s="380">
        <v>53500</v>
      </c>
      <c r="C39" s="380">
        <v>51000</v>
      </c>
      <c r="D39" s="380">
        <v>54000</v>
      </c>
      <c r="E39" s="380"/>
      <c r="F39" s="380"/>
      <c r="G39" s="380">
        <f>B39-800</f>
        <v>52700</v>
      </c>
      <c r="H39" s="380"/>
      <c r="I39" s="380"/>
      <c r="J39" s="380"/>
      <c r="K39" s="380">
        <v>54000</v>
      </c>
      <c r="L39" s="380">
        <v>52000</v>
      </c>
      <c r="M39" s="380"/>
      <c r="O39" s="33"/>
      <c r="R39" s="27">
        <v>54750</v>
      </c>
      <c r="S39">
        <v>55750</v>
      </c>
    </row>
    <row r="40" spans="1:25 16384:16384">
      <c r="A40" s="28" t="s">
        <v>144</v>
      </c>
      <c r="B40" s="383"/>
      <c r="C40" s="383"/>
      <c r="D40" s="383"/>
      <c r="E40" s="384"/>
      <c r="F40" s="383"/>
      <c r="G40" s="383"/>
      <c r="H40" s="383"/>
      <c r="I40" s="380"/>
      <c r="J40" s="382"/>
      <c r="K40" s="385"/>
      <c r="L40" s="381"/>
      <c r="R40">
        <v>1500</v>
      </c>
      <c r="S40">
        <v>1500</v>
      </c>
    </row>
    <row r="41" spans="1:25 16384:16384">
      <c r="R41">
        <f>R39-R40-R38-R37</f>
        <v>5807</v>
      </c>
      <c r="S41">
        <f>S39-S40-S38-S37</f>
        <v>5033</v>
      </c>
    </row>
    <row r="42" spans="1:25 16384:16384">
      <c r="Q42" t="s">
        <v>172</v>
      </c>
      <c r="R42" s="27">
        <f>R41-1500</f>
        <v>4307</v>
      </c>
      <c r="S42" s="27">
        <f>S41-1500</f>
        <v>3533</v>
      </c>
    </row>
    <row r="43" spans="1:25 16384:16384">
      <c r="S43">
        <f>SUMPRODUCT(R41:S41,R35:S35)/SUM(R35:S35)</f>
        <v>5420</v>
      </c>
    </row>
    <row r="46" spans="1:25 16384:16384">
      <c r="R46" s="27">
        <f>SUMPRODUCT(R42:S42,R35:S35)/SUM(R35:S35)</f>
        <v>3920</v>
      </c>
    </row>
    <row r="48" spans="1:25 16384:16384">
      <c r="S48" s="33"/>
    </row>
    <row r="50" spans="3:12">
      <c r="C50" s="120"/>
      <c r="D50" s="120"/>
      <c r="E50" s="120"/>
      <c r="F50" s="120"/>
      <c r="G50" s="120"/>
      <c r="H50" s="120"/>
      <c r="I50" s="120"/>
      <c r="J50" s="120"/>
      <c r="K50" s="120"/>
      <c r="L50" s="120"/>
    </row>
    <row r="51" spans="3:12">
      <c r="C51" s="120"/>
      <c r="D51" s="121"/>
      <c r="E51" s="122"/>
      <c r="F51" s="122"/>
      <c r="G51" s="122"/>
      <c r="H51" s="122"/>
      <c r="I51" s="122"/>
      <c r="J51" s="122"/>
      <c r="K51" s="122"/>
      <c r="L51" s="122"/>
    </row>
    <row r="52" spans="3:12">
      <c r="C52" s="120"/>
      <c r="D52" s="121"/>
      <c r="E52" s="122"/>
      <c r="F52" s="122"/>
      <c r="G52" s="122"/>
      <c r="H52" s="122"/>
      <c r="I52" s="122"/>
      <c r="J52" s="122"/>
      <c r="K52" s="122"/>
      <c r="L52" s="122"/>
    </row>
    <row r="53" spans="3:12">
      <c r="C53" s="120"/>
      <c r="D53" s="121"/>
      <c r="E53" s="122"/>
      <c r="F53" s="122"/>
      <c r="G53" s="122"/>
      <c r="H53" s="122"/>
      <c r="I53" s="122"/>
      <c r="J53" s="122"/>
      <c r="K53" s="122"/>
      <c r="L53" s="122"/>
    </row>
    <row r="54" spans="3:12">
      <c r="C54" s="120"/>
      <c r="D54" s="121"/>
      <c r="E54" s="122"/>
      <c r="F54" s="122"/>
      <c r="G54" s="122"/>
      <c r="H54" s="122"/>
      <c r="I54" s="122"/>
      <c r="J54" s="122"/>
      <c r="K54" s="122"/>
      <c r="L54" s="122"/>
    </row>
    <row r="55" spans="3:12">
      <c r="C55" s="120"/>
      <c r="D55" s="120"/>
      <c r="E55" s="123"/>
      <c r="F55" s="123"/>
      <c r="G55" s="123"/>
      <c r="H55" s="123"/>
      <c r="I55" s="123"/>
      <c r="J55" s="123"/>
      <c r="K55" s="123"/>
      <c r="L55" s="123"/>
    </row>
  </sheetData>
  <mergeCells count="1">
    <mergeCell ref="B1:Q1"/>
  </mergeCell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74CD-481A-4040-B40C-56A37793AA8F}">
  <dimension ref="A1:XFD57"/>
  <sheetViews>
    <sheetView tabSelected="1" workbookViewId="0">
      <pane ySplit="2" topLeftCell="A20" activePane="bottomLeft" state="frozen"/>
      <selection pane="bottomLeft" activeCell="K32" sqref="K32"/>
    </sheetView>
  </sheetViews>
  <sheetFormatPr defaultColWidth="15.85546875" defaultRowHeight="15"/>
  <cols>
    <col min="1" max="1" width="27.85546875" customWidth="1"/>
    <col min="2" max="2" width="15.28515625" customWidth="1"/>
    <col min="3" max="3" width="13.85546875" customWidth="1"/>
    <col min="4" max="4" width="10.42578125" customWidth="1"/>
    <col min="5" max="5" width="16.140625" customWidth="1"/>
    <col min="6" max="6" width="13.85546875" customWidth="1"/>
    <col min="7" max="7" width="26.140625" customWidth="1"/>
    <col min="8" max="8" width="14.42578125" customWidth="1"/>
    <col min="9" max="10" width="10.7109375" customWidth="1"/>
    <col min="11" max="11" width="26.140625" customWidth="1"/>
    <col min="12" max="13" width="15.140625" customWidth="1"/>
    <col min="14" max="14" width="15.5703125" customWidth="1"/>
    <col min="15" max="15" width="23.140625" customWidth="1"/>
    <col min="16" max="16" width="17.140625" customWidth="1"/>
    <col min="17" max="17" width="15.140625" customWidth="1"/>
    <col min="18" max="18" width="19.5703125" style="27" customWidth="1"/>
    <col min="19" max="19" width="15" customWidth="1"/>
    <col min="20" max="20" width="22.5703125" bestFit="1" customWidth="1"/>
    <col min="21" max="21" width="25.28515625" bestFit="1" customWidth="1"/>
    <col min="22" max="22" width="22" customWidth="1"/>
  </cols>
  <sheetData>
    <row r="1" spans="1:26">
      <c r="A1" s="81"/>
      <c r="B1" s="528" t="s">
        <v>0</v>
      </c>
      <c r="C1" s="528"/>
      <c r="D1" s="528"/>
      <c r="E1" s="528"/>
      <c r="F1" s="528"/>
      <c r="G1" s="528"/>
      <c r="H1" s="528"/>
      <c r="I1" s="528"/>
      <c r="J1" s="528"/>
      <c r="K1" s="528"/>
      <c r="L1" s="528"/>
      <c r="M1" s="528"/>
      <c r="N1" s="528"/>
      <c r="O1" s="528"/>
      <c r="P1" s="528"/>
      <c r="Q1" s="528"/>
    </row>
    <row r="2" spans="1:26">
      <c r="A2" s="82" t="s">
        <v>1</v>
      </c>
      <c r="B2" s="470" t="s">
        <v>2</v>
      </c>
      <c r="C2" s="470" t="s">
        <v>3</v>
      </c>
      <c r="D2" s="470" t="s">
        <v>4</v>
      </c>
      <c r="E2" s="470" t="s">
        <v>5</v>
      </c>
      <c r="F2" s="470" t="s">
        <v>6</v>
      </c>
      <c r="G2" s="470" t="s">
        <v>7</v>
      </c>
      <c r="H2" s="470" t="s">
        <v>8</v>
      </c>
      <c r="I2" s="470" t="s">
        <v>9</v>
      </c>
      <c r="J2" s="470" t="s">
        <v>10</v>
      </c>
      <c r="K2" s="470" t="s">
        <v>11</v>
      </c>
      <c r="L2" s="470" t="s">
        <v>12</v>
      </c>
      <c r="M2" s="470" t="s">
        <v>13</v>
      </c>
      <c r="N2" s="470" t="s">
        <v>14</v>
      </c>
      <c r="O2" s="470" t="s">
        <v>15</v>
      </c>
      <c r="P2" s="470" t="s">
        <v>16</v>
      </c>
      <c r="Q2" s="471" t="s">
        <v>17</v>
      </c>
    </row>
    <row r="3" spans="1:26">
      <c r="A3" s="83">
        <v>46113</v>
      </c>
      <c r="B3" s="36">
        <f>_xlfn.XLOOKUP(A3,'steel Mint data'!A:A,'steel Mint data'!B:B,"",0)</f>
        <v>53800</v>
      </c>
      <c r="C3" s="36"/>
      <c r="D3" s="36"/>
      <c r="E3" s="36">
        <f>_xlfn.XLOOKUP(A3,'steel Mint data'!A:A,'steel Mint data'!D:D,"",0)</f>
        <v>52950</v>
      </c>
      <c r="F3" s="36">
        <f>_xlfn.XLOOKUP(A3,'steel Mint data'!A:A,'steel Mint data'!E:E,"",0)</f>
        <v>47300</v>
      </c>
      <c r="G3" s="36"/>
      <c r="H3" s="36"/>
      <c r="I3" s="36">
        <f>_xlfn.XLOOKUP(A3,'steel Mint data'!A:A,'steel Mint data'!I:I,"",0)</f>
        <v>51000</v>
      </c>
      <c r="J3" s="36"/>
      <c r="K3" s="36">
        <f>_xlfn.XLOOKUP(A3,'steel Mint data'!A:A,'steel Mint data'!L:L,"",0)</f>
        <v>51600</v>
      </c>
      <c r="L3" s="36"/>
      <c r="M3" s="36"/>
      <c r="N3" s="36"/>
      <c r="O3" s="36"/>
      <c r="P3" s="37">
        <f>_xlfn.XLOOKUP(A3,'steel Mint data'!A:A,'steel Mint data'!Q:Q,"",0)</f>
        <v>48200</v>
      </c>
      <c r="Q3" s="36">
        <f>_xlfn.XLOOKUP(A3,'steel Mint data'!A:A,'steel Mint data'!R:R,"",0)</f>
        <v>47500</v>
      </c>
    </row>
    <row r="4" spans="1:26">
      <c r="A4" s="83">
        <v>46114</v>
      </c>
      <c r="B4" s="36">
        <f>_xlfn.XLOOKUP(A4,'steel Mint data'!A:A,'steel Mint data'!B:B,"",0)</f>
        <v>54400</v>
      </c>
      <c r="C4" s="36"/>
      <c r="D4" s="36"/>
      <c r="E4" s="36">
        <f>_xlfn.XLOOKUP(A4,'steel Mint data'!A:A,'steel Mint data'!D:D,"",0)</f>
        <v>53000</v>
      </c>
      <c r="F4" s="36">
        <f>_xlfn.XLOOKUP(A4,'steel Mint data'!A:A,'steel Mint data'!E:E,"",0)</f>
        <v>47200</v>
      </c>
      <c r="G4" s="36"/>
      <c r="H4" s="36"/>
      <c r="I4" s="36">
        <f>_xlfn.XLOOKUP(A4,'steel Mint data'!A:A,'steel Mint data'!I:I,"",0)</f>
        <v>51100</v>
      </c>
      <c r="J4" s="36"/>
      <c r="K4" s="36">
        <f>_xlfn.XLOOKUP(A4,'steel Mint data'!A:A,'steel Mint data'!L:L,"",0)</f>
        <v>51900</v>
      </c>
      <c r="L4" s="36"/>
      <c r="M4" s="36"/>
      <c r="N4" s="36"/>
      <c r="O4" s="36"/>
      <c r="P4" s="37">
        <f>_xlfn.XLOOKUP(A4,'steel Mint data'!A:A,'steel Mint data'!Q:Q,"",0)</f>
        <v>48500</v>
      </c>
      <c r="Q4" s="36">
        <f>_xlfn.XLOOKUP(A4,'steel Mint data'!A:A,'steel Mint data'!R:R,"",0)</f>
        <v>47500</v>
      </c>
    </row>
    <row r="5" spans="1:26">
      <c r="A5" s="83">
        <v>46115</v>
      </c>
      <c r="B5" s="36">
        <f>_xlfn.XLOOKUP(A5,'steel Mint data'!A:A,'steel Mint data'!B:B,"",0)</f>
        <v>54400</v>
      </c>
      <c r="C5" s="36"/>
      <c r="D5" s="36"/>
      <c r="E5" s="36">
        <f>_xlfn.XLOOKUP(A5,'steel Mint data'!A:A,'steel Mint data'!D:D,"",0)</f>
        <v>52450</v>
      </c>
      <c r="F5" s="36">
        <f>_xlfn.XLOOKUP(A5,'steel Mint data'!A:A,'steel Mint data'!E:E,"",0)</f>
        <v>47000</v>
      </c>
      <c r="G5" s="36"/>
      <c r="H5" s="36"/>
      <c r="I5" s="36">
        <f>_xlfn.XLOOKUP(A5,'steel Mint data'!A:A,'steel Mint data'!I:I,"",0)</f>
        <v>51000</v>
      </c>
      <c r="J5" s="36"/>
      <c r="K5" s="36">
        <f>_xlfn.XLOOKUP(A5,'steel Mint data'!A:A,'steel Mint data'!L:L,"",0)</f>
        <v>51900</v>
      </c>
      <c r="L5" s="36"/>
      <c r="M5" s="36"/>
      <c r="N5" s="36"/>
      <c r="O5" s="36"/>
      <c r="P5" s="37">
        <f>_xlfn.XLOOKUP(A5,'steel Mint data'!A:A,'steel Mint data'!Q:Q,"",0)</f>
        <v>47800</v>
      </c>
      <c r="Q5" s="36">
        <f>_xlfn.XLOOKUP(A5,'steel Mint data'!A:A,'steel Mint data'!R:R,"",0)</f>
        <v>47500</v>
      </c>
      <c r="T5" s="27"/>
      <c r="U5" s="27"/>
      <c r="V5" s="27"/>
    </row>
    <row r="6" spans="1:26">
      <c r="A6" s="83">
        <v>46116</v>
      </c>
      <c r="B6" s="36" t="str">
        <f>_xlfn.XLOOKUP(A6,'steel Mint data'!A:A,'steel Mint data'!B:B,"",0)</f>
        <v>H</v>
      </c>
      <c r="C6" s="36"/>
      <c r="D6" s="36"/>
      <c r="E6" s="36" t="str">
        <f>_xlfn.XLOOKUP(A6,'steel Mint data'!A:A,'steel Mint data'!D:D,"",0)</f>
        <v>H</v>
      </c>
      <c r="F6" s="36" t="str">
        <f>_xlfn.XLOOKUP(A6,'steel Mint data'!A:A,'steel Mint data'!E:E,"",0)</f>
        <v>H</v>
      </c>
      <c r="G6" s="36"/>
      <c r="H6" s="36"/>
      <c r="I6" s="36" t="str">
        <f>_xlfn.XLOOKUP(A6,'steel Mint data'!A:A,'steel Mint data'!I:I,"",0)</f>
        <v>H</v>
      </c>
      <c r="J6" s="36"/>
      <c r="K6" s="36" t="str">
        <f>_xlfn.XLOOKUP(A6,'steel Mint data'!A:A,'steel Mint data'!L:L,"",0)</f>
        <v>H</v>
      </c>
      <c r="L6" s="36"/>
      <c r="M6" s="36"/>
      <c r="N6" s="36"/>
      <c r="O6" s="36"/>
      <c r="P6" s="37" t="str">
        <f>_xlfn.XLOOKUP(A6,'steel Mint data'!A:A,'steel Mint data'!Q:Q,"",0)</f>
        <v>H</v>
      </c>
      <c r="Q6" s="36" t="str">
        <f>_xlfn.XLOOKUP(A6,'steel Mint data'!A:A,'steel Mint data'!R:R,"",0)</f>
        <v>H</v>
      </c>
      <c r="R6" s="407"/>
      <c r="T6" s="27"/>
      <c r="U6" s="27"/>
      <c r="V6" s="508" t="s">
        <v>181</v>
      </c>
      <c r="W6" s="508" t="s">
        <v>182</v>
      </c>
      <c r="Y6" s="509" t="s">
        <v>183</v>
      </c>
      <c r="Z6" s="509" t="s">
        <v>182</v>
      </c>
    </row>
    <row r="7" spans="1:26">
      <c r="A7" s="83">
        <v>46117</v>
      </c>
      <c r="B7" s="36" t="str">
        <f>_xlfn.XLOOKUP(A7,'steel Mint data'!A:A,'steel Mint data'!B:B,"",0)</f>
        <v>H</v>
      </c>
      <c r="C7" s="36"/>
      <c r="D7" s="36"/>
      <c r="E7" s="36" t="str">
        <f>_xlfn.XLOOKUP(A7,'steel Mint data'!A:A,'steel Mint data'!D:D,"",0)</f>
        <v>H</v>
      </c>
      <c r="F7" s="36" t="str">
        <f>_xlfn.XLOOKUP(A7,'steel Mint data'!A:A,'steel Mint data'!E:E,"",0)</f>
        <v>H</v>
      </c>
      <c r="G7" s="36"/>
      <c r="H7" s="36"/>
      <c r="I7" s="36" t="str">
        <f>_xlfn.XLOOKUP(A7,'steel Mint data'!A:A,'steel Mint data'!I:I,"",0)</f>
        <v>H</v>
      </c>
      <c r="J7" s="36"/>
      <c r="K7" s="36" t="str">
        <f>_xlfn.XLOOKUP(A7,'steel Mint data'!A:A,'steel Mint data'!L:L,"",0)</f>
        <v>H</v>
      </c>
      <c r="L7" s="36"/>
      <c r="M7" s="36"/>
      <c r="N7" s="36"/>
      <c r="O7" s="36"/>
      <c r="P7" s="37" t="str">
        <f>_xlfn.XLOOKUP(A7,'steel Mint data'!A:A,'steel Mint data'!Q:Q,"",0)</f>
        <v>H</v>
      </c>
      <c r="Q7" s="36" t="str">
        <f>_xlfn.XLOOKUP(A7,'steel Mint data'!A:A,'steel Mint data'!R:R,"",0)</f>
        <v>H</v>
      </c>
      <c r="R7" s="455"/>
      <c r="T7" s="27"/>
      <c r="U7" s="27"/>
      <c r="V7" s="510" t="s">
        <v>184</v>
      </c>
      <c r="W7" s="510">
        <v>58600</v>
      </c>
      <c r="Y7" s="510" t="s">
        <v>185</v>
      </c>
      <c r="Z7" s="510">
        <v>57900</v>
      </c>
    </row>
    <row r="8" spans="1:26">
      <c r="A8" s="83">
        <v>46118</v>
      </c>
      <c r="B8" s="36">
        <f>_xlfn.XLOOKUP(A8,'steel Mint data'!A:A,'steel Mint data'!B:B,"",0)</f>
        <v>55000</v>
      </c>
      <c r="C8" s="36"/>
      <c r="D8" s="36"/>
      <c r="E8" s="36">
        <f>_xlfn.XLOOKUP(A8,'steel Mint data'!A:A,'steel Mint data'!D:D,"",0)</f>
        <v>53850</v>
      </c>
      <c r="F8" s="36">
        <f>_xlfn.XLOOKUP(A8,'steel Mint data'!A:A,'steel Mint data'!E:E,"",0)</f>
        <v>47700</v>
      </c>
      <c r="G8" s="36"/>
      <c r="H8" s="36"/>
      <c r="I8" s="36">
        <f>_xlfn.XLOOKUP(A8,'steel Mint data'!A:A,'steel Mint data'!I:I,"",0)</f>
        <v>52000</v>
      </c>
      <c r="J8" s="36"/>
      <c r="K8" s="36">
        <f>_xlfn.XLOOKUP(A8,'steel Mint data'!A:A,'steel Mint data'!L:L,"",0)</f>
        <v>53000</v>
      </c>
      <c r="L8" s="36"/>
      <c r="M8" s="36"/>
      <c r="N8" s="36"/>
      <c r="O8" s="36"/>
      <c r="P8" s="37">
        <f>_xlfn.XLOOKUP(A8,'steel Mint data'!A:A,'steel Mint data'!Q:Q,"",0)</f>
        <v>48400</v>
      </c>
      <c r="Q8" s="36">
        <f>_xlfn.XLOOKUP(A8,'steel Mint data'!A:A,'steel Mint data'!R:R,"",0)</f>
        <v>48300</v>
      </c>
      <c r="T8" s="27"/>
      <c r="U8" s="27"/>
      <c r="V8" s="510" t="s">
        <v>186</v>
      </c>
      <c r="W8" s="510">
        <v>58600</v>
      </c>
      <c r="Y8" s="510" t="s">
        <v>187</v>
      </c>
      <c r="Z8" s="510">
        <v>57900</v>
      </c>
    </row>
    <row r="9" spans="1:26">
      <c r="A9" s="83">
        <v>46119</v>
      </c>
      <c r="B9" s="36">
        <f>_xlfn.XLOOKUP(A9,'steel Mint data'!A:A,'steel Mint data'!B:B,"",0)</f>
        <v>55300</v>
      </c>
      <c r="C9" s="36"/>
      <c r="D9" s="36"/>
      <c r="E9" s="36">
        <f>_xlfn.XLOOKUP(A9,'steel Mint data'!A:A,'steel Mint data'!D:D,"",0)</f>
        <v>54400</v>
      </c>
      <c r="F9" s="36">
        <f>_xlfn.XLOOKUP(A9,'steel Mint data'!A:A,'steel Mint data'!E:E,"",0)</f>
        <v>47700</v>
      </c>
      <c r="G9" s="36"/>
      <c r="H9" s="36"/>
      <c r="I9" s="36">
        <f>_xlfn.XLOOKUP(A9,'steel Mint data'!A:A,'steel Mint data'!I:I,"",0)</f>
        <v>52200</v>
      </c>
      <c r="J9" s="36"/>
      <c r="K9" s="36">
        <f>_xlfn.XLOOKUP(A9,'steel Mint data'!A:A,'steel Mint data'!L:L,"",0)</f>
        <v>53300</v>
      </c>
      <c r="L9" s="36"/>
      <c r="M9" s="36"/>
      <c r="N9" s="36"/>
      <c r="O9" s="36"/>
      <c r="P9" s="37">
        <f>_xlfn.XLOOKUP(A9,'steel Mint data'!A:A,'steel Mint data'!Q:Q,"",0)</f>
        <v>48700</v>
      </c>
      <c r="Q9" s="36">
        <f>_xlfn.XLOOKUP(A9,'steel Mint data'!A:A,'steel Mint data'!R:R,"",0)</f>
        <v>48000</v>
      </c>
      <c r="T9" s="27"/>
      <c r="U9" s="27"/>
      <c r="V9" s="510" t="s">
        <v>188</v>
      </c>
      <c r="W9" s="510">
        <v>58600</v>
      </c>
      <c r="Y9" s="510" t="s">
        <v>189</v>
      </c>
      <c r="Z9" s="510">
        <v>57900</v>
      </c>
    </row>
    <row r="10" spans="1:26">
      <c r="A10" s="83">
        <v>46120</v>
      </c>
      <c r="B10" s="36">
        <f>_xlfn.XLOOKUP(A10,'steel Mint data'!A:A,'steel Mint data'!B:B,"",0)</f>
        <v>54200</v>
      </c>
      <c r="C10" s="36"/>
      <c r="D10" s="36"/>
      <c r="E10" s="36">
        <f>_xlfn.XLOOKUP(A10,'steel Mint data'!A:A,'steel Mint data'!D:D,"",0)</f>
        <v>53450</v>
      </c>
      <c r="F10" s="36">
        <f>_xlfn.XLOOKUP(A10,'steel Mint data'!A:A,'steel Mint data'!E:E,"",0)</f>
        <v>47600</v>
      </c>
      <c r="G10" s="36"/>
      <c r="H10" s="36"/>
      <c r="I10" s="36">
        <f>_xlfn.XLOOKUP(A10,'steel Mint data'!A:A,'steel Mint data'!I:I,"",0)</f>
        <v>51800</v>
      </c>
      <c r="J10" s="36"/>
      <c r="K10" s="36">
        <f>_xlfn.XLOOKUP(A10,'steel Mint data'!A:A,'steel Mint data'!L:L,"",0)</f>
        <v>53000</v>
      </c>
      <c r="L10" s="36"/>
      <c r="M10" s="36"/>
      <c r="N10" s="36"/>
      <c r="O10" s="36"/>
      <c r="P10" s="37">
        <f>_xlfn.XLOOKUP(A10,'steel Mint data'!A:A,'steel Mint data'!Q:Q,"",0)</f>
        <v>47700</v>
      </c>
      <c r="Q10" s="36">
        <f>_xlfn.XLOOKUP(A10,'steel Mint data'!A:A,'steel Mint data'!R:R,"",0)</f>
        <v>47700</v>
      </c>
      <c r="V10" s="510" t="s">
        <v>190</v>
      </c>
      <c r="W10" s="510">
        <v>58600</v>
      </c>
      <c r="Y10" s="510" t="s">
        <v>191</v>
      </c>
      <c r="Z10" s="510">
        <v>57900</v>
      </c>
    </row>
    <row r="11" spans="1:26">
      <c r="A11" s="83">
        <v>46121</v>
      </c>
      <c r="B11" s="36">
        <f>_xlfn.XLOOKUP(A11,'steel Mint data'!A:A,'steel Mint data'!B:B,"",0)</f>
        <v>54200</v>
      </c>
      <c r="C11" s="36"/>
      <c r="D11" s="36"/>
      <c r="E11" s="36">
        <f>_xlfn.XLOOKUP(A11,'steel Mint data'!A:A,'steel Mint data'!D:D,"",0)</f>
        <v>53550</v>
      </c>
      <c r="F11" s="36">
        <f>_xlfn.XLOOKUP(A11,'steel Mint data'!A:A,'steel Mint data'!E:E,"",0)</f>
        <v>47600</v>
      </c>
      <c r="G11" s="36"/>
      <c r="H11" s="36"/>
      <c r="I11" s="36">
        <f>_xlfn.XLOOKUP(A11,'steel Mint data'!A:A,'steel Mint data'!I:I,"",0)</f>
        <v>52100</v>
      </c>
      <c r="J11" s="36"/>
      <c r="K11" s="36">
        <f>_xlfn.XLOOKUP(A11,'steel Mint data'!A:A,'steel Mint data'!L:L,"",0)</f>
        <v>53000</v>
      </c>
      <c r="L11" s="36"/>
      <c r="M11" s="36"/>
      <c r="N11" s="36"/>
      <c r="O11" s="36"/>
      <c r="P11" s="37">
        <f>_xlfn.XLOOKUP(A11,'steel Mint data'!A:A,'steel Mint data'!Q:Q,"",0)</f>
        <v>47800</v>
      </c>
      <c r="Q11" s="36">
        <f>_xlfn.XLOOKUP(A11,'steel Mint data'!A:A,'steel Mint data'!R:R,"",0)</f>
        <v>47700</v>
      </c>
      <c r="R11" s="456"/>
      <c r="V11" s="510" t="s">
        <v>192</v>
      </c>
      <c r="W11" s="510">
        <v>58600</v>
      </c>
      <c r="Y11" s="510" t="s">
        <v>193</v>
      </c>
      <c r="Z11" s="510">
        <v>57900</v>
      </c>
    </row>
    <row r="12" spans="1:26">
      <c r="A12" s="83">
        <v>46122</v>
      </c>
      <c r="B12" s="36">
        <f>_xlfn.XLOOKUP(A12,'steel Mint data'!A:A,'steel Mint data'!B:B,"",0)</f>
        <v>53400</v>
      </c>
      <c r="C12" s="36"/>
      <c r="D12" s="36"/>
      <c r="E12" s="36">
        <f>_xlfn.XLOOKUP(A12,'steel Mint data'!A:A,'steel Mint data'!D:D,"",0)</f>
        <v>52750</v>
      </c>
      <c r="F12" s="36">
        <f>_xlfn.XLOOKUP(A12,'steel Mint data'!A:A,'steel Mint data'!E:E,"",0)</f>
        <v>47400</v>
      </c>
      <c r="G12" s="36"/>
      <c r="H12" s="36"/>
      <c r="I12" s="36">
        <f>_xlfn.XLOOKUP(A12,'steel Mint data'!A:A,'steel Mint data'!I:I,"",0)</f>
        <v>51900</v>
      </c>
      <c r="J12" s="36"/>
      <c r="K12" s="36">
        <f>_xlfn.XLOOKUP(A12,'steel Mint data'!A:A,'steel Mint data'!L:L,"",0)</f>
        <v>52700</v>
      </c>
      <c r="L12" s="36"/>
      <c r="M12" s="36"/>
      <c r="N12" s="36"/>
      <c r="O12" s="36"/>
      <c r="P12" s="37">
        <f>_xlfn.XLOOKUP(A12,'steel Mint data'!A:A,'steel Mint data'!Q:Q,"",0)</f>
        <v>47400</v>
      </c>
      <c r="Q12" s="36">
        <f>_xlfn.XLOOKUP(A12,'steel Mint data'!A:A,'steel Mint data'!R:R,"",0)</f>
        <v>47700</v>
      </c>
      <c r="V12" s="510" t="s">
        <v>194</v>
      </c>
      <c r="W12" s="510">
        <v>58600</v>
      </c>
      <c r="Y12" s="510" t="s">
        <v>195</v>
      </c>
      <c r="Z12" s="510">
        <v>57900</v>
      </c>
    </row>
    <row r="13" spans="1:26">
      <c r="A13" s="83">
        <v>46123</v>
      </c>
      <c r="B13" s="36">
        <f>_xlfn.XLOOKUP(A13,'steel Mint data'!A:A,'steel Mint data'!B:B,"",0)</f>
        <v>52900</v>
      </c>
      <c r="C13" s="36"/>
      <c r="D13" s="36"/>
      <c r="E13" s="36">
        <f>_xlfn.XLOOKUP(A13,'steel Mint data'!A:A,'steel Mint data'!D:D,"",0)</f>
        <v>51900</v>
      </c>
      <c r="F13" s="36">
        <f>_xlfn.XLOOKUP(A13,'steel Mint data'!A:A,'steel Mint data'!E:E,"",0)</f>
        <v>47100</v>
      </c>
      <c r="G13" s="36"/>
      <c r="H13" s="36"/>
      <c r="I13" s="36">
        <f>_xlfn.XLOOKUP(A13,'steel Mint data'!A:A,'steel Mint data'!I:I,"",0)</f>
        <v>51500</v>
      </c>
      <c r="J13" s="36"/>
      <c r="K13" s="36">
        <f>_xlfn.XLOOKUP(A13,'steel Mint data'!A:A,'steel Mint data'!L:L,"",0)</f>
        <v>52400</v>
      </c>
      <c r="L13" s="36"/>
      <c r="M13" s="36"/>
      <c r="N13" s="36"/>
      <c r="O13" s="36"/>
      <c r="P13" s="37">
        <f>_xlfn.XLOOKUP(A13,'steel Mint data'!A:A,'steel Mint data'!Q:Q,"",0)</f>
        <v>47400</v>
      </c>
      <c r="Q13" s="36">
        <f>_xlfn.XLOOKUP(A13,'steel Mint data'!A:A,'steel Mint data'!R:R,"",0)</f>
        <v>47700</v>
      </c>
      <c r="S13" s="33"/>
      <c r="V13" s="510" t="s">
        <v>196</v>
      </c>
      <c r="W13" s="510">
        <v>58600</v>
      </c>
      <c r="Y13" s="510" t="s">
        <v>197</v>
      </c>
      <c r="Z13" s="510">
        <v>57900</v>
      </c>
    </row>
    <row r="14" spans="1:26">
      <c r="A14" s="83">
        <v>46124</v>
      </c>
      <c r="B14" s="36" t="str">
        <f>_xlfn.XLOOKUP(A14,'steel Mint data'!A:A,'steel Mint data'!B:B,"",0)</f>
        <v/>
      </c>
      <c r="C14" s="36"/>
      <c r="D14" s="36"/>
      <c r="E14" s="36" t="str">
        <f>_xlfn.XLOOKUP(A14,'steel Mint data'!A:A,'steel Mint data'!D:D,"",0)</f>
        <v/>
      </c>
      <c r="F14" s="36" t="str">
        <f>_xlfn.XLOOKUP(A14,'steel Mint data'!A:A,'steel Mint data'!E:E,"",0)</f>
        <v/>
      </c>
      <c r="G14" s="36"/>
      <c r="H14" s="36"/>
      <c r="I14" s="36" t="str">
        <f>_xlfn.XLOOKUP(A14,'steel Mint data'!A:A,'steel Mint data'!I:I,"",0)</f>
        <v/>
      </c>
      <c r="J14" s="36"/>
      <c r="K14" s="36" t="str">
        <f>_xlfn.XLOOKUP(A14,'steel Mint data'!A:A,'steel Mint data'!L:L,"",0)</f>
        <v/>
      </c>
      <c r="L14" s="36"/>
      <c r="M14" s="36"/>
      <c r="N14" s="36"/>
      <c r="O14" s="36"/>
      <c r="P14" s="37" t="str">
        <f>_xlfn.XLOOKUP(A14,'steel Mint data'!A:A,'steel Mint data'!Q:Q,"",0)</f>
        <v/>
      </c>
      <c r="Q14" s="36" t="str">
        <f>_xlfn.XLOOKUP(A14,'steel Mint data'!A:A,'steel Mint data'!R:R,"",0)</f>
        <v/>
      </c>
      <c r="S14" s="33"/>
      <c r="T14" s="33"/>
      <c r="V14" s="510" t="s">
        <v>198</v>
      </c>
      <c r="W14" s="510">
        <v>58600</v>
      </c>
      <c r="Y14" s="510" t="s">
        <v>199</v>
      </c>
      <c r="Z14" s="510">
        <v>57900</v>
      </c>
    </row>
    <row r="15" spans="1:26">
      <c r="A15" s="83">
        <v>46125</v>
      </c>
      <c r="B15" s="36" t="str">
        <f>_xlfn.XLOOKUP(A15,'steel Mint data'!A:A,'steel Mint data'!B:B,"",0)</f>
        <v/>
      </c>
      <c r="C15" s="36"/>
      <c r="D15" s="36"/>
      <c r="E15" s="36" t="str">
        <f>_xlfn.XLOOKUP(A15,'steel Mint data'!A:A,'steel Mint data'!D:D,"",0)</f>
        <v/>
      </c>
      <c r="F15" s="36" t="str">
        <f>_xlfn.XLOOKUP(A15,'steel Mint data'!A:A,'steel Mint data'!E:E,"",0)</f>
        <v/>
      </c>
      <c r="G15" s="36"/>
      <c r="H15" s="36"/>
      <c r="I15" s="36" t="str">
        <f>_xlfn.XLOOKUP(A15,'steel Mint data'!A:A,'steel Mint data'!I:I,"",0)</f>
        <v/>
      </c>
      <c r="J15" s="36"/>
      <c r="K15" s="36" t="str">
        <f>_xlfn.XLOOKUP(A15,'steel Mint data'!A:A,'steel Mint data'!L:L,"",0)</f>
        <v/>
      </c>
      <c r="L15" s="36"/>
      <c r="M15" s="36"/>
      <c r="N15" s="36"/>
      <c r="O15" s="36"/>
      <c r="P15" s="37" t="str">
        <f>_xlfn.XLOOKUP(A15,'steel Mint data'!A:A,'steel Mint data'!Q:Q,"",0)</f>
        <v/>
      </c>
      <c r="Q15" s="36" t="str">
        <f>_xlfn.XLOOKUP(A15,'steel Mint data'!A:A,'steel Mint data'!R:R,"",0)</f>
        <v/>
      </c>
      <c r="R15" s="175"/>
      <c r="S15" s="33"/>
      <c r="T15" s="33"/>
      <c r="V15" s="510" t="s">
        <v>200</v>
      </c>
      <c r="W15" s="510">
        <v>58600</v>
      </c>
      <c r="Y15" s="510" t="s">
        <v>201</v>
      </c>
      <c r="Z15" s="510">
        <v>57900</v>
      </c>
    </row>
    <row r="16" spans="1:26">
      <c r="A16" s="83">
        <v>46126</v>
      </c>
      <c r="B16" s="36" t="str">
        <f>_xlfn.XLOOKUP(A16,'steel Mint data'!A:A,'steel Mint data'!B:B,"",0)</f>
        <v/>
      </c>
      <c r="C16" s="36"/>
      <c r="D16" s="36"/>
      <c r="E16" s="36" t="str">
        <f>_xlfn.XLOOKUP(A16,'steel Mint data'!A:A,'steel Mint data'!D:D,"",0)</f>
        <v/>
      </c>
      <c r="F16" s="36" t="str">
        <f>_xlfn.XLOOKUP(A16,'steel Mint data'!A:A,'steel Mint data'!E:E,"",0)</f>
        <v/>
      </c>
      <c r="G16" s="36"/>
      <c r="H16" s="36"/>
      <c r="I16" s="36" t="str">
        <f>_xlfn.XLOOKUP(A16,'steel Mint data'!A:A,'steel Mint data'!I:I,"",0)</f>
        <v/>
      </c>
      <c r="J16" s="36"/>
      <c r="K16" s="36" t="str">
        <f>_xlfn.XLOOKUP(A16,'steel Mint data'!A:A,'steel Mint data'!L:L,"",0)</f>
        <v/>
      </c>
      <c r="L16" s="36"/>
      <c r="M16" s="36"/>
      <c r="N16" s="36"/>
      <c r="O16" s="36"/>
      <c r="P16" s="37" t="str">
        <f>_xlfn.XLOOKUP(A16,'steel Mint data'!A:A,'steel Mint data'!Q:Q,"",0)</f>
        <v/>
      </c>
      <c r="Q16" s="36" t="str">
        <f>_xlfn.XLOOKUP(A16,'steel Mint data'!A:A,'steel Mint data'!R:R,"",0)</f>
        <v/>
      </c>
      <c r="S16" s="33"/>
      <c r="T16" s="33"/>
      <c r="V16" s="510" t="s">
        <v>202</v>
      </c>
      <c r="W16" s="510">
        <v>58600</v>
      </c>
      <c r="Y16" s="510" t="s">
        <v>203</v>
      </c>
      <c r="Z16" s="510">
        <v>57900</v>
      </c>
    </row>
    <row r="17" spans="1:26">
      <c r="A17" s="83">
        <v>46127</v>
      </c>
      <c r="B17" s="36" t="str">
        <f>_xlfn.XLOOKUP(A17,'steel Mint data'!A:A,'steel Mint data'!B:B,"",0)</f>
        <v/>
      </c>
      <c r="C17" s="36"/>
      <c r="D17" s="36"/>
      <c r="E17" s="36" t="str">
        <f>_xlfn.XLOOKUP(A17,'steel Mint data'!A:A,'steel Mint data'!D:D,"",0)</f>
        <v/>
      </c>
      <c r="F17" s="36" t="str">
        <f>_xlfn.XLOOKUP(A17,'steel Mint data'!A:A,'steel Mint data'!E:E,"",0)</f>
        <v/>
      </c>
      <c r="G17" s="36"/>
      <c r="H17" s="36"/>
      <c r="I17" s="36" t="str">
        <f>_xlfn.XLOOKUP(A17,'steel Mint data'!A:A,'steel Mint data'!I:I,"",0)</f>
        <v/>
      </c>
      <c r="J17" s="36"/>
      <c r="K17" s="36" t="str">
        <f>_xlfn.XLOOKUP(A17,'steel Mint data'!A:A,'steel Mint data'!L:L,"",0)</f>
        <v/>
      </c>
      <c r="L17" s="36"/>
      <c r="M17" s="36"/>
      <c r="N17" s="36"/>
      <c r="O17" s="36"/>
      <c r="P17" s="37" t="str">
        <f>_xlfn.XLOOKUP(A17,'steel Mint data'!A:A,'steel Mint data'!Q:Q,"",0)</f>
        <v/>
      </c>
      <c r="Q17" s="36" t="str">
        <f>_xlfn.XLOOKUP(A17,'steel Mint data'!A:A,'steel Mint data'!R:R,"",0)</f>
        <v/>
      </c>
      <c r="S17" s="33"/>
      <c r="V17" s="510" t="s">
        <v>204</v>
      </c>
      <c r="W17" s="510">
        <v>58600</v>
      </c>
      <c r="Y17" s="510" t="s">
        <v>205</v>
      </c>
      <c r="Z17" s="510">
        <v>57900</v>
      </c>
    </row>
    <row r="18" spans="1:26">
      <c r="A18" s="83">
        <v>46128</v>
      </c>
      <c r="B18" s="36" t="str">
        <f>_xlfn.XLOOKUP(A18,'steel Mint data'!A:A,'steel Mint data'!B:B,"",0)</f>
        <v/>
      </c>
      <c r="C18" s="36"/>
      <c r="D18" s="36"/>
      <c r="E18" s="36" t="str">
        <f>_xlfn.XLOOKUP(A18,'steel Mint data'!A:A,'steel Mint data'!D:D,"",0)</f>
        <v/>
      </c>
      <c r="F18" s="36" t="str">
        <f>_xlfn.XLOOKUP(A18,'steel Mint data'!A:A,'steel Mint data'!E:E,"",0)</f>
        <v/>
      </c>
      <c r="G18" s="36"/>
      <c r="H18" s="36"/>
      <c r="I18" s="36" t="str">
        <f>_xlfn.XLOOKUP(A18,'steel Mint data'!A:A,'steel Mint data'!I:I,"",0)</f>
        <v/>
      </c>
      <c r="J18" s="36"/>
      <c r="K18" s="36" t="str">
        <f>_xlfn.XLOOKUP(A18,'steel Mint data'!A:A,'steel Mint data'!L:L,"",0)</f>
        <v/>
      </c>
      <c r="L18" s="36"/>
      <c r="M18" s="36"/>
      <c r="N18" s="36"/>
      <c r="O18" s="36"/>
      <c r="P18" s="37" t="str">
        <f>_xlfn.XLOOKUP(A18,'steel Mint data'!A:A,'steel Mint data'!Q:Q,"",0)</f>
        <v/>
      </c>
      <c r="Q18" s="36" t="str">
        <f>_xlfn.XLOOKUP(A18,'steel Mint data'!A:A,'steel Mint data'!R:R,"",0)</f>
        <v/>
      </c>
      <c r="S18" s="33"/>
      <c r="T18" s="33"/>
      <c r="V18" s="510" t="s">
        <v>206</v>
      </c>
      <c r="W18" s="510">
        <v>58600</v>
      </c>
      <c r="Y18" s="510" t="s">
        <v>207</v>
      </c>
      <c r="Z18" s="510">
        <v>57900</v>
      </c>
    </row>
    <row r="19" spans="1:26">
      <c r="A19" s="83"/>
      <c r="B19" s="503"/>
      <c r="C19" s="503"/>
      <c r="D19" s="503"/>
      <c r="E19" s="503"/>
      <c r="F19" s="503"/>
      <c r="G19" s="503"/>
      <c r="H19" s="503"/>
      <c r="I19" s="503"/>
      <c r="J19" s="503"/>
      <c r="K19" s="503"/>
      <c r="L19" s="503"/>
      <c r="M19" s="503"/>
      <c r="N19" s="503"/>
      <c r="O19" s="503"/>
      <c r="P19" s="503"/>
      <c r="Q19" s="503"/>
      <c r="S19" s="33"/>
      <c r="T19" s="33"/>
      <c r="V19" s="510" t="s">
        <v>208</v>
      </c>
      <c r="W19" s="510">
        <v>58600</v>
      </c>
    </row>
    <row r="20" spans="1:26">
      <c r="A20" s="83"/>
      <c r="B20" s="15">
        <f>SUM(B3:B18)</f>
        <v>487600</v>
      </c>
      <c r="C20" s="14"/>
      <c r="D20" s="14"/>
      <c r="E20" s="15">
        <f>SUM(E3:E18)</f>
        <v>478300</v>
      </c>
      <c r="F20" s="15">
        <f>SUM(F3:F18)</f>
        <v>426600</v>
      </c>
      <c r="G20" s="14"/>
      <c r="H20" s="14"/>
      <c r="I20" s="15">
        <f>SUM(I3:I18)</f>
        <v>464600</v>
      </c>
      <c r="J20" s="14"/>
      <c r="K20" s="15">
        <f>SUM(K3:K18)</f>
        <v>472800</v>
      </c>
      <c r="L20" s="14"/>
      <c r="M20" s="14"/>
      <c r="N20" s="14"/>
      <c r="O20" s="14"/>
      <c r="P20" s="15">
        <f>SUM(P3:P18)</f>
        <v>431900</v>
      </c>
      <c r="Q20" s="15">
        <f>SUM(Q3:Q18)</f>
        <v>429600</v>
      </c>
      <c r="S20" s="33"/>
      <c r="T20" s="33"/>
      <c r="V20" s="510" t="s">
        <v>209</v>
      </c>
      <c r="W20" s="510">
        <v>58600</v>
      </c>
      <c r="Y20" s="116" t="s">
        <v>210</v>
      </c>
      <c r="Z20">
        <f>COUNTA(Y7:Y18)</f>
        <v>12</v>
      </c>
    </row>
    <row r="21" spans="1:26" ht="37.5">
      <c r="A21" s="14"/>
      <c r="B21" s="16" t="s">
        <v>18</v>
      </c>
      <c r="C21" s="16" t="s">
        <v>19</v>
      </c>
      <c r="D21" s="16" t="s">
        <v>20</v>
      </c>
      <c r="E21" s="16" t="s">
        <v>21</v>
      </c>
      <c r="F21" s="16" t="s">
        <v>22</v>
      </c>
      <c r="G21" s="16" t="s">
        <v>23</v>
      </c>
      <c r="H21" s="16" t="s">
        <v>39</v>
      </c>
      <c r="I21" s="16" t="s">
        <v>46</v>
      </c>
      <c r="J21" s="16" t="s">
        <v>126</v>
      </c>
      <c r="K21" s="282" t="s">
        <v>23</v>
      </c>
      <c r="L21" s="282" t="s">
        <v>147</v>
      </c>
      <c r="M21" s="19"/>
      <c r="N21" s="19"/>
      <c r="O21" s="14"/>
      <c r="P21" s="21"/>
      <c r="Q21" s="14"/>
      <c r="R21" s="407"/>
      <c r="S21" s="33"/>
      <c r="T21" s="33"/>
      <c r="V21" s="510" t="s">
        <v>211</v>
      </c>
      <c r="W21" s="510">
        <v>58600</v>
      </c>
    </row>
    <row r="22" spans="1:26" ht="21.75" customHeight="1">
      <c r="A22" s="462" t="s">
        <v>165</v>
      </c>
      <c r="B22" s="458">
        <f ca="1">AVERAGEIFS('steel Mint data'!D:D, 'steel Mint data'!A:A, "&gt;="&amp;TODAY()-15, 'steel Mint data'!A:A, "&lt;="&amp;TODAY())</f>
        <v>52783.333333333336</v>
      </c>
      <c r="C22" s="458">
        <f ca="1">AVERAGEIFS('steel Mint data'!Q:Q, 'steel Mint data'!A:A, "&gt;="&amp;TODAY()-15, 'steel Mint data'!A:A, "&lt;="&amp;TODAY())</f>
        <v>47741.666666666664</v>
      </c>
      <c r="D22" s="458">
        <f ca="1">AVERAGEIFS('steel Mint data'!L:L, 'steel Mint data'!A:A, "&gt;="&amp;TODAY()-15, 'steel Mint data'!A:A, "&lt;="&amp;TODAY())</f>
        <v>51991.666666666664</v>
      </c>
      <c r="E22" s="458">
        <f ca="1">AVERAGEIFS('steel Mint data'!R:R, 'steel Mint data'!A:A, "&gt;="&amp;TODAY()-15, 'steel Mint data'!A:A, "&lt;="&amp;TODAY())</f>
        <v>47508.333333333336</v>
      </c>
      <c r="F22" s="458">
        <f ca="1">AVERAGEIFS('steel Mint data'!Q:Q, 'steel Mint data'!A:A, "&gt;="&amp;TODAY()-15, 'steel Mint data'!A:A, "&lt;="&amp;TODAY())</f>
        <v>47741.666666666664</v>
      </c>
      <c r="G22" s="458">
        <f ca="1">B22-800</f>
        <v>51983.333333333336</v>
      </c>
      <c r="H22" s="458">
        <f ca="1">AVERAGEIFS('steel Mint data'!I:I, 'steel Mint data'!A:A, "&gt;="&amp;TODAY()-15, 'steel Mint data'!A:A, "&lt;="&amp;TODAY())</f>
        <v>51083.333333333336</v>
      </c>
      <c r="I22" s="458">
        <f ca="1">AVERAGEIFS('steel Mint data'!B:B, 'steel Mint data'!A:A, "&gt;="&amp;TODAY()-15, 'steel Mint data'!A:A, "&lt;="&amp;TODAY())</f>
        <v>53691.666666666664</v>
      </c>
      <c r="J22" s="458">
        <f ca="1">AVERAGEIFS('steel Mint data'!E:E, 'steel Mint data'!A:A, "&gt;="&amp;TODAY()-15, 'steel Mint data'!A:A, "&lt;="&amp;TODAY())</f>
        <v>47191.666666666664</v>
      </c>
      <c r="K22" s="459">
        <f ca="1">B22-800</f>
        <v>51983.333333333336</v>
      </c>
      <c r="L22" s="459">
        <f ca="1">AVERAGEIFS('steel Mint data'!Q:Q, 'steel Mint data'!A:A, "&gt;="&amp;TODAY()-15, 'steel Mint data'!A:A, "&lt;="&amp;TODAY())</f>
        <v>47741.666666666664</v>
      </c>
      <c r="M22" s="19"/>
      <c r="N22" s="19"/>
      <c r="O22" s="14"/>
      <c r="P22" s="21"/>
      <c r="Q22" s="14"/>
      <c r="S22" s="33"/>
      <c r="T22" s="33"/>
      <c r="V22" s="510" t="s">
        <v>212</v>
      </c>
      <c r="W22" s="510">
        <v>58600</v>
      </c>
    </row>
    <row r="23" spans="1:26">
      <c r="A23" s="17" t="s">
        <v>25</v>
      </c>
      <c r="B23" s="18">
        <f>E20/O23</f>
        <v>53144.444444444445</v>
      </c>
      <c r="C23" s="18">
        <f>P20/O23</f>
        <v>47988.888888888891</v>
      </c>
      <c r="D23" s="18">
        <f>K20/O23</f>
        <v>52533.333333333336</v>
      </c>
      <c r="E23" s="18">
        <f>Q20/O23</f>
        <v>47733.333333333336</v>
      </c>
      <c r="F23" s="18">
        <f>C23</f>
        <v>47988.888888888891</v>
      </c>
      <c r="G23" s="18">
        <f>B23-800</f>
        <v>52344.444444444445</v>
      </c>
      <c r="H23" s="18">
        <f>I20/O23</f>
        <v>51622.222222222219</v>
      </c>
      <c r="I23" s="18">
        <f>B20/(O23)</f>
        <v>54177.777777777781</v>
      </c>
      <c r="J23" s="18">
        <f>F20/O23</f>
        <v>47400</v>
      </c>
      <c r="K23" s="283">
        <f>B23-800</f>
        <v>52344.444444444445</v>
      </c>
      <c r="L23" s="283">
        <f>P20/O23</f>
        <v>47988.888888888891</v>
      </c>
      <c r="M23" s="146"/>
      <c r="N23" s="19"/>
      <c r="O23" s="463">
        <f>COUNT(E3:E18)</f>
        <v>9</v>
      </c>
      <c r="P23" s="21"/>
      <c r="Q23" s="465"/>
      <c r="R23" s="174"/>
      <c r="S23" s="174"/>
      <c r="T23" s="33"/>
      <c r="V23" s="510" t="s">
        <v>213</v>
      </c>
      <c r="W23" s="510">
        <v>58600</v>
      </c>
    </row>
    <row r="24" spans="1:26">
      <c r="A24" s="17" t="s">
        <v>26</v>
      </c>
      <c r="B24" s="18">
        <v>1200</v>
      </c>
      <c r="C24" s="18">
        <v>2150</v>
      </c>
      <c r="D24" s="18">
        <v>400</v>
      </c>
      <c r="E24" s="18">
        <v>2200</v>
      </c>
      <c r="F24" s="18">
        <v>1800</v>
      </c>
      <c r="G24" s="18">
        <v>1200</v>
      </c>
      <c r="H24" s="18">
        <v>800</v>
      </c>
      <c r="I24" s="18">
        <v>2500</v>
      </c>
      <c r="J24" s="18">
        <v>2700</v>
      </c>
      <c r="K24" s="283">
        <v>3200</v>
      </c>
      <c r="L24" s="283">
        <v>4235</v>
      </c>
      <c r="M24" s="33"/>
      <c r="N24" s="27"/>
      <c r="O24" s="27"/>
      <c r="P24" s="175"/>
      <c r="Q24" s="27"/>
      <c r="S24" s="27"/>
      <c r="V24" s="510" t="s">
        <v>214</v>
      </c>
      <c r="W24" s="510">
        <v>58600</v>
      </c>
    </row>
    <row r="25" spans="1:26">
      <c r="A25" s="17" t="s">
        <v>27</v>
      </c>
      <c r="B25" s="18">
        <v>200</v>
      </c>
      <c r="C25" s="18">
        <v>265</v>
      </c>
      <c r="D25" s="18">
        <v>250</v>
      </c>
      <c r="E25" s="18">
        <v>275</v>
      </c>
      <c r="F25" s="18">
        <v>275</v>
      </c>
      <c r="G25" s="18">
        <v>200</v>
      </c>
      <c r="H25" s="18">
        <v>270</v>
      </c>
      <c r="I25" s="18">
        <v>200</v>
      </c>
      <c r="J25" s="18">
        <v>270</v>
      </c>
      <c r="K25" s="283">
        <v>200</v>
      </c>
      <c r="L25" s="283">
        <v>265</v>
      </c>
      <c r="M25" s="33"/>
      <c r="N25" s="175"/>
      <c r="O25" s="175"/>
      <c r="P25" s="27"/>
      <c r="Q25" s="27"/>
      <c r="R25" s="175"/>
      <c r="S25" s="27"/>
      <c r="V25" s="510" t="s">
        <v>215</v>
      </c>
      <c r="W25" s="510">
        <v>58600</v>
      </c>
    </row>
    <row r="26" spans="1:26">
      <c r="A26" s="17" t="s">
        <v>166</v>
      </c>
      <c r="B26" s="18">
        <v>500</v>
      </c>
      <c r="C26" s="18">
        <f>B26</f>
        <v>500</v>
      </c>
      <c r="D26" s="18">
        <f>B26</f>
        <v>500</v>
      </c>
      <c r="E26" s="18">
        <f>B26</f>
        <v>500</v>
      </c>
      <c r="F26" s="18">
        <v>500</v>
      </c>
      <c r="G26" s="18">
        <f>B26</f>
        <v>500</v>
      </c>
      <c r="H26" s="18">
        <f>B26</f>
        <v>500</v>
      </c>
      <c r="I26" s="18">
        <f>B26</f>
        <v>500</v>
      </c>
      <c r="J26" s="18">
        <f>B26</f>
        <v>500</v>
      </c>
      <c r="K26" s="283">
        <f>B26</f>
        <v>500</v>
      </c>
      <c r="L26" s="283">
        <v>500</v>
      </c>
      <c r="N26" s="175"/>
      <c r="O26" s="175"/>
      <c r="P26" s="175"/>
      <c r="Q26" s="175"/>
      <c r="R26" s="175"/>
      <c r="S26" s="27"/>
    </row>
    <row r="27" spans="1:26" ht="19.5" customHeight="1">
      <c r="A27" s="22" t="s">
        <v>28</v>
      </c>
      <c r="B27" s="461">
        <f>SUM(B23:B26)</f>
        <v>55044.444444444445</v>
      </c>
      <c r="C27" s="461">
        <f>SUM(C23:C26)</f>
        <v>50903.888888888891</v>
      </c>
      <c r="D27" s="461">
        <f>SUM(D23:D26)</f>
        <v>53683.333333333336</v>
      </c>
      <c r="E27" s="461">
        <f>SUM(E23:E26)</f>
        <v>50708.333333333336</v>
      </c>
      <c r="F27" s="461">
        <f>SUM(F23:F26)</f>
        <v>50563.888888888891</v>
      </c>
      <c r="G27" s="461">
        <f>SUM(G23:G26)</f>
        <v>54244.444444444445</v>
      </c>
      <c r="H27" s="461">
        <f>SUM(H23:H26)</f>
        <v>53192.222222222219</v>
      </c>
      <c r="I27" s="461">
        <f>SUM(I23:I26)</f>
        <v>57377.777777777781</v>
      </c>
      <c r="J27" s="461">
        <f>SUM(J23:J26)</f>
        <v>50870</v>
      </c>
      <c r="K27" s="461">
        <f>SUM(K23:K26)</f>
        <v>56244.444444444445</v>
      </c>
      <c r="L27" s="461">
        <f>SUM(L23:L26)</f>
        <v>52988.888888888891</v>
      </c>
      <c r="M27" s="33"/>
      <c r="N27" s="175"/>
      <c r="O27" s="175">
        <f>60300-2600</f>
        <v>57700</v>
      </c>
      <c r="P27" s="175"/>
      <c r="Q27" s="117"/>
      <c r="R27" s="175"/>
      <c r="S27" s="27"/>
      <c r="V27" s="116" t="s">
        <v>210</v>
      </c>
      <c r="W27">
        <f>COUNTA(V7:V25)</f>
        <v>19</v>
      </c>
    </row>
    <row r="28" spans="1:26" ht="26.25" customHeight="1">
      <c r="A28" s="457" t="s">
        <v>167</v>
      </c>
      <c r="B28" s="460">
        <f ca="1">B22+B24+B25+B26</f>
        <v>54683.333333333336</v>
      </c>
      <c r="C28" s="460">
        <f ca="1">C22+C24+C25+C26</f>
        <v>50656.666666666664</v>
      </c>
      <c r="D28" s="460">
        <f ca="1">D22+D24+D25+D26</f>
        <v>53141.666666666664</v>
      </c>
      <c r="E28" s="460">
        <f ca="1">E22+E24+E25+E26</f>
        <v>50483.333333333336</v>
      </c>
      <c r="F28" s="460">
        <f ca="1">F22+F24+F25+F26</f>
        <v>50316.666666666664</v>
      </c>
      <c r="G28" s="460">
        <f ca="1">G22+G24+G25+G26</f>
        <v>53883.333333333336</v>
      </c>
      <c r="H28" s="460">
        <f ca="1">H22+H24+H25+H26</f>
        <v>52653.333333333336</v>
      </c>
      <c r="I28" s="460">
        <f ca="1">I22+I24+I25+I26</f>
        <v>56891.666666666664</v>
      </c>
      <c r="J28" s="460">
        <f ca="1">J22+J24+J25+J26</f>
        <v>50661.666666666664</v>
      </c>
      <c r="K28" s="464">
        <f ca="1">K22+K24+K25+K26</f>
        <v>55883.333333333336</v>
      </c>
      <c r="L28" s="464">
        <f ca="1">L22+L24+L25+L26</f>
        <v>52741.666666666664</v>
      </c>
      <c r="M28" s="33"/>
      <c r="N28" s="175"/>
      <c r="O28" s="175"/>
      <c r="P28" s="175"/>
      <c r="Q28" s="117"/>
      <c r="R28" s="175"/>
      <c r="S28" s="27"/>
    </row>
    <row r="29" spans="1:26">
      <c r="A29" s="22" t="s">
        <v>29</v>
      </c>
      <c r="B29" s="18">
        <v>45100</v>
      </c>
      <c r="C29" s="18">
        <v>42315</v>
      </c>
      <c r="D29" s="18">
        <v>46150</v>
      </c>
      <c r="E29" s="23"/>
      <c r="F29" s="18">
        <v>41975</v>
      </c>
      <c r="G29" s="18">
        <v>44300</v>
      </c>
      <c r="H29" s="18"/>
      <c r="I29" s="18">
        <v>44300</v>
      </c>
      <c r="J29" s="18">
        <f>38000+2700+270</f>
        <v>40970</v>
      </c>
      <c r="K29" s="270"/>
      <c r="L29" s="298"/>
      <c r="M29" s="33"/>
      <c r="N29" s="175"/>
      <c r="O29" s="175"/>
      <c r="P29" s="175"/>
      <c r="Q29" s="174"/>
      <c r="R29" s="175"/>
      <c r="S29" s="27"/>
    </row>
    <row r="30" spans="1:26">
      <c r="A30" s="22" t="s">
        <v>30</v>
      </c>
      <c r="B30" s="18">
        <f>B27-B29</f>
        <v>9944.4444444444453</v>
      </c>
      <c r="C30" s="18">
        <f>C27-C29</f>
        <v>8588.8888888888905</v>
      </c>
      <c r="D30" s="18">
        <f>D27-D29</f>
        <v>7533.3333333333358</v>
      </c>
      <c r="E30" s="18">
        <f>E27-E29</f>
        <v>50708.333333333336</v>
      </c>
      <c r="F30" s="18">
        <f>F27-F29</f>
        <v>8588.8888888888905</v>
      </c>
      <c r="G30" s="18">
        <f>G27-G29</f>
        <v>9944.4444444444453</v>
      </c>
      <c r="H30" s="18">
        <f>H27-H29</f>
        <v>53192.222222222219</v>
      </c>
      <c r="I30" s="18">
        <f>I27-I29</f>
        <v>13077.777777777781</v>
      </c>
      <c r="J30" s="18">
        <f>J27-J29</f>
        <v>9900</v>
      </c>
      <c r="K30" s="174"/>
      <c r="L30" s="19"/>
      <c r="M30" s="146"/>
      <c r="N30" s="175"/>
      <c r="O30" s="175"/>
      <c r="P30" s="175"/>
      <c r="Q30" s="27"/>
      <c r="R30" s="175"/>
      <c r="S30" s="27"/>
    </row>
    <row r="31" spans="1:26">
      <c r="A31" s="14"/>
      <c r="B31" s="19"/>
      <c r="C31" s="14"/>
      <c r="D31" s="14"/>
      <c r="E31" s="14"/>
      <c r="F31" s="14"/>
      <c r="G31" s="19">
        <f>G29-2500</f>
        <v>41800</v>
      </c>
      <c r="H31" s="14"/>
      <c r="I31" s="14"/>
      <c r="J31" s="14"/>
      <c r="K31" s="174"/>
      <c r="L31" s="19"/>
      <c r="M31" s="146"/>
      <c r="N31" s="175"/>
      <c r="O31" s="488"/>
      <c r="P31" s="488"/>
      <c r="Q31" s="27"/>
      <c r="R31" s="175"/>
      <c r="S31" s="27"/>
    </row>
    <row r="32" spans="1:26">
      <c r="A32" s="22" t="s">
        <v>31</v>
      </c>
      <c r="B32" s="23">
        <v>48300</v>
      </c>
      <c r="C32" s="23">
        <v>45550</v>
      </c>
      <c r="D32" s="18">
        <v>48800</v>
      </c>
      <c r="E32" s="18">
        <v>45550</v>
      </c>
      <c r="F32" s="18">
        <v>45550</v>
      </c>
      <c r="G32" s="18">
        <v>47500</v>
      </c>
      <c r="H32" s="18">
        <v>47800</v>
      </c>
      <c r="I32" s="18">
        <v>48300</v>
      </c>
      <c r="J32" s="18"/>
      <c r="K32" s="174">
        <f ca="1">59600-1300-K28</f>
        <v>2416.6666666666642</v>
      </c>
      <c r="L32" s="48">
        <f ca="1">59400-600-K28</f>
        <v>2916.6666666666642</v>
      </c>
      <c r="M32" s="146"/>
      <c r="N32" s="175">
        <f ca="1">58800-1300-L28</f>
        <v>4758.3333333333358</v>
      </c>
      <c r="O32" s="33"/>
      <c r="P32" s="264"/>
      <c r="Q32" s="27"/>
      <c r="S32" s="27"/>
    </row>
    <row r="33" spans="1:25 16384:16384">
      <c r="A33" s="22" t="s">
        <v>32</v>
      </c>
      <c r="B33" s="26">
        <f>B32-500-(200+300+300)-250-400</f>
        <v>46350</v>
      </c>
      <c r="C33" s="26">
        <f>C32-500-(200+300+300)-250-400</f>
        <v>43600</v>
      </c>
      <c r="D33" s="26">
        <f>D32-500-(200+300+300)-250-400</f>
        <v>46850</v>
      </c>
      <c r="E33" s="26">
        <f>E32-500-(200+300+300)-250-400</f>
        <v>43600</v>
      </c>
      <c r="F33" s="26">
        <f>F32-500-(200+300+300)-250-400</f>
        <v>43600</v>
      </c>
      <c r="G33" s="26">
        <f>G32-500-(200+300+300)-250-400</f>
        <v>45550</v>
      </c>
      <c r="H33" s="26">
        <f>H32-500-(200+300+300)-250-400</f>
        <v>45850</v>
      </c>
      <c r="I33" s="26">
        <f>I32-500-(200+300+300)-250-400</f>
        <v>46350</v>
      </c>
      <c r="J33" s="269"/>
      <c r="L33" s="175"/>
      <c r="M33" s="19"/>
      <c r="N33" s="19"/>
      <c r="O33" s="19"/>
      <c r="P33" s="501"/>
      <c r="Q33" s="27"/>
      <c r="S33" s="27"/>
    </row>
    <row r="34" spans="1:25 16384:16384">
      <c r="A34" s="25" t="s">
        <v>33</v>
      </c>
      <c r="B34" s="18">
        <f>B33-B27</f>
        <v>-8694.4444444444453</v>
      </c>
      <c r="C34" s="18">
        <f>C33-C27</f>
        <v>-7303.8888888888905</v>
      </c>
      <c r="D34" s="18">
        <f>D33-D27</f>
        <v>-6833.3333333333358</v>
      </c>
      <c r="E34" s="18">
        <f>E33-E27</f>
        <v>-7108.3333333333358</v>
      </c>
      <c r="F34" s="18">
        <f>F33-F27</f>
        <v>-6963.8888888888905</v>
      </c>
      <c r="G34" s="18">
        <f>G33-G27</f>
        <v>-8694.4444444444453</v>
      </c>
      <c r="H34" s="18">
        <f>H33-H27</f>
        <v>-7342.222222222219</v>
      </c>
      <c r="I34" s="18">
        <f>I33-I27</f>
        <v>-11027.777777777781</v>
      </c>
      <c r="J34" s="270"/>
      <c r="K34" s="174"/>
      <c r="L34" s="174"/>
      <c r="M34" s="19"/>
      <c r="N34" s="19"/>
      <c r="O34" s="19"/>
      <c r="P34" s="501"/>
      <c r="Q34" s="473"/>
      <c r="R34" s="264"/>
      <c r="S34" s="27"/>
    </row>
    <row r="35" spans="1:25 16384:16384" ht="10.5" customHeight="1">
      <c r="I35" s="33"/>
      <c r="J35" s="49"/>
      <c r="K35" s="48"/>
      <c r="L35" s="48"/>
      <c r="M35" s="19"/>
      <c r="N35" s="19">
        <f ca="1">56250-B28</f>
        <v>1566.6666666666642</v>
      </c>
      <c r="O35" s="142"/>
      <c r="P35" s="264"/>
      <c r="Q35" s="27"/>
      <c r="S35" s="27"/>
      <c r="V35" s="137"/>
      <c r="W35" s="14"/>
      <c r="X35" s="48"/>
      <c r="Y35" s="48"/>
    </row>
    <row r="36" spans="1:25 16384:16384">
      <c r="A36" s="31" t="s">
        <v>141</v>
      </c>
      <c r="B36" s="380">
        <v>57000</v>
      </c>
      <c r="C36" s="380">
        <v>53700</v>
      </c>
      <c r="D36" s="380">
        <v>57500</v>
      </c>
      <c r="E36" s="380"/>
      <c r="F36" s="380">
        <f>C36</f>
        <v>53700</v>
      </c>
      <c r="G36" s="380">
        <v>56500</v>
      </c>
      <c r="H36" s="380"/>
      <c r="I36" s="380"/>
      <c r="J36" s="381"/>
      <c r="K36" s="382"/>
      <c r="L36" s="382"/>
      <c r="M36" s="19">
        <f ca="1">58500-3600-F28</f>
        <v>4583.3333333333358</v>
      </c>
      <c r="N36" s="27"/>
      <c r="O36" s="499"/>
      <c r="P36" s="264"/>
      <c r="Q36" s="27"/>
      <c r="S36" s="27"/>
      <c r="V36" s="137"/>
      <c r="W36" s="14"/>
      <c r="X36" s="48"/>
      <c r="Y36" s="48"/>
    </row>
    <row r="37" spans="1:25 16384:16384" ht="15.75" customHeight="1">
      <c r="A37" s="31" t="s">
        <v>216</v>
      </c>
      <c r="B37" s="383"/>
      <c r="C37" s="383"/>
      <c r="D37" s="383"/>
      <c r="E37" s="384"/>
      <c r="F37" s="383"/>
      <c r="G37" s="383"/>
      <c r="H37" s="383"/>
      <c r="I37" s="380">
        <v>58000</v>
      </c>
      <c r="J37" s="385">
        <f ca="1">58500-1400-L28</f>
        <v>4358.3333333333358</v>
      </c>
      <c r="K37" s="385">
        <v>57500</v>
      </c>
      <c r="L37" s="381">
        <v>54700</v>
      </c>
      <c r="M37" s="14"/>
      <c r="N37" s="175">
        <f>5</f>
        <v>5</v>
      </c>
      <c r="O37" s="500"/>
      <c r="P37" s="27"/>
      <c r="Q37" s="264"/>
      <c r="R37" s="491"/>
      <c r="S37" s="264"/>
      <c r="V37" s="137"/>
      <c r="W37" s="14"/>
      <c r="X37" s="48"/>
      <c r="Y37" s="48"/>
      <c r="XFD37" s="96" t="s">
        <v>68</v>
      </c>
    </row>
    <row r="38" spans="1:25 16384:16384">
      <c r="C38" s="52"/>
      <c r="D38" s="118"/>
      <c r="E38" s="118"/>
      <c r="F38" s="58"/>
      <c r="G38" s="118"/>
      <c r="H38" s="118"/>
    </row>
    <row r="39" spans="1:25 16384:16384">
      <c r="A39" s="28"/>
      <c r="B39" s="380"/>
      <c r="C39" s="380"/>
      <c r="D39" s="380"/>
      <c r="E39" s="380"/>
      <c r="F39" s="380"/>
      <c r="G39" s="380"/>
      <c r="H39" s="380"/>
      <c r="I39" s="380"/>
      <c r="J39" s="380"/>
      <c r="K39" s="380"/>
      <c r="L39" s="380"/>
      <c r="M39" s="380"/>
      <c r="O39" s="33"/>
    </row>
    <row r="40" spans="1:25 16384:16384">
      <c r="A40" s="28"/>
      <c r="B40" s="383"/>
      <c r="C40" s="383"/>
      <c r="D40" s="383"/>
      <c r="E40" s="384"/>
      <c r="F40" s="383"/>
      <c r="G40" s="383"/>
      <c r="H40" s="383"/>
      <c r="I40" s="380"/>
      <c r="J40" s="382"/>
      <c r="K40" s="385"/>
      <c r="L40" s="381"/>
      <c r="R40"/>
    </row>
    <row r="41" spans="1:25 16384:16384">
      <c r="R41"/>
    </row>
    <row r="42" spans="1:25 16384:16384">
      <c r="S42" s="27"/>
    </row>
    <row r="43" spans="1:25 16384:16384">
      <c r="K43" s="49">
        <f>K37+2400</f>
        <v>59900</v>
      </c>
    </row>
    <row r="48" spans="1:25 16384:16384">
      <c r="S48" s="33"/>
    </row>
    <row r="50" spans="3:12">
      <c r="C50" s="120"/>
      <c r="D50" s="120"/>
      <c r="E50" s="120"/>
      <c r="F50" s="120"/>
      <c r="G50" s="506" t="s">
        <v>40</v>
      </c>
      <c r="H50" s="507" t="s">
        <v>141</v>
      </c>
      <c r="I50" s="507" t="s">
        <v>48</v>
      </c>
      <c r="J50" s="120"/>
      <c r="K50" s="120"/>
      <c r="L50" s="120"/>
    </row>
    <row r="51" spans="3:12">
      <c r="C51" s="120"/>
      <c r="D51" s="121"/>
      <c r="E51" s="122"/>
      <c r="F51" s="122"/>
      <c r="G51" s="504" t="s">
        <v>217</v>
      </c>
      <c r="H51" s="505">
        <v>57000</v>
      </c>
      <c r="I51" s="505"/>
      <c r="J51" s="122"/>
      <c r="K51" s="122"/>
      <c r="L51" s="122"/>
    </row>
    <row r="52" spans="3:12">
      <c r="C52" s="120"/>
      <c r="D52" s="121"/>
      <c r="E52" s="122"/>
      <c r="F52" s="122"/>
      <c r="G52" s="505" t="s">
        <v>218</v>
      </c>
      <c r="H52" s="505">
        <v>53700</v>
      </c>
      <c r="I52" s="505"/>
      <c r="J52" s="122"/>
      <c r="K52" s="122"/>
      <c r="L52" s="122"/>
    </row>
    <row r="53" spans="3:12">
      <c r="C53" s="120"/>
      <c r="D53" s="121"/>
      <c r="E53" s="122"/>
      <c r="F53" s="122"/>
      <c r="G53" s="505" t="s">
        <v>219</v>
      </c>
      <c r="H53" s="505">
        <v>57500</v>
      </c>
      <c r="I53" s="505"/>
      <c r="J53" s="122"/>
      <c r="K53" s="122"/>
      <c r="L53" s="122"/>
    </row>
    <row r="54" spans="3:12">
      <c r="C54" s="120"/>
      <c r="D54" s="121"/>
      <c r="E54" s="122"/>
      <c r="F54" s="122"/>
      <c r="G54" s="505" t="s">
        <v>22</v>
      </c>
      <c r="H54" s="505">
        <f>H52</f>
        <v>53700</v>
      </c>
      <c r="I54" s="505"/>
      <c r="J54" s="122"/>
      <c r="K54" s="122"/>
      <c r="L54" s="122"/>
    </row>
    <row r="55" spans="3:12">
      <c r="C55" s="120"/>
      <c r="D55" s="120"/>
      <c r="E55" s="123"/>
      <c r="F55" s="123"/>
      <c r="G55" s="505" t="s">
        <v>220</v>
      </c>
      <c r="H55" s="505">
        <v>56500</v>
      </c>
      <c r="I55" s="505">
        <v>57500</v>
      </c>
      <c r="J55" s="123"/>
      <c r="K55" s="123"/>
      <c r="L55" s="123"/>
    </row>
    <row r="56" spans="3:12">
      <c r="G56" s="504" t="s">
        <v>221</v>
      </c>
      <c r="H56" s="504"/>
      <c r="I56" s="504">
        <v>58000</v>
      </c>
    </row>
    <row r="57" spans="3:12">
      <c r="G57" s="504" t="s">
        <v>222</v>
      </c>
      <c r="H57" s="504"/>
      <c r="I57" s="504">
        <v>54700</v>
      </c>
    </row>
  </sheetData>
  <mergeCells count="1">
    <mergeCell ref="B1:Q1"/>
  </mergeCell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9533-EC39-45F5-8978-B719180CCA87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DD8B8-20AC-476D-AEEA-23BE3547EF4D}">
  <dimension ref="A1:XFD54"/>
  <sheetViews>
    <sheetView workbookViewId="0">
      <pane ySplit="2" topLeftCell="A15" activePane="bottomLeft" state="frozen"/>
      <selection pane="bottomLeft" activeCell="O23" sqref="O23"/>
    </sheetView>
  </sheetViews>
  <sheetFormatPr defaultColWidth="15.85546875" defaultRowHeight="15"/>
  <cols>
    <col min="1" max="1" width="27.85546875" customWidth="1"/>
    <col min="2" max="2" width="15.28515625" customWidth="1"/>
    <col min="3" max="3" width="13.85546875" customWidth="1"/>
    <col min="4" max="4" width="10.42578125" customWidth="1"/>
    <col min="5" max="5" width="13" customWidth="1"/>
    <col min="6" max="10" width="10.7109375" customWidth="1"/>
    <col min="11" max="11" width="26.140625" customWidth="1"/>
    <col min="12" max="13" width="15.140625" customWidth="1"/>
    <col min="14" max="14" width="15.5703125" customWidth="1"/>
    <col min="15" max="15" width="23.140625" customWidth="1"/>
    <col min="16" max="16" width="17.140625" customWidth="1"/>
    <col min="17" max="17" width="15.140625" customWidth="1"/>
    <col min="18" max="18" width="19.5703125" style="27" customWidth="1"/>
    <col min="19" max="19" width="15" customWidth="1"/>
    <col min="20" max="20" width="22.5703125" bestFit="1" customWidth="1"/>
    <col min="21" max="21" width="25.28515625" bestFit="1" customWidth="1"/>
  </cols>
  <sheetData>
    <row r="1" spans="1:22">
      <c r="A1" s="81"/>
      <c r="B1" s="519" t="s">
        <v>0</v>
      </c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527"/>
      <c r="N1" s="527"/>
      <c r="O1" s="527"/>
      <c r="P1" s="527"/>
      <c r="Q1" s="527"/>
    </row>
    <row r="2" spans="1:22">
      <c r="A2" s="82" t="s">
        <v>1</v>
      </c>
      <c r="B2" s="470" t="s">
        <v>2</v>
      </c>
      <c r="C2" s="470" t="s">
        <v>3</v>
      </c>
      <c r="D2" s="470" t="s">
        <v>4</v>
      </c>
      <c r="E2" s="470" t="s">
        <v>5</v>
      </c>
      <c r="F2" s="470" t="s">
        <v>6</v>
      </c>
      <c r="G2" s="470" t="s">
        <v>7</v>
      </c>
      <c r="H2" s="470" t="s">
        <v>8</v>
      </c>
      <c r="I2" s="470" t="s">
        <v>9</v>
      </c>
      <c r="J2" s="470" t="s">
        <v>10</v>
      </c>
      <c r="K2" s="470" t="s">
        <v>11</v>
      </c>
      <c r="L2" s="470" t="s">
        <v>12</v>
      </c>
      <c r="M2" s="470" t="s">
        <v>13</v>
      </c>
      <c r="N2" s="470" t="s">
        <v>14</v>
      </c>
      <c r="O2" s="470" t="s">
        <v>15</v>
      </c>
      <c r="P2" s="470" t="s">
        <v>16</v>
      </c>
      <c r="Q2" s="471" t="s">
        <v>17</v>
      </c>
    </row>
    <row r="3" spans="1:22">
      <c r="A3" s="83">
        <v>46097</v>
      </c>
      <c r="B3" s="36">
        <f>_xlfn.XLOOKUP(A3,'steel Mint data'!A:A,'steel Mint data'!B:B,"",0)</f>
        <v>50300</v>
      </c>
      <c r="C3" s="36"/>
      <c r="D3" s="36"/>
      <c r="E3" s="36">
        <f>_xlfn.XLOOKUP(A3,'steel Mint data'!A:A,'steel Mint data'!D:D,"",0)</f>
        <v>50750</v>
      </c>
      <c r="F3" s="36">
        <f>_xlfn.XLOOKUP(A3,'steel Mint data'!A:A,'steel Mint data'!E:E,"",0)</f>
        <v>46900</v>
      </c>
      <c r="G3" s="36"/>
      <c r="H3" s="36"/>
      <c r="I3" s="36">
        <f>_xlfn.XLOOKUP(A3,'steel Mint data'!A:A,'steel Mint data'!I:I,"",0)</f>
        <v>49500</v>
      </c>
      <c r="J3" s="36"/>
      <c r="K3" s="36">
        <f>_xlfn.XLOOKUP(A3,'steel Mint data'!A:A,'steel Mint data'!L:L,"",0)</f>
        <v>49400</v>
      </c>
      <c r="L3" s="36"/>
      <c r="M3" s="36"/>
      <c r="N3" s="36"/>
      <c r="O3" s="36"/>
      <c r="P3" s="37">
        <f>_xlfn.XLOOKUP(A3,'steel Mint data'!A:A,'steel Mint data'!Q:Q,"",0)</f>
        <v>46200</v>
      </c>
      <c r="Q3" s="36">
        <f>_xlfn.XLOOKUP(A3,'steel Mint data'!A:A,'steel Mint data'!R:R,"",0)</f>
        <v>46000</v>
      </c>
    </row>
    <row r="4" spans="1:22">
      <c r="A4" s="83">
        <v>46098</v>
      </c>
      <c r="B4" s="36">
        <f>_xlfn.XLOOKUP(A4,'steel Mint data'!A:A,'steel Mint data'!B:B,"",0)</f>
        <v>50400</v>
      </c>
      <c r="C4" s="36"/>
      <c r="D4" s="36"/>
      <c r="E4" s="36">
        <f>_xlfn.XLOOKUP(A4,'steel Mint data'!A:A,'steel Mint data'!D:D,"",0)</f>
        <v>50900</v>
      </c>
      <c r="F4" s="36">
        <f>_xlfn.XLOOKUP(A4,'steel Mint data'!A:A,'steel Mint data'!E:E,"",0)</f>
        <v>46700</v>
      </c>
      <c r="G4" s="36"/>
      <c r="H4" s="36"/>
      <c r="I4" s="36">
        <f>_xlfn.XLOOKUP(A4,'steel Mint data'!A:A,'steel Mint data'!I:I,"",0)</f>
        <v>49500</v>
      </c>
      <c r="J4" s="36"/>
      <c r="K4" s="36">
        <f>_xlfn.XLOOKUP(A4,'steel Mint data'!A:A,'steel Mint data'!L:L,"",0)</f>
        <v>49800</v>
      </c>
      <c r="L4" s="36"/>
      <c r="M4" s="36"/>
      <c r="N4" s="36"/>
      <c r="O4" s="36"/>
      <c r="P4" s="37">
        <f>_xlfn.XLOOKUP(A4,'steel Mint data'!A:A,'steel Mint data'!Q:Q,"",0)</f>
        <v>46200</v>
      </c>
      <c r="Q4" s="36">
        <f>_xlfn.XLOOKUP(A4,'steel Mint data'!A:A,'steel Mint data'!R:R,"",0)</f>
        <v>46000</v>
      </c>
    </row>
    <row r="5" spans="1:22">
      <c r="A5" s="83">
        <v>46099</v>
      </c>
      <c r="B5" s="36">
        <f>_xlfn.XLOOKUP(A5,'steel Mint data'!A:A,'steel Mint data'!B:B,"",0)</f>
        <v>50300</v>
      </c>
      <c r="C5" s="36"/>
      <c r="D5" s="36"/>
      <c r="E5" s="36">
        <f>_xlfn.XLOOKUP(A5,'steel Mint data'!A:A,'steel Mint data'!D:D,"",0)</f>
        <v>50600</v>
      </c>
      <c r="F5" s="36">
        <f>_xlfn.XLOOKUP(A5,'steel Mint data'!A:A,'steel Mint data'!E:E,"",0)</f>
        <v>46300</v>
      </c>
      <c r="G5" s="36"/>
      <c r="H5" s="36"/>
      <c r="I5" s="36">
        <f>_xlfn.XLOOKUP(A5,'steel Mint data'!A:A,'steel Mint data'!I:I,"",0)</f>
        <v>49500</v>
      </c>
      <c r="J5" s="36"/>
      <c r="K5" s="36">
        <f>_xlfn.XLOOKUP(A5,'steel Mint data'!A:A,'steel Mint data'!L:L,"",0)</f>
        <v>49600</v>
      </c>
      <c r="L5" s="36"/>
      <c r="M5" s="36"/>
      <c r="N5" s="36"/>
      <c r="O5" s="36"/>
      <c r="P5" s="37">
        <f>_xlfn.XLOOKUP(A5,'steel Mint data'!A:A,'steel Mint data'!Q:Q,"",0)</f>
        <v>46100</v>
      </c>
      <c r="Q5" s="36">
        <f>_xlfn.XLOOKUP(A5,'steel Mint data'!A:A,'steel Mint data'!R:R,"",0)</f>
        <v>46000</v>
      </c>
      <c r="T5" s="27"/>
      <c r="U5" s="27"/>
      <c r="V5" s="27"/>
    </row>
    <row r="6" spans="1:22">
      <c r="A6" s="83">
        <v>46100</v>
      </c>
      <c r="B6" s="36">
        <f>_xlfn.XLOOKUP(A6,'steel Mint data'!A:A,'steel Mint data'!B:B,"",0)</f>
        <v>50100</v>
      </c>
      <c r="C6" s="36"/>
      <c r="D6" s="36"/>
      <c r="E6" s="36">
        <f>_xlfn.XLOOKUP(A6,'steel Mint data'!A:A,'steel Mint data'!D:D,"",0)</f>
        <v>50600</v>
      </c>
      <c r="F6" s="36">
        <f>_xlfn.XLOOKUP(A6,'steel Mint data'!A:A,'steel Mint data'!E:E,"",0)</f>
        <v>46200</v>
      </c>
      <c r="G6" s="36"/>
      <c r="H6" s="36"/>
      <c r="I6" s="36">
        <f>_xlfn.XLOOKUP(A6,'steel Mint data'!A:A,'steel Mint data'!I:I,"",0)</f>
        <v>49100</v>
      </c>
      <c r="J6" s="36"/>
      <c r="K6" s="36">
        <f>_xlfn.XLOOKUP(A6,'steel Mint data'!A:A,'steel Mint data'!L:L,"",0)</f>
        <v>49500</v>
      </c>
      <c r="L6" s="36"/>
      <c r="M6" s="36"/>
      <c r="N6" s="36"/>
      <c r="O6" s="36"/>
      <c r="P6" s="37">
        <f>_xlfn.XLOOKUP(A6,'steel Mint data'!A:A,'steel Mint data'!Q:Q,"",0)</f>
        <v>46000</v>
      </c>
      <c r="Q6" s="36">
        <f>_xlfn.XLOOKUP(A6,'steel Mint data'!A:A,'steel Mint data'!R:R,"",0)</f>
        <v>45700</v>
      </c>
      <c r="T6" s="27"/>
      <c r="U6" s="27"/>
      <c r="V6" s="27"/>
    </row>
    <row r="7" spans="1:22">
      <c r="A7" s="83">
        <v>46101</v>
      </c>
      <c r="B7" s="36">
        <f>_xlfn.XLOOKUP(A7,'steel Mint data'!A:A,'steel Mint data'!B:B,"",0)</f>
        <v>50200</v>
      </c>
      <c r="C7" s="36"/>
      <c r="D7" s="36"/>
      <c r="E7" s="36">
        <f>_xlfn.XLOOKUP(A7,'steel Mint data'!A:A,'steel Mint data'!D:D,"",0)</f>
        <v>50600</v>
      </c>
      <c r="F7" s="36">
        <f>_xlfn.XLOOKUP(A7,'steel Mint data'!A:A,'steel Mint data'!E:E,"",0)</f>
        <v>46200</v>
      </c>
      <c r="G7" s="36"/>
      <c r="H7" s="36"/>
      <c r="I7" s="36">
        <f>_xlfn.XLOOKUP(A7,'steel Mint data'!A:A,'steel Mint data'!I:I,"",0)</f>
        <v>49100</v>
      </c>
      <c r="J7" s="36"/>
      <c r="K7" s="36">
        <f>_xlfn.XLOOKUP(A7,'steel Mint data'!A:A,'steel Mint data'!L:L,"",0)</f>
        <v>49600</v>
      </c>
      <c r="L7" s="36"/>
      <c r="M7" s="36"/>
      <c r="N7" s="36"/>
      <c r="O7" s="36"/>
      <c r="P7" s="37">
        <f>_xlfn.XLOOKUP(A7,'steel Mint data'!A:A,'steel Mint data'!Q:Q,"",0)</f>
        <v>46200</v>
      </c>
      <c r="Q7" s="36">
        <f>_xlfn.XLOOKUP(A7,'steel Mint data'!A:A,'steel Mint data'!R:R,"",0)</f>
        <v>45700</v>
      </c>
      <c r="R7" s="455"/>
      <c r="T7" s="27"/>
      <c r="U7" s="27"/>
      <c r="V7" s="27"/>
    </row>
    <row r="8" spans="1:22">
      <c r="A8" s="83">
        <v>46102</v>
      </c>
      <c r="B8" s="36" t="str">
        <f>_xlfn.XLOOKUP(A8,'steel Mint data'!A:A,'steel Mint data'!B:B,"",0)</f>
        <v>H</v>
      </c>
      <c r="C8" s="36"/>
      <c r="D8" s="36"/>
      <c r="E8" s="36" t="str">
        <f>_xlfn.XLOOKUP(A8,'steel Mint data'!A:A,'steel Mint data'!D:D,"",0)</f>
        <v>H</v>
      </c>
      <c r="F8" s="36" t="str">
        <f>_xlfn.XLOOKUP(A8,'steel Mint data'!A:A,'steel Mint data'!E:E,"",0)</f>
        <v>H</v>
      </c>
      <c r="G8" s="36"/>
      <c r="H8" s="36"/>
      <c r="I8" s="36" t="str">
        <f>_xlfn.XLOOKUP(A8,'steel Mint data'!A:A,'steel Mint data'!I:I,"",0)</f>
        <v>H</v>
      </c>
      <c r="J8" s="36"/>
      <c r="K8" s="36" t="str">
        <f>_xlfn.XLOOKUP(A8,'steel Mint data'!A:A,'steel Mint data'!L:L,"",0)</f>
        <v>H</v>
      </c>
      <c r="L8" s="36"/>
      <c r="M8" s="36"/>
      <c r="N8" s="36"/>
      <c r="O8" s="36"/>
      <c r="P8" s="37" t="str">
        <f>_xlfn.XLOOKUP(A8,'steel Mint data'!A:A,'steel Mint data'!Q:Q,"",0)</f>
        <v>H</v>
      </c>
      <c r="Q8" s="36" t="str">
        <f>_xlfn.XLOOKUP(A8,'steel Mint data'!A:A,'steel Mint data'!R:R,"",0)</f>
        <v>H</v>
      </c>
      <c r="T8" s="27"/>
      <c r="U8" s="27"/>
      <c r="V8" s="27"/>
    </row>
    <row r="9" spans="1:22">
      <c r="A9" s="83">
        <v>46103</v>
      </c>
      <c r="B9" s="36" t="str">
        <f>_xlfn.XLOOKUP(A9,'steel Mint data'!A:A,'steel Mint data'!B:B,"",0)</f>
        <v>H</v>
      </c>
      <c r="C9" s="36"/>
      <c r="D9" s="36"/>
      <c r="E9" s="36" t="str">
        <f>_xlfn.XLOOKUP(A9,'steel Mint data'!A:A,'steel Mint data'!D:D,"",0)</f>
        <v>H</v>
      </c>
      <c r="F9" s="36" t="str">
        <f>_xlfn.XLOOKUP(A9,'steel Mint data'!A:A,'steel Mint data'!E:E,"",0)</f>
        <v>H</v>
      </c>
      <c r="G9" s="36"/>
      <c r="H9" s="36"/>
      <c r="I9" s="36" t="str">
        <f>_xlfn.XLOOKUP(A9,'steel Mint data'!A:A,'steel Mint data'!I:I,"",0)</f>
        <v>H</v>
      </c>
      <c r="J9" s="36"/>
      <c r="K9" s="36" t="str">
        <f>_xlfn.XLOOKUP(A9,'steel Mint data'!A:A,'steel Mint data'!L:L,"",0)</f>
        <v>H</v>
      </c>
      <c r="L9" s="36"/>
      <c r="M9" s="36"/>
      <c r="N9" s="36"/>
      <c r="O9" s="36"/>
      <c r="P9" s="37" t="str">
        <f>_xlfn.XLOOKUP(A9,'steel Mint data'!A:A,'steel Mint data'!Q:Q,"",0)</f>
        <v>H</v>
      </c>
      <c r="Q9" s="36" t="str">
        <f>_xlfn.XLOOKUP(A9,'steel Mint data'!A:A,'steel Mint data'!R:R,"",0)</f>
        <v>H</v>
      </c>
      <c r="T9" s="27"/>
      <c r="U9" s="27"/>
      <c r="V9" s="27"/>
    </row>
    <row r="10" spans="1:22">
      <c r="A10" s="83">
        <v>46104</v>
      </c>
      <c r="B10" s="36">
        <f>_xlfn.XLOOKUP(A10,'steel Mint data'!A:A,'steel Mint data'!B:B,"",0)</f>
        <v>50200</v>
      </c>
      <c r="C10" s="36"/>
      <c r="D10" s="36"/>
      <c r="E10" s="36">
        <f>_xlfn.XLOOKUP(A10,'steel Mint data'!A:A,'steel Mint data'!D:D,"",0)</f>
        <v>50500</v>
      </c>
      <c r="F10" s="36">
        <f>_xlfn.XLOOKUP(A10,'steel Mint data'!A:A,'steel Mint data'!E:E,"",0)</f>
        <v>46200</v>
      </c>
      <c r="G10" s="36"/>
      <c r="H10" s="36"/>
      <c r="I10" s="36">
        <f>_xlfn.XLOOKUP(A10,'steel Mint data'!A:A,'steel Mint data'!I:I,"",0)</f>
        <v>49000</v>
      </c>
      <c r="J10" s="36"/>
      <c r="K10" s="36">
        <f>_xlfn.XLOOKUP(A10,'steel Mint data'!A:A,'steel Mint data'!L:L,"",0)</f>
        <v>49800</v>
      </c>
      <c r="L10" s="36"/>
      <c r="M10" s="36"/>
      <c r="N10" s="36"/>
      <c r="O10" s="36"/>
      <c r="P10" s="37">
        <f>_xlfn.XLOOKUP(A10,'steel Mint data'!A:A,'steel Mint data'!Q:Q,"",0)</f>
        <v>46000</v>
      </c>
      <c r="Q10" s="36">
        <f>_xlfn.XLOOKUP(A10,'steel Mint data'!A:A,'steel Mint data'!R:R,"",0)</f>
        <v>45700</v>
      </c>
    </row>
    <row r="11" spans="1:22">
      <c r="A11" s="83">
        <v>46105</v>
      </c>
      <c r="B11" s="36">
        <f>_xlfn.XLOOKUP(A11,'steel Mint data'!A:A,'steel Mint data'!B:B,"",0)</f>
        <v>50200</v>
      </c>
      <c r="C11" s="36"/>
      <c r="D11" s="36"/>
      <c r="E11" s="36">
        <f>_xlfn.XLOOKUP(A11,'steel Mint data'!A:A,'steel Mint data'!D:D,"",0)</f>
        <v>50250</v>
      </c>
      <c r="F11" s="36">
        <f>_xlfn.XLOOKUP(A11,'steel Mint data'!A:A,'steel Mint data'!E:E,"",0)</f>
        <v>46100</v>
      </c>
      <c r="G11" s="36"/>
      <c r="H11" s="36"/>
      <c r="I11" s="36">
        <f>_xlfn.XLOOKUP(A11,'steel Mint data'!A:A,'steel Mint data'!I:I,"",0)</f>
        <v>48800</v>
      </c>
      <c r="J11" s="36"/>
      <c r="K11" s="36">
        <f>_xlfn.XLOOKUP(A11,'steel Mint data'!A:A,'steel Mint data'!L:L,"",0)</f>
        <v>49600</v>
      </c>
      <c r="L11" s="36"/>
      <c r="M11" s="36"/>
      <c r="N11" s="36"/>
      <c r="O11" s="36"/>
      <c r="P11" s="37">
        <f>_xlfn.XLOOKUP(A11,'steel Mint data'!A:A,'steel Mint data'!Q:Q,"",0)</f>
        <v>45700</v>
      </c>
      <c r="Q11" s="36">
        <f>_xlfn.XLOOKUP(A11,'steel Mint data'!A:A,'steel Mint data'!R:R,"",0)</f>
        <v>45500</v>
      </c>
      <c r="R11" s="456"/>
    </row>
    <row r="12" spans="1:22">
      <c r="A12" s="83">
        <v>46106</v>
      </c>
      <c r="B12" s="36">
        <f>_xlfn.XLOOKUP(A12,'steel Mint data'!A:A,'steel Mint data'!B:B,"",0)</f>
        <v>50100</v>
      </c>
      <c r="C12" s="36"/>
      <c r="D12" s="36"/>
      <c r="E12" s="36">
        <f>_xlfn.XLOOKUP(A12,'steel Mint data'!A:A,'steel Mint data'!D:D,"",0)</f>
        <v>49500</v>
      </c>
      <c r="F12" s="36">
        <f>_xlfn.XLOOKUP(A12,'steel Mint data'!A:A,'steel Mint data'!E:E,"",0)</f>
        <v>45700</v>
      </c>
      <c r="G12" s="36"/>
      <c r="H12" s="36"/>
      <c r="I12" s="36">
        <f>_xlfn.XLOOKUP(A12,'steel Mint data'!A:A,'steel Mint data'!I:I,"",0)</f>
        <v>48500</v>
      </c>
      <c r="J12" s="36"/>
      <c r="K12" s="36">
        <f>_xlfn.XLOOKUP(A12,'steel Mint data'!A:A,'steel Mint data'!L:L,"",0)</f>
        <v>49400</v>
      </c>
      <c r="L12" s="36"/>
      <c r="M12" s="36"/>
      <c r="N12" s="36"/>
      <c r="O12" s="36"/>
      <c r="P12" s="37">
        <f>_xlfn.XLOOKUP(A12,'steel Mint data'!A:A,'steel Mint data'!Q:Q,"",0)</f>
        <v>45200</v>
      </c>
      <c r="Q12" s="36">
        <f>_xlfn.XLOOKUP(A12,'steel Mint data'!A:A,'steel Mint data'!R:R,"",0)</f>
        <v>45500</v>
      </c>
      <c r="V12" s="472">
        <f ca="1">TODAY()-15</f>
        <v>46109</v>
      </c>
    </row>
    <row r="13" spans="1:22">
      <c r="A13" s="83">
        <v>46107</v>
      </c>
      <c r="B13" s="36">
        <f>_xlfn.XLOOKUP(A13,'steel Mint data'!A:A,'steel Mint data'!B:B,"",0)</f>
        <v>50200</v>
      </c>
      <c r="C13" s="36"/>
      <c r="D13" s="36"/>
      <c r="E13" s="36">
        <f>_xlfn.XLOOKUP(A13,'steel Mint data'!A:A,'steel Mint data'!D:D,"",0)</f>
        <v>49700</v>
      </c>
      <c r="F13" s="36">
        <f>_xlfn.XLOOKUP(A13,'steel Mint data'!A:A,'steel Mint data'!E:E,"",0)</f>
        <v>45500</v>
      </c>
      <c r="G13" s="36"/>
      <c r="H13" s="36"/>
      <c r="I13" s="36">
        <f>_xlfn.XLOOKUP(A13,'steel Mint data'!A:A,'steel Mint data'!I:I,"",0)</f>
        <v>48500</v>
      </c>
      <c r="J13" s="36"/>
      <c r="K13" s="36">
        <f>_xlfn.XLOOKUP(A13,'steel Mint data'!A:A,'steel Mint data'!L:L,"",0)</f>
        <v>49300</v>
      </c>
      <c r="L13" s="36"/>
      <c r="M13" s="36"/>
      <c r="N13" s="36"/>
      <c r="O13" s="36"/>
      <c r="P13" s="37">
        <f>_xlfn.XLOOKUP(A13,'steel Mint data'!A:A,'steel Mint data'!Q:Q,"",0)</f>
        <v>45300</v>
      </c>
      <c r="Q13" s="36">
        <f>_xlfn.XLOOKUP(A13,'steel Mint data'!A:A,'steel Mint data'!R:R,"",0)</f>
        <v>45500</v>
      </c>
      <c r="S13" s="33"/>
    </row>
    <row r="14" spans="1:22">
      <c r="A14" s="83">
        <v>46108</v>
      </c>
      <c r="B14" s="36">
        <f>_xlfn.XLOOKUP(A14,'steel Mint data'!A:A,'steel Mint data'!B:B,"",0)</f>
        <v>51000</v>
      </c>
      <c r="C14" s="36"/>
      <c r="D14" s="36"/>
      <c r="E14" s="36">
        <f>_xlfn.XLOOKUP(A14,'steel Mint data'!A:A,'steel Mint data'!D:D,"",0)</f>
        <v>50300</v>
      </c>
      <c r="F14" s="36">
        <f>_xlfn.XLOOKUP(A14,'steel Mint data'!A:A,'steel Mint data'!E:E,"",0)</f>
        <v>45700</v>
      </c>
      <c r="G14" s="36"/>
      <c r="H14" s="36"/>
      <c r="I14" s="36">
        <f>_xlfn.XLOOKUP(A14,'steel Mint data'!A:A,'steel Mint data'!I:I,"",0)</f>
        <v>48500</v>
      </c>
      <c r="J14" s="36"/>
      <c r="K14" s="36">
        <f>_xlfn.XLOOKUP(A14,'steel Mint data'!A:A,'steel Mint data'!L:L,"",0)</f>
        <v>49500</v>
      </c>
      <c r="L14" s="36"/>
      <c r="M14" s="36"/>
      <c r="N14" s="36"/>
      <c r="O14" s="36"/>
      <c r="P14" s="37">
        <f>_xlfn.XLOOKUP(A14,'steel Mint data'!A:A,'steel Mint data'!Q:Q,"",0)</f>
        <v>45600</v>
      </c>
      <c r="Q14" s="36">
        <f>_xlfn.XLOOKUP(A14,'steel Mint data'!A:A,'steel Mint data'!R:R,"",0)</f>
        <v>45500</v>
      </c>
      <c r="S14" s="33"/>
      <c r="T14" s="33"/>
    </row>
    <row r="15" spans="1:22">
      <c r="A15" s="83">
        <v>46109</v>
      </c>
      <c r="B15" s="36">
        <f>_xlfn.XLOOKUP(A15,'steel Mint data'!A:A,'steel Mint data'!B:B,"",0)</f>
        <v>51300</v>
      </c>
      <c r="C15" s="36"/>
      <c r="D15" s="36"/>
      <c r="E15" s="36">
        <f>_xlfn.XLOOKUP(A15,'steel Mint data'!A:A,'steel Mint data'!D:D,"",0)</f>
        <v>50300</v>
      </c>
      <c r="F15" s="36">
        <f>_xlfn.XLOOKUP(A15,'steel Mint data'!A:A,'steel Mint data'!E:E,"",0)</f>
        <v>45800</v>
      </c>
      <c r="G15" s="36"/>
      <c r="H15" s="36"/>
      <c r="I15" s="36">
        <f>_xlfn.XLOOKUP(A15,'steel Mint data'!A:A,'steel Mint data'!I:I,"",0)</f>
        <v>48900</v>
      </c>
      <c r="J15" s="36"/>
      <c r="K15" s="36">
        <f>_xlfn.XLOOKUP(A15,'steel Mint data'!A:A,'steel Mint data'!L:L,"",0)</f>
        <v>49600</v>
      </c>
      <c r="L15" s="36"/>
      <c r="M15" s="36"/>
      <c r="N15" s="36"/>
      <c r="O15" s="36"/>
      <c r="P15" s="37">
        <f>_xlfn.XLOOKUP(A15,'steel Mint data'!A:A,'steel Mint data'!Q:Q,"",0)</f>
        <v>45500</v>
      </c>
      <c r="Q15" s="36">
        <f>_xlfn.XLOOKUP(A15,'steel Mint data'!A:A,'steel Mint data'!R:R,"",0)</f>
        <v>45500</v>
      </c>
      <c r="R15" s="175"/>
      <c r="S15" s="33"/>
      <c r="T15" s="33"/>
    </row>
    <row r="16" spans="1:22">
      <c r="A16" s="83">
        <v>46110</v>
      </c>
      <c r="B16" s="36" t="str">
        <f>_xlfn.XLOOKUP(A16,'steel Mint data'!A:A,'steel Mint data'!B:B,"",0)</f>
        <v>H</v>
      </c>
      <c r="C16" s="36"/>
      <c r="D16" s="36"/>
      <c r="E16" s="36" t="str">
        <f>_xlfn.XLOOKUP(A16,'steel Mint data'!A:A,'steel Mint data'!D:D,"",0)</f>
        <v>H</v>
      </c>
      <c r="F16" s="36" t="str">
        <f>_xlfn.XLOOKUP(A16,'steel Mint data'!A:A,'steel Mint data'!E:E,"",0)</f>
        <v>H</v>
      </c>
      <c r="G16" s="36"/>
      <c r="H16" s="36"/>
      <c r="I16" s="36" t="str">
        <f>_xlfn.XLOOKUP(A16,'steel Mint data'!A:A,'steel Mint data'!I:I,"",0)</f>
        <v>H</v>
      </c>
      <c r="J16" s="36"/>
      <c r="K16" s="36" t="str">
        <f>_xlfn.XLOOKUP(A16,'steel Mint data'!A:A,'steel Mint data'!L:L,"",0)</f>
        <v>H</v>
      </c>
      <c r="L16" s="36"/>
      <c r="M16" s="36"/>
      <c r="N16" s="36"/>
      <c r="O16" s="36"/>
      <c r="P16" s="37" t="str">
        <f>_xlfn.XLOOKUP(A16,'steel Mint data'!A:A,'steel Mint data'!Q:Q,"",0)</f>
        <v>H</v>
      </c>
      <c r="Q16" s="36" t="str">
        <f>_xlfn.XLOOKUP(A16,'steel Mint data'!A:A,'steel Mint data'!R:R,"",0)</f>
        <v>H</v>
      </c>
      <c r="S16" s="33"/>
      <c r="T16" s="33"/>
    </row>
    <row r="17" spans="1:20">
      <c r="A17" s="83">
        <v>46111</v>
      </c>
      <c r="B17" s="36">
        <f>_xlfn.XLOOKUP(A17,'steel Mint data'!A:A,'steel Mint data'!B:B,"",0)</f>
        <v>52500</v>
      </c>
      <c r="C17" s="36"/>
      <c r="D17" s="36"/>
      <c r="E17" s="36">
        <f>_xlfn.XLOOKUP(A17,'steel Mint data'!A:A,'steel Mint data'!D:D,"",0)</f>
        <v>52400</v>
      </c>
      <c r="F17" s="36">
        <f>_xlfn.XLOOKUP(A17,'steel Mint data'!A:A,'steel Mint data'!E:E,"",0)</f>
        <v>47000</v>
      </c>
      <c r="G17" s="36"/>
      <c r="H17" s="36"/>
      <c r="I17" s="36">
        <f>_xlfn.XLOOKUP(A17,'steel Mint data'!A:A,'steel Mint data'!I:I,"",0)</f>
        <v>49400</v>
      </c>
      <c r="J17" s="36"/>
      <c r="K17" s="36">
        <f>_xlfn.XLOOKUP(A17,'steel Mint data'!A:A,'steel Mint data'!L:L,"",0)</f>
        <v>50600</v>
      </c>
      <c r="L17" s="36"/>
      <c r="M17" s="36"/>
      <c r="N17" s="36"/>
      <c r="O17" s="36"/>
      <c r="P17" s="37">
        <f>_xlfn.XLOOKUP(A17,'steel Mint data'!A:A,'steel Mint data'!Q:Q,"",0)</f>
        <v>48000</v>
      </c>
      <c r="Q17" s="36">
        <f>_xlfn.XLOOKUP(A17,'steel Mint data'!A:A,'steel Mint data'!R:R,"",0)</f>
        <v>47500</v>
      </c>
      <c r="S17" s="33"/>
    </row>
    <row r="18" spans="1:20">
      <c r="A18" s="83">
        <v>46112</v>
      </c>
      <c r="B18" s="36">
        <f>_xlfn.XLOOKUP(A18,'steel Mint data'!A:A,'steel Mint data'!B:B,"",0)</f>
        <v>52900</v>
      </c>
      <c r="C18" s="36"/>
      <c r="D18" s="36"/>
      <c r="E18" s="36">
        <f>_xlfn.XLOOKUP(A18,'steel Mint data'!A:A,'steel Mint data'!D:D,"",0)</f>
        <v>52400</v>
      </c>
      <c r="F18" s="36">
        <f>_xlfn.XLOOKUP(A18,'steel Mint data'!A:A,'steel Mint data'!E:E,"",0)</f>
        <v>46900</v>
      </c>
      <c r="G18" s="36"/>
      <c r="H18" s="36"/>
      <c r="I18" s="36">
        <f>_xlfn.XLOOKUP(A18,'steel Mint data'!A:A,'steel Mint data'!I:I,"",0)</f>
        <v>50100</v>
      </c>
      <c r="J18" s="36"/>
      <c r="K18" s="36">
        <f>_xlfn.XLOOKUP(A18,'steel Mint data'!A:A,'steel Mint data'!L:L,"",0)</f>
        <v>50900</v>
      </c>
      <c r="L18" s="36"/>
      <c r="M18" s="36"/>
      <c r="N18" s="36"/>
      <c r="O18" s="36"/>
      <c r="P18" s="37">
        <f>_xlfn.XLOOKUP(A18,'steel Mint data'!A:A,'steel Mint data'!Q:Q,"",0)</f>
        <v>47500</v>
      </c>
      <c r="Q18" s="36">
        <f>_xlfn.XLOOKUP(A18,'steel Mint data'!A:A,'steel Mint data'!R:R,"",0)</f>
        <v>47500</v>
      </c>
      <c r="S18" s="33"/>
      <c r="T18" s="33"/>
    </row>
    <row r="19" spans="1:20">
      <c r="A19" s="83"/>
      <c r="B19" s="15">
        <f>SUM(B3:B18)</f>
        <v>659700</v>
      </c>
      <c r="C19" s="14"/>
      <c r="D19" s="14"/>
      <c r="E19" s="15">
        <f>SUM(E3:E18)</f>
        <v>658800</v>
      </c>
      <c r="F19" s="15">
        <f>SUM(F3:F18)</f>
        <v>601200</v>
      </c>
      <c r="G19" s="14"/>
      <c r="H19" s="14"/>
      <c r="I19" s="15">
        <f>SUM(I3:I18)</f>
        <v>638400</v>
      </c>
      <c r="J19" s="14"/>
      <c r="K19" s="15">
        <f>SUM(K3:K18)</f>
        <v>646600</v>
      </c>
      <c r="L19" s="14"/>
      <c r="M19" s="14"/>
      <c r="N19" s="14"/>
      <c r="O19" s="14"/>
      <c r="P19" s="15">
        <f>SUM(P3:P18)</f>
        <v>599500</v>
      </c>
      <c r="Q19" s="15">
        <f>SUM(Q3:Q18)</f>
        <v>597600</v>
      </c>
      <c r="S19" s="33"/>
      <c r="T19" s="33"/>
    </row>
    <row r="20" spans="1:20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23</v>
      </c>
      <c r="H20" s="16" t="s">
        <v>39</v>
      </c>
      <c r="I20" s="16" t="s">
        <v>46</v>
      </c>
      <c r="J20" s="16" t="s">
        <v>126</v>
      </c>
      <c r="K20" s="282" t="s">
        <v>23</v>
      </c>
      <c r="L20" s="282" t="s">
        <v>147</v>
      </c>
      <c r="M20" s="19"/>
      <c r="N20" s="19"/>
      <c r="O20" s="14"/>
      <c r="P20" s="21"/>
      <c r="Q20" s="14"/>
      <c r="R20" s="407">
        <f>E14-800+3900+3000</f>
        <v>56400</v>
      </c>
      <c r="S20" s="33"/>
      <c r="T20" s="33"/>
    </row>
    <row r="21" spans="1:20" ht="29.25">
      <c r="A21" s="462" t="s">
        <v>165</v>
      </c>
      <c r="B21" s="458">
        <f>AVERAGEIFS('steel Mint data'!D:D, 'steel Mint data'!A:A, "&gt;="&amp;N34-15, 'steel Mint data'!A:A, "&lt;="&amp;N34)</f>
        <v>51466.666666666664</v>
      </c>
      <c r="C21" s="458">
        <f>AVERAGEIFS('steel Mint data'!Q:Q, 'steel Mint data'!A:A, "&gt;="&amp;N34-15, 'steel Mint data'!A:A, "&lt;="&amp;N34)</f>
        <v>46808.333333333336</v>
      </c>
      <c r="D21" s="458">
        <f ca="1">AVERAGEIFS('steel Mint data'!L:L, 'steel Mint data'!A:A, "&gt;="&amp;TODAY()-15, 'steel Mint data'!A:A, "&lt;="&amp;TODAY())</f>
        <v>51991.666666666664</v>
      </c>
      <c r="E21" s="458">
        <f>AVERAGEIFS('steel Mint data'!R:R, 'steel Mint data'!A:A, "&gt;="&amp;N34-15, 'steel Mint data'!A:A, "&lt;="&amp;N34)</f>
        <v>46583.333333333336</v>
      </c>
      <c r="F21" s="458">
        <f>AVERAGEIFS('steel Mint data'!Q:Q, 'steel Mint data'!A:A, "&gt;="&amp;N34-15, 'steel Mint data'!A:A, "&lt;="&amp;N34)</f>
        <v>46808.333333333336</v>
      </c>
      <c r="G21" s="458">
        <f>B21-800</f>
        <v>50666.666666666664</v>
      </c>
      <c r="H21" s="458">
        <f ca="1">AVERAGEIFS('steel Mint data'!I:I, 'steel Mint data'!A:A, "&gt;="&amp;TODAY()-15, 'steel Mint data'!A:A, "&lt;="&amp;TODAY())</f>
        <v>51083.333333333336</v>
      </c>
      <c r="I21" s="458">
        <f ca="1">AVERAGEIFS('steel Mint data'!B:B, 'steel Mint data'!A:A, "&gt;="&amp;TODAY()-15, 'steel Mint data'!A:A, "&lt;="&amp;TODAY())</f>
        <v>53691.666666666664</v>
      </c>
      <c r="J21" s="458">
        <f>AVERAGEIFS('steel Mint data'!E:E, 'steel Mint data'!A:A, "&gt;="&amp;N34-15, 'steel Mint data'!A:A, "&lt;="&amp;N34)</f>
        <v>46508.333333333336</v>
      </c>
      <c r="K21" s="459">
        <f>B21-800</f>
        <v>50666.666666666664</v>
      </c>
      <c r="L21" s="459">
        <f ca="1">AVERAGEIFS('steel Mint data'!Q:Q, 'steel Mint data'!A:A, "&gt;="&amp;TODAY()-15, 'steel Mint data'!A:A, "&lt;="&amp;TODAY())</f>
        <v>47741.666666666664</v>
      </c>
      <c r="M21" s="19"/>
      <c r="N21" s="19"/>
      <c r="O21" s="14"/>
      <c r="P21" s="21"/>
      <c r="Q21" s="14"/>
      <c r="S21" s="33"/>
      <c r="T21" s="33"/>
    </row>
    <row r="22" spans="1:20">
      <c r="A22" s="17" t="s">
        <v>25</v>
      </c>
      <c r="B22" s="18">
        <f>E19/O22</f>
        <v>50676.923076923078</v>
      </c>
      <c r="C22" s="18">
        <f>P19/O22</f>
        <v>46115.384615384617</v>
      </c>
      <c r="D22" s="18">
        <f>K19/O22</f>
        <v>49738.461538461539</v>
      </c>
      <c r="E22" s="18">
        <f>Q19/O22</f>
        <v>45969.230769230766</v>
      </c>
      <c r="F22" s="18">
        <f>C22</f>
        <v>46115.384615384617</v>
      </c>
      <c r="G22" s="18">
        <f>B22-800</f>
        <v>49876.923076923078</v>
      </c>
      <c r="H22" s="18">
        <f>I19/O22</f>
        <v>49107.692307692305</v>
      </c>
      <c r="I22" s="18">
        <f>B19/(O22)</f>
        <v>50746.153846153844</v>
      </c>
      <c r="J22" s="18">
        <f>F19/O22</f>
        <v>46246.153846153844</v>
      </c>
      <c r="K22" s="283">
        <f>B22-800</f>
        <v>49876.923076923078</v>
      </c>
      <c r="L22" s="283">
        <f>P19/O22</f>
        <v>46115.384615384617</v>
      </c>
      <c r="M22" s="146"/>
      <c r="N22" s="19"/>
      <c r="O22" s="463">
        <f>COUNT(E3:E18)</f>
        <v>13</v>
      </c>
      <c r="P22" s="21"/>
      <c r="Q22" s="465"/>
      <c r="R22" s="174"/>
      <c r="S22" s="174"/>
      <c r="T22" s="33"/>
    </row>
    <row r="23" spans="1:20">
      <c r="A23" s="17" t="s">
        <v>26</v>
      </c>
      <c r="B23" s="18">
        <v>1200</v>
      </c>
      <c r="C23" s="18">
        <v>2150</v>
      </c>
      <c r="D23" s="18">
        <v>400</v>
      </c>
      <c r="E23" s="18">
        <v>2200</v>
      </c>
      <c r="F23" s="18">
        <v>1800</v>
      </c>
      <c r="G23" s="18">
        <v>1200</v>
      </c>
      <c r="H23" s="18">
        <v>800</v>
      </c>
      <c r="I23" s="18">
        <v>0</v>
      </c>
      <c r="J23" s="18">
        <v>2700</v>
      </c>
      <c r="K23" s="283">
        <v>3200</v>
      </c>
      <c r="L23" s="283">
        <v>4235</v>
      </c>
      <c r="M23" s="33"/>
      <c r="P23" s="175"/>
      <c r="Q23" s="27"/>
      <c r="S23" s="27"/>
    </row>
    <row r="24" spans="1:20">
      <c r="A24" s="17" t="s">
        <v>27</v>
      </c>
      <c r="B24" s="18">
        <v>200</v>
      </c>
      <c r="C24" s="18">
        <v>265</v>
      </c>
      <c r="D24" s="18">
        <v>250</v>
      </c>
      <c r="E24" s="18">
        <v>275</v>
      </c>
      <c r="F24" s="18">
        <v>275</v>
      </c>
      <c r="G24" s="18">
        <v>200</v>
      </c>
      <c r="H24" s="18">
        <v>270</v>
      </c>
      <c r="I24" s="18">
        <v>200</v>
      </c>
      <c r="J24" s="18">
        <v>270</v>
      </c>
      <c r="K24" s="283">
        <v>200</v>
      </c>
      <c r="L24" s="283">
        <v>265</v>
      </c>
      <c r="M24" s="33"/>
      <c r="N24" s="33"/>
      <c r="O24" s="33"/>
      <c r="P24" s="27"/>
      <c r="Q24" s="27"/>
      <c r="S24" s="27">
        <f>57550-3800</f>
        <v>53750</v>
      </c>
    </row>
    <row r="25" spans="1:20">
      <c r="A25" s="17" t="s">
        <v>166</v>
      </c>
      <c r="B25" s="18">
        <v>500</v>
      </c>
      <c r="C25" s="18">
        <f>B25</f>
        <v>500</v>
      </c>
      <c r="D25" s="18">
        <f>B25</f>
        <v>500</v>
      </c>
      <c r="E25" s="18">
        <f>B25</f>
        <v>500</v>
      </c>
      <c r="F25" s="18">
        <v>500</v>
      </c>
      <c r="G25" s="18">
        <f>B25</f>
        <v>500</v>
      </c>
      <c r="H25" s="18">
        <f>B25</f>
        <v>500</v>
      </c>
      <c r="I25" s="18">
        <f>B25</f>
        <v>500</v>
      </c>
      <c r="J25" s="18">
        <f>B25</f>
        <v>500</v>
      </c>
      <c r="K25" s="283">
        <f>B25</f>
        <v>500</v>
      </c>
      <c r="L25" s="283">
        <v>500</v>
      </c>
      <c r="N25" s="33"/>
      <c r="O25" s="33"/>
      <c r="P25" s="175"/>
      <c r="Q25" s="27"/>
      <c r="S25" s="27"/>
    </row>
    <row r="26" spans="1:20" ht="19.5" customHeight="1">
      <c r="A26" s="22" t="s">
        <v>28</v>
      </c>
      <c r="B26" s="461">
        <f>SUM(B22:B25)</f>
        <v>52576.923076923078</v>
      </c>
      <c r="C26" s="461">
        <f>SUM(C22:C25)</f>
        <v>49030.384615384617</v>
      </c>
      <c r="D26" s="461">
        <f>SUM(D22:D25)</f>
        <v>50888.461538461539</v>
      </c>
      <c r="E26" s="461">
        <f t="shared" ref="E26:N26" si="0">SUM(E22:E25)</f>
        <v>48944.230769230766</v>
      </c>
      <c r="F26" s="461">
        <f t="shared" si="0"/>
        <v>48690.384615384617</v>
      </c>
      <c r="G26" s="461">
        <f t="shared" si="0"/>
        <v>51776.923076923078</v>
      </c>
      <c r="H26" s="461">
        <f t="shared" si="0"/>
        <v>50677.692307692305</v>
      </c>
      <c r="I26" s="461">
        <f t="shared" si="0"/>
        <v>51446.153846153844</v>
      </c>
      <c r="J26" s="461">
        <f t="shared" si="0"/>
        <v>49716.153846153844</v>
      </c>
      <c r="K26" s="461">
        <f>SUM(K22:K25)</f>
        <v>53776.923076923078</v>
      </c>
      <c r="L26" s="461">
        <f>SUM(L22:L25)</f>
        <v>51115.384615384617</v>
      </c>
      <c r="M26" s="33"/>
      <c r="N26" s="33">
        <f>57250-1050-K27</f>
        <v>1633.3333333333358</v>
      </c>
      <c r="O26" s="33"/>
      <c r="P26" s="175"/>
      <c r="Q26" s="27"/>
      <c r="R26" s="175">
        <f>F26+3100+2500</f>
        <v>54290.384615384617</v>
      </c>
      <c r="S26" s="27"/>
    </row>
    <row r="27" spans="1:20" ht="26.25" customHeight="1">
      <c r="A27" s="457" t="s">
        <v>167</v>
      </c>
      <c r="B27" s="460">
        <f>B21+B23+B24+B25</f>
        <v>53366.666666666664</v>
      </c>
      <c r="C27" s="460">
        <f>C21+C23+C24+C25</f>
        <v>49723.333333333336</v>
      </c>
      <c r="D27" s="460">
        <f t="shared" ref="D27:M27" ca="1" si="1">D21+D23+D24+D25</f>
        <v>53141.666666666664</v>
      </c>
      <c r="E27" s="460">
        <f t="shared" si="1"/>
        <v>49558.333333333336</v>
      </c>
      <c r="F27" s="460">
        <f>F21+F23+F24+F25</f>
        <v>49383.333333333336</v>
      </c>
      <c r="G27" s="460">
        <f t="shared" si="1"/>
        <v>52566.666666666664</v>
      </c>
      <c r="H27" s="460">
        <f t="shared" ca="1" si="1"/>
        <v>52653.333333333336</v>
      </c>
      <c r="I27" s="460">
        <f t="shared" ca="1" si="1"/>
        <v>54391.666666666664</v>
      </c>
      <c r="J27" s="460">
        <f>J21+J23+J24+J25</f>
        <v>49978.333333333336</v>
      </c>
      <c r="K27" s="464">
        <f>K21+K23+K24+K25</f>
        <v>54566.666666666664</v>
      </c>
      <c r="L27" s="464">
        <f ca="1">L21+L23+L24+L25</f>
        <v>52741.666666666664</v>
      </c>
      <c r="M27" s="33"/>
      <c r="N27" s="33"/>
      <c r="O27" s="33">
        <f>55200-1300-F27</f>
        <v>4516.6666666666642</v>
      </c>
      <c r="P27" s="175"/>
      <c r="Q27" s="27"/>
      <c r="S27" s="27"/>
    </row>
    <row r="28" spans="1:20">
      <c r="A28" s="22" t="s">
        <v>29</v>
      </c>
      <c r="B28" s="18">
        <v>45100</v>
      </c>
      <c r="C28" s="18">
        <v>42315</v>
      </c>
      <c r="D28" s="18">
        <v>46150</v>
      </c>
      <c r="E28" s="23"/>
      <c r="F28" s="18">
        <v>41975</v>
      </c>
      <c r="G28" s="18">
        <v>44300</v>
      </c>
      <c r="H28" s="18"/>
      <c r="I28" s="18">
        <v>44300</v>
      </c>
      <c r="J28" s="18">
        <f>38000+2700+270</f>
        <v>40970</v>
      </c>
      <c r="K28" s="270"/>
      <c r="L28" s="298"/>
      <c r="M28" s="33"/>
      <c r="N28" s="33"/>
      <c r="O28" s="33"/>
      <c r="P28" s="175"/>
      <c r="Q28" s="27"/>
      <c r="S28" s="27"/>
    </row>
    <row r="29" spans="1:20">
      <c r="A29" s="22" t="s">
        <v>30</v>
      </c>
      <c r="B29" s="18">
        <f>B26-B28</f>
        <v>7476.923076923078</v>
      </c>
      <c r="C29" s="18">
        <f>C26-C28</f>
        <v>6715.3846153846171</v>
      </c>
      <c r="D29" s="18">
        <f>D26-D28</f>
        <v>4738.461538461539</v>
      </c>
      <c r="E29" s="18">
        <f>E26-E28</f>
        <v>48944.230769230766</v>
      </c>
      <c r="F29" s="18">
        <f>F26-F28</f>
        <v>6715.3846153846171</v>
      </c>
      <c r="G29" s="18">
        <f>G26-G28</f>
        <v>7476.923076923078</v>
      </c>
      <c r="H29" s="18">
        <f>H26-H28</f>
        <v>50677.692307692305</v>
      </c>
      <c r="I29" s="18">
        <f>I26-I28</f>
        <v>7146.1538461538439</v>
      </c>
      <c r="J29" s="18">
        <f>J26-J28</f>
        <v>8746.1538461538439</v>
      </c>
      <c r="K29" s="174"/>
      <c r="L29" s="19"/>
      <c r="M29" s="146"/>
      <c r="N29" s="33"/>
      <c r="O29" s="33"/>
      <c r="P29" s="175"/>
      <c r="Q29" s="27"/>
      <c r="S29" s="27"/>
    </row>
    <row r="30" spans="1:20">
      <c r="A30" s="14"/>
      <c r="B30" s="19"/>
      <c r="C30" s="14"/>
      <c r="D30" s="14"/>
      <c r="E30" s="14"/>
      <c r="F30" s="14"/>
      <c r="G30" s="19">
        <f>G28-2500</f>
        <v>41800</v>
      </c>
      <c r="H30" s="14"/>
      <c r="I30" s="14"/>
      <c r="J30" s="14"/>
      <c r="K30" s="174">
        <f ca="1">57750-3600-L27</f>
        <v>1408.3333333333358</v>
      </c>
      <c r="L30" s="19"/>
      <c r="M30" s="146">
        <f>56050-2350-F27</f>
        <v>4316.6666666666642</v>
      </c>
      <c r="N30" s="175"/>
      <c r="O30" s="488">
        <f>57750-1050-K27</f>
        <v>2133.3333333333358</v>
      </c>
      <c r="P30" s="490"/>
      <c r="Q30" s="27"/>
      <c r="S30" s="27"/>
    </row>
    <row r="31" spans="1:20">
      <c r="A31" s="22" t="s">
        <v>31</v>
      </c>
      <c r="B31" s="23">
        <v>48300</v>
      </c>
      <c r="C31" s="23">
        <v>45550</v>
      </c>
      <c r="D31" s="18">
        <v>48800</v>
      </c>
      <c r="E31" s="18">
        <v>45550</v>
      </c>
      <c r="F31" s="18">
        <v>45550</v>
      </c>
      <c r="G31" s="18">
        <v>47500</v>
      </c>
      <c r="H31" s="18">
        <v>47800</v>
      </c>
      <c r="I31" s="18">
        <v>48300</v>
      </c>
      <c r="J31" s="18"/>
      <c r="K31" s="174"/>
      <c r="L31" s="48">
        <f ca="1">58650-2050-D27</f>
        <v>3458.3333333333358</v>
      </c>
      <c r="M31" s="146"/>
      <c r="N31" s="175"/>
      <c r="O31" s="33"/>
      <c r="P31" s="264"/>
      <c r="Q31" s="27"/>
      <c r="S31" s="27"/>
    </row>
    <row r="32" spans="1:20">
      <c r="A32" s="22" t="s">
        <v>32</v>
      </c>
      <c r="B32" s="26">
        <f>B31-500-(200+300+300)-250-400</f>
        <v>46350</v>
      </c>
      <c r="C32" s="26">
        <f>C31-500-(200+300+300)-250-400</f>
        <v>43600</v>
      </c>
      <c r="D32" s="26">
        <f>D31-500-(200+300+300)-250-400</f>
        <v>46850</v>
      </c>
      <c r="E32" s="26">
        <f>E31-500-(200+300+300)-250-400</f>
        <v>43600</v>
      </c>
      <c r="F32" s="26">
        <f>F31-500-(200+300+300)-250-400</f>
        <v>43600</v>
      </c>
      <c r="G32" s="26">
        <f>G31-500-(200+300+300)-250-400</f>
        <v>45550</v>
      </c>
      <c r="H32" s="26">
        <f>H31-500-(200+300+300)-250-400</f>
        <v>45850</v>
      </c>
      <c r="I32" s="26">
        <f>I31-500-(200+300+300)-250-400</f>
        <v>46350</v>
      </c>
      <c r="J32" s="269"/>
      <c r="K32" s="174"/>
      <c r="L32" s="33"/>
      <c r="M32" s="19"/>
      <c r="N32" s="19"/>
      <c r="O32" s="19"/>
      <c r="P32" s="501"/>
      <c r="Q32" s="27"/>
      <c r="S32" s="27"/>
    </row>
    <row r="33" spans="1:25 16384:16384">
      <c r="A33" s="25" t="s">
        <v>33</v>
      </c>
      <c r="B33" s="18">
        <f>B32-B26</f>
        <v>-6226.923076923078</v>
      </c>
      <c r="C33" s="18">
        <f>C32-C26</f>
        <v>-5430.3846153846171</v>
      </c>
      <c r="D33" s="18">
        <f>D32-D26</f>
        <v>-4038.461538461539</v>
      </c>
      <c r="E33" s="18">
        <f>E32-E26</f>
        <v>-5344.2307692307659</v>
      </c>
      <c r="F33" s="18">
        <f>F32-F26</f>
        <v>-5090.3846153846171</v>
      </c>
      <c r="G33" s="18">
        <f>G32-G26</f>
        <v>-6226.923076923078</v>
      </c>
      <c r="H33" s="18">
        <f>H32-H26</f>
        <v>-4827.6923076923049</v>
      </c>
      <c r="I33" s="18">
        <f>I32-I26</f>
        <v>-5096.1538461538439</v>
      </c>
      <c r="J33" s="270"/>
      <c r="K33" s="174"/>
      <c r="L33" s="48"/>
      <c r="M33" s="19"/>
      <c r="N33" s="19"/>
      <c r="O33" s="19"/>
      <c r="P33" s="501"/>
      <c r="Q33" s="473"/>
      <c r="R33" s="474"/>
      <c r="S33" s="27"/>
    </row>
    <row r="34" spans="1:25 16384:16384" ht="10.5" customHeight="1">
      <c r="I34" s="33"/>
      <c r="J34" s="49"/>
      <c r="K34" s="48"/>
      <c r="L34" s="48"/>
      <c r="M34" s="14"/>
      <c r="N34" s="142">
        <v>46118</v>
      </c>
      <c r="O34" s="142">
        <f>N34-15</f>
        <v>46103</v>
      </c>
      <c r="P34" s="264"/>
      <c r="Q34" s="27"/>
      <c r="R34" s="27">
        <v>182.5</v>
      </c>
      <c r="S34" s="27">
        <v>182.5</v>
      </c>
      <c r="V34" s="137"/>
      <c r="W34" s="14"/>
      <c r="X34" s="48"/>
      <c r="Y34" s="48"/>
    </row>
    <row r="35" spans="1:25 16384:16384">
      <c r="A35" s="28" t="s">
        <v>141</v>
      </c>
      <c r="B35" s="380">
        <f>52250+750</f>
        <v>53000</v>
      </c>
      <c r="C35" s="380">
        <v>51000</v>
      </c>
      <c r="D35" s="380">
        <v>53500</v>
      </c>
      <c r="E35" s="380"/>
      <c r="F35" s="380">
        <v>51000</v>
      </c>
      <c r="G35" s="380">
        <f>B35-750</f>
        <v>52250</v>
      </c>
      <c r="H35" s="380"/>
      <c r="I35" s="380"/>
      <c r="J35" s="381">
        <f>C35</f>
        <v>51000</v>
      </c>
      <c r="K35" s="382"/>
      <c r="L35" s="382"/>
      <c r="M35" s="14"/>
      <c r="N35" s="475"/>
      <c r="O35" s="266"/>
      <c r="P35" s="264"/>
      <c r="Q35" s="27"/>
      <c r="R35" s="27" t="s">
        <v>141</v>
      </c>
      <c r="S35" s="27" t="s">
        <v>48</v>
      </c>
      <c r="V35" s="137"/>
      <c r="W35" s="14"/>
      <c r="X35" s="48"/>
      <c r="Y35" s="48"/>
    </row>
    <row r="36" spans="1:25 16384:16384" ht="15.75" customHeight="1">
      <c r="A36" s="28" t="s">
        <v>144</v>
      </c>
      <c r="B36" s="383"/>
      <c r="C36" s="383"/>
      <c r="D36" s="383"/>
      <c r="E36" s="384"/>
      <c r="F36" s="383"/>
      <c r="G36" s="383"/>
      <c r="H36" s="383"/>
      <c r="I36" s="380">
        <v>53000</v>
      </c>
      <c r="J36" s="382"/>
      <c r="K36" s="385">
        <v>53750</v>
      </c>
      <c r="L36" s="381"/>
      <c r="M36" s="14"/>
      <c r="N36" s="489"/>
      <c r="O36" s="476"/>
      <c r="P36" s="27"/>
      <c r="Q36" s="264"/>
      <c r="R36" s="491">
        <v>46943</v>
      </c>
      <c r="S36" s="264">
        <v>48717</v>
      </c>
      <c r="V36" s="137"/>
      <c r="W36" s="14"/>
      <c r="X36" s="48"/>
      <c r="Y36" s="48"/>
      <c r="XFD36" s="96" t="s">
        <v>68</v>
      </c>
    </row>
    <row r="37" spans="1:25 16384:16384">
      <c r="C37" s="52"/>
      <c r="D37" s="118"/>
      <c r="E37" s="118"/>
      <c r="F37" s="58"/>
      <c r="G37" s="118"/>
      <c r="H37" s="118"/>
      <c r="R37" s="27">
        <v>500</v>
      </c>
      <c r="S37">
        <v>500</v>
      </c>
    </row>
    <row r="38" spans="1:25 16384:16384">
      <c r="A38" s="28" t="s">
        <v>141</v>
      </c>
      <c r="B38" s="380">
        <v>53500</v>
      </c>
      <c r="C38" s="380">
        <v>51000</v>
      </c>
      <c r="D38" s="380">
        <v>54000</v>
      </c>
      <c r="E38" s="380"/>
      <c r="F38" s="380"/>
      <c r="G38" s="380">
        <f>B38-800</f>
        <v>52700</v>
      </c>
      <c r="H38" s="380"/>
      <c r="I38" s="380"/>
      <c r="J38" s="380"/>
      <c r="K38" s="380">
        <v>54000</v>
      </c>
      <c r="L38" s="380">
        <v>52000</v>
      </c>
      <c r="M38" s="380"/>
      <c r="O38" s="33"/>
      <c r="R38" s="27">
        <v>54750</v>
      </c>
      <c r="S38">
        <v>55750</v>
      </c>
    </row>
    <row r="39" spans="1:25 16384:16384">
      <c r="A39" s="28" t="s">
        <v>144</v>
      </c>
      <c r="B39" s="383"/>
      <c r="C39" s="383"/>
      <c r="D39" s="383"/>
      <c r="E39" s="384"/>
      <c r="F39" s="383"/>
      <c r="G39" s="383"/>
      <c r="H39" s="383"/>
      <c r="I39" s="380"/>
      <c r="J39" s="382"/>
      <c r="K39" s="385"/>
      <c r="L39" s="381"/>
      <c r="R39">
        <v>1500</v>
      </c>
      <c r="S39">
        <v>1500</v>
      </c>
    </row>
    <row r="40" spans="1:25 16384:16384">
      <c r="R40">
        <f>R38-R39-R37-R36</f>
        <v>5807</v>
      </c>
      <c r="S40">
        <f>S38-S39-S37-S36</f>
        <v>5033</v>
      </c>
    </row>
    <row r="41" spans="1:25 16384:16384">
      <c r="Q41" t="s">
        <v>172</v>
      </c>
      <c r="R41" s="27">
        <f>R40-1500</f>
        <v>4307</v>
      </c>
      <c r="S41" s="27">
        <f>S40-1500</f>
        <v>3533</v>
      </c>
    </row>
    <row r="42" spans="1:25 16384:16384">
      <c r="S42">
        <f>SUMPRODUCT(R40:S40,R34:S34)/SUM(R34:S34)</f>
        <v>5420</v>
      </c>
    </row>
    <row r="45" spans="1:25 16384:16384">
      <c r="R45" s="27">
        <f>SUMPRODUCT(R41:S41,R34:S34)/SUM(R34:S34)</f>
        <v>3920</v>
      </c>
    </row>
    <row r="47" spans="1:25 16384:16384">
      <c r="S47" s="33"/>
    </row>
    <row r="49" spans="3:12">
      <c r="C49" s="120"/>
      <c r="D49" s="120"/>
      <c r="E49" s="120"/>
      <c r="F49" s="120"/>
      <c r="G49" s="120"/>
      <c r="H49" s="120"/>
      <c r="I49" s="120"/>
      <c r="J49" s="120"/>
      <c r="K49" s="120"/>
      <c r="L49" s="120"/>
    </row>
    <row r="50" spans="3:12">
      <c r="C50" s="120"/>
      <c r="D50" s="121"/>
      <c r="E50" s="122"/>
      <c r="F50" s="122"/>
      <c r="G50" s="122"/>
      <c r="H50" s="122"/>
      <c r="I50" s="122"/>
      <c r="J50" s="122"/>
      <c r="K50" s="122"/>
      <c r="L50" s="122"/>
    </row>
    <row r="51" spans="3:12">
      <c r="C51" s="120"/>
      <c r="D51" s="121"/>
      <c r="E51" s="122"/>
      <c r="F51" s="122"/>
      <c r="G51" s="122"/>
      <c r="H51" s="122"/>
      <c r="I51" s="122"/>
      <c r="J51" s="122"/>
      <c r="K51" s="122"/>
      <c r="L51" s="122"/>
    </row>
    <row r="52" spans="3:12">
      <c r="C52" s="120"/>
      <c r="D52" s="121"/>
      <c r="E52" s="122"/>
      <c r="F52" s="122"/>
      <c r="G52" s="122"/>
      <c r="H52" s="122"/>
      <c r="I52" s="122"/>
      <c r="J52" s="122"/>
      <c r="K52" s="122"/>
      <c r="L52" s="122"/>
    </row>
    <row r="53" spans="3:12">
      <c r="C53" s="120"/>
      <c r="D53" s="121"/>
      <c r="E53" s="122"/>
      <c r="F53" s="122"/>
      <c r="G53" s="122"/>
      <c r="H53" s="122"/>
      <c r="I53" s="122"/>
      <c r="J53" s="122"/>
      <c r="K53" s="122"/>
      <c r="L53" s="122"/>
    </row>
    <row r="54" spans="3:12">
      <c r="C54" s="120"/>
      <c r="D54" s="120"/>
      <c r="E54" s="123"/>
      <c r="F54" s="123"/>
      <c r="G54" s="123"/>
      <c r="H54" s="123"/>
      <c r="I54" s="123"/>
      <c r="J54" s="123"/>
      <c r="K54" s="123"/>
      <c r="L54" s="123"/>
    </row>
  </sheetData>
  <mergeCells count="1">
    <mergeCell ref="B1:Q1"/>
  </mergeCell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3B45-8897-41E6-A364-21B77AB8E834}">
  <dimension ref="D5:K21"/>
  <sheetViews>
    <sheetView workbookViewId="0">
      <pane ySplit="5" topLeftCell="A6" activePane="bottomLeft" state="frozen"/>
      <selection pane="bottomLeft" activeCell="M9" sqref="M9"/>
    </sheetView>
  </sheetViews>
  <sheetFormatPr defaultRowHeight="15"/>
  <cols>
    <col min="4" max="4" width="24.7109375" customWidth="1"/>
    <col min="5" max="11" width="20" customWidth="1"/>
  </cols>
  <sheetData>
    <row r="5" spans="4:11" ht="15.75">
      <c r="D5" s="374" t="s">
        <v>223</v>
      </c>
      <c r="E5" s="374" t="s">
        <v>138</v>
      </c>
      <c r="F5" s="374" t="s">
        <v>224</v>
      </c>
      <c r="G5" s="374" t="s">
        <v>225</v>
      </c>
      <c r="H5" s="374" t="s">
        <v>226</v>
      </c>
      <c r="I5" s="374" t="s">
        <v>227</v>
      </c>
      <c r="J5" s="374" t="s">
        <v>228</v>
      </c>
      <c r="K5" s="374" t="s">
        <v>229</v>
      </c>
    </row>
    <row r="6" spans="4:11" ht="15.75">
      <c r="D6" s="375" t="s">
        <v>230</v>
      </c>
      <c r="E6" s="377">
        <v>47300</v>
      </c>
      <c r="F6" s="377">
        <v>47550</v>
      </c>
      <c r="G6" s="377">
        <v>48900</v>
      </c>
      <c r="H6" s="377">
        <v>46250</v>
      </c>
      <c r="I6" s="377">
        <v>40100</v>
      </c>
      <c r="J6" s="377">
        <v>46050</v>
      </c>
      <c r="K6" s="377">
        <v>45050</v>
      </c>
    </row>
    <row r="7" spans="4:11" ht="15.75">
      <c r="D7" s="375" t="s">
        <v>231</v>
      </c>
      <c r="E7" s="377">
        <v>47300</v>
      </c>
      <c r="F7" s="377">
        <v>47050</v>
      </c>
      <c r="G7" s="377">
        <v>48900</v>
      </c>
      <c r="H7" s="377">
        <v>46400</v>
      </c>
      <c r="I7" s="377">
        <v>42400</v>
      </c>
      <c r="J7" s="377">
        <v>46050</v>
      </c>
      <c r="K7" s="377">
        <v>45050</v>
      </c>
    </row>
    <row r="8" spans="4:11" ht="15.75">
      <c r="D8" s="376" t="s">
        <v>232</v>
      </c>
      <c r="E8" s="379">
        <f>E7-E6</f>
        <v>0</v>
      </c>
      <c r="F8" s="379">
        <f>F7-F6</f>
        <v>-500</v>
      </c>
      <c r="G8" s="379">
        <f>G7-G6</f>
        <v>0</v>
      </c>
      <c r="H8" s="379">
        <f>H7-H6</f>
        <v>150</v>
      </c>
      <c r="I8" s="379">
        <f>I7-I6</f>
        <v>2300</v>
      </c>
      <c r="J8" s="379">
        <f>J7-J6</f>
        <v>0</v>
      </c>
      <c r="K8" s="379">
        <f>K7-K6</f>
        <v>0</v>
      </c>
    </row>
    <row r="9" spans="4:11" ht="15.75">
      <c r="D9" s="375" t="s">
        <v>233</v>
      </c>
      <c r="E9" s="377">
        <v>49300</v>
      </c>
      <c r="F9" s="377">
        <v>47800</v>
      </c>
      <c r="G9" s="377">
        <v>48900</v>
      </c>
      <c r="H9" s="377">
        <v>47900</v>
      </c>
      <c r="I9" s="377">
        <v>45300</v>
      </c>
      <c r="J9" s="377">
        <v>48300</v>
      </c>
      <c r="K9" s="377">
        <v>47800</v>
      </c>
    </row>
    <row r="10" spans="4:11" ht="15.75">
      <c r="D10" s="376" t="s">
        <v>234</v>
      </c>
      <c r="E10" s="379">
        <f>E9-E7</f>
        <v>2000</v>
      </c>
      <c r="F10" s="379">
        <f>F9-F7</f>
        <v>750</v>
      </c>
      <c r="G10" s="379">
        <f>G9-G7</f>
        <v>0</v>
      </c>
      <c r="H10" s="379">
        <f>H9-H7</f>
        <v>1500</v>
      </c>
      <c r="I10" s="379">
        <f>I9-I7</f>
        <v>2900</v>
      </c>
      <c r="J10" s="379">
        <f>J9-J7</f>
        <v>2250</v>
      </c>
      <c r="K10" s="379">
        <f>K9-K7</f>
        <v>2750</v>
      </c>
    </row>
    <row r="11" spans="4:11" ht="15.75">
      <c r="D11" s="375" t="s">
        <v>235</v>
      </c>
      <c r="E11" s="377">
        <v>52400</v>
      </c>
      <c r="F11" s="377" t="s">
        <v>236</v>
      </c>
      <c r="G11" s="377">
        <v>51900</v>
      </c>
      <c r="H11" s="377" t="s">
        <v>237</v>
      </c>
      <c r="I11" s="377">
        <v>47100</v>
      </c>
      <c r="J11" s="377" t="s">
        <v>238</v>
      </c>
      <c r="K11" s="378">
        <v>49900</v>
      </c>
    </row>
    <row r="12" spans="4:11" ht="15.75">
      <c r="D12" s="375" t="s">
        <v>239</v>
      </c>
      <c r="E12" s="377">
        <f>53900+1250</f>
        <v>55150</v>
      </c>
      <c r="F12" s="377">
        <v>55000</v>
      </c>
      <c r="G12" s="377">
        <v>53400</v>
      </c>
      <c r="H12" s="377">
        <v>54400</v>
      </c>
      <c r="I12" s="377">
        <v>48650</v>
      </c>
      <c r="J12" s="377">
        <f>52900+1250</f>
        <v>54150</v>
      </c>
      <c r="K12" s="378">
        <v>53400</v>
      </c>
    </row>
    <row r="13" spans="4:11" ht="15.75">
      <c r="D13" s="376" t="s">
        <v>240</v>
      </c>
      <c r="E13" s="379">
        <f>E12-E9</f>
        <v>5850</v>
      </c>
      <c r="F13" s="379">
        <f>F12-F9</f>
        <v>7200</v>
      </c>
      <c r="G13" s="379">
        <f>G12-G9</f>
        <v>4500</v>
      </c>
      <c r="H13" s="379">
        <f>H12-H9</f>
        <v>6500</v>
      </c>
      <c r="I13" s="379">
        <f>I12-I9</f>
        <v>3350</v>
      </c>
      <c r="J13" s="379">
        <f>J12-J9</f>
        <v>5850</v>
      </c>
      <c r="K13" s="379">
        <f>K12-K9</f>
        <v>5600</v>
      </c>
    </row>
    <row r="14" spans="4:11" ht="15.75">
      <c r="D14" s="375" t="s">
        <v>241</v>
      </c>
      <c r="E14" s="377">
        <v>57650</v>
      </c>
      <c r="F14" s="377">
        <v>57000</v>
      </c>
      <c r="G14" s="377">
        <f>G12+2000</f>
        <v>55400</v>
      </c>
      <c r="H14" s="377">
        <v>57400</v>
      </c>
      <c r="I14" s="377">
        <v>48500</v>
      </c>
      <c r="J14" s="377">
        <v>56900</v>
      </c>
      <c r="K14" s="378">
        <v>55650</v>
      </c>
    </row>
    <row r="15" spans="4:11" ht="15.75">
      <c r="D15" s="496" t="s">
        <v>242</v>
      </c>
      <c r="E15" s="497">
        <v>58650</v>
      </c>
      <c r="F15" s="497">
        <v>58000</v>
      </c>
      <c r="G15" s="497">
        <v>58500</v>
      </c>
      <c r="H15" s="497">
        <v>58000</v>
      </c>
      <c r="I15" s="497">
        <v>48000</v>
      </c>
      <c r="J15" s="497">
        <v>57650</v>
      </c>
      <c r="K15" s="498">
        <v>56650</v>
      </c>
    </row>
    <row r="16" spans="4:11" ht="15.75">
      <c r="D16" s="492" t="s">
        <v>243</v>
      </c>
      <c r="E16" s="493">
        <f>E15-E12</f>
        <v>3500</v>
      </c>
      <c r="F16" s="493">
        <f>F15-F12</f>
        <v>3000</v>
      </c>
      <c r="G16" s="493">
        <f>G15-G12</f>
        <v>5100</v>
      </c>
      <c r="H16" s="493">
        <f>H15-H12</f>
        <v>3600</v>
      </c>
      <c r="I16" s="493">
        <f>I15-I12</f>
        <v>-650</v>
      </c>
      <c r="J16" s="493">
        <f>J15-J12</f>
        <v>3500</v>
      </c>
      <c r="K16" s="493">
        <f>K15-K12</f>
        <v>3250</v>
      </c>
    </row>
    <row r="17" spans="4:11">
      <c r="D17" s="29" t="s">
        <v>244</v>
      </c>
      <c r="E17" s="389">
        <v>59150</v>
      </c>
      <c r="F17" s="389">
        <v>58000</v>
      </c>
      <c r="G17" s="389">
        <v>60000</v>
      </c>
      <c r="H17" s="389">
        <v>59500</v>
      </c>
      <c r="I17" s="389">
        <v>50550</v>
      </c>
      <c r="J17" s="389">
        <v>58400</v>
      </c>
      <c r="K17" s="389">
        <v>57400</v>
      </c>
    </row>
    <row r="18" spans="4:11">
      <c r="D18" s="29" t="s">
        <v>245</v>
      </c>
      <c r="E18" s="389">
        <f>59150+750</f>
        <v>59900</v>
      </c>
      <c r="F18" s="389">
        <v>58500</v>
      </c>
      <c r="G18" s="389">
        <v>60000</v>
      </c>
      <c r="H18" s="389">
        <v>59000</v>
      </c>
      <c r="I18" s="389">
        <v>50900</v>
      </c>
      <c r="J18" s="389">
        <f>58400+750</f>
        <v>59150</v>
      </c>
      <c r="K18" s="389">
        <f>57400+750</f>
        <v>58150</v>
      </c>
    </row>
    <row r="19" spans="4:11" ht="15.75">
      <c r="D19" s="492" t="s">
        <v>246</v>
      </c>
      <c r="E19" s="493">
        <f>E18-E15</f>
        <v>1250</v>
      </c>
      <c r="F19" s="493">
        <f t="shared" ref="F19:K19" si="0">F18-F15</f>
        <v>500</v>
      </c>
      <c r="G19" s="493">
        <f>G18-G15</f>
        <v>1500</v>
      </c>
      <c r="H19" s="493">
        <f t="shared" si="0"/>
        <v>1000</v>
      </c>
      <c r="I19" s="493">
        <f>I18-I15</f>
        <v>2900</v>
      </c>
      <c r="J19" s="493">
        <f t="shared" si="0"/>
        <v>1500</v>
      </c>
      <c r="K19" s="493">
        <f t="shared" si="0"/>
        <v>1500</v>
      </c>
    </row>
    <row r="20" spans="4:11" ht="15.75">
      <c r="D20" s="517" t="s">
        <v>247</v>
      </c>
      <c r="E20" s="518">
        <f>E18+1000</f>
        <v>60900</v>
      </c>
      <c r="F20" s="518">
        <f>F18+1500</f>
        <v>60000</v>
      </c>
      <c r="G20" s="518">
        <f>G18+1500</f>
        <v>61500</v>
      </c>
      <c r="H20" s="518">
        <f>H18+1000</f>
        <v>60000</v>
      </c>
      <c r="I20" s="518">
        <v>53850</v>
      </c>
      <c r="J20" s="518">
        <f>J18+1500</f>
        <v>60650</v>
      </c>
      <c r="K20" s="518">
        <f>K18+1500</f>
        <v>59650</v>
      </c>
    </row>
    <row r="21" spans="4:11" ht="15.75">
      <c r="D21" s="494" t="s">
        <v>248</v>
      </c>
      <c r="E21" s="495">
        <f>E20-E6</f>
        <v>13600</v>
      </c>
      <c r="F21" s="495">
        <f t="shared" ref="F21:K21" si="1">F20-F6</f>
        <v>12450</v>
      </c>
      <c r="G21" s="495">
        <f t="shared" si="1"/>
        <v>12600</v>
      </c>
      <c r="H21" s="495">
        <f t="shared" si="1"/>
        <v>13750</v>
      </c>
      <c r="I21" s="495">
        <f t="shared" si="1"/>
        <v>13750</v>
      </c>
      <c r="J21" s="495">
        <f>J20-J6</f>
        <v>14600</v>
      </c>
      <c r="K21" s="495">
        <f t="shared" si="1"/>
        <v>14600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28261-3817-48DB-BB67-22A756D50669}">
  <dimension ref="I3:AT24"/>
  <sheetViews>
    <sheetView topLeftCell="R1" workbookViewId="0">
      <selection activeCell="AA3" sqref="AA3"/>
    </sheetView>
  </sheetViews>
  <sheetFormatPr defaultRowHeight="15"/>
  <cols>
    <col min="36" max="36" width="18.140625" bestFit="1" customWidth="1"/>
    <col min="44" max="44" width="16.85546875" customWidth="1"/>
    <col min="46" max="46" width="17.85546875" customWidth="1"/>
  </cols>
  <sheetData>
    <row r="3" spans="9:46" ht="15" customHeight="1">
      <c r="AA3" s="529" t="s">
        <v>249</v>
      </c>
      <c r="AB3" s="555"/>
      <c r="AC3" s="555"/>
      <c r="AD3" s="555"/>
      <c r="AE3" s="555"/>
      <c r="AF3" s="555"/>
      <c r="AG3" s="555"/>
      <c r="AH3" s="556"/>
      <c r="AI3" s="301"/>
      <c r="AJ3" s="557" t="s">
        <v>250</v>
      </c>
      <c r="AK3" s="555"/>
      <c r="AL3" s="555"/>
      <c r="AM3" s="555"/>
      <c r="AN3" s="555"/>
      <c r="AO3" s="555"/>
      <c r="AP3" s="555"/>
      <c r="AQ3" s="556"/>
      <c r="AR3" s="530" t="s">
        <v>251</v>
      </c>
      <c r="AS3" s="302"/>
      <c r="AT3" s="302"/>
    </row>
    <row r="4" spans="9:46" ht="16.5">
      <c r="AA4" s="303" t="s">
        <v>252</v>
      </c>
      <c r="AB4" s="304" t="s">
        <v>57</v>
      </c>
      <c r="AC4" s="305">
        <v>8</v>
      </c>
      <c r="AD4" s="306">
        <v>10</v>
      </c>
      <c r="AE4" s="306">
        <v>12</v>
      </c>
      <c r="AF4" s="306">
        <v>16</v>
      </c>
      <c r="AG4" s="306">
        <v>20</v>
      </c>
      <c r="AH4" s="306">
        <v>25</v>
      </c>
      <c r="AI4" s="306">
        <v>32</v>
      </c>
      <c r="AJ4" s="307" t="s">
        <v>253</v>
      </c>
      <c r="AK4" s="301"/>
      <c r="AL4" s="308">
        <v>8</v>
      </c>
      <c r="AM4" s="309">
        <v>10</v>
      </c>
      <c r="AN4" s="309">
        <v>12</v>
      </c>
      <c r="AO4" s="309">
        <v>16</v>
      </c>
      <c r="AP4" s="309">
        <v>20</v>
      </c>
      <c r="AQ4" s="309">
        <v>25</v>
      </c>
      <c r="AR4" s="531"/>
      <c r="AS4" s="309">
        <v>32</v>
      </c>
      <c r="AT4" s="310" t="s">
        <v>253</v>
      </c>
    </row>
    <row r="5" spans="9:46" ht="15.75">
      <c r="AA5" s="558" t="s">
        <v>60</v>
      </c>
      <c r="AB5" s="311" t="s">
        <v>254</v>
      </c>
      <c r="AC5" s="312">
        <v>1.45</v>
      </c>
      <c r="AD5" s="312">
        <v>2.2000000000000002</v>
      </c>
      <c r="AE5" s="312">
        <v>1.77</v>
      </c>
      <c r="AF5" s="312">
        <v>1.06</v>
      </c>
      <c r="AG5" s="312">
        <v>0.37</v>
      </c>
      <c r="AH5" s="312">
        <v>0.77</v>
      </c>
      <c r="AI5" s="312">
        <v>0.77</v>
      </c>
      <c r="AJ5" s="313" t="s">
        <v>255</v>
      </c>
      <c r="AK5" s="301"/>
      <c r="AL5" s="314">
        <v>43411</v>
      </c>
      <c r="AM5" s="315">
        <v>45882</v>
      </c>
      <c r="AN5" s="315">
        <v>45899</v>
      </c>
      <c r="AO5" s="315">
        <v>44682</v>
      </c>
      <c r="AP5" s="315">
        <v>39997</v>
      </c>
      <c r="AQ5" s="315">
        <v>39953</v>
      </c>
      <c r="AR5" s="315">
        <v>44749</v>
      </c>
      <c r="AS5" s="316">
        <v>44303</v>
      </c>
      <c r="AT5" s="317">
        <v>43880</v>
      </c>
    </row>
    <row r="6" spans="9:46" ht="16.5">
      <c r="R6" t="s">
        <v>226</v>
      </c>
      <c r="AA6" s="559"/>
      <c r="AB6" s="318" t="s">
        <v>48</v>
      </c>
      <c r="AC6" s="318">
        <v>0</v>
      </c>
      <c r="AD6" s="318">
        <v>0.27</v>
      </c>
      <c r="AE6" s="318">
        <v>0.02</v>
      </c>
      <c r="AF6" s="318">
        <v>0.02</v>
      </c>
      <c r="AG6" s="318">
        <v>0.03</v>
      </c>
      <c r="AH6" s="318">
        <v>0.03</v>
      </c>
      <c r="AI6" s="318">
        <v>0.02</v>
      </c>
      <c r="AJ6" s="319" t="s">
        <v>256</v>
      </c>
      <c r="AK6" s="301"/>
      <c r="AL6" s="320">
        <v>48279</v>
      </c>
      <c r="AM6" s="318">
        <v>42214</v>
      </c>
      <c r="AN6" s="318">
        <v>44733</v>
      </c>
      <c r="AO6" s="318">
        <v>46872</v>
      </c>
      <c r="AP6" s="318">
        <v>42174</v>
      </c>
      <c r="AQ6" s="318">
        <v>41788</v>
      </c>
      <c r="AR6" s="318">
        <v>46902</v>
      </c>
      <c r="AS6" s="321">
        <v>42714</v>
      </c>
      <c r="AT6" s="322">
        <v>43891</v>
      </c>
    </row>
    <row r="7" spans="9:46" ht="15.75">
      <c r="Q7">
        <v>1500</v>
      </c>
      <c r="R7">
        <f>48500</f>
        <v>48500</v>
      </c>
      <c r="T7">
        <f>47500</f>
        <v>47500</v>
      </c>
      <c r="AA7" s="558" t="s">
        <v>257</v>
      </c>
      <c r="AB7" s="311" t="s">
        <v>254</v>
      </c>
      <c r="AC7" s="312">
        <v>2.2999999999999998</v>
      </c>
      <c r="AD7" s="312">
        <v>4.9800000000000004</v>
      </c>
      <c r="AE7" s="312">
        <v>1.39</v>
      </c>
      <c r="AF7" s="312">
        <v>1.07</v>
      </c>
      <c r="AG7" s="312">
        <v>0.67</v>
      </c>
      <c r="AH7" s="312">
        <v>0.91</v>
      </c>
      <c r="AI7" s="312">
        <v>0.93</v>
      </c>
      <c r="AJ7" s="313" t="s">
        <v>258</v>
      </c>
      <c r="AK7" s="301"/>
      <c r="AL7" s="323">
        <v>44387</v>
      </c>
      <c r="AM7" s="312">
        <v>44447</v>
      </c>
      <c r="AN7" s="312">
        <v>43300</v>
      </c>
      <c r="AO7" s="312">
        <v>42731</v>
      </c>
      <c r="AP7" s="312">
        <v>46288</v>
      </c>
      <c r="AQ7" s="312">
        <v>46274</v>
      </c>
      <c r="AR7" s="312">
        <v>47825</v>
      </c>
      <c r="AS7" s="324">
        <v>44612</v>
      </c>
      <c r="AT7" s="325">
        <v>44884</v>
      </c>
    </row>
    <row r="8" spans="9:46" ht="16.5">
      <c r="Q8" t="s">
        <v>259</v>
      </c>
      <c r="R8">
        <v>51300</v>
      </c>
      <c r="AA8" s="559"/>
      <c r="AB8" s="326" t="s">
        <v>48</v>
      </c>
      <c r="AC8" s="318">
        <v>0</v>
      </c>
      <c r="AD8" s="318">
        <v>0.12</v>
      </c>
      <c r="AE8" s="318">
        <v>0.02</v>
      </c>
      <c r="AF8" s="318">
        <v>0</v>
      </c>
      <c r="AG8" s="318">
        <v>0.02</v>
      </c>
      <c r="AH8" s="318">
        <v>0</v>
      </c>
      <c r="AI8" s="318">
        <v>0</v>
      </c>
      <c r="AJ8" s="327" t="s">
        <v>260</v>
      </c>
      <c r="AK8" s="301"/>
      <c r="AL8" s="320">
        <v>44375</v>
      </c>
      <c r="AM8" s="318">
        <v>42845</v>
      </c>
      <c r="AN8" s="318">
        <v>41037</v>
      </c>
      <c r="AO8" s="318">
        <v>41037</v>
      </c>
      <c r="AP8" s="318">
        <v>44375</v>
      </c>
      <c r="AQ8" s="318">
        <v>41037</v>
      </c>
      <c r="AR8" s="318">
        <v>42537</v>
      </c>
      <c r="AS8" s="328">
        <v>42714</v>
      </c>
      <c r="AT8" s="322">
        <v>42269</v>
      </c>
    </row>
    <row r="9" spans="9:46" ht="15.75">
      <c r="AA9" s="558" t="s">
        <v>62</v>
      </c>
      <c r="AB9" s="311" t="s">
        <v>254</v>
      </c>
      <c r="AC9" s="312">
        <v>1.3</v>
      </c>
      <c r="AD9" s="312">
        <v>1.65</v>
      </c>
      <c r="AE9" s="312">
        <v>0.88</v>
      </c>
      <c r="AF9" s="312">
        <v>2.0499999999999998</v>
      </c>
      <c r="AG9" s="312">
        <v>0.79</v>
      </c>
      <c r="AH9" s="312">
        <v>0.75</v>
      </c>
      <c r="AI9" s="312">
        <v>0.4</v>
      </c>
      <c r="AJ9" s="313" t="s">
        <v>261</v>
      </c>
      <c r="AK9" s="301"/>
      <c r="AL9" s="323">
        <v>47102</v>
      </c>
      <c r="AM9" s="312">
        <v>47882</v>
      </c>
      <c r="AN9" s="312">
        <v>48462</v>
      </c>
      <c r="AO9" s="312">
        <v>47700</v>
      </c>
      <c r="AP9" s="312">
        <v>45619</v>
      </c>
      <c r="AQ9" s="312">
        <v>45388</v>
      </c>
      <c r="AR9" s="312">
        <v>45519</v>
      </c>
      <c r="AS9" s="324">
        <v>47159</v>
      </c>
      <c r="AT9" s="325">
        <v>46934</v>
      </c>
    </row>
    <row r="10" spans="9:46" ht="16.5">
      <c r="I10">
        <v>56253</v>
      </c>
      <c r="M10">
        <v>1700</v>
      </c>
      <c r="R10">
        <f>51700</f>
        <v>51700</v>
      </c>
      <c r="AA10" s="559"/>
      <c r="AB10" s="318" t="s">
        <v>48</v>
      </c>
      <c r="AC10" s="318">
        <v>0.05</v>
      </c>
      <c r="AD10" s="318">
        <v>0</v>
      </c>
      <c r="AE10" s="318">
        <v>0</v>
      </c>
      <c r="AF10" s="318">
        <v>0.01</v>
      </c>
      <c r="AG10" s="318">
        <v>0.01</v>
      </c>
      <c r="AH10" s="318">
        <v>0</v>
      </c>
      <c r="AI10" s="318">
        <v>0</v>
      </c>
      <c r="AJ10" s="319" t="s">
        <v>262</v>
      </c>
      <c r="AK10" s="301"/>
      <c r="AL10" s="320">
        <v>51427</v>
      </c>
      <c r="AM10" s="318">
        <v>47207</v>
      </c>
      <c r="AN10" s="318">
        <v>47573</v>
      </c>
      <c r="AO10" s="318">
        <v>47908</v>
      </c>
      <c r="AP10" s="318">
        <v>46590</v>
      </c>
      <c r="AQ10" s="318">
        <v>47324</v>
      </c>
      <c r="AR10" s="318">
        <v>47908</v>
      </c>
      <c r="AS10" s="321">
        <v>49732</v>
      </c>
      <c r="AT10" s="322">
        <v>47138</v>
      </c>
    </row>
    <row r="11" spans="9:46" ht="15.75">
      <c r="I11">
        <v>1400</v>
      </c>
      <c r="K11">
        <v>2700</v>
      </c>
      <c r="M11">
        <v>300</v>
      </c>
      <c r="AA11" s="558" t="s">
        <v>63</v>
      </c>
      <c r="AB11" s="311" t="s">
        <v>254</v>
      </c>
      <c r="AC11" s="312">
        <v>0.02</v>
      </c>
      <c r="AD11" s="312">
        <v>7.0000000000000007E-2</v>
      </c>
      <c r="AE11" s="312">
        <v>0.08</v>
      </c>
      <c r="AF11" s="312">
        <v>0.02</v>
      </c>
      <c r="AG11" s="312">
        <v>0.05</v>
      </c>
      <c r="AH11" s="312">
        <v>0.04</v>
      </c>
      <c r="AI11" s="312">
        <v>0.56000000000000005</v>
      </c>
      <c r="AJ11" s="313" t="s">
        <v>263</v>
      </c>
      <c r="AK11" s="301"/>
      <c r="AL11" s="323">
        <v>45565</v>
      </c>
      <c r="AM11" s="312">
        <v>45917</v>
      </c>
      <c r="AN11" s="312">
        <v>44967</v>
      </c>
      <c r="AO11" s="312">
        <v>44967</v>
      </c>
      <c r="AP11" s="312">
        <v>46292</v>
      </c>
      <c r="AQ11" s="312">
        <v>45026</v>
      </c>
      <c r="AR11" s="312">
        <v>46710</v>
      </c>
      <c r="AS11" s="324">
        <v>46303</v>
      </c>
      <c r="AT11" s="325">
        <v>46357</v>
      </c>
    </row>
    <row r="12" spans="9:46" ht="16.5">
      <c r="I12">
        <v>300</v>
      </c>
      <c r="K12">
        <f>I10-K11</f>
        <v>53553</v>
      </c>
      <c r="M12">
        <v>1500</v>
      </c>
      <c r="AA12" s="560"/>
      <c r="AB12" s="318" t="s">
        <v>48</v>
      </c>
      <c r="AC12" s="318">
        <v>0.03</v>
      </c>
      <c r="AD12" s="318">
        <v>0.04</v>
      </c>
      <c r="AE12" s="318">
        <v>0.04</v>
      </c>
      <c r="AF12" s="318">
        <v>0</v>
      </c>
      <c r="AG12" s="318">
        <v>0</v>
      </c>
      <c r="AH12" s="318">
        <v>0.03</v>
      </c>
      <c r="AI12" s="318">
        <v>0.01</v>
      </c>
      <c r="AJ12" s="319" t="s">
        <v>264</v>
      </c>
      <c r="AK12" s="301"/>
      <c r="AL12" s="320">
        <v>48585</v>
      </c>
      <c r="AM12" s="318">
        <v>43842</v>
      </c>
      <c r="AN12" s="318">
        <v>46021</v>
      </c>
      <c r="AO12" s="318">
        <v>45967</v>
      </c>
      <c r="AP12" s="329"/>
      <c r="AQ12" s="318">
        <v>43449</v>
      </c>
      <c r="AR12" s="318">
        <v>44842</v>
      </c>
      <c r="AS12" s="321">
        <v>45296</v>
      </c>
      <c r="AT12" s="322">
        <v>45863</v>
      </c>
    </row>
    <row r="13" spans="9:46" ht="16.5">
      <c r="I13">
        <v>450</v>
      </c>
      <c r="M13">
        <v>500</v>
      </c>
      <c r="AA13" s="559"/>
      <c r="AB13" s="330" t="s">
        <v>265</v>
      </c>
      <c r="AC13" s="330">
        <v>0.17</v>
      </c>
      <c r="AD13" s="330">
        <v>0.85</v>
      </c>
      <c r="AE13" s="330">
        <v>1.03</v>
      </c>
      <c r="AF13" s="330">
        <v>0.44</v>
      </c>
      <c r="AG13" s="330">
        <v>0.45</v>
      </c>
      <c r="AH13" s="330">
        <v>0.68</v>
      </c>
      <c r="AI13" s="330">
        <v>0.56000000000000005</v>
      </c>
      <c r="AJ13" s="331" t="s">
        <v>266</v>
      </c>
      <c r="AK13" s="301"/>
      <c r="AL13" s="332">
        <v>46846</v>
      </c>
      <c r="AM13" s="330">
        <v>49803</v>
      </c>
      <c r="AN13" s="330">
        <v>45346</v>
      </c>
      <c r="AO13" s="330">
        <v>49608</v>
      </c>
      <c r="AP13" s="330">
        <v>45122</v>
      </c>
      <c r="AQ13" s="330">
        <v>45346</v>
      </c>
      <c r="AR13" s="330">
        <v>45510</v>
      </c>
      <c r="AS13" s="333">
        <v>46677</v>
      </c>
      <c r="AT13" s="334">
        <v>45863</v>
      </c>
    </row>
    <row r="14" spans="9:46" ht="15.75">
      <c r="I14">
        <v>800</v>
      </c>
      <c r="M14">
        <f>SUM(M10:M13)</f>
        <v>4000</v>
      </c>
      <c r="AA14" s="320" t="s">
        <v>267</v>
      </c>
      <c r="AB14" s="311" t="s">
        <v>254</v>
      </c>
      <c r="AC14" s="312">
        <v>2.3199999999999998</v>
      </c>
      <c r="AD14" s="312">
        <v>2.67</v>
      </c>
      <c r="AE14" s="312">
        <v>0.32</v>
      </c>
      <c r="AF14" s="312">
        <v>1.23</v>
      </c>
      <c r="AG14" s="312">
        <v>1.34</v>
      </c>
      <c r="AH14" s="312">
        <v>1.9</v>
      </c>
      <c r="AI14" s="312">
        <v>0.79</v>
      </c>
      <c r="AJ14" s="313" t="s">
        <v>268</v>
      </c>
      <c r="AK14" s="301"/>
      <c r="AL14" s="323">
        <v>49867</v>
      </c>
      <c r="AM14" s="312">
        <v>48207</v>
      </c>
      <c r="AN14" s="312">
        <v>44739</v>
      </c>
      <c r="AO14" s="312">
        <v>44893</v>
      </c>
      <c r="AP14" s="312">
        <v>44811</v>
      </c>
      <c r="AQ14" s="312">
        <v>44846</v>
      </c>
      <c r="AR14" s="312">
        <v>49811</v>
      </c>
      <c r="AS14" s="324">
        <v>47065</v>
      </c>
      <c r="AT14" s="325">
        <v>45486</v>
      </c>
    </row>
    <row r="15" spans="9:46" ht="16.5">
      <c r="I15">
        <f>I10-I11-I12-I13-I14</f>
        <v>53303</v>
      </c>
      <c r="AA15" s="320" t="s">
        <v>222</v>
      </c>
      <c r="AB15" s="318" t="s">
        <v>265</v>
      </c>
      <c r="AC15" s="318">
        <v>0.18</v>
      </c>
      <c r="AD15" s="318">
        <v>0</v>
      </c>
      <c r="AE15" s="318">
        <v>0.8</v>
      </c>
      <c r="AF15" s="318">
        <v>0.95</v>
      </c>
      <c r="AG15" s="318">
        <v>0.77</v>
      </c>
      <c r="AH15" s="318">
        <v>0.01</v>
      </c>
      <c r="AI15" s="318">
        <v>0.57999999999999996</v>
      </c>
      <c r="AJ15" s="331" t="s">
        <v>269</v>
      </c>
      <c r="AK15" s="301"/>
      <c r="AL15" s="332">
        <v>45008</v>
      </c>
      <c r="AM15" s="329"/>
      <c r="AN15" s="318">
        <v>43508</v>
      </c>
      <c r="AO15" s="318">
        <v>43508</v>
      </c>
      <c r="AP15" s="318">
        <v>43508</v>
      </c>
      <c r="AQ15" s="318">
        <v>43508</v>
      </c>
      <c r="AR15" s="318">
        <v>45008</v>
      </c>
      <c r="AS15" s="333">
        <v>43846</v>
      </c>
      <c r="AT15" s="322">
        <v>43779</v>
      </c>
    </row>
    <row r="16" spans="9:46" ht="16.5">
      <c r="AA16" s="320" t="s">
        <v>270</v>
      </c>
      <c r="AB16" s="318" t="s">
        <v>48</v>
      </c>
      <c r="AC16" s="318">
        <v>0.25</v>
      </c>
      <c r="AD16" s="318">
        <v>0.02</v>
      </c>
      <c r="AE16" s="318">
        <v>0.72</v>
      </c>
      <c r="AF16" s="318">
        <v>0.06</v>
      </c>
      <c r="AG16" s="318">
        <v>0.63</v>
      </c>
      <c r="AH16" s="318">
        <v>0.3</v>
      </c>
      <c r="AI16" s="318">
        <v>0.14000000000000001</v>
      </c>
      <c r="AJ16" s="319" t="s">
        <v>271</v>
      </c>
      <c r="AK16" s="301"/>
      <c r="AL16" s="320">
        <v>47089</v>
      </c>
      <c r="AM16" s="318">
        <v>46579</v>
      </c>
      <c r="AN16" s="318">
        <v>46056</v>
      </c>
      <c r="AO16" s="318">
        <v>47282</v>
      </c>
      <c r="AP16" s="318">
        <v>46667</v>
      </c>
      <c r="AQ16" s="318">
        <v>44879</v>
      </c>
      <c r="AR16" s="318">
        <v>46379</v>
      </c>
      <c r="AS16" s="321">
        <v>46240</v>
      </c>
      <c r="AT16" s="322">
        <v>46125</v>
      </c>
    </row>
    <row r="17" spans="27:46" ht="15.75">
      <c r="AA17" s="320" t="s">
        <v>272</v>
      </c>
      <c r="AB17" s="311" t="s">
        <v>254</v>
      </c>
      <c r="AC17" s="312">
        <v>0.02</v>
      </c>
      <c r="AD17" s="312">
        <v>0.05</v>
      </c>
      <c r="AE17" s="312">
        <v>0</v>
      </c>
      <c r="AF17" s="312">
        <v>0.01</v>
      </c>
      <c r="AG17" s="312">
        <v>0.03</v>
      </c>
      <c r="AH17" s="312">
        <v>0</v>
      </c>
      <c r="AI17" s="312">
        <v>0</v>
      </c>
      <c r="AJ17" s="313" t="s">
        <v>273</v>
      </c>
      <c r="AK17" s="301"/>
      <c r="AL17" s="323">
        <v>49621</v>
      </c>
      <c r="AM17" s="312">
        <v>48467</v>
      </c>
      <c r="AN17" s="335"/>
      <c r="AO17" s="312">
        <v>48721</v>
      </c>
      <c r="AP17" s="312">
        <v>48721</v>
      </c>
      <c r="AQ17" s="335"/>
      <c r="AR17" s="335"/>
      <c r="AS17" s="324">
        <v>48767</v>
      </c>
      <c r="AT17" s="325">
        <v>48721</v>
      </c>
    </row>
    <row r="18" spans="27:46" ht="16.5">
      <c r="AA18" s="320" t="s">
        <v>274</v>
      </c>
      <c r="AB18" s="318" t="s">
        <v>254</v>
      </c>
      <c r="AC18" s="318">
        <v>0.02</v>
      </c>
      <c r="AD18" s="318">
        <v>0.05</v>
      </c>
      <c r="AE18" s="318">
        <v>0</v>
      </c>
      <c r="AF18" s="318">
        <v>0.01</v>
      </c>
      <c r="AG18" s="318">
        <v>0.03</v>
      </c>
      <c r="AH18" s="318">
        <v>0</v>
      </c>
      <c r="AI18" s="318">
        <v>0</v>
      </c>
      <c r="AJ18" s="319" t="s">
        <v>273</v>
      </c>
      <c r="AK18" s="301"/>
      <c r="AL18" s="320">
        <v>46613</v>
      </c>
      <c r="AM18" s="318">
        <v>44308</v>
      </c>
      <c r="AN18" s="318">
        <v>44512</v>
      </c>
      <c r="AO18" s="318">
        <v>44070</v>
      </c>
      <c r="AP18" s="329"/>
      <c r="AQ18" s="329"/>
      <c r="AR18" s="329"/>
      <c r="AS18" s="321">
        <v>44967</v>
      </c>
      <c r="AT18" s="322">
        <v>44328</v>
      </c>
    </row>
    <row r="19" spans="27:46" ht="15.75">
      <c r="AA19" s="336" t="s">
        <v>275</v>
      </c>
      <c r="AB19" s="337" t="s">
        <v>254</v>
      </c>
      <c r="AC19" s="338">
        <v>0.15</v>
      </c>
      <c r="AD19" s="338">
        <v>0.04</v>
      </c>
      <c r="AE19" s="338">
        <v>0.11</v>
      </c>
      <c r="AF19" s="338">
        <v>0.22</v>
      </c>
      <c r="AG19" s="338">
        <v>0.11</v>
      </c>
      <c r="AH19" s="338">
        <v>0.14000000000000001</v>
      </c>
      <c r="AI19" s="338">
        <v>0</v>
      </c>
      <c r="AJ19" s="339">
        <v>0.76</v>
      </c>
      <c r="AK19" s="301"/>
      <c r="AL19" s="340">
        <v>46285</v>
      </c>
      <c r="AM19" s="338">
        <v>46317</v>
      </c>
      <c r="AN19" s="338">
        <v>45480</v>
      </c>
      <c r="AO19" s="338">
        <v>44454</v>
      </c>
      <c r="AP19" s="338">
        <v>44635</v>
      </c>
      <c r="AQ19" s="338">
        <v>44785</v>
      </c>
      <c r="AR19" s="341"/>
      <c r="AS19" s="342">
        <v>45123</v>
      </c>
      <c r="AT19" s="343">
        <v>44757</v>
      </c>
    </row>
    <row r="20" spans="27:46" ht="15" customHeight="1">
      <c r="AA20" s="301"/>
      <c r="AB20" s="301"/>
      <c r="AC20" s="301"/>
      <c r="AD20" s="301"/>
      <c r="AE20" s="301"/>
      <c r="AF20" s="301"/>
      <c r="AG20" s="301"/>
      <c r="AH20" s="301"/>
      <c r="AI20" s="301"/>
      <c r="AJ20" s="301"/>
      <c r="AK20" s="561"/>
      <c r="AL20" s="561"/>
      <c r="AM20" s="301"/>
      <c r="AN20" s="301"/>
      <c r="AO20" s="301"/>
      <c r="AP20" s="301"/>
      <c r="AQ20" s="301"/>
      <c r="AR20" s="301"/>
      <c r="AS20" s="301"/>
      <c r="AT20" s="301"/>
    </row>
    <row r="21" spans="27:46" ht="16.5">
      <c r="AA21" s="301"/>
      <c r="AB21" s="344" t="s">
        <v>254</v>
      </c>
      <c r="AC21" s="345" t="s">
        <v>276</v>
      </c>
      <c r="AD21" s="346" t="s">
        <v>277</v>
      </c>
      <c r="AE21" s="346" t="s">
        <v>278</v>
      </c>
      <c r="AF21" s="346" t="s">
        <v>279</v>
      </c>
      <c r="AG21" s="346" t="s">
        <v>280</v>
      </c>
      <c r="AH21" s="346" t="s">
        <v>278</v>
      </c>
      <c r="AI21" s="346" t="s">
        <v>280</v>
      </c>
      <c r="AJ21" s="347" t="s">
        <v>281</v>
      </c>
      <c r="AK21" s="301"/>
      <c r="AL21" s="348" t="s">
        <v>282</v>
      </c>
      <c r="AM21" s="349" t="s">
        <v>283</v>
      </c>
      <c r="AN21" s="349" t="s">
        <v>284</v>
      </c>
      <c r="AO21" s="349" t="s">
        <v>285</v>
      </c>
      <c r="AP21" s="349" t="s">
        <v>286</v>
      </c>
      <c r="AQ21" s="349" t="s">
        <v>287</v>
      </c>
      <c r="AR21" s="349" t="s">
        <v>288</v>
      </c>
      <c r="AS21" s="350" t="s">
        <v>289</v>
      </c>
      <c r="AT21" s="351"/>
    </row>
    <row r="22" spans="27:46" ht="16.5">
      <c r="AA22" s="301"/>
      <c r="AB22" s="320" t="s">
        <v>290</v>
      </c>
      <c r="AC22" s="318" t="s">
        <v>291</v>
      </c>
      <c r="AD22" s="318" t="s">
        <v>292</v>
      </c>
      <c r="AE22" s="318" t="s">
        <v>293</v>
      </c>
      <c r="AF22" s="318" t="s">
        <v>294</v>
      </c>
      <c r="AG22" s="318" t="s">
        <v>295</v>
      </c>
      <c r="AH22" s="318" t="s">
        <v>296</v>
      </c>
      <c r="AI22" s="318" t="s">
        <v>297</v>
      </c>
      <c r="AJ22" s="319" t="s">
        <v>298</v>
      </c>
      <c r="AK22" s="301"/>
      <c r="AL22" s="320" t="s">
        <v>299</v>
      </c>
      <c r="AM22" s="318" t="s">
        <v>300</v>
      </c>
      <c r="AN22" s="318" t="s">
        <v>301</v>
      </c>
      <c r="AO22" s="318" t="s">
        <v>302</v>
      </c>
      <c r="AP22" s="318" t="s">
        <v>303</v>
      </c>
      <c r="AQ22" s="318" t="s">
        <v>304</v>
      </c>
      <c r="AR22" s="318" t="s">
        <v>305</v>
      </c>
      <c r="AS22" s="319" t="s">
        <v>306</v>
      </c>
      <c r="AT22" s="301"/>
    </row>
    <row r="23" spans="27:46" ht="16.5">
      <c r="AA23" s="301"/>
      <c r="AB23" s="336" t="s">
        <v>265</v>
      </c>
      <c r="AC23" s="337" t="s">
        <v>307</v>
      </c>
      <c r="AD23" s="338" t="s">
        <v>308</v>
      </c>
      <c r="AE23" s="338" t="s">
        <v>309</v>
      </c>
      <c r="AF23" s="338" t="s">
        <v>310</v>
      </c>
      <c r="AG23" s="338" t="s">
        <v>311</v>
      </c>
      <c r="AH23" s="338" t="s">
        <v>295</v>
      </c>
      <c r="AI23" s="338" t="s">
        <v>312</v>
      </c>
      <c r="AJ23" s="352" t="s">
        <v>313</v>
      </c>
      <c r="AK23" s="301"/>
      <c r="AL23" s="353" t="s">
        <v>314</v>
      </c>
      <c r="AM23" s="354" t="s">
        <v>315</v>
      </c>
      <c r="AN23" s="354" t="s">
        <v>316</v>
      </c>
      <c r="AO23" s="354" t="s">
        <v>317</v>
      </c>
      <c r="AP23" s="354" t="s">
        <v>318</v>
      </c>
      <c r="AQ23" s="354" t="s">
        <v>319</v>
      </c>
      <c r="AR23" s="354" t="s">
        <v>320</v>
      </c>
      <c r="AS23" s="355" t="s">
        <v>321</v>
      </c>
      <c r="AT23" s="351"/>
    </row>
    <row r="24" spans="27:46" ht="15" customHeight="1">
      <c r="AA24" s="301"/>
      <c r="AB24" s="301"/>
      <c r="AC24" s="301"/>
      <c r="AD24" s="301"/>
      <c r="AE24" s="301"/>
      <c r="AF24" s="301"/>
      <c r="AG24" s="301"/>
      <c r="AH24" s="301"/>
      <c r="AI24" s="301"/>
      <c r="AJ24" s="356">
        <v>51.19</v>
      </c>
      <c r="AK24" s="562"/>
      <c r="AL24" s="561"/>
      <c r="AM24" s="301"/>
      <c r="AN24" s="301"/>
      <c r="AO24" s="301"/>
      <c r="AP24" s="301"/>
      <c r="AQ24" s="301"/>
      <c r="AR24" s="301"/>
      <c r="AS24" s="302"/>
      <c r="AT24" s="302"/>
    </row>
  </sheetData>
  <mergeCells count="9">
    <mergeCell ref="AK20:AL20"/>
    <mergeCell ref="AK24:AL24"/>
    <mergeCell ref="AA3:AH3"/>
    <mergeCell ref="AJ3:AQ3"/>
    <mergeCell ref="AR3:AR4"/>
    <mergeCell ref="AA5:AA6"/>
    <mergeCell ref="AA7:AA8"/>
    <mergeCell ref="AA9:AA10"/>
    <mergeCell ref="AA11:AA1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0CC9-35DB-45DC-8213-CEFBBC1F5E21}">
  <dimension ref="A1:AJ182"/>
  <sheetViews>
    <sheetView topLeftCell="O1" workbookViewId="0">
      <selection activeCell="O3" sqref="O3:O34"/>
    </sheetView>
  </sheetViews>
  <sheetFormatPr defaultRowHeight="15"/>
  <cols>
    <col min="1" max="1" width="9.140625" style="27"/>
    <col min="2" max="2" width="17" style="27" customWidth="1"/>
    <col min="3" max="3" width="9.140625" style="27"/>
    <col min="4" max="4" width="39.7109375" style="27" customWidth="1"/>
    <col min="5" max="5" width="21.42578125" style="27" customWidth="1"/>
    <col min="6" max="6" width="14.5703125" style="27" customWidth="1"/>
    <col min="7" max="7" width="19.85546875" style="27" customWidth="1"/>
    <col min="8" max="8" width="32.85546875" style="27" customWidth="1"/>
    <col min="9" max="9" width="9.140625" style="27"/>
    <col min="10" max="10" width="21.28515625" style="27" customWidth="1"/>
    <col min="12" max="14" width="9.140625" style="27"/>
    <col min="15" max="15" width="29.140625" style="27" customWidth="1"/>
    <col min="16" max="16" width="21.85546875" style="27" customWidth="1"/>
    <col min="17" max="17" width="10.140625" style="27" customWidth="1"/>
    <col min="18" max="18" width="9.5703125" style="27" bestFit="1" customWidth="1"/>
    <col min="19" max="19" width="9.7109375" bestFit="1" customWidth="1"/>
    <col min="20" max="21" width="10.140625" bestFit="1" customWidth="1"/>
    <col min="22" max="22" width="9.7109375" bestFit="1" customWidth="1"/>
    <col min="23" max="23" width="9.85546875" bestFit="1" customWidth="1"/>
    <col min="24" max="24" width="9.85546875" customWidth="1"/>
    <col min="28" max="28" width="29" customWidth="1"/>
    <col min="31" max="31" width="21.5703125" customWidth="1"/>
    <col min="32" max="32" width="19.5703125" customWidth="1"/>
    <col min="33" max="33" width="22.28515625" customWidth="1"/>
    <col min="34" max="34" width="24" customWidth="1"/>
    <col min="35" max="35" width="18.140625" style="27" customWidth="1"/>
    <col min="36" max="36" width="21.28515625" style="27" customWidth="1"/>
    <col min="37" max="37" width="11.7109375" customWidth="1"/>
    <col min="38" max="38" width="10.7109375" customWidth="1"/>
  </cols>
  <sheetData>
    <row r="1" spans="1:36">
      <c r="AE1">
        <v>500</v>
      </c>
      <c r="AF1">
        <v>1000</v>
      </c>
      <c r="AG1" t="s">
        <v>40</v>
      </c>
      <c r="AH1" t="s">
        <v>40</v>
      </c>
      <c r="AI1" s="27" t="s">
        <v>71</v>
      </c>
      <c r="AJ1" s="27" t="s">
        <v>71</v>
      </c>
    </row>
    <row r="2" spans="1:36">
      <c r="A2" s="295" t="s">
        <v>322</v>
      </c>
      <c r="B2" s="295" t="s">
        <v>323</v>
      </c>
      <c r="C2" s="295" t="s">
        <v>324</v>
      </c>
      <c r="D2" s="295" t="s">
        <v>325</v>
      </c>
      <c r="E2" s="295" t="s">
        <v>326</v>
      </c>
      <c r="F2" s="295" t="s">
        <v>327</v>
      </c>
      <c r="G2" s="295" t="s">
        <v>328</v>
      </c>
      <c r="H2" s="295" t="s">
        <v>329</v>
      </c>
      <c r="I2" s="295" t="s">
        <v>71</v>
      </c>
      <c r="J2" s="295" t="s">
        <v>155</v>
      </c>
      <c r="L2" s="295" t="s">
        <v>322</v>
      </c>
      <c r="M2" s="295" t="s">
        <v>324</v>
      </c>
      <c r="N2" s="295" t="s">
        <v>325</v>
      </c>
      <c r="O2" s="295" t="s">
        <v>330</v>
      </c>
      <c r="P2" s="295" t="s">
        <v>331</v>
      </c>
      <c r="Q2" s="357">
        <v>46028</v>
      </c>
      <c r="R2" s="357">
        <v>46032</v>
      </c>
      <c r="S2" s="357">
        <v>46038</v>
      </c>
      <c r="T2" s="357">
        <v>46085</v>
      </c>
      <c r="U2" s="357">
        <v>46097</v>
      </c>
      <c r="V2" s="357">
        <v>46115</v>
      </c>
      <c r="W2" s="357">
        <v>46120</v>
      </c>
      <c r="X2" s="357"/>
      <c r="Y2" s="295" t="s">
        <v>322</v>
      </c>
      <c r="Z2" s="295" t="s">
        <v>324</v>
      </c>
      <c r="AA2" s="295" t="s">
        <v>325</v>
      </c>
      <c r="AB2" s="295" t="s">
        <v>330</v>
      </c>
      <c r="AC2" s="296" t="s">
        <v>331</v>
      </c>
      <c r="AD2" s="296" t="s">
        <v>332</v>
      </c>
      <c r="AE2" s="296" t="s">
        <v>333</v>
      </c>
      <c r="AF2" s="296" t="s">
        <v>334</v>
      </c>
      <c r="AG2" s="296" t="s">
        <v>333</v>
      </c>
      <c r="AH2" s="296" t="s">
        <v>334</v>
      </c>
      <c r="AI2" s="296" t="s">
        <v>335</v>
      </c>
      <c r="AJ2" s="296" t="s">
        <v>336</v>
      </c>
    </row>
    <row r="3" spans="1:36">
      <c r="A3" s="29">
        <v>25</v>
      </c>
      <c r="B3" s="299">
        <v>46028</v>
      </c>
      <c r="C3" s="206" t="s">
        <v>337</v>
      </c>
      <c r="D3" s="300" t="s">
        <v>338</v>
      </c>
      <c r="E3" s="300"/>
      <c r="F3" s="292" t="s">
        <v>224</v>
      </c>
      <c r="G3" s="206">
        <f>G12-500</f>
        <v>47050</v>
      </c>
      <c r="H3" s="206" t="s">
        <v>339</v>
      </c>
      <c r="I3" s="206">
        <v>1000</v>
      </c>
      <c r="J3" s="206">
        <f>SUM(G3:I3)</f>
        <v>48050</v>
      </c>
      <c r="L3" s="206">
        <v>1</v>
      </c>
      <c r="M3" s="206" t="s">
        <v>340</v>
      </c>
      <c r="N3" s="206" t="s">
        <v>341</v>
      </c>
      <c r="O3" s="206" t="s">
        <v>342</v>
      </c>
      <c r="P3" s="206" t="str">
        <f>_xlfn.XLOOKUP(O3,AB:AB,AC:AC,"")</f>
        <v>SAIL</v>
      </c>
      <c r="Q3" s="29">
        <f>SUMIFS(J:J,B:B,$Q$2,A:A,L3)</f>
        <v>50000</v>
      </c>
      <c r="R3" s="29">
        <f>SUMIFS(J:J,B:B,$R$2,A:A,L3)</f>
        <v>51500</v>
      </c>
      <c r="S3" s="11">
        <f>SUMIFS(J:J,B:B,$S$2,A:A,L3)</f>
        <v>52000</v>
      </c>
      <c r="T3">
        <f>SUMIFS(J:J,B:B,$T$2,A:A,L3)</f>
        <v>58500</v>
      </c>
      <c r="U3">
        <f>SUMIFS(J:J,B:B,$U$2,A:A,L3)</f>
        <v>58500</v>
      </c>
      <c r="V3">
        <f>SUMIFS(J:J,B:B,$V$2,A:A,L3)</f>
        <v>59500</v>
      </c>
      <c r="W3">
        <f>SUMIFS(J:J,B:B,$W$2,A:A,L3)</f>
        <v>60000</v>
      </c>
      <c r="Y3" s="206">
        <v>1</v>
      </c>
      <c r="Z3" s="206" t="s">
        <v>340</v>
      </c>
      <c r="AA3" s="206" t="s">
        <v>341</v>
      </c>
      <c r="AB3" s="206" t="s">
        <v>342</v>
      </c>
      <c r="AC3" s="298" t="s">
        <v>226</v>
      </c>
      <c r="AD3" s="298">
        <f>_xlfn.XLOOKUP(Y3,A:A,J:J,"")</f>
        <v>50000</v>
      </c>
      <c r="AE3" s="298">
        <f>AD3-$AE$1</f>
        <v>49500</v>
      </c>
      <c r="AF3" s="298">
        <f>AD3-$AF$1</f>
        <v>49000</v>
      </c>
      <c r="AG3" s="43" t="s">
        <v>37</v>
      </c>
      <c r="AH3" s="43" t="s">
        <v>343</v>
      </c>
      <c r="AI3" s="29"/>
      <c r="AJ3" s="29"/>
    </row>
    <row r="4" spans="1:36">
      <c r="A4" s="29">
        <v>26</v>
      </c>
      <c r="B4" s="299">
        <f>B3</f>
        <v>46028</v>
      </c>
      <c r="C4" s="206" t="s">
        <v>337</v>
      </c>
      <c r="D4" s="300" t="s">
        <v>344</v>
      </c>
      <c r="E4" s="300"/>
      <c r="F4" s="292" t="s">
        <v>224</v>
      </c>
      <c r="G4" s="206">
        <f>G3</f>
        <v>47050</v>
      </c>
      <c r="H4" s="206" t="s">
        <v>339</v>
      </c>
      <c r="I4" s="206">
        <v>2200</v>
      </c>
      <c r="J4" s="206">
        <f>SUM(G4:I4)-500</f>
        <v>48750</v>
      </c>
      <c r="L4" s="206">
        <v>2</v>
      </c>
      <c r="M4" s="206" t="s">
        <v>340</v>
      </c>
      <c r="N4" s="206" t="s">
        <v>345</v>
      </c>
      <c r="O4" s="206" t="s">
        <v>346</v>
      </c>
      <c r="P4" s="206" t="str">
        <f t="shared" ref="P4:P34" si="0">_xlfn.XLOOKUP(O4,AB:AB,AC:AC,"")</f>
        <v>JSPL</v>
      </c>
      <c r="Q4" s="29">
        <f t="shared" ref="Q4:Q34" si="1">SUMIFS(J:J,B:B,$Q$2,A:A,L4)</f>
        <v>50750</v>
      </c>
      <c r="R4" s="29">
        <f t="shared" ref="R4:R34" si="2">SUMIFS(J:J,B:B,$R$2,A:A,L4)</f>
        <v>51250</v>
      </c>
      <c r="S4" s="11">
        <f>SUMIFS(J:J,B:B,$S$2,A:A,L4)</f>
        <v>52000</v>
      </c>
      <c r="T4">
        <f>SUMIFS(J:J,B:B,$T$2,A:A,L4)</f>
        <v>57700</v>
      </c>
      <c r="U4">
        <f t="shared" ref="U4:U34" si="3">SUMIFS(J:J,B:B,$U$2,A:A,L4)</f>
        <v>57700</v>
      </c>
      <c r="V4">
        <f t="shared" ref="V4:V34" si="4">SUMIFS(J:J,B:B,$V$2,A:A,L4)</f>
        <v>59700</v>
      </c>
      <c r="W4">
        <f>SUMIFS(J:J,B:B,$W$2,A:A,L4)</f>
        <v>59700</v>
      </c>
      <c r="Y4" s="206">
        <v>2</v>
      </c>
      <c r="Z4" s="206" t="s">
        <v>340</v>
      </c>
      <c r="AA4" s="206" t="s">
        <v>345</v>
      </c>
      <c r="AB4" s="206" t="s">
        <v>346</v>
      </c>
      <c r="AC4" s="298" t="s">
        <v>224</v>
      </c>
      <c r="AD4" s="298">
        <f>_xlfn.XLOOKUP(Y4,A:A,J:J,"")</f>
        <v>50750</v>
      </c>
      <c r="AE4" s="298">
        <f t="shared" ref="AE4:AE34" si="5">AD4-$AE$1</f>
        <v>50250</v>
      </c>
      <c r="AF4" s="298">
        <f t="shared" ref="AF4:AF34" si="6">AD4-$AF$1</f>
        <v>49750</v>
      </c>
      <c r="AG4" s="43" t="str">
        <f>AG3</f>
        <v>Gwalior</v>
      </c>
      <c r="AH4" s="43" t="str">
        <f>AH3</f>
        <v>Sikandrabad</v>
      </c>
      <c r="AI4" s="29"/>
      <c r="AJ4" s="29"/>
    </row>
    <row r="5" spans="1:36">
      <c r="A5" s="29">
        <v>21</v>
      </c>
      <c r="B5" s="299">
        <f t="shared" ref="B5:B17" si="7">B4</f>
        <v>46028</v>
      </c>
      <c r="C5" s="206" t="s">
        <v>337</v>
      </c>
      <c r="D5" s="300" t="s">
        <v>347</v>
      </c>
      <c r="E5" s="300"/>
      <c r="F5" s="292" t="s">
        <v>226</v>
      </c>
      <c r="G5" s="294">
        <f>47000</f>
        <v>47000</v>
      </c>
      <c r="H5" s="206" t="s">
        <v>348</v>
      </c>
      <c r="I5" s="206">
        <v>1000</v>
      </c>
      <c r="J5" s="206">
        <f>SUM(G5:I5)</f>
        <v>48000</v>
      </c>
      <c r="L5" s="206">
        <v>3</v>
      </c>
      <c r="M5" s="206" t="s">
        <v>340</v>
      </c>
      <c r="N5" s="206" t="s">
        <v>349</v>
      </c>
      <c r="O5" s="206" t="s">
        <v>350</v>
      </c>
      <c r="P5" s="206" t="str">
        <f t="shared" si="0"/>
        <v>SAIL</v>
      </c>
      <c r="Q5" s="29">
        <f t="shared" si="1"/>
        <v>50000</v>
      </c>
      <c r="R5" s="29">
        <f t="shared" si="2"/>
        <v>51500</v>
      </c>
      <c r="S5" s="11">
        <f>SUMIFS(J:J,B:B,$S$2,A:A,L5)</f>
        <v>52000</v>
      </c>
      <c r="T5">
        <f>SUMIFS(J:J,B:B,$T$2,A:A,L5)</f>
        <v>58500</v>
      </c>
      <c r="U5">
        <f t="shared" si="3"/>
        <v>58500</v>
      </c>
      <c r="V5">
        <f t="shared" si="4"/>
        <v>59500</v>
      </c>
      <c r="W5">
        <f>SUMIFS(J:J,B:B,$W$2,A:A,L5)</f>
        <v>60000</v>
      </c>
      <c r="Y5" s="206">
        <v>3</v>
      </c>
      <c r="Z5" s="206" t="s">
        <v>340</v>
      </c>
      <c r="AA5" s="206" t="s">
        <v>349</v>
      </c>
      <c r="AB5" s="206" t="s">
        <v>350</v>
      </c>
      <c r="AC5" s="298" t="s">
        <v>226</v>
      </c>
      <c r="AD5" s="298">
        <f>_xlfn.XLOOKUP(Y5,A:A,J:J,"")</f>
        <v>50000</v>
      </c>
      <c r="AE5" s="298">
        <f t="shared" si="5"/>
        <v>49500</v>
      </c>
      <c r="AF5" s="298">
        <f t="shared" si="6"/>
        <v>49000</v>
      </c>
      <c r="AG5" s="43" t="str">
        <f>AG3</f>
        <v>Gwalior</v>
      </c>
      <c r="AH5" s="43" t="str">
        <f>AH3</f>
        <v>Sikandrabad</v>
      </c>
      <c r="AI5" s="29"/>
      <c r="AJ5" s="29"/>
    </row>
    <row r="6" spans="1:36">
      <c r="A6" s="29">
        <v>16</v>
      </c>
      <c r="B6" s="299">
        <f t="shared" si="7"/>
        <v>46028</v>
      </c>
      <c r="C6" s="206" t="s">
        <v>337</v>
      </c>
      <c r="D6" s="300" t="s">
        <v>351</v>
      </c>
      <c r="E6" s="300"/>
      <c r="F6" s="292" t="s">
        <v>224</v>
      </c>
      <c r="G6" s="206">
        <f>G12+500</f>
        <v>48050</v>
      </c>
      <c r="H6" s="206" t="s">
        <v>352</v>
      </c>
      <c r="I6" s="206">
        <v>1000</v>
      </c>
      <c r="J6" s="206">
        <f>SUM(G6:I6)</f>
        <v>49050</v>
      </c>
      <c r="L6" s="206">
        <v>4</v>
      </c>
      <c r="M6" s="206" t="s">
        <v>340</v>
      </c>
      <c r="N6" s="206" t="s">
        <v>353</v>
      </c>
      <c r="O6" s="206" t="s">
        <v>354</v>
      </c>
      <c r="P6" s="206" t="str">
        <f t="shared" si="0"/>
        <v>SAIL</v>
      </c>
      <c r="Q6" s="29">
        <f t="shared" si="1"/>
        <v>49000</v>
      </c>
      <c r="R6" s="29">
        <f t="shared" si="2"/>
        <v>50500</v>
      </c>
      <c r="S6" s="11">
        <f>SUMIFS(J:J,B:B,$S$2,A:A,L6)</f>
        <v>51000</v>
      </c>
      <c r="T6">
        <f>SUMIFS(J:J,B:B,$T$2,A:A,L6)</f>
        <v>57500</v>
      </c>
      <c r="U6">
        <f t="shared" si="3"/>
        <v>57500</v>
      </c>
      <c r="V6">
        <f t="shared" si="4"/>
        <v>58500</v>
      </c>
      <c r="W6">
        <f>SUMIFS(J:J,B:B,$W$2,A:A,L6)</f>
        <v>59000</v>
      </c>
      <c r="Y6" s="206">
        <v>4</v>
      </c>
      <c r="Z6" s="206" t="s">
        <v>340</v>
      </c>
      <c r="AA6" s="206" t="s">
        <v>353</v>
      </c>
      <c r="AB6" s="206" t="s">
        <v>354</v>
      </c>
      <c r="AC6" s="298" t="s">
        <v>226</v>
      </c>
      <c r="AD6" s="298">
        <f>_xlfn.XLOOKUP(Y6,A:A,J:J,"")</f>
        <v>49000</v>
      </c>
      <c r="AE6" s="298">
        <f t="shared" si="5"/>
        <v>48500</v>
      </c>
      <c r="AF6" s="298">
        <f t="shared" si="6"/>
        <v>48000</v>
      </c>
      <c r="AG6" s="43" t="s">
        <v>222</v>
      </c>
      <c r="AH6" s="43" t="s">
        <v>24</v>
      </c>
      <c r="AI6" s="29"/>
      <c r="AJ6" s="29"/>
    </row>
    <row r="7" spans="1:36">
      <c r="A7" s="29">
        <v>4</v>
      </c>
      <c r="B7" s="299">
        <f t="shared" si="7"/>
        <v>46028</v>
      </c>
      <c r="C7" s="206" t="s">
        <v>340</v>
      </c>
      <c r="D7" s="300" t="s">
        <v>355</v>
      </c>
      <c r="E7" s="300"/>
      <c r="F7" s="292" t="s">
        <v>226</v>
      </c>
      <c r="G7" s="206">
        <f>G5-500</f>
        <v>46500</v>
      </c>
      <c r="H7" s="206" t="s">
        <v>356</v>
      </c>
      <c r="I7" s="206">
        <v>2500</v>
      </c>
      <c r="J7" s="206">
        <f>SUM(G7:I7)</f>
        <v>49000</v>
      </c>
      <c r="L7" s="206">
        <v>5</v>
      </c>
      <c r="M7" s="206" t="s">
        <v>340</v>
      </c>
      <c r="N7" s="206" t="s">
        <v>357</v>
      </c>
      <c r="O7" s="206" t="s">
        <v>45</v>
      </c>
      <c r="P7" s="206" t="str">
        <f t="shared" si="0"/>
        <v>SAIL</v>
      </c>
      <c r="Q7" s="29">
        <f t="shared" si="1"/>
        <v>50500</v>
      </c>
      <c r="R7" s="29">
        <f t="shared" si="2"/>
        <v>52000</v>
      </c>
      <c r="S7" s="11">
        <f>SUMIFS(J:J,B:B,$S$2,A:A,L7)</f>
        <v>52500</v>
      </c>
      <c r="T7">
        <f>SUMIFS(J:J,B:B,$T$2,A:A,L7)</f>
        <v>59000</v>
      </c>
      <c r="U7">
        <f t="shared" si="3"/>
        <v>59000</v>
      </c>
      <c r="V7">
        <f t="shared" si="4"/>
        <v>60000</v>
      </c>
      <c r="W7">
        <f>SUMIFS(J:J,B:B,$W$2,A:A,L7)</f>
        <v>60500</v>
      </c>
      <c r="Y7" s="206">
        <v>5</v>
      </c>
      <c r="Z7" s="206" t="s">
        <v>340</v>
      </c>
      <c r="AA7" s="206" t="s">
        <v>357</v>
      </c>
      <c r="AB7" s="206" t="s">
        <v>45</v>
      </c>
      <c r="AC7" s="298" t="s">
        <v>226</v>
      </c>
      <c r="AD7" s="298">
        <f>_xlfn.XLOOKUP(Y7,A:A,J:J,"")</f>
        <v>50500</v>
      </c>
      <c r="AE7" s="298">
        <f t="shared" si="5"/>
        <v>50000</v>
      </c>
      <c r="AF7" s="298">
        <f t="shared" si="6"/>
        <v>49500</v>
      </c>
      <c r="AG7" s="43" t="str">
        <f>AG3</f>
        <v>Gwalior</v>
      </c>
      <c r="AH7" s="43" t="s">
        <v>37</v>
      </c>
      <c r="AI7" s="29"/>
      <c r="AJ7" s="29"/>
    </row>
    <row r="8" spans="1:36">
      <c r="A8" s="29">
        <v>11</v>
      </c>
      <c r="B8" s="299">
        <f t="shared" si="7"/>
        <v>46028</v>
      </c>
      <c r="C8" s="206" t="s">
        <v>340</v>
      </c>
      <c r="D8" s="300" t="s">
        <v>358</v>
      </c>
      <c r="E8" s="300"/>
      <c r="F8" s="292" t="s">
        <v>226</v>
      </c>
      <c r="G8" s="206">
        <f>G5</f>
        <v>47000</v>
      </c>
      <c r="H8" s="206" t="s">
        <v>348</v>
      </c>
      <c r="I8" s="206">
        <v>3500</v>
      </c>
      <c r="J8" s="206">
        <f>SUM(G8:I8)</f>
        <v>50500</v>
      </c>
      <c r="L8" s="206">
        <v>6</v>
      </c>
      <c r="M8" s="206" t="s">
        <v>340</v>
      </c>
      <c r="N8" s="206" t="s">
        <v>359</v>
      </c>
      <c r="O8" s="206" t="s">
        <v>360</v>
      </c>
      <c r="P8" s="206" t="str">
        <f t="shared" si="0"/>
        <v>TATA</v>
      </c>
      <c r="Q8" s="29">
        <f t="shared" si="1"/>
        <v>53000</v>
      </c>
      <c r="R8" s="29">
        <f t="shared" si="2"/>
        <v>53500</v>
      </c>
      <c r="S8" s="11">
        <f>SUMIFS(J:J,B:B,$S$2,A:A,L8)</f>
        <v>53500</v>
      </c>
      <c r="T8">
        <f>SUMIFS(J:J,B:B,$T$2,A:A,L8)</f>
        <v>60500</v>
      </c>
      <c r="U8">
        <f t="shared" si="3"/>
        <v>60500</v>
      </c>
      <c r="V8">
        <f t="shared" si="4"/>
        <v>62000</v>
      </c>
      <c r="W8">
        <f>SUMIFS(J:J,B:B,$W$2,A:A,L8)</f>
        <v>62000</v>
      </c>
      <c r="Y8" s="206">
        <v>6</v>
      </c>
      <c r="Z8" s="206" t="s">
        <v>340</v>
      </c>
      <c r="AA8" s="206" t="s">
        <v>359</v>
      </c>
      <c r="AB8" s="206" t="s">
        <v>360</v>
      </c>
      <c r="AC8" s="298" t="s">
        <v>361</v>
      </c>
      <c r="AD8" s="298">
        <f>_xlfn.XLOOKUP(Y8,A:A,J:J,"")</f>
        <v>53000</v>
      </c>
      <c r="AE8" s="298">
        <f t="shared" si="5"/>
        <v>52500</v>
      </c>
      <c r="AF8" s="298">
        <f t="shared" si="6"/>
        <v>52000</v>
      </c>
      <c r="AG8" s="43" t="str">
        <f>AG3</f>
        <v>Gwalior</v>
      </c>
      <c r="AH8" s="43" t="s">
        <v>362</v>
      </c>
      <c r="AI8" s="29"/>
      <c r="AJ8" s="29">
        <v>2000</v>
      </c>
    </row>
    <row r="9" spans="1:36">
      <c r="A9" s="29">
        <v>9</v>
      </c>
      <c r="B9" s="299">
        <f t="shared" si="7"/>
        <v>46028</v>
      </c>
      <c r="C9" s="206" t="s">
        <v>340</v>
      </c>
      <c r="D9" s="300" t="s">
        <v>363</v>
      </c>
      <c r="E9" s="300"/>
      <c r="F9" s="292" t="s">
        <v>364</v>
      </c>
      <c r="G9" s="206"/>
      <c r="H9" s="206"/>
      <c r="I9" s="206"/>
      <c r="J9" s="294">
        <v>52500</v>
      </c>
      <c r="L9" s="206">
        <v>7</v>
      </c>
      <c r="M9" s="206" t="s">
        <v>340</v>
      </c>
      <c r="N9" s="206" t="s">
        <v>359</v>
      </c>
      <c r="O9" s="206" t="s">
        <v>365</v>
      </c>
      <c r="P9" s="206" t="str">
        <f t="shared" si="0"/>
        <v>TATA</v>
      </c>
      <c r="Q9" s="29">
        <f t="shared" si="1"/>
        <v>53500</v>
      </c>
      <c r="R9" s="29">
        <f t="shared" si="2"/>
        <v>54000</v>
      </c>
      <c r="S9" s="11">
        <f>SUMIFS(J:J,B:B,$S$2,A:A,L9)</f>
        <v>54000</v>
      </c>
      <c r="T9">
        <f>SUMIFS(J:J,B:B,$T$2,A:A,L9)</f>
        <v>61000</v>
      </c>
      <c r="U9">
        <f t="shared" si="3"/>
        <v>61000</v>
      </c>
      <c r="V9">
        <f t="shared" si="4"/>
        <v>62500</v>
      </c>
      <c r="W9">
        <f>SUMIFS(J:J,B:B,$W$2,A:A,L9)</f>
        <v>62500</v>
      </c>
      <c r="Y9" s="206">
        <v>7</v>
      </c>
      <c r="Z9" s="206" t="s">
        <v>340</v>
      </c>
      <c r="AA9" s="206" t="s">
        <v>359</v>
      </c>
      <c r="AB9" s="206" t="s">
        <v>365</v>
      </c>
      <c r="AC9" s="298" t="s">
        <v>361</v>
      </c>
      <c r="AD9" s="298">
        <f>_xlfn.XLOOKUP(Y9,A:A,J:J,"")</f>
        <v>53500</v>
      </c>
      <c r="AE9" s="298">
        <f t="shared" si="5"/>
        <v>53000</v>
      </c>
      <c r="AF9" s="298">
        <f t="shared" si="6"/>
        <v>52500</v>
      </c>
      <c r="AG9" s="43" t="str">
        <f>AG3</f>
        <v>Gwalior</v>
      </c>
      <c r="AH9" s="43" t="str">
        <f>AH8</f>
        <v>Kala amb</v>
      </c>
      <c r="AI9" s="29"/>
      <c r="AJ9" s="29"/>
    </row>
    <row r="10" spans="1:36">
      <c r="A10" s="29">
        <v>3</v>
      </c>
      <c r="B10" s="299">
        <f t="shared" si="7"/>
        <v>46028</v>
      </c>
      <c r="C10" s="206" t="s">
        <v>340</v>
      </c>
      <c r="D10" s="300" t="s">
        <v>366</v>
      </c>
      <c r="E10" s="300"/>
      <c r="F10" s="292" t="s">
        <v>226</v>
      </c>
      <c r="G10" s="206">
        <f>G5</f>
        <v>47000</v>
      </c>
      <c r="H10" s="206" t="s">
        <v>348</v>
      </c>
      <c r="I10" s="206">
        <v>3000</v>
      </c>
      <c r="J10" s="206">
        <f>SUM(G10:I10)</f>
        <v>50000</v>
      </c>
      <c r="L10" s="206">
        <v>8</v>
      </c>
      <c r="M10" s="206" t="s">
        <v>340</v>
      </c>
      <c r="N10" s="206" t="s">
        <v>367</v>
      </c>
      <c r="O10" s="206" t="s">
        <v>368</v>
      </c>
      <c r="P10" s="206" t="str">
        <f t="shared" si="0"/>
        <v>SAIL</v>
      </c>
      <c r="Q10" s="29">
        <f t="shared" si="1"/>
        <v>52250</v>
      </c>
      <c r="R10" s="29">
        <f t="shared" si="2"/>
        <v>52750</v>
      </c>
      <c r="S10" s="11">
        <f>SUMIFS(J:J,B:B,$S$2,A:A,L10)</f>
        <v>52750</v>
      </c>
      <c r="T10">
        <f>SUMIFS(J:J,B:B,$T$2,A:A,L10)</f>
        <v>59750</v>
      </c>
      <c r="U10">
        <f t="shared" si="3"/>
        <v>59750</v>
      </c>
      <c r="V10">
        <f t="shared" si="4"/>
        <v>61250</v>
      </c>
      <c r="W10">
        <f>SUMIFS(J:J,B:B,$W$2,A:A,L10)</f>
        <v>61250</v>
      </c>
      <c r="Y10" s="206">
        <v>8</v>
      </c>
      <c r="Z10" s="206" t="s">
        <v>340</v>
      </c>
      <c r="AA10" s="206" t="s">
        <v>367</v>
      </c>
      <c r="AB10" s="206" t="s">
        <v>368</v>
      </c>
      <c r="AC10" s="298" t="s">
        <v>226</v>
      </c>
      <c r="AD10" s="298">
        <f>_xlfn.XLOOKUP(Y10,A:A,J:J,"")</f>
        <v>52250</v>
      </c>
      <c r="AE10" s="298">
        <f t="shared" si="5"/>
        <v>51750</v>
      </c>
      <c r="AF10" s="298">
        <f t="shared" si="6"/>
        <v>51250</v>
      </c>
      <c r="AG10" s="43" t="str">
        <f>AG3</f>
        <v>Gwalior</v>
      </c>
      <c r="AH10" s="43" t="str">
        <f>AH8</f>
        <v>Kala amb</v>
      </c>
      <c r="AI10" s="29"/>
      <c r="AJ10" s="29"/>
    </row>
    <row r="11" spans="1:36">
      <c r="A11" s="29">
        <v>1</v>
      </c>
      <c r="B11" s="299">
        <f t="shared" si="7"/>
        <v>46028</v>
      </c>
      <c r="C11" s="206" t="s">
        <v>340</v>
      </c>
      <c r="D11" s="300" t="s">
        <v>369</v>
      </c>
      <c r="E11" s="300"/>
      <c r="F11" s="292" t="s">
        <v>226</v>
      </c>
      <c r="G11" s="206">
        <f>G5</f>
        <v>47000</v>
      </c>
      <c r="H11" s="206" t="s">
        <v>348</v>
      </c>
      <c r="I11" s="206">
        <v>3000</v>
      </c>
      <c r="J11" s="206">
        <f>SUM(G11:I11)</f>
        <v>50000</v>
      </c>
      <c r="L11" s="206">
        <v>9</v>
      </c>
      <c r="M11" s="206" t="s">
        <v>340</v>
      </c>
      <c r="N11" s="206" t="s">
        <v>370</v>
      </c>
      <c r="O11" s="206" t="s">
        <v>371</v>
      </c>
      <c r="P11" s="206" t="str">
        <f t="shared" si="0"/>
        <v>TATA</v>
      </c>
      <c r="Q11" s="29">
        <f t="shared" si="1"/>
        <v>52500</v>
      </c>
      <c r="R11" s="29">
        <f t="shared" si="2"/>
        <v>53000</v>
      </c>
      <c r="S11" s="11">
        <f>SUMIFS(J:J,B:B,$S$2,A:A,L11)</f>
        <v>53000</v>
      </c>
      <c r="T11">
        <f>SUMIFS(J:J,B:B,$T$2,A:A,L11)</f>
        <v>60000</v>
      </c>
      <c r="U11">
        <f t="shared" si="3"/>
        <v>60000</v>
      </c>
      <c r="V11">
        <f t="shared" si="4"/>
        <v>61500</v>
      </c>
      <c r="W11">
        <f>SUMIFS(J:J,B:B,$W$2,A:A,L11)</f>
        <v>61500</v>
      </c>
      <c r="Y11" s="206">
        <v>9</v>
      </c>
      <c r="Z11" s="206" t="s">
        <v>340</v>
      </c>
      <c r="AA11" s="206" t="s">
        <v>370</v>
      </c>
      <c r="AB11" s="206" t="s">
        <v>371</v>
      </c>
      <c r="AC11" s="298" t="s">
        <v>361</v>
      </c>
      <c r="AD11" s="298">
        <f>_xlfn.XLOOKUP(Y11,A:A,J:J,"")</f>
        <v>52500</v>
      </c>
      <c r="AE11" s="298">
        <f t="shared" si="5"/>
        <v>52000</v>
      </c>
      <c r="AF11" s="298">
        <f t="shared" si="6"/>
        <v>51500</v>
      </c>
      <c r="AG11" s="43" t="str">
        <f>AG3</f>
        <v>Gwalior</v>
      </c>
      <c r="AH11" s="43" t="str">
        <f>AH8</f>
        <v>Kala amb</v>
      </c>
      <c r="AI11" s="29"/>
      <c r="AJ11" s="29"/>
    </row>
    <row r="12" spans="1:36">
      <c r="A12" s="29">
        <v>2</v>
      </c>
      <c r="B12" s="299">
        <f t="shared" si="7"/>
        <v>46028</v>
      </c>
      <c r="C12" s="206" t="s">
        <v>340</v>
      </c>
      <c r="D12" s="300" t="s">
        <v>372</v>
      </c>
      <c r="E12" s="300"/>
      <c r="F12" s="292" t="s">
        <v>224</v>
      </c>
      <c r="G12" s="294">
        <f>(50500-3200)+250</f>
        <v>47550</v>
      </c>
      <c r="H12" s="293" t="s">
        <v>352</v>
      </c>
      <c r="I12" s="206">
        <v>3200</v>
      </c>
      <c r="J12" s="206">
        <f>SUM(G12:I12)</f>
        <v>50750</v>
      </c>
      <c r="L12" s="206">
        <v>10</v>
      </c>
      <c r="M12" s="206" t="s">
        <v>340</v>
      </c>
      <c r="N12" s="206" t="s">
        <v>373</v>
      </c>
      <c r="O12" s="206" t="s">
        <v>374</v>
      </c>
      <c r="P12" s="206" t="str">
        <f t="shared" si="0"/>
        <v>TATA</v>
      </c>
      <c r="Q12" s="29">
        <f t="shared" si="1"/>
        <v>52250</v>
      </c>
      <c r="R12" s="29">
        <f t="shared" si="2"/>
        <v>52750</v>
      </c>
      <c r="S12" s="11">
        <f>SUMIFS(J:J,B:B,$S$2,A:A,L12)</f>
        <v>52750</v>
      </c>
      <c r="T12">
        <f>SUMIFS(J:J,B:B,$T$2,A:A,L12)</f>
        <v>59750</v>
      </c>
      <c r="U12">
        <f t="shared" si="3"/>
        <v>59750</v>
      </c>
      <c r="V12">
        <f t="shared" si="4"/>
        <v>61250</v>
      </c>
      <c r="W12">
        <f>SUMIFS(J:J,B:B,$W$2,A:A,L12)</f>
        <v>61250</v>
      </c>
      <c r="Y12" s="206">
        <v>10</v>
      </c>
      <c r="Z12" s="206" t="s">
        <v>340</v>
      </c>
      <c r="AA12" s="206" t="s">
        <v>373</v>
      </c>
      <c r="AB12" s="206" t="s">
        <v>374</v>
      </c>
      <c r="AC12" s="298" t="s">
        <v>361</v>
      </c>
      <c r="AD12" s="298">
        <f>_xlfn.XLOOKUP(Y12,A:A,J:J,"")</f>
        <v>52250</v>
      </c>
      <c r="AE12" s="298">
        <f t="shared" si="5"/>
        <v>51750</v>
      </c>
      <c r="AF12" s="298">
        <f t="shared" si="6"/>
        <v>51250</v>
      </c>
      <c r="AG12" s="43" t="str">
        <f>AG3</f>
        <v>Gwalior</v>
      </c>
      <c r="AH12" s="43" t="str">
        <f>AH3</f>
        <v>Sikandrabad</v>
      </c>
      <c r="AI12" s="29"/>
      <c r="AJ12" s="29"/>
    </row>
    <row r="13" spans="1:36">
      <c r="A13" s="29">
        <v>5</v>
      </c>
      <c r="B13" s="299">
        <f t="shared" si="7"/>
        <v>46028</v>
      </c>
      <c r="C13" s="206" t="s">
        <v>340</v>
      </c>
      <c r="D13" s="300" t="s">
        <v>375</v>
      </c>
      <c r="E13" s="300"/>
      <c r="F13" s="292" t="s">
        <v>226</v>
      </c>
      <c r="G13" s="206">
        <f>G5</f>
        <v>47000</v>
      </c>
      <c r="H13" s="206" t="s">
        <v>348</v>
      </c>
      <c r="I13" s="206">
        <v>3500</v>
      </c>
      <c r="J13" s="206">
        <f>SUM(G13:I13)</f>
        <v>50500</v>
      </c>
      <c r="L13" s="206">
        <v>11</v>
      </c>
      <c r="M13" s="206" t="s">
        <v>340</v>
      </c>
      <c r="N13" s="206" t="s">
        <v>376</v>
      </c>
      <c r="O13" s="206" t="s">
        <v>377</v>
      </c>
      <c r="P13" s="206" t="str">
        <f t="shared" si="0"/>
        <v>SAIL</v>
      </c>
      <c r="Q13" s="29">
        <f t="shared" si="1"/>
        <v>50500</v>
      </c>
      <c r="R13" s="29">
        <f t="shared" si="2"/>
        <v>52000</v>
      </c>
      <c r="S13" s="11">
        <f>SUMIFS(J:J,B:B,$S$2,A:A,L13)</f>
        <v>52500</v>
      </c>
      <c r="T13">
        <f>SUMIFS(J:J,B:B,$T$2,A:A,L13)</f>
        <v>59000</v>
      </c>
      <c r="U13">
        <f t="shared" si="3"/>
        <v>59000</v>
      </c>
      <c r="V13">
        <f t="shared" si="4"/>
        <v>60000</v>
      </c>
      <c r="W13">
        <f>SUMIFS(J:J,B:B,$W$2,A:A,L13)</f>
        <v>60500</v>
      </c>
      <c r="Y13" s="206">
        <v>11</v>
      </c>
      <c r="Z13" s="206" t="s">
        <v>340</v>
      </c>
      <c r="AA13" s="206" t="s">
        <v>376</v>
      </c>
      <c r="AB13" s="206" t="s">
        <v>377</v>
      </c>
      <c r="AC13" s="298" t="s">
        <v>226</v>
      </c>
      <c r="AD13" s="298">
        <f>_xlfn.XLOOKUP(Y13,A:A,J:J,"")</f>
        <v>50500</v>
      </c>
      <c r="AE13" s="298">
        <f t="shared" si="5"/>
        <v>50000</v>
      </c>
      <c r="AF13" s="298">
        <f t="shared" si="6"/>
        <v>49500</v>
      </c>
      <c r="AG13" s="43" t="str">
        <f>AG3</f>
        <v>Gwalior</v>
      </c>
      <c r="AH13" s="43" t="str">
        <f>AH8</f>
        <v>Kala amb</v>
      </c>
      <c r="AI13" s="29"/>
      <c r="AJ13" s="29"/>
    </row>
    <row r="14" spans="1:36">
      <c r="A14" s="29">
        <v>10</v>
      </c>
      <c r="B14" s="299">
        <f t="shared" si="7"/>
        <v>46028</v>
      </c>
      <c r="C14" s="206" t="s">
        <v>340</v>
      </c>
      <c r="D14" s="300" t="s">
        <v>378</v>
      </c>
      <c r="E14" s="300"/>
      <c r="F14" s="292" t="s">
        <v>364</v>
      </c>
      <c r="G14" s="206"/>
      <c r="H14" s="206"/>
      <c r="I14" s="206"/>
      <c r="J14" s="206">
        <f>J9-250</f>
        <v>52250</v>
      </c>
      <c r="L14" s="206">
        <v>12</v>
      </c>
      <c r="M14" s="206" t="s">
        <v>379</v>
      </c>
      <c r="N14" s="206" t="s">
        <v>380</v>
      </c>
      <c r="O14" s="206" t="s">
        <v>96</v>
      </c>
      <c r="P14" s="206" t="str">
        <f t="shared" si="0"/>
        <v>JSPL</v>
      </c>
      <c r="Q14" s="29">
        <f t="shared" si="1"/>
        <v>48750</v>
      </c>
      <c r="R14" s="29">
        <f t="shared" si="2"/>
        <v>49250</v>
      </c>
      <c r="S14" s="11">
        <f>SUMIFS(J:J,B:B,$S$2,A:A,L14)</f>
        <v>50000</v>
      </c>
      <c r="T14">
        <f>SUMIFS(J:J,B:B,$T$2,A:A,L14)</f>
        <v>55700</v>
      </c>
      <c r="U14">
        <f t="shared" si="3"/>
        <v>55700</v>
      </c>
      <c r="V14">
        <f t="shared" si="4"/>
        <v>57700</v>
      </c>
      <c r="W14">
        <f>SUMIFS(J:J,B:B,$W$2,A:A,L14)</f>
        <v>57700</v>
      </c>
      <c r="Y14" s="206">
        <v>12</v>
      </c>
      <c r="Z14" s="206" t="s">
        <v>379</v>
      </c>
      <c r="AA14" s="206" t="s">
        <v>380</v>
      </c>
      <c r="AB14" s="206" t="s">
        <v>96</v>
      </c>
      <c r="AC14" s="298" t="s">
        <v>224</v>
      </c>
      <c r="AD14" s="298">
        <f>_xlfn.XLOOKUP(Y14,A:A,J:J,"")</f>
        <v>48750</v>
      </c>
      <c r="AE14" s="298">
        <f t="shared" si="5"/>
        <v>48250</v>
      </c>
      <c r="AF14" s="298">
        <f t="shared" si="6"/>
        <v>47750</v>
      </c>
      <c r="AG14" s="43" t="str">
        <f>AG6</f>
        <v>Real Ispat</v>
      </c>
      <c r="AH14" s="43" t="str">
        <f>$AH$6</f>
        <v>SKA</v>
      </c>
      <c r="AI14" s="29"/>
      <c r="AJ14" s="29"/>
    </row>
    <row r="15" spans="1:36">
      <c r="A15" s="29">
        <v>12</v>
      </c>
      <c r="B15" s="299">
        <f t="shared" si="7"/>
        <v>46028</v>
      </c>
      <c r="C15" s="206" t="s">
        <v>379</v>
      </c>
      <c r="D15" s="300" t="s">
        <v>381</v>
      </c>
      <c r="E15" s="300"/>
      <c r="F15" s="292" t="s">
        <v>224</v>
      </c>
      <c r="G15" s="206">
        <f>G3+1000</f>
        <v>48050</v>
      </c>
      <c r="H15" s="206" t="s">
        <v>382</v>
      </c>
      <c r="I15" s="297">
        <v>700</v>
      </c>
      <c r="J15" s="206">
        <f>SUM(G15:I15)</f>
        <v>48750</v>
      </c>
      <c r="L15" s="206">
        <v>13</v>
      </c>
      <c r="M15" s="206" t="s">
        <v>379</v>
      </c>
      <c r="N15" s="206" t="s">
        <v>383</v>
      </c>
      <c r="O15" s="206" t="s">
        <v>384</v>
      </c>
      <c r="P15" s="206" t="str">
        <f t="shared" si="0"/>
        <v>JSPL</v>
      </c>
      <c r="Q15" s="29">
        <f t="shared" si="1"/>
        <v>49550</v>
      </c>
      <c r="R15" s="29">
        <f t="shared" si="2"/>
        <v>50050</v>
      </c>
      <c r="S15" s="11">
        <f>SUMIFS(J:J,B:B,$S$2,A:A,L15)</f>
        <v>50800</v>
      </c>
      <c r="T15">
        <f>SUMIFS(J:J,B:B,$T$2,A:A,L15)</f>
        <v>56500</v>
      </c>
      <c r="U15">
        <f t="shared" si="3"/>
        <v>56500</v>
      </c>
      <c r="V15">
        <f t="shared" si="4"/>
        <v>58500</v>
      </c>
      <c r="W15">
        <f>SUMIFS(J:J,B:B,$W$2,A:A,L15)</f>
        <v>58500</v>
      </c>
      <c r="Y15" s="206">
        <v>13</v>
      </c>
      <c r="Z15" s="206" t="s">
        <v>379</v>
      </c>
      <c r="AA15" s="206" t="s">
        <v>383</v>
      </c>
      <c r="AB15" s="206" t="s">
        <v>384</v>
      </c>
      <c r="AC15" s="298" t="s">
        <v>224</v>
      </c>
      <c r="AD15" s="298">
        <f>_xlfn.XLOOKUP(Y15,A:A,J:J,"")</f>
        <v>49550</v>
      </c>
      <c r="AE15" s="298">
        <f t="shared" si="5"/>
        <v>49050</v>
      </c>
      <c r="AF15" s="298">
        <f t="shared" si="6"/>
        <v>48550</v>
      </c>
      <c r="AG15" s="43" t="str">
        <f>AG6</f>
        <v>Real Ispat</v>
      </c>
      <c r="AH15" s="43" t="str">
        <f t="shared" ref="AH15:AH27" si="8">$AH$6</f>
        <v>SKA</v>
      </c>
      <c r="AI15" s="29"/>
      <c r="AJ15" s="29"/>
    </row>
    <row r="16" spans="1:36">
      <c r="A16" s="29">
        <v>13</v>
      </c>
      <c r="B16" s="299">
        <f t="shared" si="7"/>
        <v>46028</v>
      </c>
      <c r="C16" s="206" t="s">
        <v>379</v>
      </c>
      <c r="D16" s="300" t="s">
        <v>385</v>
      </c>
      <c r="E16" s="300"/>
      <c r="F16" s="292" t="s">
        <v>224</v>
      </c>
      <c r="G16" s="206">
        <f>G3+1000</f>
        <v>48050</v>
      </c>
      <c r="H16" s="206" t="s">
        <v>382</v>
      </c>
      <c r="I16" s="297">
        <v>1500</v>
      </c>
      <c r="J16" s="206">
        <f>SUM(G16:I16)</f>
        <v>49550</v>
      </c>
      <c r="L16" s="206">
        <v>14</v>
      </c>
      <c r="M16" s="206" t="s">
        <v>379</v>
      </c>
      <c r="N16" s="206" t="s">
        <v>386</v>
      </c>
      <c r="O16" s="206" t="s">
        <v>387</v>
      </c>
      <c r="P16" s="206" t="str">
        <f t="shared" si="0"/>
        <v>SAIL</v>
      </c>
      <c r="Q16" s="29">
        <f t="shared" si="1"/>
        <v>49500</v>
      </c>
      <c r="R16" s="29">
        <f t="shared" si="2"/>
        <v>51000</v>
      </c>
      <c r="S16" s="11">
        <f>SUMIFS(J:J,B:B,$S$2,A:A,L16)</f>
        <v>51500</v>
      </c>
      <c r="T16">
        <f>SUMIFS(J:J,B:B,$T$2,A:A,L16)</f>
        <v>58000</v>
      </c>
      <c r="U16">
        <f t="shared" si="3"/>
        <v>58000</v>
      </c>
      <c r="V16">
        <f t="shared" si="4"/>
        <v>59000</v>
      </c>
      <c r="W16">
        <f>SUMIFS(J:J,B:B,$W$2,A:A,L16)</f>
        <v>59500</v>
      </c>
      <c r="Y16" s="206">
        <v>14</v>
      </c>
      <c r="Z16" s="206" t="s">
        <v>379</v>
      </c>
      <c r="AA16" s="206" t="s">
        <v>386</v>
      </c>
      <c r="AB16" s="206" t="s">
        <v>387</v>
      </c>
      <c r="AC16" s="298" t="s">
        <v>226</v>
      </c>
      <c r="AD16" s="298">
        <f>_xlfn.XLOOKUP(Y16,A:A,J:J,"")</f>
        <v>49500</v>
      </c>
      <c r="AE16" s="298">
        <f t="shared" si="5"/>
        <v>49000</v>
      </c>
      <c r="AF16" s="298">
        <f t="shared" si="6"/>
        <v>48500</v>
      </c>
      <c r="AG16" s="298" t="str">
        <f>$AG$6</f>
        <v>Real Ispat</v>
      </c>
      <c r="AH16" s="43" t="str">
        <f t="shared" si="8"/>
        <v>SKA</v>
      </c>
      <c r="AI16" s="29"/>
      <c r="AJ16" s="29"/>
    </row>
    <row r="17" spans="1:36">
      <c r="A17" s="29">
        <v>15</v>
      </c>
      <c r="B17" s="299">
        <f t="shared" si="7"/>
        <v>46028</v>
      </c>
      <c r="C17" s="206" t="s">
        <v>379</v>
      </c>
      <c r="D17" s="300" t="s">
        <v>388</v>
      </c>
      <c r="E17" s="300"/>
      <c r="F17" s="292" t="s">
        <v>226</v>
      </c>
      <c r="G17" s="206">
        <f>G5+500</f>
        <v>47500</v>
      </c>
      <c r="H17" s="206" t="s">
        <v>356</v>
      </c>
      <c r="I17" s="292">
        <v>1250</v>
      </c>
      <c r="J17" s="206">
        <f>SUM(G17:I17)</f>
        <v>48750</v>
      </c>
      <c r="L17" s="206">
        <v>15</v>
      </c>
      <c r="M17" s="206" t="s">
        <v>379</v>
      </c>
      <c r="N17" s="206" t="s">
        <v>386</v>
      </c>
      <c r="O17" s="206" t="s">
        <v>107</v>
      </c>
      <c r="P17" s="206" t="str">
        <f t="shared" si="0"/>
        <v>SAIL</v>
      </c>
      <c r="Q17" s="29">
        <f t="shared" si="1"/>
        <v>48750</v>
      </c>
      <c r="R17" s="29">
        <f t="shared" si="2"/>
        <v>50250</v>
      </c>
      <c r="S17" s="11">
        <f>SUMIFS(J:J,B:B,$S$2,A:A,L17)</f>
        <v>50750</v>
      </c>
      <c r="T17">
        <f>SUMIFS(J:J,B:B,$T$2,A:A,L17)</f>
        <v>57250</v>
      </c>
      <c r="U17">
        <f t="shared" si="3"/>
        <v>57250</v>
      </c>
      <c r="V17">
        <f t="shared" si="4"/>
        <v>58250</v>
      </c>
      <c r="W17">
        <f>SUMIFS(J:J,B:B,$W$2,A:A,L17)</f>
        <v>58750</v>
      </c>
      <c r="Y17" s="206">
        <v>15</v>
      </c>
      <c r="Z17" s="206" t="s">
        <v>379</v>
      </c>
      <c r="AA17" s="206" t="s">
        <v>386</v>
      </c>
      <c r="AB17" s="206" t="s">
        <v>107</v>
      </c>
      <c r="AC17" s="298" t="s">
        <v>226</v>
      </c>
      <c r="AD17" s="298">
        <f>_xlfn.XLOOKUP(Y17,A:A,J:J,"")</f>
        <v>48750</v>
      </c>
      <c r="AE17" s="298">
        <f t="shared" si="5"/>
        <v>48250</v>
      </c>
      <c r="AF17" s="298">
        <f t="shared" si="6"/>
        <v>47750</v>
      </c>
      <c r="AG17" s="298" t="str">
        <f t="shared" ref="AG17:AG27" si="9">$AG$6</f>
        <v>Real Ispat</v>
      </c>
      <c r="AH17" s="43" t="str">
        <f t="shared" si="8"/>
        <v>SKA</v>
      </c>
      <c r="AI17" s="29"/>
      <c r="AJ17" s="29"/>
    </row>
    <row r="18" spans="1:36">
      <c r="A18" s="29">
        <v>6</v>
      </c>
      <c r="B18" s="299">
        <f>B17</f>
        <v>46028</v>
      </c>
      <c r="C18" s="206" t="s">
        <v>340</v>
      </c>
      <c r="D18" s="206" t="s">
        <v>360</v>
      </c>
      <c r="E18" s="206"/>
      <c r="F18" s="292" t="s">
        <v>364</v>
      </c>
      <c r="G18" s="206"/>
      <c r="H18" s="206"/>
      <c r="I18" s="206"/>
      <c r="J18" s="206">
        <f>J9+500</f>
        <v>53000</v>
      </c>
      <c r="L18" s="206">
        <v>16</v>
      </c>
      <c r="M18" s="206" t="s">
        <v>379</v>
      </c>
      <c r="N18" s="206" t="s">
        <v>389</v>
      </c>
      <c r="O18" s="206" t="s">
        <v>390</v>
      </c>
      <c r="P18" s="206" t="str">
        <f t="shared" si="0"/>
        <v>JSPL</v>
      </c>
      <c r="Q18" s="29">
        <f t="shared" si="1"/>
        <v>49050</v>
      </c>
      <c r="R18" s="29">
        <f t="shared" si="2"/>
        <v>49550</v>
      </c>
      <c r="S18" s="11">
        <f>SUMIFS(J:J,B:B,$S$2,A:A,L18)</f>
        <v>50300</v>
      </c>
      <c r="T18">
        <f>SUMIFS(J:J,B:B,$T$2,A:A,L18)</f>
        <v>56000</v>
      </c>
      <c r="U18">
        <f t="shared" si="3"/>
        <v>56000</v>
      </c>
      <c r="V18">
        <f t="shared" si="4"/>
        <v>58000</v>
      </c>
      <c r="W18">
        <f>SUMIFS(J:J,B:B,$W$2,A:A,L18)</f>
        <v>58000</v>
      </c>
      <c r="Y18" s="206">
        <v>16</v>
      </c>
      <c r="Z18" s="206" t="s">
        <v>379</v>
      </c>
      <c r="AA18" s="206" t="s">
        <v>389</v>
      </c>
      <c r="AB18" s="206" t="s">
        <v>390</v>
      </c>
      <c r="AC18" s="298" t="s">
        <v>224</v>
      </c>
      <c r="AD18" s="298">
        <f>_xlfn.XLOOKUP(Y18,A:A,J:J,"")</f>
        <v>49050</v>
      </c>
      <c r="AE18" s="298">
        <f t="shared" si="5"/>
        <v>48550</v>
      </c>
      <c r="AF18" s="298">
        <f t="shared" si="6"/>
        <v>48050</v>
      </c>
      <c r="AG18" s="298" t="str">
        <f t="shared" si="9"/>
        <v>Real Ispat</v>
      </c>
      <c r="AH18" s="43" t="str">
        <f t="shared" si="8"/>
        <v>SKA</v>
      </c>
      <c r="AI18" s="29"/>
      <c r="AJ18" s="29"/>
    </row>
    <row r="19" spans="1:36">
      <c r="A19" s="29">
        <v>7</v>
      </c>
      <c r="B19" s="299">
        <f t="shared" ref="B19:B24" si="10">B18</f>
        <v>46028</v>
      </c>
      <c r="C19" s="206" t="s">
        <v>340</v>
      </c>
      <c r="D19" s="206" t="s">
        <v>365</v>
      </c>
      <c r="E19" s="206"/>
      <c r="F19" s="292" t="s">
        <v>364</v>
      </c>
      <c r="G19" s="206"/>
      <c r="H19" s="206"/>
      <c r="I19" s="206"/>
      <c r="J19" s="206">
        <f>J9+1000</f>
        <v>53500</v>
      </c>
      <c r="L19" s="206">
        <v>17</v>
      </c>
      <c r="M19" s="206" t="s">
        <v>379</v>
      </c>
      <c r="N19" s="206" t="s">
        <v>391</v>
      </c>
      <c r="O19" s="206" t="s">
        <v>392</v>
      </c>
      <c r="P19" s="206" t="str">
        <f t="shared" si="0"/>
        <v>JSPL</v>
      </c>
      <c r="Q19" s="29">
        <f t="shared" si="1"/>
        <v>49050</v>
      </c>
      <c r="R19" s="29">
        <f t="shared" si="2"/>
        <v>49550</v>
      </c>
      <c r="S19" s="11">
        <f>SUMIFS(J:J,B:B,$S$2,A:A,L19)</f>
        <v>50300</v>
      </c>
      <c r="T19">
        <f>SUMIFS(J:J,B:B,$T$2,A:A,L19)</f>
        <v>56000</v>
      </c>
      <c r="U19">
        <f t="shared" si="3"/>
        <v>56000</v>
      </c>
      <c r="V19">
        <f t="shared" si="4"/>
        <v>58000</v>
      </c>
      <c r="W19">
        <f>SUMIFS(J:J,B:B,$W$2,A:A,L19)</f>
        <v>58000</v>
      </c>
      <c r="Y19" s="206">
        <v>17</v>
      </c>
      <c r="Z19" s="206" t="s">
        <v>379</v>
      </c>
      <c r="AA19" s="206" t="s">
        <v>391</v>
      </c>
      <c r="AB19" s="206" t="s">
        <v>392</v>
      </c>
      <c r="AC19" s="298" t="s">
        <v>224</v>
      </c>
      <c r="AD19" s="298">
        <f>_xlfn.XLOOKUP(Y19,A:A,J:J,"")</f>
        <v>49050</v>
      </c>
      <c r="AE19" s="298">
        <f t="shared" si="5"/>
        <v>48550</v>
      </c>
      <c r="AF19" s="298">
        <f t="shared" si="6"/>
        <v>48050</v>
      </c>
      <c r="AG19" s="298" t="str">
        <f t="shared" si="9"/>
        <v>Real Ispat</v>
      </c>
      <c r="AH19" s="43" t="str">
        <f t="shared" si="8"/>
        <v>SKA</v>
      </c>
      <c r="AI19" s="29"/>
      <c r="AJ19" s="29"/>
    </row>
    <row r="20" spans="1:36">
      <c r="A20" s="29">
        <v>14</v>
      </c>
      <c r="B20" s="299">
        <f t="shared" si="10"/>
        <v>46028</v>
      </c>
      <c r="C20" s="206" t="s">
        <v>379</v>
      </c>
      <c r="D20" s="300" t="s">
        <v>393</v>
      </c>
      <c r="E20" s="300"/>
      <c r="F20" s="292" t="s">
        <v>226</v>
      </c>
      <c r="G20" s="206">
        <f>G17</f>
        <v>47500</v>
      </c>
      <c r="H20" s="206" t="s">
        <v>356</v>
      </c>
      <c r="I20" s="292">
        <v>2000</v>
      </c>
      <c r="J20" s="206">
        <f>SUM(G20:I20)</f>
        <v>49500</v>
      </c>
      <c r="L20" s="206">
        <v>18</v>
      </c>
      <c r="M20" s="206" t="s">
        <v>394</v>
      </c>
      <c r="N20" s="206" t="s">
        <v>395</v>
      </c>
      <c r="O20" s="206" t="s">
        <v>396</v>
      </c>
      <c r="P20" s="206" t="str">
        <f t="shared" si="0"/>
        <v>SAIL</v>
      </c>
      <c r="Q20" s="29">
        <f t="shared" si="1"/>
        <v>50200</v>
      </c>
      <c r="R20" s="29">
        <f t="shared" si="2"/>
        <v>51700</v>
      </c>
      <c r="S20" s="11">
        <f>SUMIFS(J:J,B:B,$S$2,A:A,L20)</f>
        <v>52200</v>
      </c>
      <c r="T20">
        <f>SUMIFS(J:J,B:B,$T$2,A:A,L20)</f>
        <v>58700</v>
      </c>
      <c r="U20">
        <f t="shared" si="3"/>
        <v>58700</v>
      </c>
      <c r="V20">
        <f t="shared" si="4"/>
        <v>59700</v>
      </c>
      <c r="W20">
        <f>SUMIFS(J:J,B:B,$W$2,A:A,L20)</f>
        <v>60200</v>
      </c>
      <c r="Y20" s="206">
        <v>18</v>
      </c>
      <c r="Z20" s="206" t="s">
        <v>394</v>
      </c>
      <c r="AA20" s="206" t="s">
        <v>395</v>
      </c>
      <c r="AB20" s="206" t="s">
        <v>396</v>
      </c>
      <c r="AC20" s="298" t="s">
        <v>226</v>
      </c>
      <c r="AD20" s="298">
        <f>_xlfn.XLOOKUP(Y20,A:A,J:J,"")</f>
        <v>50200</v>
      </c>
      <c r="AE20" s="298">
        <f t="shared" si="5"/>
        <v>49700</v>
      </c>
      <c r="AF20" s="298">
        <f t="shared" si="6"/>
        <v>49200</v>
      </c>
      <c r="AG20" s="298" t="str">
        <f t="shared" si="9"/>
        <v>Real Ispat</v>
      </c>
      <c r="AH20" s="43" t="str">
        <f t="shared" si="8"/>
        <v>SKA</v>
      </c>
      <c r="AI20" s="29"/>
      <c r="AJ20" s="29"/>
    </row>
    <row r="21" spans="1:36">
      <c r="A21" s="29">
        <v>17</v>
      </c>
      <c r="B21" s="299">
        <f t="shared" si="10"/>
        <v>46028</v>
      </c>
      <c r="C21" s="206" t="s">
        <v>337</v>
      </c>
      <c r="D21" s="300" t="s">
        <v>397</v>
      </c>
      <c r="E21" s="300"/>
      <c r="F21" s="292" t="s">
        <v>224</v>
      </c>
      <c r="G21" s="206">
        <f>G12+500</f>
        <v>48050</v>
      </c>
      <c r="H21" s="206" t="s">
        <v>352</v>
      </c>
      <c r="I21" s="206">
        <v>1000</v>
      </c>
      <c r="J21" s="206">
        <f>SUM(G21:I21)</f>
        <v>49050</v>
      </c>
      <c r="L21" s="206">
        <v>19</v>
      </c>
      <c r="M21" s="206" t="s">
        <v>394</v>
      </c>
      <c r="N21" s="206" t="s">
        <v>395</v>
      </c>
      <c r="O21" s="206" t="s">
        <v>398</v>
      </c>
      <c r="P21" s="206" t="str">
        <f t="shared" si="0"/>
        <v>SAIL</v>
      </c>
      <c r="Q21" s="29">
        <f t="shared" si="1"/>
        <v>50000</v>
      </c>
      <c r="R21" s="29">
        <f t="shared" si="2"/>
        <v>51500</v>
      </c>
      <c r="S21" s="11">
        <f>SUMIFS(J:J,B:B,$S$2,A:A,L21)</f>
        <v>52000</v>
      </c>
      <c r="T21">
        <f>SUMIFS(J:J,B:B,$T$2,A:A,L21)</f>
        <v>58500</v>
      </c>
      <c r="U21">
        <f t="shared" si="3"/>
        <v>58500</v>
      </c>
      <c r="V21">
        <f t="shared" si="4"/>
        <v>59500</v>
      </c>
      <c r="W21">
        <f>SUMIFS(J:J,B:B,$W$2,A:A,L21)</f>
        <v>60000</v>
      </c>
      <c r="Y21" s="206">
        <v>19</v>
      </c>
      <c r="Z21" s="206" t="s">
        <v>394</v>
      </c>
      <c r="AA21" s="206" t="s">
        <v>395</v>
      </c>
      <c r="AB21" s="206" t="s">
        <v>398</v>
      </c>
      <c r="AC21" s="298" t="s">
        <v>226</v>
      </c>
      <c r="AD21" s="298">
        <f>_xlfn.XLOOKUP(Y21,A:A,J:J,"")</f>
        <v>50000</v>
      </c>
      <c r="AE21" s="298">
        <f t="shared" si="5"/>
        <v>49500</v>
      </c>
      <c r="AF21" s="298">
        <f t="shared" si="6"/>
        <v>49000</v>
      </c>
      <c r="AG21" s="298" t="str">
        <f t="shared" si="9"/>
        <v>Real Ispat</v>
      </c>
      <c r="AH21" s="43" t="str">
        <f t="shared" si="8"/>
        <v>SKA</v>
      </c>
      <c r="AI21" s="29"/>
      <c r="AJ21" s="29"/>
    </row>
    <row r="22" spans="1:36">
      <c r="A22" s="29">
        <v>8</v>
      </c>
      <c r="B22" s="299">
        <f t="shared" si="10"/>
        <v>46028</v>
      </c>
      <c r="C22" s="29" t="s">
        <v>340</v>
      </c>
      <c r="D22" s="206" t="s">
        <v>368</v>
      </c>
      <c r="E22" s="206"/>
      <c r="F22" s="29" t="s">
        <v>364</v>
      </c>
      <c r="G22" s="29"/>
      <c r="H22" s="29"/>
      <c r="I22" s="29"/>
      <c r="J22" s="29">
        <f>J9-250</f>
        <v>52250</v>
      </c>
      <c r="L22" s="206">
        <v>20</v>
      </c>
      <c r="M22" s="206" t="s">
        <v>394</v>
      </c>
      <c r="N22" s="206" t="s">
        <v>395</v>
      </c>
      <c r="O22" s="206" t="s">
        <v>399</v>
      </c>
      <c r="P22" s="206" t="str">
        <f t="shared" si="0"/>
        <v>SAIL</v>
      </c>
      <c r="Q22" s="29">
        <f t="shared" si="1"/>
        <v>50000</v>
      </c>
      <c r="R22" s="29">
        <f t="shared" si="2"/>
        <v>51500</v>
      </c>
      <c r="S22" s="11">
        <f>SUMIFS(J:J,B:B,$S$2,A:A,L22)</f>
        <v>52000</v>
      </c>
      <c r="T22">
        <f>SUMIFS(J:J,B:B,$T$2,A:A,L22)</f>
        <v>58500</v>
      </c>
      <c r="U22">
        <f t="shared" si="3"/>
        <v>58500</v>
      </c>
      <c r="V22">
        <f t="shared" si="4"/>
        <v>59500</v>
      </c>
      <c r="W22">
        <f>SUMIFS(J:J,B:B,$W$2,A:A,L22)</f>
        <v>60000</v>
      </c>
      <c r="Y22" s="206">
        <v>20</v>
      </c>
      <c r="Z22" s="206" t="s">
        <v>394</v>
      </c>
      <c r="AA22" s="206" t="s">
        <v>395</v>
      </c>
      <c r="AB22" s="206" t="s">
        <v>399</v>
      </c>
      <c r="AC22" s="298" t="s">
        <v>226</v>
      </c>
      <c r="AD22" s="298">
        <f>_xlfn.XLOOKUP(Y22,A:A,J:J,"")</f>
        <v>50000</v>
      </c>
      <c r="AE22" s="298">
        <f t="shared" si="5"/>
        <v>49500</v>
      </c>
      <c r="AF22" s="298">
        <f t="shared" si="6"/>
        <v>49000</v>
      </c>
      <c r="AG22" s="298" t="str">
        <f t="shared" si="9"/>
        <v>Real Ispat</v>
      </c>
      <c r="AH22" s="43" t="str">
        <f t="shared" si="8"/>
        <v>SKA</v>
      </c>
      <c r="AI22" s="29"/>
      <c r="AJ22" s="29"/>
    </row>
    <row r="23" spans="1:36">
      <c r="A23" s="29">
        <v>18</v>
      </c>
      <c r="B23" s="299">
        <f t="shared" si="10"/>
        <v>46028</v>
      </c>
      <c r="C23" s="206" t="s">
        <v>394</v>
      </c>
      <c r="D23" s="300" t="s">
        <v>400</v>
      </c>
      <c r="E23" s="300"/>
      <c r="F23" s="292" t="s">
        <v>226</v>
      </c>
      <c r="G23" s="29">
        <f>G5</f>
        <v>47000</v>
      </c>
      <c r="H23" s="206" t="s">
        <v>348</v>
      </c>
      <c r="I23" s="206">
        <v>3200</v>
      </c>
      <c r="J23" s="206">
        <f>SUM(G23:I23)</f>
        <v>50200</v>
      </c>
      <c r="L23" s="206">
        <v>21</v>
      </c>
      <c r="M23" s="206" t="s">
        <v>394</v>
      </c>
      <c r="N23" s="206" t="s">
        <v>395</v>
      </c>
      <c r="O23" s="206" t="s">
        <v>401</v>
      </c>
      <c r="P23" s="206" t="str">
        <f t="shared" si="0"/>
        <v>SAIL</v>
      </c>
      <c r="Q23" s="29">
        <f t="shared" si="1"/>
        <v>48000</v>
      </c>
      <c r="R23" s="29">
        <f t="shared" si="2"/>
        <v>49500</v>
      </c>
      <c r="S23" s="11">
        <f>SUMIFS(J:J,B:B,$S$2,A:A,L23)</f>
        <v>50000</v>
      </c>
      <c r="T23">
        <f>SUMIFS(J:J,B:B,$T$2,A:A,L23)</f>
        <v>56500</v>
      </c>
      <c r="U23">
        <f t="shared" si="3"/>
        <v>56500</v>
      </c>
      <c r="V23">
        <f t="shared" si="4"/>
        <v>57500</v>
      </c>
      <c r="W23">
        <f>SUMIFS(J:J,B:B,$W$2,A:A,L23)</f>
        <v>58000</v>
      </c>
      <c r="Y23" s="206">
        <v>21</v>
      </c>
      <c r="Z23" s="206" t="s">
        <v>394</v>
      </c>
      <c r="AA23" s="206" t="s">
        <v>395</v>
      </c>
      <c r="AB23" s="206" t="s">
        <v>401</v>
      </c>
      <c r="AC23" s="298" t="s">
        <v>226</v>
      </c>
      <c r="AD23" s="298">
        <f>_xlfn.XLOOKUP(Y23,A:A,J:J,"")</f>
        <v>48000</v>
      </c>
      <c r="AE23" s="298">
        <f t="shared" si="5"/>
        <v>47500</v>
      </c>
      <c r="AF23" s="298">
        <f t="shared" si="6"/>
        <v>47000</v>
      </c>
      <c r="AG23" s="298" t="str">
        <f t="shared" si="9"/>
        <v>Real Ispat</v>
      </c>
      <c r="AH23" s="43" t="str">
        <f t="shared" si="8"/>
        <v>SKA</v>
      </c>
      <c r="AI23" s="29"/>
      <c r="AJ23" s="29"/>
    </row>
    <row r="24" spans="1:36">
      <c r="A24" s="29">
        <v>19</v>
      </c>
      <c r="B24" s="299">
        <f t="shared" si="10"/>
        <v>46028</v>
      </c>
      <c r="C24" s="206" t="s">
        <v>394</v>
      </c>
      <c r="D24" s="300" t="s">
        <v>402</v>
      </c>
      <c r="E24" s="300"/>
      <c r="F24" s="292" t="s">
        <v>226</v>
      </c>
      <c r="G24" s="29">
        <f>G5</f>
        <v>47000</v>
      </c>
      <c r="H24" s="206" t="s">
        <v>348</v>
      </c>
      <c r="I24" s="206">
        <v>3000</v>
      </c>
      <c r="J24" s="206">
        <f>SUM(G24:I24)</f>
        <v>50000</v>
      </c>
      <c r="L24" s="206">
        <v>22</v>
      </c>
      <c r="M24" s="206" t="s">
        <v>394</v>
      </c>
      <c r="N24" s="206" t="s">
        <v>403</v>
      </c>
      <c r="O24" s="206" t="s">
        <v>404</v>
      </c>
      <c r="P24" s="206" t="str">
        <f t="shared" si="0"/>
        <v>SAIL</v>
      </c>
      <c r="Q24" s="29">
        <f t="shared" si="1"/>
        <v>0</v>
      </c>
      <c r="R24" s="29">
        <f t="shared" si="2"/>
        <v>51800</v>
      </c>
      <c r="S24" s="11">
        <f>SUMIFS(J:J,B:B,$S$2,A:A,L24)</f>
        <v>52300</v>
      </c>
      <c r="T24">
        <f>SUMIFS(J:J,B:B,$T$2,A:A,L24)</f>
        <v>58800</v>
      </c>
      <c r="U24">
        <f t="shared" si="3"/>
        <v>58800</v>
      </c>
      <c r="V24">
        <f t="shared" si="4"/>
        <v>59800</v>
      </c>
      <c r="W24">
        <f>SUMIFS(J:J,B:B,$W$2,A:A,L24)</f>
        <v>60300</v>
      </c>
      <c r="Y24" s="206">
        <v>22</v>
      </c>
      <c r="Z24" s="206" t="s">
        <v>394</v>
      </c>
      <c r="AA24" s="206" t="s">
        <v>403</v>
      </c>
      <c r="AB24" s="206" t="s">
        <v>404</v>
      </c>
      <c r="AC24" s="298" t="s">
        <v>226</v>
      </c>
      <c r="AD24" s="298">
        <f>_xlfn.XLOOKUP(Y24,A:A,J:J,"")</f>
        <v>50300</v>
      </c>
      <c r="AE24" s="298">
        <f t="shared" si="5"/>
        <v>49800</v>
      </c>
      <c r="AF24" s="298">
        <f t="shared" si="6"/>
        <v>49300</v>
      </c>
      <c r="AG24" s="298" t="str">
        <f t="shared" si="9"/>
        <v>Real Ispat</v>
      </c>
      <c r="AH24" s="43" t="str">
        <f t="shared" si="8"/>
        <v>SKA</v>
      </c>
      <c r="AI24" s="29"/>
      <c r="AJ24" s="29"/>
    </row>
    <row r="25" spans="1:36">
      <c r="A25" s="29">
        <v>20</v>
      </c>
      <c r="B25" s="299">
        <f t="shared" ref="B25" si="11">B24</f>
        <v>46028</v>
      </c>
      <c r="C25" s="206" t="s">
        <v>394</v>
      </c>
      <c r="D25" s="300" t="s">
        <v>405</v>
      </c>
      <c r="E25" s="300"/>
      <c r="F25" s="292" t="s">
        <v>226</v>
      </c>
      <c r="G25" s="29">
        <f>G5</f>
        <v>47000</v>
      </c>
      <c r="H25" s="206" t="s">
        <v>348</v>
      </c>
      <c r="I25" s="206">
        <v>3000</v>
      </c>
      <c r="J25" s="206">
        <f>SUM(G25:I25)</f>
        <v>50000</v>
      </c>
      <c r="L25" s="206">
        <v>25</v>
      </c>
      <c r="M25" s="206" t="s">
        <v>337</v>
      </c>
      <c r="N25" s="206" t="s">
        <v>406</v>
      </c>
      <c r="O25" s="206" t="s">
        <v>154</v>
      </c>
      <c r="P25" s="206" t="str">
        <f t="shared" si="0"/>
        <v>JSPL</v>
      </c>
      <c r="Q25" s="29">
        <f t="shared" si="1"/>
        <v>48050</v>
      </c>
      <c r="R25" s="29">
        <f t="shared" si="2"/>
        <v>48550</v>
      </c>
      <c r="S25" s="11">
        <f>SUMIFS(J:J,B:B,$S$2,A:A,L25)</f>
        <v>49300</v>
      </c>
      <c r="T25">
        <f>SUMIFS(J:J,B:B,$T$2,A:A,L25)</f>
        <v>55000</v>
      </c>
      <c r="U25">
        <f t="shared" si="3"/>
        <v>55000</v>
      </c>
      <c r="V25">
        <f t="shared" si="4"/>
        <v>57000</v>
      </c>
      <c r="W25">
        <f>SUMIFS(J:J,B:B,$W$2,A:A,L25)</f>
        <v>57000</v>
      </c>
      <c r="Y25" s="206">
        <v>25</v>
      </c>
      <c r="Z25" s="206" t="s">
        <v>337</v>
      </c>
      <c r="AA25" s="206" t="s">
        <v>406</v>
      </c>
      <c r="AB25" s="206" t="s">
        <v>154</v>
      </c>
      <c r="AC25" s="298" t="s">
        <v>224</v>
      </c>
      <c r="AD25" s="298">
        <f>_xlfn.XLOOKUP(Y25,A:A,J:J,"")</f>
        <v>48050</v>
      </c>
      <c r="AE25" s="298">
        <f t="shared" si="5"/>
        <v>47550</v>
      </c>
      <c r="AF25" s="298">
        <f t="shared" si="6"/>
        <v>47050</v>
      </c>
      <c r="AG25" s="298" t="str">
        <f t="shared" si="9"/>
        <v>Real Ispat</v>
      </c>
      <c r="AH25" s="43" t="str">
        <f t="shared" si="8"/>
        <v>SKA</v>
      </c>
      <c r="AI25" s="29"/>
      <c r="AJ25" s="29"/>
    </row>
    <row r="26" spans="1:36">
      <c r="A26" s="29">
        <v>22</v>
      </c>
      <c r="B26" s="29"/>
      <c r="C26" s="29" t="s">
        <v>394</v>
      </c>
      <c r="D26" s="29" t="s">
        <v>46</v>
      </c>
      <c r="E26" s="29"/>
      <c r="F26" s="29" t="s">
        <v>226</v>
      </c>
      <c r="G26" s="29">
        <f>G5</f>
        <v>47000</v>
      </c>
      <c r="H26" s="206" t="s">
        <v>348</v>
      </c>
      <c r="I26" s="29">
        <v>3300</v>
      </c>
      <c r="J26" s="206">
        <f>SUM(G26:I26)</f>
        <v>50300</v>
      </c>
      <c r="L26" s="206">
        <v>26</v>
      </c>
      <c r="M26" s="206" t="s">
        <v>337</v>
      </c>
      <c r="N26" s="206" t="s">
        <v>407</v>
      </c>
      <c r="O26" s="206" t="s">
        <v>408</v>
      </c>
      <c r="P26" s="206" t="str">
        <f t="shared" si="0"/>
        <v>JSPL</v>
      </c>
      <c r="Q26" s="29">
        <f t="shared" si="1"/>
        <v>48750</v>
      </c>
      <c r="R26" s="29">
        <f t="shared" si="2"/>
        <v>49250</v>
      </c>
      <c r="S26" s="11">
        <f>SUMIFS(J:J,B:B,$S$2,A:A,L26)</f>
        <v>50000</v>
      </c>
      <c r="T26">
        <f>SUMIFS(J:J,B:B,$T$2,A:A,L26)</f>
        <v>55700</v>
      </c>
      <c r="U26">
        <f t="shared" si="3"/>
        <v>55700</v>
      </c>
      <c r="V26">
        <f t="shared" si="4"/>
        <v>57700</v>
      </c>
      <c r="W26">
        <f>SUMIFS(J:J,B:B,$W$2,A:A,L26)</f>
        <v>57700</v>
      </c>
      <c r="Y26" s="206">
        <v>26</v>
      </c>
      <c r="Z26" s="206" t="s">
        <v>337</v>
      </c>
      <c r="AA26" s="206" t="s">
        <v>407</v>
      </c>
      <c r="AB26" s="206" t="s">
        <v>408</v>
      </c>
      <c r="AC26" s="298" t="s">
        <v>224</v>
      </c>
      <c r="AD26" s="298">
        <f>_xlfn.XLOOKUP(Y26,A:A,J:J,"")</f>
        <v>48750</v>
      </c>
      <c r="AE26" s="298">
        <f t="shared" si="5"/>
        <v>48250</v>
      </c>
      <c r="AF26" s="298">
        <f t="shared" si="6"/>
        <v>47750</v>
      </c>
      <c r="AG26" s="298" t="str">
        <f t="shared" si="9"/>
        <v>Real Ispat</v>
      </c>
      <c r="AH26" s="43" t="str">
        <f t="shared" si="8"/>
        <v>SKA</v>
      </c>
      <c r="AI26" s="29"/>
      <c r="AJ26" s="29"/>
    </row>
    <row r="27" spans="1:36">
      <c r="L27" s="206">
        <v>27</v>
      </c>
      <c r="M27" s="206" t="s">
        <v>409</v>
      </c>
      <c r="N27" s="206" t="s">
        <v>410</v>
      </c>
      <c r="O27" s="206" t="s">
        <v>411</v>
      </c>
      <c r="P27" s="206" t="str">
        <f t="shared" si="0"/>
        <v/>
      </c>
      <c r="Q27" s="29">
        <f t="shared" si="1"/>
        <v>0</v>
      </c>
      <c r="R27" s="29">
        <f t="shared" si="2"/>
        <v>0</v>
      </c>
      <c r="S27" s="11">
        <f>SUMIFS(J:J,B:B,$S$2,A:A,L27)</f>
        <v>0</v>
      </c>
      <c r="T27">
        <f>SUMIFS(J:J,B:B,$T$2,A:A,L27)</f>
        <v>0</v>
      </c>
      <c r="U27">
        <f t="shared" si="3"/>
        <v>0</v>
      </c>
      <c r="V27">
        <f t="shared" si="4"/>
        <v>0</v>
      </c>
      <c r="W27">
        <f>SUMIFS(J:J,B:B,$W$2,A:A,L27)</f>
        <v>0</v>
      </c>
      <c r="Y27" s="206">
        <v>27</v>
      </c>
      <c r="Z27" s="206" t="s">
        <v>409</v>
      </c>
      <c r="AA27" s="206" t="s">
        <v>410</v>
      </c>
      <c r="AB27" s="206" t="s">
        <v>411</v>
      </c>
      <c r="AC27" s="298" t="s">
        <v>412</v>
      </c>
      <c r="AD27" s="298" t="str">
        <f>_xlfn.XLOOKUP(Y27,A:A,J:J,"")</f>
        <v/>
      </c>
      <c r="AE27" s="298"/>
      <c r="AF27" s="298"/>
      <c r="AG27" s="298" t="str">
        <f t="shared" si="9"/>
        <v>Real Ispat</v>
      </c>
      <c r="AH27" s="43" t="str">
        <f t="shared" si="8"/>
        <v>SKA</v>
      </c>
      <c r="AI27" s="29"/>
      <c r="AJ27" s="29"/>
    </row>
    <row r="28" spans="1:36">
      <c r="A28" s="295" t="s">
        <v>322</v>
      </c>
      <c r="B28" s="295" t="s">
        <v>323</v>
      </c>
      <c r="C28" s="295" t="s">
        <v>324</v>
      </c>
      <c r="D28" s="295" t="s">
        <v>325</v>
      </c>
      <c r="E28" s="295" t="s">
        <v>326</v>
      </c>
      <c r="F28" s="295" t="s">
        <v>327</v>
      </c>
      <c r="G28" s="295" t="s">
        <v>328</v>
      </c>
      <c r="H28" s="295" t="s">
        <v>329</v>
      </c>
      <c r="I28" s="295" t="s">
        <v>71</v>
      </c>
      <c r="J28" s="295" t="s">
        <v>155</v>
      </c>
      <c r="L28" s="206">
        <v>28</v>
      </c>
      <c r="M28" s="206" t="s">
        <v>409</v>
      </c>
      <c r="N28" s="206" t="s">
        <v>410</v>
      </c>
      <c r="O28" s="206" t="s">
        <v>413</v>
      </c>
      <c r="P28" s="206" t="str">
        <f t="shared" si="0"/>
        <v/>
      </c>
      <c r="Q28" s="29">
        <f t="shared" si="1"/>
        <v>0</v>
      </c>
      <c r="R28" s="29">
        <f t="shared" si="2"/>
        <v>0</v>
      </c>
      <c r="S28" s="11">
        <f>SUMIFS(J:J,B:B,$S$2,A:A,L28)</f>
        <v>0</v>
      </c>
      <c r="T28">
        <f>SUMIFS(J:J,B:B,$T$2,A:A,L28)</f>
        <v>0</v>
      </c>
      <c r="U28">
        <f t="shared" si="3"/>
        <v>0</v>
      </c>
      <c r="V28">
        <f t="shared" si="4"/>
        <v>0</v>
      </c>
      <c r="W28">
        <f>SUMIFS(J:J,B:B,$W$2,A:A,L28)</f>
        <v>0</v>
      </c>
      <c r="Y28" s="206">
        <v>28</v>
      </c>
      <c r="Z28" s="206" t="s">
        <v>409</v>
      </c>
      <c r="AA28" s="206" t="s">
        <v>410</v>
      </c>
      <c r="AB28" s="206" t="s">
        <v>413</v>
      </c>
      <c r="AC28" s="298" t="s">
        <v>412</v>
      </c>
      <c r="AD28" s="298" t="str">
        <f>_xlfn.XLOOKUP(Y28,A:A,J:J,"")</f>
        <v/>
      </c>
      <c r="AE28" s="298"/>
      <c r="AF28" s="298"/>
      <c r="AG28" s="43"/>
      <c r="AH28" s="43"/>
      <c r="AI28" s="29"/>
      <c r="AJ28" s="29"/>
    </row>
    <row r="29" spans="1:36">
      <c r="A29" s="29">
        <v>25</v>
      </c>
      <c r="B29" s="299">
        <v>46032</v>
      </c>
      <c r="C29" s="206" t="s">
        <v>337</v>
      </c>
      <c r="D29" s="300" t="s">
        <v>338</v>
      </c>
      <c r="E29" s="300"/>
      <c r="F29" s="292" t="s">
        <v>224</v>
      </c>
      <c r="G29" s="206">
        <f>G38-500</f>
        <v>47550</v>
      </c>
      <c r="H29" s="206" t="s">
        <v>339</v>
      </c>
      <c r="I29" s="206">
        <v>1000</v>
      </c>
      <c r="J29" s="206">
        <f>SUM(G29:I29)</f>
        <v>48550</v>
      </c>
      <c r="L29" s="206">
        <v>29</v>
      </c>
      <c r="M29" s="206" t="s">
        <v>409</v>
      </c>
      <c r="N29" s="206" t="s">
        <v>414</v>
      </c>
      <c r="O29" s="206" t="s">
        <v>415</v>
      </c>
      <c r="P29" s="206" t="str">
        <f t="shared" si="0"/>
        <v/>
      </c>
      <c r="Q29" s="29">
        <f t="shared" si="1"/>
        <v>0</v>
      </c>
      <c r="R29" s="29">
        <f t="shared" si="2"/>
        <v>0</v>
      </c>
      <c r="S29" s="11">
        <f>SUMIFS(J:J,B:B,$S$2,A:A,L29)</f>
        <v>0</v>
      </c>
      <c r="T29">
        <f>SUMIFS(J:J,B:B,$T$2,A:A,L29)</f>
        <v>0</v>
      </c>
      <c r="U29">
        <f t="shared" si="3"/>
        <v>0</v>
      </c>
      <c r="V29">
        <f t="shared" si="4"/>
        <v>0</v>
      </c>
      <c r="W29">
        <f>SUMIFS(J:J,B:B,$W$2,A:A,L29)</f>
        <v>0</v>
      </c>
      <c r="Y29" s="206">
        <v>29</v>
      </c>
      <c r="Z29" s="206" t="s">
        <v>409</v>
      </c>
      <c r="AA29" s="206" t="s">
        <v>414</v>
      </c>
      <c r="AB29" s="206" t="s">
        <v>415</v>
      </c>
      <c r="AC29" s="298" t="s">
        <v>412</v>
      </c>
      <c r="AD29" s="298" t="str">
        <f>_xlfn.XLOOKUP(Y29,A:A,J:J,"")</f>
        <v/>
      </c>
      <c r="AE29" s="298"/>
      <c r="AF29" s="298"/>
      <c r="AG29" s="43"/>
      <c r="AH29" s="43"/>
      <c r="AI29" s="29"/>
      <c r="AJ29" s="29"/>
    </row>
    <row r="30" spans="1:36">
      <c r="A30" s="29">
        <v>26</v>
      </c>
      <c r="B30" s="299">
        <v>46032</v>
      </c>
      <c r="C30" s="206" t="s">
        <v>337</v>
      </c>
      <c r="D30" s="300" t="s">
        <v>344</v>
      </c>
      <c r="E30" s="300"/>
      <c r="F30" s="292" t="s">
        <v>224</v>
      </c>
      <c r="G30" s="206">
        <f>G29</f>
        <v>47550</v>
      </c>
      <c r="H30" s="206" t="s">
        <v>339</v>
      </c>
      <c r="I30" s="206">
        <v>2200</v>
      </c>
      <c r="J30" s="206">
        <f>SUM(G30:I30)-500</f>
        <v>49250</v>
      </c>
      <c r="L30" s="206">
        <v>30</v>
      </c>
      <c r="M30" s="206" t="s">
        <v>409</v>
      </c>
      <c r="N30" s="206" t="s">
        <v>414</v>
      </c>
      <c r="O30" s="206" t="s">
        <v>416</v>
      </c>
      <c r="P30" s="206" t="str">
        <f t="shared" si="0"/>
        <v/>
      </c>
      <c r="Q30" s="29">
        <f t="shared" si="1"/>
        <v>0</v>
      </c>
      <c r="R30" s="29">
        <f t="shared" si="2"/>
        <v>0</v>
      </c>
      <c r="S30" s="11">
        <f>SUMIFS(J:J,B:B,$S$2,A:A,L30)</f>
        <v>0</v>
      </c>
      <c r="T30">
        <f>SUMIFS(J:J,B:B,$T$2,A:A,L30)</f>
        <v>0</v>
      </c>
      <c r="U30">
        <f t="shared" si="3"/>
        <v>0</v>
      </c>
      <c r="V30">
        <f t="shared" si="4"/>
        <v>0</v>
      </c>
      <c r="W30">
        <f>SUMIFS(J:J,B:B,$W$2,A:A,L30)</f>
        <v>0</v>
      </c>
      <c r="Y30" s="206">
        <v>30</v>
      </c>
      <c r="Z30" s="206" t="s">
        <v>409</v>
      </c>
      <c r="AA30" s="206" t="s">
        <v>414</v>
      </c>
      <c r="AB30" s="206" t="s">
        <v>416</v>
      </c>
      <c r="AC30" s="298" t="s">
        <v>412</v>
      </c>
      <c r="AD30" s="298" t="str">
        <f>_xlfn.XLOOKUP(Y30,A:A,J:J,"")</f>
        <v/>
      </c>
      <c r="AE30" s="298"/>
      <c r="AF30" s="298"/>
      <c r="AG30" s="43"/>
      <c r="AH30" s="43"/>
      <c r="AI30" s="29"/>
      <c r="AJ30" s="29"/>
    </row>
    <row r="31" spans="1:36">
      <c r="A31" s="29">
        <v>21</v>
      </c>
      <c r="B31" s="299">
        <v>46032</v>
      </c>
      <c r="C31" s="206" t="s">
        <v>337</v>
      </c>
      <c r="D31" s="300" t="s">
        <v>347</v>
      </c>
      <c r="E31" s="300"/>
      <c r="F31" s="292" t="s">
        <v>226</v>
      </c>
      <c r="G31" s="294">
        <f>47000+1500</f>
        <v>48500</v>
      </c>
      <c r="H31" s="206" t="s">
        <v>348</v>
      </c>
      <c r="I31" s="206">
        <v>1000</v>
      </c>
      <c r="J31" s="206">
        <f>SUM(G31:I31)</f>
        <v>49500</v>
      </c>
      <c r="L31" s="206">
        <v>31</v>
      </c>
      <c r="M31" s="206" t="s">
        <v>409</v>
      </c>
      <c r="N31" s="206" t="s">
        <v>417</v>
      </c>
      <c r="O31" s="206" t="s">
        <v>418</v>
      </c>
      <c r="P31" s="206" t="str">
        <f t="shared" si="0"/>
        <v/>
      </c>
      <c r="Q31" s="29">
        <f t="shared" si="1"/>
        <v>0</v>
      </c>
      <c r="R31" s="29">
        <f t="shared" si="2"/>
        <v>0</v>
      </c>
      <c r="S31" s="11">
        <f>SUMIFS(J:J,B:B,$S$2,A:A,L31)</f>
        <v>0</v>
      </c>
      <c r="T31">
        <f>SUMIFS(J:J,B:B,$T$2,A:A,L31)</f>
        <v>0</v>
      </c>
      <c r="U31">
        <f t="shared" si="3"/>
        <v>0</v>
      </c>
      <c r="V31">
        <f t="shared" si="4"/>
        <v>0</v>
      </c>
      <c r="W31">
        <f>SUMIFS(J:J,B:B,$W$2,A:A,L31)</f>
        <v>0</v>
      </c>
      <c r="Y31" s="206">
        <v>31</v>
      </c>
      <c r="Z31" s="206" t="s">
        <v>409</v>
      </c>
      <c r="AA31" s="206" t="s">
        <v>417</v>
      </c>
      <c r="AB31" s="206" t="s">
        <v>418</v>
      </c>
      <c r="AC31" s="298" t="s">
        <v>412</v>
      </c>
      <c r="AD31" s="298" t="str">
        <f>_xlfn.XLOOKUP(Y31,A:A,J:J,"")</f>
        <v/>
      </c>
      <c r="AE31" s="298"/>
      <c r="AF31" s="298"/>
      <c r="AG31" s="43"/>
      <c r="AH31" s="43"/>
      <c r="AI31" s="29"/>
      <c r="AJ31" s="29"/>
    </row>
    <row r="32" spans="1:36">
      <c r="A32" s="29">
        <v>16</v>
      </c>
      <c r="B32" s="299">
        <v>46032</v>
      </c>
      <c r="C32" s="206" t="s">
        <v>337</v>
      </c>
      <c r="D32" s="300" t="s">
        <v>351</v>
      </c>
      <c r="E32" s="300"/>
      <c r="F32" s="292" t="s">
        <v>224</v>
      </c>
      <c r="G32" s="206">
        <f>G38+500</f>
        <v>48550</v>
      </c>
      <c r="H32" s="206" t="s">
        <v>352</v>
      </c>
      <c r="I32" s="206">
        <v>1000</v>
      </c>
      <c r="J32" s="206">
        <f>SUM(G32:I32)</f>
        <v>49550</v>
      </c>
      <c r="L32" s="206">
        <v>32</v>
      </c>
      <c r="M32" s="206" t="s">
        <v>409</v>
      </c>
      <c r="N32" s="206" t="s">
        <v>419</v>
      </c>
      <c r="O32" s="206" t="s">
        <v>420</v>
      </c>
      <c r="P32" s="206" t="str">
        <f t="shared" si="0"/>
        <v/>
      </c>
      <c r="Q32" s="29">
        <f t="shared" si="1"/>
        <v>0</v>
      </c>
      <c r="R32" s="29">
        <f t="shared" si="2"/>
        <v>0</v>
      </c>
      <c r="S32" s="11">
        <f>SUMIFS(J:J,B:B,$S$2,A:A,L32)</f>
        <v>0</v>
      </c>
      <c r="T32">
        <f>SUMIFS(J:J,B:B,$T$2,A:A,L32)</f>
        <v>0</v>
      </c>
      <c r="U32">
        <f t="shared" si="3"/>
        <v>0</v>
      </c>
      <c r="V32">
        <f t="shared" si="4"/>
        <v>0</v>
      </c>
      <c r="W32">
        <f>SUMIFS(J:J,B:B,$W$2,A:A,L32)</f>
        <v>0</v>
      </c>
      <c r="Y32" s="206">
        <v>32</v>
      </c>
      <c r="Z32" s="206" t="s">
        <v>409</v>
      </c>
      <c r="AA32" s="206" t="s">
        <v>419</v>
      </c>
      <c r="AB32" s="206" t="s">
        <v>420</v>
      </c>
      <c r="AC32" s="298" t="s">
        <v>412</v>
      </c>
      <c r="AD32" s="298" t="str">
        <f>_xlfn.XLOOKUP(Y32,A:A,J:J,"")</f>
        <v/>
      </c>
      <c r="AE32" s="298"/>
      <c r="AF32" s="298"/>
      <c r="AG32" s="43"/>
      <c r="AH32" s="43"/>
      <c r="AI32" s="29"/>
      <c r="AJ32" s="29"/>
    </row>
    <row r="33" spans="1:36">
      <c r="A33" s="29">
        <v>4</v>
      </c>
      <c r="B33" s="299">
        <v>46032</v>
      </c>
      <c r="C33" s="206" t="s">
        <v>340</v>
      </c>
      <c r="D33" s="300" t="s">
        <v>355</v>
      </c>
      <c r="E33" s="300"/>
      <c r="F33" s="292" t="s">
        <v>226</v>
      </c>
      <c r="G33" s="206">
        <f>G31-500</f>
        <v>48000</v>
      </c>
      <c r="H33" s="206" t="s">
        <v>356</v>
      </c>
      <c r="I33" s="206">
        <v>2500</v>
      </c>
      <c r="J33" s="206">
        <f>SUM(G33:I33)</f>
        <v>50500</v>
      </c>
      <c r="L33" s="206">
        <v>33</v>
      </c>
      <c r="M33" s="206" t="s">
        <v>409</v>
      </c>
      <c r="N33" s="206" t="s">
        <v>419</v>
      </c>
      <c r="O33" s="206" t="s">
        <v>421</v>
      </c>
      <c r="P33" s="206" t="str">
        <f t="shared" si="0"/>
        <v/>
      </c>
      <c r="Q33" s="29">
        <f t="shared" si="1"/>
        <v>0</v>
      </c>
      <c r="R33" s="29">
        <f t="shared" si="2"/>
        <v>0</v>
      </c>
      <c r="S33" s="11">
        <f>SUMIFS(J:J,B:B,$S$2,A:A,L33)</f>
        <v>0</v>
      </c>
      <c r="T33">
        <f>SUMIFS(J:J,B:B,$T$2,A:A,L33)</f>
        <v>0</v>
      </c>
      <c r="U33">
        <f t="shared" si="3"/>
        <v>0</v>
      </c>
      <c r="V33">
        <f t="shared" si="4"/>
        <v>0</v>
      </c>
      <c r="W33">
        <f>SUMIFS(J:J,B:B,$W$2,A:A,L33)</f>
        <v>0</v>
      </c>
      <c r="Y33" s="206">
        <v>33</v>
      </c>
      <c r="Z33" s="206" t="s">
        <v>409</v>
      </c>
      <c r="AA33" s="206" t="s">
        <v>419</v>
      </c>
      <c r="AB33" s="206" t="s">
        <v>421</v>
      </c>
      <c r="AC33" s="298" t="s">
        <v>412</v>
      </c>
      <c r="AD33" s="298" t="str">
        <f>_xlfn.XLOOKUP(Y33,A:A,J:J,"")</f>
        <v/>
      </c>
      <c r="AE33" s="298"/>
      <c r="AF33" s="298"/>
      <c r="AG33" s="43"/>
      <c r="AH33" s="43"/>
      <c r="AI33" s="29"/>
      <c r="AJ33" s="29"/>
    </row>
    <row r="34" spans="1:36">
      <c r="A34" s="29">
        <v>11</v>
      </c>
      <c r="B34" s="299">
        <v>46032</v>
      </c>
      <c r="C34" s="206" t="s">
        <v>340</v>
      </c>
      <c r="D34" s="300" t="s">
        <v>358</v>
      </c>
      <c r="E34" s="300"/>
      <c r="F34" s="292" t="s">
        <v>226</v>
      </c>
      <c r="G34" s="206">
        <f>G31</f>
        <v>48500</v>
      </c>
      <c r="H34" s="206" t="s">
        <v>348</v>
      </c>
      <c r="I34" s="206">
        <v>3500</v>
      </c>
      <c r="J34" s="206">
        <f>SUM(G34:I34)</f>
        <v>52000</v>
      </c>
      <c r="L34" s="206">
        <v>34</v>
      </c>
      <c r="M34" s="206" t="s">
        <v>409</v>
      </c>
      <c r="N34" s="206" t="s">
        <v>422</v>
      </c>
      <c r="O34" s="206" t="s">
        <v>423</v>
      </c>
      <c r="P34" s="206" t="str">
        <f t="shared" si="0"/>
        <v/>
      </c>
      <c r="Q34" s="29">
        <f t="shared" si="1"/>
        <v>0</v>
      </c>
      <c r="R34" s="29">
        <f t="shared" si="2"/>
        <v>0</v>
      </c>
      <c r="S34" s="11">
        <f>SUMIFS(J:J,B:B,$S$2,A:A,L34)</f>
        <v>0</v>
      </c>
      <c r="T34">
        <f>SUMIFS(J:J,B:B,$T$2,A:A,L34)</f>
        <v>0</v>
      </c>
      <c r="U34">
        <f t="shared" si="3"/>
        <v>0</v>
      </c>
      <c r="V34">
        <f t="shared" si="4"/>
        <v>0</v>
      </c>
      <c r="W34">
        <f>SUMIFS(J:J,B:B,$W$2,A:A,L34)</f>
        <v>0</v>
      </c>
      <c r="Y34" s="206">
        <v>34</v>
      </c>
      <c r="Z34" s="206" t="s">
        <v>409</v>
      </c>
      <c r="AA34" s="206" t="s">
        <v>422</v>
      </c>
      <c r="AB34" s="206" t="s">
        <v>423</v>
      </c>
      <c r="AC34" s="298" t="s">
        <v>412</v>
      </c>
      <c r="AD34" s="298" t="str">
        <f>_xlfn.XLOOKUP(Y34,A:A,J:J,"")</f>
        <v/>
      </c>
      <c r="AE34" s="298"/>
      <c r="AF34" s="298"/>
      <c r="AG34" s="43"/>
      <c r="AH34" s="43"/>
      <c r="AI34" s="29"/>
      <c r="AJ34" s="29"/>
    </row>
    <row r="35" spans="1:36">
      <c r="A35" s="29">
        <v>9</v>
      </c>
      <c r="B35" s="299">
        <v>46032</v>
      </c>
      <c r="C35" s="206" t="s">
        <v>340</v>
      </c>
      <c r="D35" s="300" t="s">
        <v>363</v>
      </c>
      <c r="E35" s="300"/>
      <c r="F35" s="292" t="s">
        <v>364</v>
      </c>
      <c r="G35" s="206"/>
      <c r="H35" s="206"/>
      <c r="I35" s="206"/>
      <c r="J35" s="294">
        <f>52500+500</f>
        <v>53000</v>
      </c>
    </row>
    <row r="36" spans="1:36">
      <c r="A36" s="29">
        <v>3</v>
      </c>
      <c r="B36" s="299">
        <v>46032</v>
      </c>
      <c r="C36" s="206" t="s">
        <v>340</v>
      </c>
      <c r="D36" s="300" t="s">
        <v>366</v>
      </c>
      <c r="E36" s="300"/>
      <c r="F36" s="292" t="s">
        <v>226</v>
      </c>
      <c r="G36" s="206">
        <f>G31</f>
        <v>48500</v>
      </c>
      <c r="H36" s="206" t="s">
        <v>348</v>
      </c>
      <c r="I36" s="206">
        <v>3000</v>
      </c>
      <c r="J36" s="206">
        <f>SUM(G36:I36)</f>
        <v>51500</v>
      </c>
    </row>
    <row r="37" spans="1:36">
      <c r="A37" s="29">
        <v>1</v>
      </c>
      <c r="B37" s="299">
        <v>46032</v>
      </c>
      <c r="C37" s="206" t="s">
        <v>340</v>
      </c>
      <c r="D37" s="300" t="s">
        <v>369</v>
      </c>
      <c r="E37" s="300"/>
      <c r="F37" s="292" t="s">
        <v>226</v>
      </c>
      <c r="G37" s="206">
        <f>G31</f>
        <v>48500</v>
      </c>
      <c r="H37" s="206" t="s">
        <v>348</v>
      </c>
      <c r="I37" s="206">
        <v>3000</v>
      </c>
      <c r="J37" s="206">
        <f>SUM(G37:I37)</f>
        <v>51500</v>
      </c>
    </row>
    <row r="38" spans="1:36">
      <c r="A38" s="29">
        <v>2</v>
      </c>
      <c r="B38" s="299">
        <v>46032</v>
      </c>
      <c r="C38" s="206" t="s">
        <v>340</v>
      </c>
      <c r="D38" s="300" t="s">
        <v>372</v>
      </c>
      <c r="E38" s="300"/>
      <c r="F38" s="292" t="s">
        <v>224</v>
      </c>
      <c r="G38" s="294">
        <f>(50500-3200)+250+500</f>
        <v>48050</v>
      </c>
      <c r="H38" s="293" t="s">
        <v>352</v>
      </c>
      <c r="I38" s="206">
        <v>3200</v>
      </c>
      <c r="J38" s="206">
        <f>SUM(G38:I38)</f>
        <v>51250</v>
      </c>
    </row>
    <row r="39" spans="1:36">
      <c r="A39" s="29">
        <v>5</v>
      </c>
      <c r="B39" s="299">
        <v>46032</v>
      </c>
      <c r="C39" s="206" t="s">
        <v>340</v>
      </c>
      <c r="D39" s="300" t="s">
        <v>375</v>
      </c>
      <c r="E39" s="300"/>
      <c r="F39" s="292" t="s">
        <v>226</v>
      </c>
      <c r="G39" s="206">
        <f>G31</f>
        <v>48500</v>
      </c>
      <c r="H39" s="206" t="s">
        <v>348</v>
      </c>
      <c r="I39" s="206">
        <v>3500</v>
      </c>
      <c r="J39" s="206">
        <f>SUM(G39:I39)</f>
        <v>52000</v>
      </c>
    </row>
    <row r="40" spans="1:36">
      <c r="A40" s="29">
        <v>10</v>
      </c>
      <c r="B40" s="299">
        <v>46032</v>
      </c>
      <c r="C40" s="206" t="s">
        <v>340</v>
      </c>
      <c r="D40" s="300" t="s">
        <v>378</v>
      </c>
      <c r="E40" s="300"/>
      <c r="F40" s="292" t="s">
        <v>364</v>
      </c>
      <c r="G40" s="206"/>
      <c r="H40" s="206"/>
      <c r="I40" s="206"/>
      <c r="J40" s="206">
        <f>J35-250</f>
        <v>52750</v>
      </c>
    </row>
    <row r="41" spans="1:36">
      <c r="A41" s="29">
        <v>12</v>
      </c>
      <c r="B41" s="299">
        <v>46032</v>
      </c>
      <c r="C41" s="206" t="s">
        <v>379</v>
      </c>
      <c r="D41" s="300" t="s">
        <v>381</v>
      </c>
      <c r="E41" s="300"/>
      <c r="F41" s="292" t="s">
        <v>224</v>
      </c>
      <c r="G41" s="206">
        <f>G29+1000</f>
        <v>48550</v>
      </c>
      <c r="H41" s="206" t="s">
        <v>382</v>
      </c>
      <c r="I41" s="297">
        <v>700</v>
      </c>
      <c r="J41" s="206">
        <f>SUM(G41:I41)</f>
        <v>49250</v>
      </c>
    </row>
    <row r="42" spans="1:36">
      <c r="A42" s="29">
        <v>13</v>
      </c>
      <c r="B42" s="299">
        <v>46032</v>
      </c>
      <c r="C42" s="206" t="s">
        <v>379</v>
      </c>
      <c r="D42" s="300" t="s">
        <v>385</v>
      </c>
      <c r="E42" s="300"/>
      <c r="F42" s="292" t="s">
        <v>224</v>
      </c>
      <c r="G42" s="206">
        <f>G29+1000</f>
        <v>48550</v>
      </c>
      <c r="H42" s="206" t="s">
        <v>382</v>
      </c>
      <c r="I42" s="297">
        <v>1500</v>
      </c>
      <c r="J42" s="206">
        <f>SUM(G42:I42)</f>
        <v>50050</v>
      </c>
    </row>
    <row r="43" spans="1:36">
      <c r="A43" s="29">
        <v>15</v>
      </c>
      <c r="B43" s="299">
        <v>46032</v>
      </c>
      <c r="C43" s="206" t="s">
        <v>379</v>
      </c>
      <c r="D43" s="300" t="s">
        <v>388</v>
      </c>
      <c r="E43" s="300"/>
      <c r="F43" s="292" t="s">
        <v>226</v>
      </c>
      <c r="G43" s="206">
        <f>G31+500</f>
        <v>49000</v>
      </c>
      <c r="H43" s="206" t="s">
        <v>356</v>
      </c>
      <c r="I43" s="292">
        <v>1250</v>
      </c>
      <c r="J43" s="206">
        <f>SUM(G43:I43)</f>
        <v>50250</v>
      </c>
    </row>
    <row r="44" spans="1:36">
      <c r="A44" s="29">
        <v>6</v>
      </c>
      <c r="B44" s="299">
        <v>46032</v>
      </c>
      <c r="C44" s="206" t="s">
        <v>340</v>
      </c>
      <c r="D44" s="206" t="s">
        <v>360</v>
      </c>
      <c r="E44" s="206"/>
      <c r="F44" s="292" t="s">
        <v>364</v>
      </c>
      <c r="G44" s="206"/>
      <c r="H44" s="206"/>
      <c r="I44" s="206"/>
      <c r="J44" s="206">
        <f>J35+500</f>
        <v>53500</v>
      </c>
    </row>
    <row r="45" spans="1:36">
      <c r="A45" s="29">
        <v>7</v>
      </c>
      <c r="B45" s="299">
        <v>46032</v>
      </c>
      <c r="C45" s="206" t="s">
        <v>340</v>
      </c>
      <c r="D45" s="206" t="s">
        <v>365</v>
      </c>
      <c r="E45" s="206"/>
      <c r="F45" s="292" t="s">
        <v>364</v>
      </c>
      <c r="G45" s="206"/>
      <c r="H45" s="206"/>
      <c r="I45" s="206"/>
      <c r="J45" s="206">
        <f>J35+1000</f>
        <v>54000</v>
      </c>
    </row>
    <row r="46" spans="1:36">
      <c r="A46" s="29">
        <v>14</v>
      </c>
      <c r="B46" s="299">
        <v>46032</v>
      </c>
      <c r="C46" s="206" t="s">
        <v>379</v>
      </c>
      <c r="D46" s="300" t="s">
        <v>393</v>
      </c>
      <c r="E46" s="300"/>
      <c r="F46" s="292" t="s">
        <v>226</v>
      </c>
      <c r="G46" s="206">
        <f>G43</f>
        <v>49000</v>
      </c>
      <c r="H46" s="206" t="s">
        <v>356</v>
      </c>
      <c r="I46" s="292">
        <v>2000</v>
      </c>
      <c r="J46" s="206">
        <f>SUM(G46:I46)</f>
        <v>51000</v>
      </c>
    </row>
    <row r="47" spans="1:36">
      <c r="A47" s="29">
        <v>17</v>
      </c>
      <c r="B47" s="299">
        <v>46032</v>
      </c>
      <c r="C47" s="206" t="s">
        <v>337</v>
      </c>
      <c r="D47" s="300" t="s">
        <v>397</v>
      </c>
      <c r="E47" s="300"/>
      <c r="F47" s="292" t="s">
        <v>224</v>
      </c>
      <c r="G47" s="206">
        <f>G38+500</f>
        <v>48550</v>
      </c>
      <c r="H47" s="206" t="s">
        <v>352</v>
      </c>
      <c r="I47" s="206">
        <v>1000</v>
      </c>
      <c r="J47" s="206">
        <f>SUM(G47:I47)</f>
        <v>49550</v>
      </c>
    </row>
    <row r="48" spans="1:36">
      <c r="A48" s="29">
        <v>8</v>
      </c>
      <c r="B48" s="299">
        <v>46032</v>
      </c>
      <c r="C48" s="29" t="s">
        <v>340</v>
      </c>
      <c r="D48" s="206" t="s">
        <v>368</v>
      </c>
      <c r="E48" s="206"/>
      <c r="F48" s="29" t="s">
        <v>364</v>
      </c>
      <c r="G48" s="29"/>
      <c r="H48" s="29"/>
      <c r="I48" s="29"/>
      <c r="J48" s="29">
        <f>J35-250</f>
        <v>52750</v>
      </c>
    </row>
    <row r="49" spans="1:10">
      <c r="A49" s="29">
        <v>18</v>
      </c>
      <c r="B49" s="299">
        <v>46032</v>
      </c>
      <c r="C49" s="206" t="s">
        <v>394</v>
      </c>
      <c r="D49" s="300" t="s">
        <v>400</v>
      </c>
      <c r="E49" s="300"/>
      <c r="F49" s="292" t="s">
        <v>226</v>
      </c>
      <c r="G49" s="29">
        <f>G31</f>
        <v>48500</v>
      </c>
      <c r="H49" s="206" t="s">
        <v>348</v>
      </c>
      <c r="I49" s="206">
        <v>3200</v>
      </c>
      <c r="J49" s="206">
        <f>SUM(G49:I49)</f>
        <v>51700</v>
      </c>
    </row>
    <row r="50" spans="1:10">
      <c r="A50" s="29">
        <v>19</v>
      </c>
      <c r="B50" s="299">
        <v>46032</v>
      </c>
      <c r="C50" s="206" t="s">
        <v>394</v>
      </c>
      <c r="D50" s="300" t="s">
        <v>402</v>
      </c>
      <c r="E50" s="300"/>
      <c r="F50" s="292" t="s">
        <v>226</v>
      </c>
      <c r="G50" s="29">
        <f>G31</f>
        <v>48500</v>
      </c>
      <c r="H50" s="206" t="s">
        <v>348</v>
      </c>
      <c r="I50" s="206">
        <v>3000</v>
      </c>
      <c r="J50" s="206">
        <f>SUM(G50:I50)</f>
        <v>51500</v>
      </c>
    </row>
    <row r="51" spans="1:10">
      <c r="A51" s="29">
        <v>20</v>
      </c>
      <c r="B51" s="299">
        <v>46032</v>
      </c>
      <c r="C51" s="206" t="s">
        <v>394</v>
      </c>
      <c r="D51" s="300" t="s">
        <v>405</v>
      </c>
      <c r="E51" s="300"/>
      <c r="F51" s="292" t="s">
        <v>226</v>
      </c>
      <c r="G51" s="29">
        <f>G31</f>
        <v>48500</v>
      </c>
      <c r="H51" s="206" t="s">
        <v>348</v>
      </c>
      <c r="I51" s="206">
        <v>3000</v>
      </c>
      <c r="J51" s="206">
        <f>SUM(G51:I51)</f>
        <v>51500</v>
      </c>
    </row>
    <row r="52" spans="1:10">
      <c r="A52" s="29">
        <v>22</v>
      </c>
      <c r="B52" s="299">
        <v>46032</v>
      </c>
      <c r="C52" s="29" t="s">
        <v>394</v>
      </c>
      <c r="D52" s="29" t="s">
        <v>46</v>
      </c>
      <c r="E52" s="29"/>
      <c r="F52" s="29" t="s">
        <v>226</v>
      </c>
      <c r="G52" s="29">
        <f>G31</f>
        <v>48500</v>
      </c>
      <c r="H52" s="206" t="s">
        <v>348</v>
      </c>
      <c r="I52" s="29">
        <v>3300</v>
      </c>
      <c r="J52" s="206">
        <f>SUM(G52:I52)</f>
        <v>51800</v>
      </c>
    </row>
    <row r="54" spans="1:10">
      <c r="A54" s="295" t="s">
        <v>322</v>
      </c>
      <c r="B54" s="295" t="s">
        <v>323</v>
      </c>
      <c r="C54" s="295" t="s">
        <v>324</v>
      </c>
      <c r="D54" s="295" t="s">
        <v>325</v>
      </c>
      <c r="E54" s="295" t="s">
        <v>326</v>
      </c>
      <c r="F54" s="295" t="s">
        <v>327</v>
      </c>
      <c r="G54" s="295" t="s">
        <v>328</v>
      </c>
      <c r="H54" s="295" t="s">
        <v>329</v>
      </c>
      <c r="I54" s="295" t="s">
        <v>71</v>
      </c>
      <c r="J54" s="295" t="s">
        <v>155</v>
      </c>
    </row>
    <row r="55" spans="1:10">
      <c r="A55" s="29">
        <v>25</v>
      </c>
      <c r="B55" s="299">
        <v>46038</v>
      </c>
      <c r="C55" s="206" t="s">
        <v>337</v>
      </c>
      <c r="D55" s="300" t="s">
        <v>338</v>
      </c>
      <c r="E55" s="300"/>
      <c r="F55" s="292" t="s">
        <v>224</v>
      </c>
      <c r="G55" s="206">
        <f>G64-500</f>
        <v>48300</v>
      </c>
      <c r="H55" s="206" t="s">
        <v>339</v>
      </c>
      <c r="I55" s="206">
        <v>1000</v>
      </c>
      <c r="J55" s="206">
        <f>SUM(G55:I55)</f>
        <v>49300</v>
      </c>
    </row>
    <row r="56" spans="1:10">
      <c r="A56" s="29">
        <v>26</v>
      </c>
      <c r="B56" s="299">
        <f>$B$55</f>
        <v>46038</v>
      </c>
      <c r="C56" s="206" t="s">
        <v>337</v>
      </c>
      <c r="D56" s="300" t="s">
        <v>344</v>
      </c>
      <c r="E56" s="300"/>
      <c r="F56" s="292" t="s">
        <v>224</v>
      </c>
      <c r="G56" s="206">
        <f>G55</f>
        <v>48300</v>
      </c>
      <c r="H56" s="206" t="s">
        <v>339</v>
      </c>
      <c r="I56" s="206">
        <v>2200</v>
      </c>
      <c r="J56" s="206">
        <f>SUM(G56:I56)-500</f>
        <v>50000</v>
      </c>
    </row>
    <row r="57" spans="1:10">
      <c r="A57" s="29">
        <v>21</v>
      </c>
      <c r="B57" s="299">
        <f>$B$55</f>
        <v>46038</v>
      </c>
      <c r="C57" s="206" t="s">
        <v>337</v>
      </c>
      <c r="D57" s="300" t="s">
        <v>347</v>
      </c>
      <c r="E57" s="300"/>
      <c r="F57" s="292" t="s">
        <v>226</v>
      </c>
      <c r="G57" s="294">
        <f>47000+1500+500</f>
        <v>49000</v>
      </c>
      <c r="H57" s="206" t="s">
        <v>348</v>
      </c>
      <c r="I57" s="206">
        <v>1000</v>
      </c>
      <c r="J57" s="206">
        <f>SUM(G57:I57)</f>
        <v>50000</v>
      </c>
    </row>
    <row r="58" spans="1:10">
      <c r="A58" s="29">
        <v>16</v>
      </c>
      <c r="B58" s="299">
        <f>$B$55</f>
        <v>46038</v>
      </c>
      <c r="C58" s="206" t="s">
        <v>337</v>
      </c>
      <c r="D58" s="300" t="s">
        <v>351</v>
      </c>
      <c r="E58" s="300"/>
      <c r="F58" s="292" t="s">
        <v>224</v>
      </c>
      <c r="G58" s="206">
        <f>G64+500</f>
        <v>49300</v>
      </c>
      <c r="H58" s="206" t="s">
        <v>352</v>
      </c>
      <c r="I58" s="206">
        <v>1000</v>
      </c>
      <c r="J58" s="206">
        <f>SUM(G58:I58)</f>
        <v>50300</v>
      </c>
    </row>
    <row r="59" spans="1:10">
      <c r="A59" s="29">
        <v>4</v>
      </c>
      <c r="B59" s="299">
        <f>$B$55</f>
        <v>46038</v>
      </c>
      <c r="C59" s="206" t="s">
        <v>340</v>
      </c>
      <c r="D59" s="300" t="s">
        <v>355</v>
      </c>
      <c r="E59" s="300"/>
      <c r="F59" s="292" t="s">
        <v>226</v>
      </c>
      <c r="G59" s="206">
        <f>G57-500</f>
        <v>48500</v>
      </c>
      <c r="H59" s="206" t="s">
        <v>356</v>
      </c>
      <c r="I59" s="206">
        <v>2500</v>
      </c>
      <c r="J59" s="206">
        <f>SUM(G59:I59)</f>
        <v>51000</v>
      </c>
    </row>
    <row r="60" spans="1:10">
      <c r="A60" s="29">
        <v>11</v>
      </c>
      <c r="B60" s="299">
        <f>$B$55</f>
        <v>46038</v>
      </c>
      <c r="C60" s="206" t="s">
        <v>340</v>
      </c>
      <c r="D60" s="300" t="s">
        <v>358</v>
      </c>
      <c r="E60" s="300"/>
      <c r="F60" s="292" t="s">
        <v>226</v>
      </c>
      <c r="G60" s="206">
        <f>G57</f>
        <v>49000</v>
      </c>
      <c r="H60" s="206" t="s">
        <v>348</v>
      </c>
      <c r="I60" s="206">
        <v>3500</v>
      </c>
      <c r="J60" s="206">
        <f>SUM(G60:I60)</f>
        <v>52500</v>
      </c>
    </row>
    <row r="61" spans="1:10">
      <c r="A61" s="29">
        <v>9</v>
      </c>
      <c r="B61" s="299">
        <f>$B$55</f>
        <v>46038</v>
      </c>
      <c r="C61" s="206" t="s">
        <v>340</v>
      </c>
      <c r="D61" s="300" t="s">
        <v>363</v>
      </c>
      <c r="E61" s="300"/>
      <c r="F61" s="292" t="s">
        <v>364</v>
      </c>
      <c r="G61" s="206"/>
      <c r="H61" s="206"/>
      <c r="I61" s="206"/>
      <c r="J61" s="294">
        <f>52500+500</f>
        <v>53000</v>
      </c>
    </row>
    <row r="62" spans="1:10">
      <c r="A62" s="29">
        <v>3</v>
      </c>
      <c r="B62" s="299">
        <f>$B$55</f>
        <v>46038</v>
      </c>
      <c r="C62" s="206" t="s">
        <v>340</v>
      </c>
      <c r="D62" s="300" t="s">
        <v>366</v>
      </c>
      <c r="E62" s="300"/>
      <c r="F62" s="292" t="s">
        <v>226</v>
      </c>
      <c r="G62" s="206">
        <f>G57</f>
        <v>49000</v>
      </c>
      <c r="H62" s="206" t="s">
        <v>348</v>
      </c>
      <c r="I62" s="206">
        <v>3000</v>
      </c>
      <c r="J62" s="206">
        <f>SUM(G62:I62)</f>
        <v>52000</v>
      </c>
    </row>
    <row r="63" spans="1:10">
      <c r="A63" s="29">
        <v>1</v>
      </c>
      <c r="B63" s="299">
        <f>$B$55</f>
        <v>46038</v>
      </c>
      <c r="C63" s="206" t="s">
        <v>340</v>
      </c>
      <c r="D63" s="300" t="s">
        <v>369</v>
      </c>
      <c r="E63" s="300"/>
      <c r="F63" s="292" t="s">
        <v>226</v>
      </c>
      <c r="G63" s="206">
        <f>G57</f>
        <v>49000</v>
      </c>
      <c r="H63" s="206" t="s">
        <v>348</v>
      </c>
      <c r="I63" s="206">
        <v>3000</v>
      </c>
      <c r="J63" s="206">
        <f>SUM(G63:I63)</f>
        <v>52000</v>
      </c>
    </row>
    <row r="64" spans="1:10">
      <c r="A64" s="29">
        <v>2</v>
      </c>
      <c r="B64" s="299">
        <f>$B$55</f>
        <v>46038</v>
      </c>
      <c r="C64" s="206" t="s">
        <v>340</v>
      </c>
      <c r="D64" s="300" t="s">
        <v>372</v>
      </c>
      <c r="E64" s="300"/>
      <c r="F64" s="292" t="s">
        <v>224</v>
      </c>
      <c r="G64" s="294">
        <f>(50500-3200)+250+500+750</f>
        <v>48800</v>
      </c>
      <c r="H64" s="293" t="s">
        <v>352</v>
      </c>
      <c r="I64" s="206">
        <v>3200</v>
      </c>
      <c r="J64" s="206">
        <f>SUM(G64:I64)</f>
        <v>52000</v>
      </c>
    </row>
    <row r="65" spans="1:10">
      <c r="A65" s="29">
        <v>5</v>
      </c>
      <c r="B65" s="299">
        <f>$B$55</f>
        <v>46038</v>
      </c>
      <c r="C65" s="206" t="s">
        <v>340</v>
      </c>
      <c r="D65" s="300" t="s">
        <v>375</v>
      </c>
      <c r="E65" s="300"/>
      <c r="F65" s="292" t="s">
        <v>226</v>
      </c>
      <c r="G65" s="206">
        <f>G57</f>
        <v>49000</v>
      </c>
      <c r="H65" s="206" t="s">
        <v>348</v>
      </c>
      <c r="I65" s="206">
        <v>3500</v>
      </c>
      <c r="J65" s="206">
        <f>SUM(G65:I65)</f>
        <v>52500</v>
      </c>
    </row>
    <row r="66" spans="1:10">
      <c r="A66" s="29">
        <v>10</v>
      </c>
      <c r="B66" s="299">
        <f>$B$55</f>
        <v>46038</v>
      </c>
      <c r="C66" s="206" t="s">
        <v>340</v>
      </c>
      <c r="D66" s="300" t="s">
        <v>378</v>
      </c>
      <c r="E66" s="300"/>
      <c r="F66" s="292" t="s">
        <v>364</v>
      </c>
      <c r="G66" s="206"/>
      <c r="H66" s="206"/>
      <c r="I66" s="206"/>
      <c r="J66" s="206">
        <f>J61-250</f>
        <v>52750</v>
      </c>
    </row>
    <row r="67" spans="1:10">
      <c r="A67" s="29">
        <v>12</v>
      </c>
      <c r="B67" s="299">
        <f>$B$55</f>
        <v>46038</v>
      </c>
      <c r="C67" s="206" t="s">
        <v>379</v>
      </c>
      <c r="D67" s="300" t="s">
        <v>381</v>
      </c>
      <c r="E67" s="300"/>
      <c r="F67" s="292" t="s">
        <v>224</v>
      </c>
      <c r="G67" s="206">
        <f>G55+1000</f>
        <v>49300</v>
      </c>
      <c r="H67" s="206" t="s">
        <v>382</v>
      </c>
      <c r="I67" s="297">
        <v>700</v>
      </c>
      <c r="J67" s="206">
        <f>SUM(G67:I67)</f>
        <v>50000</v>
      </c>
    </row>
    <row r="68" spans="1:10">
      <c r="A68" s="29">
        <v>13</v>
      </c>
      <c r="B68" s="299">
        <f>$B$55</f>
        <v>46038</v>
      </c>
      <c r="C68" s="206" t="s">
        <v>379</v>
      </c>
      <c r="D68" s="300" t="s">
        <v>385</v>
      </c>
      <c r="E68" s="300"/>
      <c r="F68" s="292" t="s">
        <v>224</v>
      </c>
      <c r="G68" s="206">
        <f>G55+1000</f>
        <v>49300</v>
      </c>
      <c r="H68" s="206" t="s">
        <v>382</v>
      </c>
      <c r="I68" s="297">
        <v>1500</v>
      </c>
      <c r="J68" s="206">
        <f>SUM(G68:I68)</f>
        <v>50800</v>
      </c>
    </row>
    <row r="69" spans="1:10">
      <c r="A69" s="29">
        <v>15</v>
      </c>
      <c r="B69" s="299">
        <f>$B$55</f>
        <v>46038</v>
      </c>
      <c r="C69" s="206" t="s">
        <v>379</v>
      </c>
      <c r="D69" s="300" t="s">
        <v>388</v>
      </c>
      <c r="E69" s="300"/>
      <c r="F69" s="292" t="s">
        <v>226</v>
      </c>
      <c r="G69" s="206">
        <f>G57+500</f>
        <v>49500</v>
      </c>
      <c r="H69" s="206" t="s">
        <v>356</v>
      </c>
      <c r="I69" s="292">
        <v>1250</v>
      </c>
      <c r="J69" s="206">
        <f>SUM(G69:I69)</f>
        <v>50750</v>
      </c>
    </row>
    <row r="70" spans="1:10">
      <c r="A70" s="29">
        <v>6</v>
      </c>
      <c r="B70" s="299">
        <f>$B$55</f>
        <v>46038</v>
      </c>
      <c r="C70" s="206" t="s">
        <v>340</v>
      </c>
      <c r="D70" s="206" t="s">
        <v>360</v>
      </c>
      <c r="E70" s="206"/>
      <c r="F70" s="292" t="s">
        <v>364</v>
      </c>
      <c r="G70" s="206"/>
      <c r="H70" s="206"/>
      <c r="I70" s="206"/>
      <c r="J70" s="206">
        <f>J61+500</f>
        <v>53500</v>
      </c>
    </row>
    <row r="71" spans="1:10">
      <c r="A71" s="29">
        <v>7</v>
      </c>
      <c r="B71" s="299">
        <f>$B$55</f>
        <v>46038</v>
      </c>
      <c r="C71" s="206" t="s">
        <v>340</v>
      </c>
      <c r="D71" s="206" t="s">
        <v>365</v>
      </c>
      <c r="E71" s="206"/>
      <c r="F71" s="292" t="s">
        <v>364</v>
      </c>
      <c r="G71" s="206"/>
      <c r="H71" s="206"/>
      <c r="I71" s="206"/>
      <c r="J71" s="206">
        <f>J61+1000</f>
        <v>54000</v>
      </c>
    </row>
    <row r="72" spans="1:10">
      <c r="A72" s="29">
        <v>14</v>
      </c>
      <c r="B72" s="299">
        <f>$B$55</f>
        <v>46038</v>
      </c>
      <c r="C72" s="206" t="s">
        <v>379</v>
      </c>
      <c r="D72" s="300" t="s">
        <v>393</v>
      </c>
      <c r="E72" s="300"/>
      <c r="F72" s="292" t="s">
        <v>226</v>
      </c>
      <c r="G72" s="206">
        <f>G69</f>
        <v>49500</v>
      </c>
      <c r="H72" s="206" t="s">
        <v>356</v>
      </c>
      <c r="I72" s="292">
        <v>2000</v>
      </c>
      <c r="J72" s="206">
        <f>SUM(G72:I72)</f>
        <v>51500</v>
      </c>
    </row>
    <row r="73" spans="1:10">
      <c r="A73" s="29">
        <v>17</v>
      </c>
      <c r="B73" s="299">
        <f>$B$55</f>
        <v>46038</v>
      </c>
      <c r="C73" s="206" t="s">
        <v>337</v>
      </c>
      <c r="D73" s="300" t="s">
        <v>397</v>
      </c>
      <c r="E73" s="300"/>
      <c r="F73" s="292" t="s">
        <v>224</v>
      </c>
      <c r="G73" s="206">
        <f>G64+500</f>
        <v>49300</v>
      </c>
      <c r="H73" s="206" t="s">
        <v>352</v>
      </c>
      <c r="I73" s="206">
        <v>1000</v>
      </c>
      <c r="J73" s="206">
        <f>SUM(G73:I73)</f>
        <v>50300</v>
      </c>
    </row>
    <row r="74" spans="1:10">
      <c r="A74" s="29">
        <v>8</v>
      </c>
      <c r="B74" s="299">
        <f>$B$55</f>
        <v>46038</v>
      </c>
      <c r="C74" s="29" t="s">
        <v>340</v>
      </c>
      <c r="D74" s="206" t="s">
        <v>368</v>
      </c>
      <c r="E74" s="206"/>
      <c r="F74" s="29" t="s">
        <v>364</v>
      </c>
      <c r="G74" s="29"/>
      <c r="H74" s="29"/>
      <c r="I74" s="29"/>
      <c r="J74" s="29">
        <f>J61-250</f>
        <v>52750</v>
      </c>
    </row>
    <row r="75" spans="1:10">
      <c r="A75" s="29">
        <v>18</v>
      </c>
      <c r="B75" s="299">
        <f>$B$55</f>
        <v>46038</v>
      </c>
      <c r="C75" s="206" t="s">
        <v>394</v>
      </c>
      <c r="D75" s="300" t="s">
        <v>400</v>
      </c>
      <c r="E75" s="300"/>
      <c r="F75" s="292" t="s">
        <v>226</v>
      </c>
      <c r="G75" s="29">
        <f>G57</f>
        <v>49000</v>
      </c>
      <c r="H75" s="206" t="s">
        <v>348</v>
      </c>
      <c r="I75" s="206">
        <v>3200</v>
      </c>
      <c r="J75" s="206">
        <f>SUM(G75:I75)</f>
        <v>52200</v>
      </c>
    </row>
    <row r="76" spans="1:10">
      <c r="A76" s="29">
        <v>19</v>
      </c>
      <c r="B76" s="299">
        <f>$B$55</f>
        <v>46038</v>
      </c>
      <c r="C76" s="206" t="s">
        <v>394</v>
      </c>
      <c r="D76" s="300" t="s">
        <v>402</v>
      </c>
      <c r="E76" s="300"/>
      <c r="F76" s="292" t="s">
        <v>226</v>
      </c>
      <c r="G76" s="29">
        <f>G57</f>
        <v>49000</v>
      </c>
      <c r="H76" s="206" t="s">
        <v>348</v>
      </c>
      <c r="I76" s="206">
        <v>3000</v>
      </c>
      <c r="J76" s="206">
        <f>SUM(G76:I76)</f>
        <v>52000</v>
      </c>
    </row>
    <row r="77" spans="1:10">
      <c r="A77" s="29">
        <v>20</v>
      </c>
      <c r="B77" s="299">
        <f>$B$55</f>
        <v>46038</v>
      </c>
      <c r="C77" s="206" t="s">
        <v>394</v>
      </c>
      <c r="D77" s="300" t="s">
        <v>405</v>
      </c>
      <c r="E77" s="300"/>
      <c r="F77" s="292" t="s">
        <v>226</v>
      </c>
      <c r="G77" s="29">
        <f>G57</f>
        <v>49000</v>
      </c>
      <c r="H77" s="206" t="s">
        <v>348</v>
      </c>
      <c r="I77" s="206">
        <v>3000</v>
      </c>
      <c r="J77" s="206">
        <f>SUM(G77:I77)</f>
        <v>52000</v>
      </c>
    </row>
    <row r="78" spans="1:10">
      <c r="A78" s="29">
        <v>22</v>
      </c>
      <c r="B78" s="299">
        <f>$B$55</f>
        <v>46038</v>
      </c>
      <c r="C78" s="29" t="s">
        <v>394</v>
      </c>
      <c r="D78" s="29" t="s">
        <v>46</v>
      </c>
      <c r="E78" s="29"/>
      <c r="F78" s="29" t="s">
        <v>226</v>
      </c>
      <c r="G78" s="29">
        <f>G57</f>
        <v>49000</v>
      </c>
      <c r="H78" s="206" t="s">
        <v>348</v>
      </c>
      <c r="I78" s="29">
        <v>3300</v>
      </c>
      <c r="J78" s="206">
        <f>SUM(G78:I78)</f>
        <v>52300</v>
      </c>
    </row>
    <row r="79" spans="1:10">
      <c r="B79" s="299"/>
    </row>
    <row r="80" spans="1:10">
      <c r="A80" s="295" t="s">
        <v>322</v>
      </c>
      <c r="B80" s="295" t="s">
        <v>323</v>
      </c>
      <c r="C80" s="295" t="s">
        <v>324</v>
      </c>
      <c r="D80" s="295" t="s">
        <v>325</v>
      </c>
      <c r="E80" s="295" t="s">
        <v>326</v>
      </c>
      <c r="F80" s="295" t="s">
        <v>327</v>
      </c>
      <c r="G80" s="295" t="s">
        <v>328</v>
      </c>
      <c r="H80" s="295" t="s">
        <v>329</v>
      </c>
      <c r="I80" s="295" t="s">
        <v>71</v>
      </c>
      <c r="J80" s="295" t="s">
        <v>155</v>
      </c>
    </row>
    <row r="81" spans="1:10">
      <c r="A81" s="29">
        <v>25</v>
      </c>
      <c r="B81" s="299">
        <v>46085</v>
      </c>
      <c r="C81" s="206" t="s">
        <v>337</v>
      </c>
      <c r="D81" s="300" t="s">
        <v>338</v>
      </c>
      <c r="E81" s="300"/>
      <c r="F81" s="292" t="s">
        <v>224</v>
      </c>
      <c r="G81" s="206">
        <f>G90-500</f>
        <v>54000</v>
      </c>
      <c r="H81" s="206" t="s">
        <v>339</v>
      </c>
      <c r="I81" s="206">
        <v>1000</v>
      </c>
      <c r="J81" s="206">
        <f>SUM(G81:I81)</f>
        <v>55000</v>
      </c>
    </row>
    <row r="82" spans="1:10">
      <c r="A82" s="29">
        <v>26</v>
      </c>
      <c r="B82" s="299">
        <f>B81</f>
        <v>46085</v>
      </c>
      <c r="C82" s="206" t="s">
        <v>337</v>
      </c>
      <c r="D82" s="300" t="s">
        <v>344</v>
      </c>
      <c r="E82" s="300"/>
      <c r="F82" s="292" t="s">
        <v>224</v>
      </c>
      <c r="G82" s="206">
        <f>G81</f>
        <v>54000</v>
      </c>
      <c r="H82" s="206" t="s">
        <v>339</v>
      </c>
      <c r="I82" s="206">
        <v>2200</v>
      </c>
      <c r="J82" s="206">
        <f>SUM(G82:I82)-500</f>
        <v>55700</v>
      </c>
    </row>
    <row r="83" spans="1:10">
      <c r="A83" s="29">
        <v>21</v>
      </c>
      <c r="B83" s="299">
        <f t="shared" ref="B83:B104" si="12">B82</f>
        <v>46085</v>
      </c>
      <c r="C83" s="206" t="s">
        <v>337</v>
      </c>
      <c r="D83" s="300" t="s">
        <v>347</v>
      </c>
      <c r="E83" s="300"/>
      <c r="F83" s="292" t="s">
        <v>226</v>
      </c>
      <c r="G83" s="294">
        <f>59500-3000-1000</f>
        <v>55500</v>
      </c>
      <c r="H83" s="206" t="s">
        <v>348</v>
      </c>
      <c r="I83" s="206">
        <v>1000</v>
      </c>
      <c r="J83" s="206">
        <f>SUM(G83:I83)</f>
        <v>56500</v>
      </c>
    </row>
    <row r="84" spans="1:10">
      <c r="A84" s="29">
        <v>16</v>
      </c>
      <c r="B84" s="299">
        <f t="shared" si="12"/>
        <v>46085</v>
      </c>
      <c r="C84" s="206" t="s">
        <v>337</v>
      </c>
      <c r="D84" s="300" t="s">
        <v>351</v>
      </c>
      <c r="E84" s="300"/>
      <c r="F84" s="292" t="s">
        <v>224</v>
      </c>
      <c r="G84" s="206">
        <f>G90+500</f>
        <v>55000</v>
      </c>
      <c r="H84" s="206" t="s">
        <v>352</v>
      </c>
      <c r="I84" s="206">
        <v>1000</v>
      </c>
      <c r="J84" s="206">
        <f>SUM(G84:I84)</f>
        <v>56000</v>
      </c>
    </row>
    <row r="85" spans="1:10">
      <c r="A85" s="29">
        <v>4</v>
      </c>
      <c r="B85" s="299">
        <f t="shared" si="12"/>
        <v>46085</v>
      </c>
      <c r="C85" s="206" t="s">
        <v>340</v>
      </c>
      <c r="D85" s="300" t="s">
        <v>355</v>
      </c>
      <c r="E85" s="300"/>
      <c r="F85" s="292" t="s">
        <v>226</v>
      </c>
      <c r="G85" s="206">
        <f>G83-500</f>
        <v>55000</v>
      </c>
      <c r="H85" s="206" t="s">
        <v>356</v>
      </c>
      <c r="I85" s="206">
        <v>2500</v>
      </c>
      <c r="J85" s="206">
        <f>SUM(G85:I85)</f>
        <v>57500</v>
      </c>
    </row>
    <row r="86" spans="1:10">
      <c r="A86" s="29">
        <v>11</v>
      </c>
      <c r="B86" s="299">
        <f t="shared" si="12"/>
        <v>46085</v>
      </c>
      <c r="C86" s="206" t="s">
        <v>340</v>
      </c>
      <c r="D86" s="300" t="s">
        <v>358</v>
      </c>
      <c r="E86" s="300"/>
      <c r="F86" s="292" t="s">
        <v>226</v>
      </c>
      <c r="G86" s="206">
        <f>G83</f>
        <v>55500</v>
      </c>
      <c r="H86" s="206" t="s">
        <v>348</v>
      </c>
      <c r="I86" s="206">
        <v>3500</v>
      </c>
      <c r="J86" s="206">
        <f>SUM(G86:I86)</f>
        <v>59000</v>
      </c>
    </row>
    <row r="87" spans="1:10">
      <c r="A87" s="29">
        <v>9</v>
      </c>
      <c r="B87" s="299">
        <f t="shared" si="12"/>
        <v>46085</v>
      </c>
      <c r="C87" s="206" t="s">
        <v>340</v>
      </c>
      <c r="D87" s="300" t="s">
        <v>363</v>
      </c>
      <c r="E87" s="300"/>
      <c r="F87" s="292" t="s">
        <v>364</v>
      </c>
      <c r="G87" s="206"/>
      <c r="H87" s="206"/>
      <c r="I87" s="206"/>
      <c r="J87" s="294">
        <v>60000</v>
      </c>
    </row>
    <row r="88" spans="1:10">
      <c r="A88" s="29">
        <v>3</v>
      </c>
      <c r="B88" s="299">
        <f t="shared" si="12"/>
        <v>46085</v>
      </c>
      <c r="C88" s="206" t="s">
        <v>340</v>
      </c>
      <c r="D88" s="300" t="s">
        <v>366</v>
      </c>
      <c r="E88" s="300"/>
      <c r="F88" s="292" t="s">
        <v>226</v>
      </c>
      <c r="G88" s="206">
        <f>G83</f>
        <v>55500</v>
      </c>
      <c r="H88" s="206" t="s">
        <v>348</v>
      </c>
      <c r="I88" s="206">
        <v>3000</v>
      </c>
      <c r="J88" s="206">
        <f>SUM(G88:I88)</f>
        <v>58500</v>
      </c>
    </row>
    <row r="89" spans="1:10">
      <c r="A89" s="29">
        <v>1</v>
      </c>
      <c r="B89" s="299">
        <f t="shared" si="12"/>
        <v>46085</v>
      </c>
      <c r="C89" s="206" t="s">
        <v>340</v>
      </c>
      <c r="D89" s="300" t="s">
        <v>369</v>
      </c>
      <c r="E89" s="300"/>
      <c r="F89" s="292" t="s">
        <v>226</v>
      </c>
      <c r="G89" s="206">
        <f>G83</f>
        <v>55500</v>
      </c>
      <c r="H89" s="206" t="s">
        <v>348</v>
      </c>
      <c r="I89" s="206">
        <v>3000</v>
      </c>
      <c r="J89" s="206">
        <f>SUM(G89:I89)</f>
        <v>58500</v>
      </c>
    </row>
    <row r="90" spans="1:10">
      <c r="A90" s="29">
        <v>2</v>
      </c>
      <c r="B90" s="299">
        <f t="shared" si="12"/>
        <v>46085</v>
      </c>
      <c r="C90" s="206" t="s">
        <v>340</v>
      </c>
      <c r="D90" s="300" t="s">
        <v>372</v>
      </c>
      <c r="E90" s="300"/>
      <c r="F90" s="292" t="s">
        <v>224</v>
      </c>
      <c r="G90" s="294">
        <f>58000-3000-500</f>
        <v>54500</v>
      </c>
      <c r="H90" s="293" t="s">
        <v>352</v>
      </c>
      <c r="I90" s="206">
        <v>3200</v>
      </c>
      <c r="J90" s="206">
        <f>SUM(G90:I90)</f>
        <v>57700</v>
      </c>
    </row>
    <row r="91" spans="1:10">
      <c r="A91" s="29">
        <v>5</v>
      </c>
      <c r="B91" s="299">
        <f t="shared" si="12"/>
        <v>46085</v>
      </c>
      <c r="C91" s="206" t="s">
        <v>340</v>
      </c>
      <c r="D91" s="300" t="s">
        <v>375</v>
      </c>
      <c r="E91" s="300"/>
      <c r="F91" s="292" t="s">
        <v>226</v>
      </c>
      <c r="G91" s="206">
        <f>G83</f>
        <v>55500</v>
      </c>
      <c r="H91" s="206" t="s">
        <v>348</v>
      </c>
      <c r="I91" s="206">
        <v>3500</v>
      </c>
      <c r="J91" s="206">
        <f>SUM(G91:I91)</f>
        <v>59000</v>
      </c>
    </row>
    <row r="92" spans="1:10">
      <c r="A92" s="29">
        <v>10</v>
      </c>
      <c r="B92" s="299">
        <f t="shared" si="12"/>
        <v>46085</v>
      </c>
      <c r="C92" s="206" t="s">
        <v>340</v>
      </c>
      <c r="D92" s="300" t="s">
        <v>378</v>
      </c>
      <c r="E92" s="300"/>
      <c r="F92" s="292" t="s">
        <v>364</v>
      </c>
      <c r="G92" s="206"/>
      <c r="H92" s="206"/>
      <c r="I92" s="206"/>
      <c r="J92" s="206">
        <f>J87-250</f>
        <v>59750</v>
      </c>
    </row>
    <row r="93" spans="1:10">
      <c r="A93" s="29">
        <v>12</v>
      </c>
      <c r="B93" s="299">
        <f t="shared" si="12"/>
        <v>46085</v>
      </c>
      <c r="C93" s="206" t="s">
        <v>379</v>
      </c>
      <c r="D93" s="300" t="s">
        <v>381</v>
      </c>
      <c r="E93" s="300"/>
      <c r="F93" s="292" t="s">
        <v>224</v>
      </c>
      <c r="G93" s="206">
        <f>G81+1000</f>
        <v>55000</v>
      </c>
      <c r="H93" s="206" t="s">
        <v>382</v>
      </c>
      <c r="I93" s="297">
        <v>700</v>
      </c>
      <c r="J93" s="206">
        <f>SUM(G93:I93)</f>
        <v>55700</v>
      </c>
    </row>
    <row r="94" spans="1:10">
      <c r="A94" s="29">
        <v>13</v>
      </c>
      <c r="B94" s="299">
        <f t="shared" si="12"/>
        <v>46085</v>
      </c>
      <c r="C94" s="206" t="s">
        <v>379</v>
      </c>
      <c r="D94" s="300" t="s">
        <v>385</v>
      </c>
      <c r="E94" s="300"/>
      <c r="F94" s="292" t="s">
        <v>224</v>
      </c>
      <c r="G94" s="206">
        <f>G81+1000</f>
        <v>55000</v>
      </c>
      <c r="H94" s="206" t="s">
        <v>382</v>
      </c>
      <c r="I94" s="297">
        <v>1500</v>
      </c>
      <c r="J94" s="206">
        <f>SUM(G94:I94)</f>
        <v>56500</v>
      </c>
    </row>
    <row r="95" spans="1:10">
      <c r="A95" s="29">
        <v>15</v>
      </c>
      <c r="B95" s="299">
        <f t="shared" si="12"/>
        <v>46085</v>
      </c>
      <c r="C95" s="206" t="s">
        <v>379</v>
      </c>
      <c r="D95" s="300" t="s">
        <v>388</v>
      </c>
      <c r="E95" s="300"/>
      <c r="F95" s="292" t="s">
        <v>226</v>
      </c>
      <c r="G95" s="206">
        <f>G83+500</f>
        <v>56000</v>
      </c>
      <c r="H95" s="206" t="s">
        <v>356</v>
      </c>
      <c r="I95" s="292">
        <v>1250</v>
      </c>
      <c r="J95" s="206">
        <f>SUM(G95:I95)</f>
        <v>57250</v>
      </c>
    </row>
    <row r="96" spans="1:10">
      <c r="A96" s="29">
        <v>6</v>
      </c>
      <c r="B96" s="299">
        <f t="shared" si="12"/>
        <v>46085</v>
      </c>
      <c r="C96" s="206" t="s">
        <v>340</v>
      </c>
      <c r="D96" s="206" t="s">
        <v>360</v>
      </c>
      <c r="E96" s="206"/>
      <c r="F96" s="292" t="s">
        <v>364</v>
      </c>
      <c r="G96" s="206"/>
      <c r="H96" s="206"/>
      <c r="I96" s="206"/>
      <c r="J96" s="206">
        <f>J87+500</f>
        <v>60500</v>
      </c>
    </row>
    <row r="97" spans="1:10">
      <c r="A97" s="29">
        <v>7</v>
      </c>
      <c r="B97" s="299">
        <f t="shared" si="12"/>
        <v>46085</v>
      </c>
      <c r="C97" s="206" t="s">
        <v>340</v>
      </c>
      <c r="D97" s="206" t="s">
        <v>365</v>
      </c>
      <c r="E97" s="206"/>
      <c r="F97" s="292" t="s">
        <v>364</v>
      </c>
      <c r="G97" s="206"/>
      <c r="H97" s="206"/>
      <c r="I97" s="206"/>
      <c r="J97" s="206">
        <f>J87+1000</f>
        <v>61000</v>
      </c>
    </row>
    <row r="98" spans="1:10">
      <c r="A98" s="29">
        <v>14</v>
      </c>
      <c r="B98" s="299">
        <f t="shared" si="12"/>
        <v>46085</v>
      </c>
      <c r="C98" s="206" t="s">
        <v>379</v>
      </c>
      <c r="D98" s="300" t="s">
        <v>393</v>
      </c>
      <c r="E98" s="300"/>
      <c r="F98" s="292" t="s">
        <v>226</v>
      </c>
      <c r="G98" s="206">
        <f>G95</f>
        <v>56000</v>
      </c>
      <c r="H98" s="206" t="s">
        <v>356</v>
      </c>
      <c r="I98" s="292">
        <v>2000</v>
      </c>
      <c r="J98" s="206">
        <f>SUM(G98:I98)</f>
        <v>58000</v>
      </c>
    </row>
    <row r="99" spans="1:10">
      <c r="A99" s="29">
        <v>17</v>
      </c>
      <c r="B99" s="299">
        <f t="shared" si="12"/>
        <v>46085</v>
      </c>
      <c r="C99" s="206" t="s">
        <v>337</v>
      </c>
      <c r="D99" s="300" t="s">
        <v>397</v>
      </c>
      <c r="E99" s="300"/>
      <c r="F99" s="292" t="s">
        <v>224</v>
      </c>
      <c r="G99" s="206">
        <f>G90+500</f>
        <v>55000</v>
      </c>
      <c r="H99" s="206" t="s">
        <v>352</v>
      </c>
      <c r="I99" s="206">
        <v>1000</v>
      </c>
      <c r="J99" s="206">
        <f>SUM(G99:I99)</f>
        <v>56000</v>
      </c>
    </row>
    <row r="100" spans="1:10">
      <c r="A100" s="29">
        <v>8</v>
      </c>
      <c r="B100" s="299">
        <f t="shared" si="12"/>
        <v>46085</v>
      </c>
      <c r="C100" s="29" t="s">
        <v>340</v>
      </c>
      <c r="D100" s="206" t="s">
        <v>368</v>
      </c>
      <c r="E100" s="206"/>
      <c r="F100" s="29" t="s">
        <v>364</v>
      </c>
      <c r="G100" s="29"/>
      <c r="H100" s="29"/>
      <c r="I100" s="29"/>
      <c r="J100" s="29">
        <f>J87-250</f>
        <v>59750</v>
      </c>
    </row>
    <row r="101" spans="1:10">
      <c r="A101" s="29">
        <v>18</v>
      </c>
      <c r="B101" s="299">
        <f t="shared" si="12"/>
        <v>46085</v>
      </c>
      <c r="C101" s="206" t="s">
        <v>394</v>
      </c>
      <c r="D101" s="300" t="s">
        <v>400</v>
      </c>
      <c r="E101" s="300"/>
      <c r="F101" s="292" t="s">
        <v>226</v>
      </c>
      <c r="G101" s="29">
        <f>G83</f>
        <v>55500</v>
      </c>
      <c r="H101" s="206" t="s">
        <v>348</v>
      </c>
      <c r="I101" s="206">
        <v>3200</v>
      </c>
      <c r="J101" s="206">
        <f>SUM(G101:I101)</f>
        <v>58700</v>
      </c>
    </row>
    <row r="102" spans="1:10">
      <c r="A102" s="29">
        <v>19</v>
      </c>
      <c r="B102" s="299">
        <f t="shared" si="12"/>
        <v>46085</v>
      </c>
      <c r="C102" s="206" t="s">
        <v>394</v>
      </c>
      <c r="D102" s="300" t="s">
        <v>402</v>
      </c>
      <c r="E102" s="300"/>
      <c r="F102" s="292" t="s">
        <v>226</v>
      </c>
      <c r="G102" s="29">
        <f>G83</f>
        <v>55500</v>
      </c>
      <c r="H102" s="206" t="s">
        <v>348</v>
      </c>
      <c r="I102" s="206">
        <v>3000</v>
      </c>
      <c r="J102" s="206">
        <f>SUM(G102:I102)</f>
        <v>58500</v>
      </c>
    </row>
    <row r="103" spans="1:10">
      <c r="A103" s="29">
        <v>20</v>
      </c>
      <c r="B103" s="299">
        <f t="shared" si="12"/>
        <v>46085</v>
      </c>
      <c r="C103" s="206" t="s">
        <v>394</v>
      </c>
      <c r="D103" s="300" t="s">
        <v>405</v>
      </c>
      <c r="E103" s="300"/>
      <c r="F103" s="292" t="s">
        <v>226</v>
      </c>
      <c r="G103" s="29">
        <f>G83</f>
        <v>55500</v>
      </c>
      <c r="H103" s="206" t="s">
        <v>348</v>
      </c>
      <c r="I103" s="206">
        <v>3000</v>
      </c>
      <c r="J103" s="206">
        <f>SUM(G103:I103)</f>
        <v>58500</v>
      </c>
    </row>
    <row r="104" spans="1:10">
      <c r="A104" s="29">
        <v>22</v>
      </c>
      <c r="B104" s="299">
        <f t="shared" si="12"/>
        <v>46085</v>
      </c>
      <c r="C104" s="29" t="s">
        <v>394</v>
      </c>
      <c r="D104" s="29" t="s">
        <v>46</v>
      </c>
      <c r="E104" s="29"/>
      <c r="F104" s="29" t="s">
        <v>226</v>
      </c>
      <c r="G104" s="29">
        <f>G83</f>
        <v>55500</v>
      </c>
      <c r="H104" s="206" t="s">
        <v>348</v>
      </c>
      <c r="I104" s="29">
        <v>3300</v>
      </c>
      <c r="J104" s="206">
        <f>SUM(G104:I104)</f>
        <v>58800</v>
      </c>
    </row>
    <row r="106" spans="1:10">
      <c r="A106" s="295" t="s">
        <v>322</v>
      </c>
      <c r="B106" s="295" t="s">
        <v>323</v>
      </c>
      <c r="C106" s="295" t="s">
        <v>324</v>
      </c>
      <c r="D106" s="295" t="s">
        <v>325</v>
      </c>
      <c r="E106" s="295" t="s">
        <v>326</v>
      </c>
      <c r="F106" s="295" t="s">
        <v>327</v>
      </c>
      <c r="G106" s="295" t="s">
        <v>328</v>
      </c>
      <c r="H106" s="295" t="s">
        <v>329</v>
      </c>
      <c r="I106" s="295" t="s">
        <v>71</v>
      </c>
      <c r="J106" s="295" t="s">
        <v>155</v>
      </c>
    </row>
    <row r="107" spans="1:10">
      <c r="A107" s="29">
        <v>25</v>
      </c>
      <c r="B107" s="299">
        <v>46097</v>
      </c>
      <c r="C107" s="206" t="s">
        <v>337</v>
      </c>
      <c r="D107" s="300" t="s">
        <v>338</v>
      </c>
      <c r="E107" s="300"/>
      <c r="F107" s="292" t="s">
        <v>224</v>
      </c>
      <c r="G107" s="206">
        <f>G116-500</f>
        <v>54000</v>
      </c>
      <c r="H107" s="206" t="s">
        <v>339</v>
      </c>
      <c r="I107" s="206">
        <v>1000</v>
      </c>
      <c r="J107" s="206">
        <f>SUM(G107:I107)</f>
        <v>55000</v>
      </c>
    </row>
    <row r="108" spans="1:10">
      <c r="A108" s="29">
        <v>26</v>
      </c>
      <c r="B108" s="299">
        <f>B107</f>
        <v>46097</v>
      </c>
      <c r="C108" s="206" t="s">
        <v>337</v>
      </c>
      <c r="D108" s="300" t="s">
        <v>344</v>
      </c>
      <c r="E108" s="300"/>
      <c r="F108" s="292" t="s">
        <v>224</v>
      </c>
      <c r="G108" s="206">
        <f>G107</f>
        <v>54000</v>
      </c>
      <c r="H108" s="206" t="s">
        <v>339</v>
      </c>
      <c r="I108" s="206">
        <v>2200</v>
      </c>
      <c r="J108" s="206">
        <f>SUM(G108:I108)-500</f>
        <v>55700</v>
      </c>
    </row>
    <row r="109" spans="1:10">
      <c r="A109" s="29">
        <v>21</v>
      </c>
      <c r="B109" s="299">
        <f>B108</f>
        <v>46097</v>
      </c>
      <c r="C109" s="206" t="s">
        <v>337</v>
      </c>
      <c r="D109" s="300" t="s">
        <v>347</v>
      </c>
      <c r="E109" s="300"/>
      <c r="F109" s="292" t="s">
        <v>226</v>
      </c>
      <c r="G109" s="294">
        <f>59500-3000-1000</f>
        <v>55500</v>
      </c>
      <c r="H109" s="206" t="s">
        <v>348</v>
      </c>
      <c r="I109" s="206">
        <v>1000</v>
      </c>
      <c r="J109" s="206">
        <f>SUM(G109:I109)</f>
        <v>56500</v>
      </c>
    </row>
    <row r="110" spans="1:10">
      <c r="A110" s="29">
        <v>16</v>
      </c>
      <c r="B110" s="299">
        <f>B109</f>
        <v>46097</v>
      </c>
      <c r="C110" s="206" t="s">
        <v>337</v>
      </c>
      <c r="D110" s="300" t="s">
        <v>351</v>
      </c>
      <c r="E110" s="300"/>
      <c r="F110" s="292" t="s">
        <v>224</v>
      </c>
      <c r="G110" s="206">
        <f>G116+500</f>
        <v>55000</v>
      </c>
      <c r="H110" s="206" t="s">
        <v>352</v>
      </c>
      <c r="I110" s="206">
        <v>1000</v>
      </c>
      <c r="J110" s="206">
        <f>SUM(G110:I110)</f>
        <v>56000</v>
      </c>
    </row>
    <row r="111" spans="1:10">
      <c r="A111" s="29">
        <v>4</v>
      </c>
      <c r="B111" s="299">
        <f>B110</f>
        <v>46097</v>
      </c>
      <c r="C111" s="206" t="s">
        <v>340</v>
      </c>
      <c r="D111" s="300" t="s">
        <v>355</v>
      </c>
      <c r="E111" s="300"/>
      <c r="F111" s="292" t="s">
        <v>226</v>
      </c>
      <c r="G111" s="206">
        <f>G109-500</f>
        <v>55000</v>
      </c>
      <c r="H111" s="206" t="s">
        <v>356</v>
      </c>
      <c r="I111" s="206">
        <v>2500</v>
      </c>
      <c r="J111" s="206">
        <f>SUM(G111:I111)</f>
        <v>57500</v>
      </c>
    </row>
    <row r="112" spans="1:10">
      <c r="A112" s="29">
        <v>11</v>
      </c>
      <c r="B112" s="299">
        <f>B111</f>
        <v>46097</v>
      </c>
      <c r="C112" s="206" t="s">
        <v>340</v>
      </c>
      <c r="D112" s="300" t="s">
        <v>358</v>
      </c>
      <c r="E112" s="300"/>
      <c r="F112" s="292" t="s">
        <v>226</v>
      </c>
      <c r="G112" s="206">
        <f>G109</f>
        <v>55500</v>
      </c>
      <c r="H112" s="206" t="s">
        <v>348</v>
      </c>
      <c r="I112" s="206">
        <v>3500</v>
      </c>
      <c r="J112" s="206">
        <f>SUM(G112:I112)</f>
        <v>59000</v>
      </c>
    </row>
    <row r="113" spans="1:10">
      <c r="A113" s="29">
        <v>9</v>
      </c>
      <c r="B113" s="299">
        <f>B112</f>
        <v>46097</v>
      </c>
      <c r="C113" s="206" t="s">
        <v>340</v>
      </c>
      <c r="D113" s="300" t="s">
        <v>363</v>
      </c>
      <c r="E113" s="300"/>
      <c r="F113" s="292" t="s">
        <v>364</v>
      </c>
      <c r="G113" s="206"/>
      <c r="H113" s="206"/>
      <c r="I113" s="206"/>
      <c r="J113" s="294">
        <v>60000</v>
      </c>
    </row>
    <row r="114" spans="1:10">
      <c r="A114" s="29">
        <v>3</v>
      </c>
      <c r="B114" s="299">
        <f>B113</f>
        <v>46097</v>
      </c>
      <c r="C114" s="206" t="s">
        <v>340</v>
      </c>
      <c r="D114" s="300" t="s">
        <v>366</v>
      </c>
      <c r="E114" s="300"/>
      <c r="F114" s="292" t="s">
        <v>226</v>
      </c>
      <c r="G114" s="206">
        <f>G109</f>
        <v>55500</v>
      </c>
      <c r="H114" s="206" t="s">
        <v>348</v>
      </c>
      <c r="I114" s="206">
        <v>3000</v>
      </c>
      <c r="J114" s="206">
        <f>SUM(G114:I114)</f>
        <v>58500</v>
      </c>
    </row>
    <row r="115" spans="1:10">
      <c r="A115" s="29">
        <v>1</v>
      </c>
      <c r="B115" s="299">
        <f>B114</f>
        <v>46097</v>
      </c>
      <c r="C115" s="206" t="s">
        <v>340</v>
      </c>
      <c r="D115" s="300" t="s">
        <v>369</v>
      </c>
      <c r="E115" s="300"/>
      <c r="F115" s="292" t="s">
        <v>226</v>
      </c>
      <c r="G115" s="206">
        <f>G109</f>
        <v>55500</v>
      </c>
      <c r="H115" s="206" t="s">
        <v>348</v>
      </c>
      <c r="I115" s="206">
        <v>3000</v>
      </c>
      <c r="J115" s="206">
        <f>SUM(G115:I115)</f>
        <v>58500</v>
      </c>
    </row>
    <row r="116" spans="1:10">
      <c r="A116" s="29">
        <v>2</v>
      </c>
      <c r="B116" s="299">
        <f>B115</f>
        <v>46097</v>
      </c>
      <c r="C116" s="206" t="s">
        <v>340</v>
      </c>
      <c r="D116" s="300" t="s">
        <v>372</v>
      </c>
      <c r="E116" s="300"/>
      <c r="F116" s="292" t="s">
        <v>224</v>
      </c>
      <c r="G116" s="294">
        <f>58000-3000-500</f>
        <v>54500</v>
      </c>
      <c r="H116" s="293" t="s">
        <v>352</v>
      </c>
      <c r="I116" s="206">
        <v>3200</v>
      </c>
      <c r="J116" s="206">
        <f>SUM(G116:I116)</f>
        <v>57700</v>
      </c>
    </row>
    <row r="117" spans="1:10">
      <c r="A117" s="29">
        <v>5</v>
      </c>
      <c r="B117" s="299">
        <f>B116</f>
        <v>46097</v>
      </c>
      <c r="C117" s="206" t="s">
        <v>340</v>
      </c>
      <c r="D117" s="300" t="s">
        <v>375</v>
      </c>
      <c r="E117" s="300"/>
      <c r="F117" s="292" t="s">
        <v>226</v>
      </c>
      <c r="G117" s="206">
        <f>G109</f>
        <v>55500</v>
      </c>
      <c r="H117" s="206" t="s">
        <v>348</v>
      </c>
      <c r="I117" s="206">
        <v>3500</v>
      </c>
      <c r="J117" s="206">
        <f>SUM(G117:I117)</f>
        <v>59000</v>
      </c>
    </row>
    <row r="118" spans="1:10">
      <c r="A118" s="29">
        <v>10</v>
      </c>
      <c r="B118" s="299">
        <f>B117</f>
        <v>46097</v>
      </c>
      <c r="C118" s="206" t="s">
        <v>340</v>
      </c>
      <c r="D118" s="300" t="s">
        <v>378</v>
      </c>
      <c r="E118" s="300"/>
      <c r="F118" s="292" t="s">
        <v>364</v>
      </c>
      <c r="G118" s="206"/>
      <c r="H118" s="206"/>
      <c r="I118" s="206"/>
      <c r="J118" s="206">
        <f>J113-250</f>
        <v>59750</v>
      </c>
    </row>
    <row r="119" spans="1:10">
      <c r="A119" s="29">
        <v>12</v>
      </c>
      <c r="B119" s="299">
        <f>B118</f>
        <v>46097</v>
      </c>
      <c r="C119" s="206" t="s">
        <v>379</v>
      </c>
      <c r="D119" s="300" t="s">
        <v>381</v>
      </c>
      <c r="E119" s="300"/>
      <c r="F119" s="292" t="s">
        <v>224</v>
      </c>
      <c r="G119" s="206">
        <f>G107+1000</f>
        <v>55000</v>
      </c>
      <c r="H119" s="206" t="s">
        <v>382</v>
      </c>
      <c r="I119" s="297">
        <v>700</v>
      </c>
      <c r="J119" s="206">
        <f>SUM(G119:I119)</f>
        <v>55700</v>
      </c>
    </row>
    <row r="120" spans="1:10">
      <c r="A120" s="29">
        <v>13</v>
      </c>
      <c r="B120" s="299">
        <f>B119</f>
        <v>46097</v>
      </c>
      <c r="C120" s="206" t="s">
        <v>379</v>
      </c>
      <c r="D120" s="300" t="s">
        <v>385</v>
      </c>
      <c r="E120" s="300"/>
      <c r="F120" s="292" t="s">
        <v>224</v>
      </c>
      <c r="G120" s="206">
        <f>G107+1000</f>
        <v>55000</v>
      </c>
      <c r="H120" s="206" t="s">
        <v>382</v>
      </c>
      <c r="I120" s="297">
        <v>1500</v>
      </c>
      <c r="J120" s="206">
        <f>SUM(G120:I120)</f>
        <v>56500</v>
      </c>
    </row>
    <row r="121" spans="1:10">
      <c r="A121" s="29">
        <v>15</v>
      </c>
      <c r="B121" s="299">
        <f>B120</f>
        <v>46097</v>
      </c>
      <c r="C121" s="206" t="s">
        <v>379</v>
      </c>
      <c r="D121" s="300" t="s">
        <v>388</v>
      </c>
      <c r="E121" s="300"/>
      <c r="F121" s="292" t="s">
        <v>226</v>
      </c>
      <c r="G121" s="206">
        <f>G109+500</f>
        <v>56000</v>
      </c>
      <c r="H121" s="206" t="s">
        <v>356</v>
      </c>
      <c r="I121" s="292">
        <v>1250</v>
      </c>
      <c r="J121" s="206">
        <f>SUM(G121:I121)</f>
        <v>57250</v>
      </c>
    </row>
    <row r="122" spans="1:10">
      <c r="A122" s="29">
        <v>6</v>
      </c>
      <c r="B122" s="299">
        <f>B121</f>
        <v>46097</v>
      </c>
      <c r="C122" s="206" t="s">
        <v>340</v>
      </c>
      <c r="D122" s="206" t="s">
        <v>360</v>
      </c>
      <c r="E122" s="206"/>
      <c r="F122" s="292" t="s">
        <v>364</v>
      </c>
      <c r="G122" s="206"/>
      <c r="H122" s="206"/>
      <c r="I122" s="206"/>
      <c r="J122" s="206">
        <f>J113+500</f>
        <v>60500</v>
      </c>
    </row>
    <row r="123" spans="1:10">
      <c r="A123" s="29">
        <v>7</v>
      </c>
      <c r="B123" s="299">
        <f>B122</f>
        <v>46097</v>
      </c>
      <c r="C123" s="206" t="s">
        <v>340</v>
      </c>
      <c r="D123" s="206" t="s">
        <v>365</v>
      </c>
      <c r="E123" s="206"/>
      <c r="F123" s="292" t="s">
        <v>364</v>
      </c>
      <c r="G123" s="206"/>
      <c r="H123" s="206"/>
      <c r="I123" s="206"/>
      <c r="J123" s="206">
        <f>J113+1000</f>
        <v>61000</v>
      </c>
    </row>
    <row r="124" spans="1:10">
      <c r="A124" s="29">
        <v>14</v>
      </c>
      <c r="B124" s="299">
        <f>B123</f>
        <v>46097</v>
      </c>
      <c r="C124" s="206" t="s">
        <v>379</v>
      </c>
      <c r="D124" s="300" t="s">
        <v>393</v>
      </c>
      <c r="E124" s="300"/>
      <c r="F124" s="292" t="s">
        <v>226</v>
      </c>
      <c r="G124" s="206">
        <f>G121</f>
        <v>56000</v>
      </c>
      <c r="H124" s="206" t="s">
        <v>356</v>
      </c>
      <c r="I124" s="292">
        <v>2000</v>
      </c>
      <c r="J124" s="206">
        <f>SUM(G124:I124)</f>
        <v>58000</v>
      </c>
    </row>
    <row r="125" spans="1:10">
      <c r="A125" s="29">
        <v>17</v>
      </c>
      <c r="B125" s="299">
        <f>B124</f>
        <v>46097</v>
      </c>
      <c r="C125" s="206" t="s">
        <v>337</v>
      </c>
      <c r="D125" s="300" t="s">
        <v>397</v>
      </c>
      <c r="E125" s="300"/>
      <c r="F125" s="292" t="s">
        <v>224</v>
      </c>
      <c r="G125" s="206">
        <f>G116+500</f>
        <v>55000</v>
      </c>
      <c r="H125" s="206" t="s">
        <v>352</v>
      </c>
      <c r="I125" s="206">
        <v>1000</v>
      </c>
      <c r="J125" s="206">
        <f>SUM(G125:I125)</f>
        <v>56000</v>
      </c>
    </row>
    <row r="126" spans="1:10">
      <c r="A126" s="29">
        <v>8</v>
      </c>
      <c r="B126" s="299">
        <f>B125</f>
        <v>46097</v>
      </c>
      <c r="C126" s="29" t="s">
        <v>340</v>
      </c>
      <c r="D126" s="206" t="s">
        <v>368</v>
      </c>
      <c r="E126" s="206"/>
      <c r="F126" s="29" t="s">
        <v>364</v>
      </c>
      <c r="G126" s="29"/>
      <c r="H126" s="29"/>
      <c r="I126" s="29"/>
      <c r="J126" s="29">
        <f>J113-250</f>
        <v>59750</v>
      </c>
    </row>
    <row r="127" spans="1:10">
      <c r="A127" s="29">
        <v>18</v>
      </c>
      <c r="B127" s="299">
        <f>B126</f>
        <v>46097</v>
      </c>
      <c r="C127" s="206" t="s">
        <v>394</v>
      </c>
      <c r="D127" s="300" t="s">
        <v>400</v>
      </c>
      <c r="E127" s="300"/>
      <c r="F127" s="292" t="s">
        <v>226</v>
      </c>
      <c r="G127" s="29">
        <f>G109</f>
        <v>55500</v>
      </c>
      <c r="H127" s="206" t="s">
        <v>348</v>
      </c>
      <c r="I127" s="206">
        <v>3200</v>
      </c>
      <c r="J127" s="206">
        <f>SUM(G127:I127)</f>
        <v>58700</v>
      </c>
    </row>
    <row r="128" spans="1:10">
      <c r="A128" s="29">
        <v>19</v>
      </c>
      <c r="B128" s="299">
        <f>B127</f>
        <v>46097</v>
      </c>
      <c r="C128" s="206" t="s">
        <v>394</v>
      </c>
      <c r="D128" s="300" t="s">
        <v>402</v>
      </c>
      <c r="E128" s="300"/>
      <c r="F128" s="292" t="s">
        <v>226</v>
      </c>
      <c r="G128" s="29">
        <f>G109</f>
        <v>55500</v>
      </c>
      <c r="H128" s="206" t="s">
        <v>348</v>
      </c>
      <c r="I128" s="206">
        <v>3000</v>
      </c>
      <c r="J128" s="206">
        <f>SUM(G128:I128)</f>
        <v>58500</v>
      </c>
    </row>
    <row r="129" spans="1:10">
      <c r="A129" s="29">
        <v>20</v>
      </c>
      <c r="B129" s="299">
        <f>B128</f>
        <v>46097</v>
      </c>
      <c r="C129" s="206" t="s">
        <v>394</v>
      </c>
      <c r="D129" s="300" t="s">
        <v>405</v>
      </c>
      <c r="E129" s="300"/>
      <c r="F129" s="292" t="s">
        <v>226</v>
      </c>
      <c r="G129" s="29">
        <f>G109</f>
        <v>55500</v>
      </c>
      <c r="H129" s="206" t="s">
        <v>348</v>
      </c>
      <c r="I129" s="206">
        <v>3000</v>
      </c>
      <c r="J129" s="206">
        <f>SUM(G129:I129)</f>
        <v>58500</v>
      </c>
    </row>
    <row r="130" spans="1:10">
      <c r="A130" s="29">
        <v>22</v>
      </c>
      <c r="B130" s="299">
        <f>B129</f>
        <v>46097</v>
      </c>
      <c r="C130" s="29" t="s">
        <v>394</v>
      </c>
      <c r="D130" s="29" t="s">
        <v>46</v>
      </c>
      <c r="E130" s="29"/>
      <c r="F130" s="29" t="s">
        <v>226</v>
      </c>
      <c r="G130" s="29">
        <f>G109</f>
        <v>55500</v>
      </c>
      <c r="H130" s="206" t="s">
        <v>348</v>
      </c>
      <c r="I130" s="29">
        <v>3300</v>
      </c>
      <c r="J130" s="206">
        <f>SUM(G130:I130)</f>
        <v>58800</v>
      </c>
    </row>
    <row r="132" spans="1:10">
      <c r="A132" s="295" t="s">
        <v>322</v>
      </c>
      <c r="B132" s="295" t="s">
        <v>323</v>
      </c>
      <c r="C132" s="295" t="s">
        <v>324</v>
      </c>
      <c r="D132" s="295" t="s">
        <v>325</v>
      </c>
      <c r="E132" s="295" t="s">
        <v>326</v>
      </c>
      <c r="F132" s="295" t="s">
        <v>327</v>
      </c>
      <c r="G132" s="295" t="s">
        <v>328</v>
      </c>
      <c r="H132" s="295" t="s">
        <v>329</v>
      </c>
      <c r="I132" s="295" t="s">
        <v>71</v>
      </c>
      <c r="J132" s="295" t="s">
        <v>155</v>
      </c>
    </row>
    <row r="133" spans="1:10">
      <c r="A133" s="29">
        <v>25</v>
      </c>
      <c r="B133" s="299">
        <v>46115</v>
      </c>
      <c r="C133" s="206" t="s">
        <v>337</v>
      </c>
      <c r="D133" s="300" t="s">
        <v>338</v>
      </c>
      <c r="E133" s="300"/>
      <c r="F133" s="292" t="s">
        <v>224</v>
      </c>
      <c r="G133" s="206">
        <f>G142-500</f>
        <v>56000</v>
      </c>
      <c r="H133" s="206" t="s">
        <v>339</v>
      </c>
      <c r="I133" s="206">
        <v>1000</v>
      </c>
      <c r="J133" s="206">
        <f>SUM(G133:I133)</f>
        <v>57000</v>
      </c>
    </row>
    <row r="134" spans="1:10">
      <c r="A134" s="29">
        <v>26</v>
      </c>
      <c r="B134" s="299">
        <f>B133</f>
        <v>46115</v>
      </c>
      <c r="C134" s="206" t="s">
        <v>337</v>
      </c>
      <c r="D134" s="300" t="s">
        <v>344</v>
      </c>
      <c r="E134" s="300"/>
      <c r="F134" s="292" t="s">
        <v>224</v>
      </c>
      <c r="G134" s="206">
        <f>G133</f>
        <v>56000</v>
      </c>
      <c r="H134" s="206" t="s">
        <v>339</v>
      </c>
      <c r="I134" s="206">
        <v>2200</v>
      </c>
      <c r="J134" s="206">
        <f>SUM(G134:I134)-500</f>
        <v>57700</v>
      </c>
    </row>
    <row r="135" spans="1:10">
      <c r="A135" s="29">
        <v>21</v>
      </c>
      <c r="B135" s="299">
        <f>B134</f>
        <v>46115</v>
      </c>
      <c r="C135" s="206" t="s">
        <v>337</v>
      </c>
      <c r="D135" s="300" t="s">
        <v>347</v>
      </c>
      <c r="E135" s="300"/>
      <c r="F135" s="292" t="s">
        <v>226</v>
      </c>
      <c r="G135" s="294">
        <v>56500</v>
      </c>
      <c r="H135" s="206" t="s">
        <v>348</v>
      </c>
      <c r="I135" s="206">
        <v>1000</v>
      </c>
      <c r="J135" s="206">
        <f>SUM(G135:I135)</f>
        <v>57500</v>
      </c>
    </row>
    <row r="136" spans="1:10">
      <c r="A136" s="29">
        <v>16</v>
      </c>
      <c r="B136" s="299">
        <f>B135</f>
        <v>46115</v>
      </c>
      <c r="C136" s="206" t="s">
        <v>337</v>
      </c>
      <c r="D136" s="300" t="s">
        <v>351</v>
      </c>
      <c r="E136" s="300"/>
      <c r="F136" s="292" t="s">
        <v>224</v>
      </c>
      <c r="G136" s="206">
        <f>G142+500</f>
        <v>57000</v>
      </c>
      <c r="H136" s="206" t="s">
        <v>352</v>
      </c>
      <c r="I136" s="206">
        <v>1000</v>
      </c>
      <c r="J136" s="206">
        <f>SUM(G136:I136)</f>
        <v>58000</v>
      </c>
    </row>
    <row r="137" spans="1:10">
      <c r="A137" s="29">
        <v>4</v>
      </c>
      <c r="B137" s="299">
        <f>B136</f>
        <v>46115</v>
      </c>
      <c r="C137" s="206" t="s">
        <v>340</v>
      </c>
      <c r="D137" s="300" t="s">
        <v>355</v>
      </c>
      <c r="E137" s="300"/>
      <c r="F137" s="292" t="s">
        <v>226</v>
      </c>
      <c r="G137" s="206">
        <f>G135-500</f>
        <v>56000</v>
      </c>
      <c r="H137" s="206" t="s">
        <v>356</v>
      </c>
      <c r="I137" s="206">
        <v>2500</v>
      </c>
      <c r="J137" s="206">
        <f>SUM(G137:I137)</f>
        <v>58500</v>
      </c>
    </row>
    <row r="138" spans="1:10">
      <c r="A138" s="29">
        <v>11</v>
      </c>
      <c r="B138" s="299">
        <f>B137</f>
        <v>46115</v>
      </c>
      <c r="C138" s="206" t="s">
        <v>340</v>
      </c>
      <c r="D138" s="300" t="s">
        <v>358</v>
      </c>
      <c r="E138" s="300"/>
      <c r="F138" s="292" t="s">
        <v>226</v>
      </c>
      <c r="G138" s="206">
        <f>G135</f>
        <v>56500</v>
      </c>
      <c r="H138" s="206" t="s">
        <v>348</v>
      </c>
      <c r="I138" s="206">
        <v>3500</v>
      </c>
      <c r="J138" s="206">
        <f>SUM(G138:I138)</f>
        <v>60000</v>
      </c>
    </row>
    <row r="139" spans="1:10">
      <c r="A139" s="29">
        <v>9</v>
      </c>
      <c r="B139" s="299">
        <f>B138</f>
        <v>46115</v>
      </c>
      <c r="C139" s="206" t="s">
        <v>340</v>
      </c>
      <c r="D139" s="300" t="s">
        <v>363</v>
      </c>
      <c r="E139" s="300"/>
      <c r="F139" s="292" t="s">
        <v>364</v>
      </c>
      <c r="G139" s="206"/>
      <c r="H139" s="206"/>
      <c r="I139" s="206"/>
      <c r="J139" s="294">
        <v>61500</v>
      </c>
    </row>
    <row r="140" spans="1:10">
      <c r="A140" s="29">
        <v>3</v>
      </c>
      <c r="B140" s="299">
        <f>B139</f>
        <v>46115</v>
      </c>
      <c r="C140" s="206" t="s">
        <v>340</v>
      </c>
      <c r="D140" s="300" t="s">
        <v>366</v>
      </c>
      <c r="E140" s="300"/>
      <c r="F140" s="292" t="s">
        <v>226</v>
      </c>
      <c r="G140" s="206">
        <f>G135</f>
        <v>56500</v>
      </c>
      <c r="H140" s="206" t="s">
        <v>348</v>
      </c>
      <c r="I140" s="206">
        <v>3000</v>
      </c>
      <c r="J140" s="206">
        <f>SUM(G140:I140)</f>
        <v>59500</v>
      </c>
    </row>
    <row r="141" spans="1:10">
      <c r="A141" s="29">
        <v>1</v>
      </c>
      <c r="B141" s="299">
        <f>B140</f>
        <v>46115</v>
      </c>
      <c r="C141" s="206" t="s">
        <v>340</v>
      </c>
      <c r="D141" s="300" t="s">
        <v>369</v>
      </c>
      <c r="E141" s="300"/>
      <c r="F141" s="292" t="s">
        <v>226</v>
      </c>
      <c r="G141" s="206">
        <f>G135</f>
        <v>56500</v>
      </c>
      <c r="H141" s="206" t="s">
        <v>348</v>
      </c>
      <c r="I141" s="206">
        <v>3000</v>
      </c>
      <c r="J141" s="206">
        <f>SUM(G141:I141)</f>
        <v>59500</v>
      </c>
    </row>
    <row r="142" spans="1:10">
      <c r="A142" s="29">
        <v>2</v>
      </c>
      <c r="B142" s="299">
        <f>B141</f>
        <v>46115</v>
      </c>
      <c r="C142" s="206" t="s">
        <v>340</v>
      </c>
      <c r="D142" s="300" t="s">
        <v>372</v>
      </c>
      <c r="E142" s="300"/>
      <c r="F142" s="292" t="s">
        <v>224</v>
      </c>
      <c r="G142" s="294">
        <v>56500</v>
      </c>
      <c r="H142" s="293" t="s">
        <v>352</v>
      </c>
      <c r="I142" s="206">
        <v>3200</v>
      </c>
      <c r="J142" s="206">
        <f>SUM(G142:I142)</f>
        <v>59700</v>
      </c>
    </row>
    <row r="143" spans="1:10">
      <c r="A143" s="29">
        <v>5</v>
      </c>
      <c r="B143" s="299">
        <f>B142</f>
        <v>46115</v>
      </c>
      <c r="C143" s="206" t="s">
        <v>340</v>
      </c>
      <c r="D143" s="300" t="s">
        <v>375</v>
      </c>
      <c r="E143" s="300"/>
      <c r="F143" s="292" t="s">
        <v>226</v>
      </c>
      <c r="G143" s="206">
        <f>G135</f>
        <v>56500</v>
      </c>
      <c r="H143" s="206" t="s">
        <v>348</v>
      </c>
      <c r="I143" s="206">
        <v>3500</v>
      </c>
      <c r="J143" s="206">
        <f>SUM(G143:I143)</f>
        <v>60000</v>
      </c>
    </row>
    <row r="144" spans="1:10">
      <c r="A144" s="29">
        <v>10</v>
      </c>
      <c r="B144" s="299">
        <f>B143</f>
        <v>46115</v>
      </c>
      <c r="C144" s="206" t="s">
        <v>340</v>
      </c>
      <c r="D144" s="300" t="s">
        <v>378</v>
      </c>
      <c r="E144" s="300"/>
      <c r="F144" s="292" t="s">
        <v>364</v>
      </c>
      <c r="G144" s="206"/>
      <c r="H144" s="206"/>
      <c r="I144" s="206"/>
      <c r="J144" s="206">
        <f>J139-250</f>
        <v>61250</v>
      </c>
    </row>
    <row r="145" spans="1:10">
      <c r="A145" s="29">
        <v>12</v>
      </c>
      <c r="B145" s="299">
        <f>B144</f>
        <v>46115</v>
      </c>
      <c r="C145" s="206" t="s">
        <v>379</v>
      </c>
      <c r="D145" s="300" t="s">
        <v>381</v>
      </c>
      <c r="E145" s="300"/>
      <c r="F145" s="292" t="s">
        <v>224</v>
      </c>
      <c r="G145" s="206">
        <f>G133+1000</f>
        <v>57000</v>
      </c>
      <c r="H145" s="206" t="s">
        <v>382</v>
      </c>
      <c r="I145" s="297">
        <v>700</v>
      </c>
      <c r="J145" s="206">
        <f>SUM(G145:I145)</f>
        <v>57700</v>
      </c>
    </row>
    <row r="146" spans="1:10">
      <c r="A146" s="29">
        <v>13</v>
      </c>
      <c r="B146" s="299">
        <f>B145</f>
        <v>46115</v>
      </c>
      <c r="C146" s="206" t="s">
        <v>379</v>
      </c>
      <c r="D146" s="300" t="s">
        <v>385</v>
      </c>
      <c r="E146" s="300"/>
      <c r="F146" s="292" t="s">
        <v>224</v>
      </c>
      <c r="G146" s="206">
        <f>G133+1000</f>
        <v>57000</v>
      </c>
      <c r="H146" s="206" t="s">
        <v>382</v>
      </c>
      <c r="I146" s="297">
        <v>1500</v>
      </c>
      <c r="J146" s="206">
        <f>SUM(G146:I146)</f>
        <v>58500</v>
      </c>
    </row>
    <row r="147" spans="1:10">
      <c r="A147" s="29">
        <v>15</v>
      </c>
      <c r="B147" s="299">
        <f>B146</f>
        <v>46115</v>
      </c>
      <c r="C147" s="206" t="s">
        <v>379</v>
      </c>
      <c r="D147" s="300" t="s">
        <v>388</v>
      </c>
      <c r="E147" s="300"/>
      <c r="F147" s="292" t="s">
        <v>226</v>
      </c>
      <c r="G147" s="206">
        <f>G135+500</f>
        <v>57000</v>
      </c>
      <c r="H147" s="206" t="s">
        <v>356</v>
      </c>
      <c r="I147" s="292">
        <v>1250</v>
      </c>
      <c r="J147" s="206">
        <f>SUM(G147:I147)</f>
        <v>58250</v>
      </c>
    </row>
    <row r="148" spans="1:10">
      <c r="A148" s="29">
        <v>6</v>
      </c>
      <c r="B148" s="299">
        <f>B147</f>
        <v>46115</v>
      </c>
      <c r="C148" s="206" t="s">
        <v>340</v>
      </c>
      <c r="D148" s="206" t="s">
        <v>360</v>
      </c>
      <c r="E148" s="206"/>
      <c r="F148" s="292" t="s">
        <v>364</v>
      </c>
      <c r="G148" s="206"/>
      <c r="H148" s="206"/>
      <c r="I148" s="206"/>
      <c r="J148" s="206">
        <f>J139+500</f>
        <v>62000</v>
      </c>
    </row>
    <row r="149" spans="1:10">
      <c r="A149" s="29">
        <v>7</v>
      </c>
      <c r="B149" s="299">
        <f>B148</f>
        <v>46115</v>
      </c>
      <c r="C149" s="206" t="s">
        <v>340</v>
      </c>
      <c r="D149" s="206" t="s">
        <v>365</v>
      </c>
      <c r="E149" s="206"/>
      <c r="F149" s="292" t="s">
        <v>364</v>
      </c>
      <c r="G149" s="206"/>
      <c r="H149" s="206"/>
      <c r="I149" s="206"/>
      <c r="J149" s="206">
        <f>J139+1000</f>
        <v>62500</v>
      </c>
    </row>
    <row r="150" spans="1:10">
      <c r="A150" s="29">
        <v>14</v>
      </c>
      <c r="B150" s="299">
        <f>B149</f>
        <v>46115</v>
      </c>
      <c r="C150" s="206" t="s">
        <v>379</v>
      </c>
      <c r="D150" s="300" t="s">
        <v>393</v>
      </c>
      <c r="E150" s="300"/>
      <c r="F150" s="292" t="s">
        <v>226</v>
      </c>
      <c r="G150" s="206">
        <f>G147</f>
        <v>57000</v>
      </c>
      <c r="H150" s="206" t="s">
        <v>356</v>
      </c>
      <c r="I150" s="292">
        <v>2000</v>
      </c>
      <c r="J150" s="206">
        <f>SUM(G150:I150)</f>
        <v>59000</v>
      </c>
    </row>
    <row r="151" spans="1:10">
      <c r="A151" s="29">
        <v>17</v>
      </c>
      <c r="B151" s="299">
        <f>B150</f>
        <v>46115</v>
      </c>
      <c r="C151" s="206" t="s">
        <v>337</v>
      </c>
      <c r="D151" s="300" t="s">
        <v>397</v>
      </c>
      <c r="E151" s="300"/>
      <c r="F151" s="292" t="s">
        <v>224</v>
      </c>
      <c r="G151" s="206">
        <f>G142+500</f>
        <v>57000</v>
      </c>
      <c r="H151" s="206" t="s">
        <v>352</v>
      </c>
      <c r="I151" s="206">
        <v>1000</v>
      </c>
      <c r="J151" s="206">
        <f>SUM(G151:I151)</f>
        <v>58000</v>
      </c>
    </row>
    <row r="152" spans="1:10">
      <c r="A152" s="29">
        <v>8</v>
      </c>
      <c r="B152" s="299">
        <f>B151</f>
        <v>46115</v>
      </c>
      <c r="C152" s="29" t="s">
        <v>340</v>
      </c>
      <c r="D152" s="206" t="s">
        <v>368</v>
      </c>
      <c r="E152" s="206"/>
      <c r="F152" s="29" t="s">
        <v>364</v>
      </c>
      <c r="G152" s="29"/>
      <c r="H152" s="29"/>
      <c r="I152" s="29"/>
      <c r="J152" s="29">
        <f>J139-250</f>
        <v>61250</v>
      </c>
    </row>
    <row r="153" spans="1:10">
      <c r="A153" s="29">
        <v>18</v>
      </c>
      <c r="B153" s="299">
        <f>B152</f>
        <v>46115</v>
      </c>
      <c r="C153" s="206" t="s">
        <v>394</v>
      </c>
      <c r="D153" s="300" t="s">
        <v>400</v>
      </c>
      <c r="E153" s="300"/>
      <c r="F153" s="292" t="s">
        <v>226</v>
      </c>
      <c r="G153" s="29">
        <f>G135</f>
        <v>56500</v>
      </c>
      <c r="H153" s="206" t="s">
        <v>348</v>
      </c>
      <c r="I153" s="206">
        <v>3200</v>
      </c>
      <c r="J153" s="206">
        <f>SUM(G153:I153)</f>
        <v>59700</v>
      </c>
    </row>
    <row r="154" spans="1:10">
      <c r="A154" s="29">
        <v>19</v>
      </c>
      <c r="B154" s="299">
        <f>B153</f>
        <v>46115</v>
      </c>
      <c r="C154" s="206" t="s">
        <v>394</v>
      </c>
      <c r="D154" s="300" t="s">
        <v>402</v>
      </c>
      <c r="E154" s="300"/>
      <c r="F154" s="292" t="s">
        <v>226</v>
      </c>
      <c r="G154" s="29">
        <f>G135</f>
        <v>56500</v>
      </c>
      <c r="H154" s="206" t="s">
        <v>348</v>
      </c>
      <c r="I154" s="206">
        <v>3000</v>
      </c>
      <c r="J154" s="206">
        <f>SUM(G154:I154)</f>
        <v>59500</v>
      </c>
    </row>
    <row r="155" spans="1:10">
      <c r="A155" s="29">
        <v>20</v>
      </c>
      <c r="B155" s="299">
        <f>B154</f>
        <v>46115</v>
      </c>
      <c r="C155" s="206" t="s">
        <v>394</v>
      </c>
      <c r="D155" s="300" t="s">
        <v>405</v>
      </c>
      <c r="E155" s="300"/>
      <c r="F155" s="292" t="s">
        <v>226</v>
      </c>
      <c r="G155" s="29">
        <f>G135</f>
        <v>56500</v>
      </c>
      <c r="H155" s="206" t="s">
        <v>348</v>
      </c>
      <c r="I155" s="206">
        <v>3000</v>
      </c>
      <c r="J155" s="206">
        <f>SUM(G155:I155)</f>
        <v>59500</v>
      </c>
    </row>
    <row r="156" spans="1:10">
      <c r="A156" s="29">
        <v>22</v>
      </c>
      <c r="B156" s="299">
        <f>B155</f>
        <v>46115</v>
      </c>
      <c r="C156" s="29" t="s">
        <v>394</v>
      </c>
      <c r="D156" s="29" t="s">
        <v>46</v>
      </c>
      <c r="E156" s="29"/>
      <c r="F156" s="29" t="s">
        <v>226</v>
      </c>
      <c r="G156" s="29">
        <f>G135</f>
        <v>56500</v>
      </c>
      <c r="H156" s="206" t="s">
        <v>348</v>
      </c>
      <c r="I156" s="29">
        <v>3300</v>
      </c>
      <c r="J156" s="206">
        <f>SUM(G156:I156)</f>
        <v>59800</v>
      </c>
    </row>
    <row r="158" spans="1:10">
      <c r="A158" s="295" t="s">
        <v>322</v>
      </c>
      <c r="B158" s="295" t="s">
        <v>323</v>
      </c>
      <c r="C158" s="295" t="s">
        <v>324</v>
      </c>
      <c r="D158" s="295" t="s">
        <v>325</v>
      </c>
      <c r="E158" s="295" t="s">
        <v>326</v>
      </c>
      <c r="F158" s="295" t="s">
        <v>327</v>
      </c>
      <c r="G158" s="295" t="s">
        <v>328</v>
      </c>
      <c r="H158" s="295" t="s">
        <v>329</v>
      </c>
      <c r="I158" s="295" t="s">
        <v>71</v>
      </c>
      <c r="J158" s="295" t="s">
        <v>155</v>
      </c>
    </row>
    <row r="159" spans="1:10">
      <c r="A159" s="29">
        <v>25</v>
      </c>
      <c r="B159" s="299">
        <v>46120</v>
      </c>
      <c r="C159" s="206" t="s">
        <v>337</v>
      </c>
      <c r="D159" s="300" t="s">
        <v>338</v>
      </c>
      <c r="E159" s="300"/>
      <c r="F159" s="292" t="s">
        <v>224</v>
      </c>
      <c r="G159" s="206">
        <f>G168-500</f>
        <v>56000</v>
      </c>
      <c r="H159" s="206" t="s">
        <v>339</v>
      </c>
      <c r="I159" s="206">
        <v>1000</v>
      </c>
      <c r="J159" s="206">
        <f>SUM(G159:I159)</f>
        <v>57000</v>
      </c>
    </row>
    <row r="160" spans="1:10">
      <c r="A160" s="29">
        <v>26</v>
      </c>
      <c r="B160" s="299">
        <f>B159</f>
        <v>46120</v>
      </c>
      <c r="C160" s="206" t="s">
        <v>337</v>
      </c>
      <c r="D160" s="300" t="s">
        <v>344</v>
      </c>
      <c r="E160" s="300"/>
      <c r="F160" s="292" t="s">
        <v>224</v>
      </c>
      <c r="G160" s="206">
        <f>G159</f>
        <v>56000</v>
      </c>
      <c r="H160" s="206" t="s">
        <v>339</v>
      </c>
      <c r="I160" s="206">
        <v>2200</v>
      </c>
      <c r="J160" s="206">
        <f>SUM(G160:I160)-500</f>
        <v>57700</v>
      </c>
    </row>
    <row r="161" spans="1:10">
      <c r="A161" s="29">
        <v>21</v>
      </c>
      <c r="B161" s="299">
        <f>B160</f>
        <v>46120</v>
      </c>
      <c r="C161" s="206" t="s">
        <v>337</v>
      </c>
      <c r="D161" s="300" t="s">
        <v>347</v>
      </c>
      <c r="E161" s="300"/>
      <c r="F161" s="292" t="s">
        <v>226</v>
      </c>
      <c r="G161" s="294">
        <v>57000</v>
      </c>
      <c r="H161" s="206" t="s">
        <v>348</v>
      </c>
      <c r="I161" s="206">
        <v>1000</v>
      </c>
      <c r="J161" s="206">
        <f>SUM(G161:I161)</f>
        <v>58000</v>
      </c>
    </row>
    <row r="162" spans="1:10">
      <c r="A162" s="29">
        <v>16</v>
      </c>
      <c r="B162" s="299">
        <f>B161</f>
        <v>46120</v>
      </c>
      <c r="C162" s="206" t="s">
        <v>337</v>
      </c>
      <c r="D162" s="300" t="s">
        <v>351</v>
      </c>
      <c r="E162" s="300"/>
      <c r="F162" s="292" t="s">
        <v>224</v>
      </c>
      <c r="G162" s="206">
        <f>G168+500</f>
        <v>57000</v>
      </c>
      <c r="H162" s="206" t="s">
        <v>352</v>
      </c>
      <c r="I162" s="206">
        <v>1000</v>
      </c>
      <c r="J162" s="206">
        <f>SUM(G162:I162)</f>
        <v>58000</v>
      </c>
    </row>
    <row r="163" spans="1:10">
      <c r="A163" s="29">
        <v>4</v>
      </c>
      <c r="B163" s="299">
        <f>B162</f>
        <v>46120</v>
      </c>
      <c r="C163" s="206" t="s">
        <v>340</v>
      </c>
      <c r="D163" s="300" t="s">
        <v>355</v>
      </c>
      <c r="E163" s="300"/>
      <c r="F163" s="292" t="s">
        <v>226</v>
      </c>
      <c r="G163" s="206">
        <f>G161-500</f>
        <v>56500</v>
      </c>
      <c r="H163" s="206" t="s">
        <v>356</v>
      </c>
      <c r="I163" s="206">
        <v>2500</v>
      </c>
      <c r="J163" s="206">
        <f>SUM(G163:I163)</f>
        <v>59000</v>
      </c>
    </row>
    <row r="164" spans="1:10">
      <c r="A164" s="29">
        <v>11</v>
      </c>
      <c r="B164" s="299">
        <f>B163</f>
        <v>46120</v>
      </c>
      <c r="C164" s="206" t="s">
        <v>340</v>
      </c>
      <c r="D164" s="300" t="s">
        <v>358</v>
      </c>
      <c r="E164" s="300"/>
      <c r="F164" s="292" t="s">
        <v>226</v>
      </c>
      <c r="G164" s="206">
        <f>G161</f>
        <v>57000</v>
      </c>
      <c r="H164" s="206" t="s">
        <v>348</v>
      </c>
      <c r="I164" s="206">
        <v>3500</v>
      </c>
      <c r="J164" s="206">
        <f>SUM(G164:I164)</f>
        <v>60500</v>
      </c>
    </row>
    <row r="165" spans="1:10">
      <c r="A165" s="29">
        <v>9</v>
      </c>
      <c r="B165" s="299">
        <f>B164</f>
        <v>46120</v>
      </c>
      <c r="C165" s="206" t="s">
        <v>340</v>
      </c>
      <c r="D165" s="300" t="s">
        <v>363</v>
      </c>
      <c r="E165" s="300"/>
      <c r="F165" s="292" t="s">
        <v>364</v>
      </c>
      <c r="G165" s="206"/>
      <c r="H165" s="206"/>
      <c r="I165" s="206"/>
      <c r="J165" s="294">
        <v>61500</v>
      </c>
    </row>
    <row r="166" spans="1:10">
      <c r="A166" s="29">
        <v>3</v>
      </c>
      <c r="B166" s="299">
        <f>B165</f>
        <v>46120</v>
      </c>
      <c r="C166" s="206" t="s">
        <v>340</v>
      </c>
      <c r="D166" s="300" t="s">
        <v>366</v>
      </c>
      <c r="E166" s="300"/>
      <c r="F166" s="292" t="s">
        <v>226</v>
      </c>
      <c r="G166" s="206">
        <f>G161</f>
        <v>57000</v>
      </c>
      <c r="H166" s="206" t="s">
        <v>348</v>
      </c>
      <c r="I166" s="206">
        <v>3000</v>
      </c>
      <c r="J166" s="206">
        <f>SUM(G166:I166)</f>
        <v>60000</v>
      </c>
    </row>
    <row r="167" spans="1:10">
      <c r="A167" s="29">
        <v>1</v>
      </c>
      <c r="B167" s="299">
        <f>B166</f>
        <v>46120</v>
      </c>
      <c r="C167" s="206" t="s">
        <v>340</v>
      </c>
      <c r="D167" s="300" t="s">
        <v>369</v>
      </c>
      <c r="E167" s="300"/>
      <c r="F167" s="292" t="s">
        <v>226</v>
      </c>
      <c r="G167" s="206">
        <f>G161</f>
        <v>57000</v>
      </c>
      <c r="H167" s="206" t="s">
        <v>348</v>
      </c>
      <c r="I167" s="206">
        <v>3000</v>
      </c>
      <c r="J167" s="206">
        <f>SUM(G167:I167)</f>
        <v>60000</v>
      </c>
    </row>
    <row r="168" spans="1:10">
      <c r="A168" s="29">
        <v>2</v>
      </c>
      <c r="B168" s="299">
        <f>B167</f>
        <v>46120</v>
      </c>
      <c r="C168" s="206" t="s">
        <v>340</v>
      </c>
      <c r="D168" s="300" t="s">
        <v>372</v>
      </c>
      <c r="E168" s="300"/>
      <c r="F168" s="292" t="s">
        <v>224</v>
      </c>
      <c r="G168" s="294">
        <v>56500</v>
      </c>
      <c r="H168" s="293" t="s">
        <v>352</v>
      </c>
      <c r="I168" s="206">
        <v>3200</v>
      </c>
      <c r="J168" s="206">
        <f>SUM(G168:I168)</f>
        <v>59700</v>
      </c>
    </row>
    <row r="169" spans="1:10">
      <c r="A169" s="29">
        <v>5</v>
      </c>
      <c r="B169" s="299">
        <f>B168</f>
        <v>46120</v>
      </c>
      <c r="C169" s="206" t="s">
        <v>340</v>
      </c>
      <c r="D169" s="300" t="s">
        <v>375</v>
      </c>
      <c r="E169" s="300"/>
      <c r="F169" s="292" t="s">
        <v>226</v>
      </c>
      <c r="G169" s="206">
        <f>G161</f>
        <v>57000</v>
      </c>
      <c r="H169" s="206" t="s">
        <v>348</v>
      </c>
      <c r="I169" s="206">
        <v>3500</v>
      </c>
      <c r="J169" s="206">
        <f>SUM(G169:I169)</f>
        <v>60500</v>
      </c>
    </row>
    <row r="170" spans="1:10">
      <c r="A170" s="29">
        <v>10</v>
      </c>
      <c r="B170" s="299">
        <f>B169</f>
        <v>46120</v>
      </c>
      <c r="C170" s="206" t="s">
        <v>340</v>
      </c>
      <c r="D170" s="300" t="s">
        <v>378</v>
      </c>
      <c r="E170" s="300"/>
      <c r="F170" s="292" t="s">
        <v>364</v>
      </c>
      <c r="G170" s="206"/>
      <c r="H170" s="206"/>
      <c r="I170" s="206"/>
      <c r="J170" s="206">
        <f>J165-250</f>
        <v>61250</v>
      </c>
    </row>
    <row r="171" spans="1:10">
      <c r="A171" s="29">
        <v>12</v>
      </c>
      <c r="B171" s="299">
        <f>B170</f>
        <v>46120</v>
      </c>
      <c r="C171" s="206" t="s">
        <v>379</v>
      </c>
      <c r="D171" s="300" t="s">
        <v>381</v>
      </c>
      <c r="E171" s="300"/>
      <c r="F171" s="292" t="s">
        <v>224</v>
      </c>
      <c r="G171" s="206">
        <f>G159+1000</f>
        <v>57000</v>
      </c>
      <c r="H171" s="206" t="s">
        <v>382</v>
      </c>
      <c r="I171" s="297">
        <v>700</v>
      </c>
      <c r="J171" s="206">
        <f>SUM(G171:I171)</f>
        <v>57700</v>
      </c>
    </row>
    <row r="172" spans="1:10">
      <c r="A172" s="29">
        <v>13</v>
      </c>
      <c r="B172" s="299">
        <f>B171</f>
        <v>46120</v>
      </c>
      <c r="C172" s="206" t="s">
        <v>379</v>
      </c>
      <c r="D172" s="300" t="s">
        <v>385</v>
      </c>
      <c r="E172" s="300"/>
      <c r="F172" s="292" t="s">
        <v>224</v>
      </c>
      <c r="G172" s="206">
        <f>G159+1000</f>
        <v>57000</v>
      </c>
      <c r="H172" s="206" t="s">
        <v>382</v>
      </c>
      <c r="I172" s="297">
        <v>1500</v>
      </c>
      <c r="J172" s="206">
        <f>SUM(G172:I172)</f>
        <v>58500</v>
      </c>
    </row>
    <row r="173" spans="1:10">
      <c r="A173" s="29">
        <v>15</v>
      </c>
      <c r="B173" s="299">
        <f>B172</f>
        <v>46120</v>
      </c>
      <c r="C173" s="206" t="s">
        <v>379</v>
      </c>
      <c r="D173" s="300" t="s">
        <v>388</v>
      </c>
      <c r="E173" s="300"/>
      <c r="F173" s="292" t="s">
        <v>226</v>
      </c>
      <c r="G173" s="206">
        <f>G161+500</f>
        <v>57500</v>
      </c>
      <c r="H173" s="206" t="s">
        <v>356</v>
      </c>
      <c r="I173" s="292">
        <v>1250</v>
      </c>
      <c r="J173" s="206">
        <f>SUM(G173:I173)</f>
        <v>58750</v>
      </c>
    </row>
    <row r="174" spans="1:10">
      <c r="A174" s="29">
        <v>6</v>
      </c>
      <c r="B174" s="299">
        <f>B173</f>
        <v>46120</v>
      </c>
      <c r="C174" s="206" t="s">
        <v>340</v>
      </c>
      <c r="D174" s="206" t="s">
        <v>360</v>
      </c>
      <c r="E174" s="206"/>
      <c r="F174" s="292" t="s">
        <v>364</v>
      </c>
      <c r="G174" s="206"/>
      <c r="H174" s="206"/>
      <c r="I174" s="206"/>
      <c r="J174" s="206">
        <f>J165+500</f>
        <v>62000</v>
      </c>
    </row>
    <row r="175" spans="1:10">
      <c r="A175" s="29">
        <v>7</v>
      </c>
      <c r="B175" s="299">
        <f>B174</f>
        <v>46120</v>
      </c>
      <c r="C175" s="206" t="s">
        <v>340</v>
      </c>
      <c r="D175" s="206" t="s">
        <v>365</v>
      </c>
      <c r="E175" s="206"/>
      <c r="F175" s="292" t="s">
        <v>364</v>
      </c>
      <c r="G175" s="206"/>
      <c r="H175" s="206"/>
      <c r="I175" s="206"/>
      <c r="J175" s="206">
        <f>J165+1000</f>
        <v>62500</v>
      </c>
    </row>
    <row r="176" spans="1:10">
      <c r="A176" s="29">
        <v>14</v>
      </c>
      <c r="B176" s="299">
        <f>B175</f>
        <v>46120</v>
      </c>
      <c r="C176" s="206" t="s">
        <v>379</v>
      </c>
      <c r="D176" s="300" t="s">
        <v>393</v>
      </c>
      <c r="E176" s="300"/>
      <c r="F176" s="292" t="s">
        <v>226</v>
      </c>
      <c r="G176" s="206">
        <f>G173</f>
        <v>57500</v>
      </c>
      <c r="H176" s="206" t="s">
        <v>356</v>
      </c>
      <c r="I176" s="292">
        <v>2000</v>
      </c>
      <c r="J176" s="206">
        <f>SUM(G176:I176)</f>
        <v>59500</v>
      </c>
    </row>
    <row r="177" spans="1:10">
      <c r="A177" s="29">
        <v>17</v>
      </c>
      <c r="B177" s="299">
        <f>B176</f>
        <v>46120</v>
      </c>
      <c r="C177" s="206" t="s">
        <v>337</v>
      </c>
      <c r="D177" s="300" t="s">
        <v>397</v>
      </c>
      <c r="E177" s="300"/>
      <c r="F177" s="292" t="s">
        <v>224</v>
      </c>
      <c r="G177" s="206">
        <f>G168+500</f>
        <v>57000</v>
      </c>
      <c r="H177" s="206" t="s">
        <v>352</v>
      </c>
      <c r="I177" s="206">
        <v>1000</v>
      </c>
      <c r="J177" s="206">
        <f>SUM(G177:I177)</f>
        <v>58000</v>
      </c>
    </row>
    <row r="178" spans="1:10">
      <c r="A178" s="29">
        <v>8</v>
      </c>
      <c r="B178" s="299">
        <f>B177</f>
        <v>46120</v>
      </c>
      <c r="C178" s="29" t="s">
        <v>340</v>
      </c>
      <c r="D178" s="206" t="s">
        <v>368</v>
      </c>
      <c r="E178" s="206"/>
      <c r="F178" s="29" t="s">
        <v>364</v>
      </c>
      <c r="G178" s="29"/>
      <c r="H178" s="29"/>
      <c r="I178" s="29"/>
      <c r="J178" s="29">
        <f>J165-250</f>
        <v>61250</v>
      </c>
    </row>
    <row r="179" spans="1:10">
      <c r="A179" s="29">
        <v>18</v>
      </c>
      <c r="B179" s="299">
        <f>B178</f>
        <v>46120</v>
      </c>
      <c r="C179" s="206" t="s">
        <v>394</v>
      </c>
      <c r="D179" s="300" t="s">
        <v>400</v>
      </c>
      <c r="E179" s="300"/>
      <c r="F179" s="292" t="s">
        <v>226</v>
      </c>
      <c r="G179" s="29">
        <f>G161</f>
        <v>57000</v>
      </c>
      <c r="H179" s="206" t="s">
        <v>348</v>
      </c>
      <c r="I179" s="206">
        <v>3200</v>
      </c>
      <c r="J179" s="206">
        <f>SUM(G179:I179)</f>
        <v>60200</v>
      </c>
    </row>
    <row r="180" spans="1:10">
      <c r="A180" s="29">
        <v>19</v>
      </c>
      <c r="B180" s="299">
        <f>B179</f>
        <v>46120</v>
      </c>
      <c r="C180" s="206" t="s">
        <v>394</v>
      </c>
      <c r="D180" s="300" t="s">
        <v>402</v>
      </c>
      <c r="E180" s="300"/>
      <c r="F180" s="292" t="s">
        <v>226</v>
      </c>
      <c r="G180" s="29">
        <f>G161</f>
        <v>57000</v>
      </c>
      <c r="H180" s="206" t="s">
        <v>348</v>
      </c>
      <c r="I180" s="206">
        <v>3000</v>
      </c>
      <c r="J180" s="206">
        <f>SUM(G180:I180)</f>
        <v>60000</v>
      </c>
    </row>
    <row r="181" spans="1:10">
      <c r="A181" s="29">
        <v>20</v>
      </c>
      <c r="B181" s="299">
        <f>B180</f>
        <v>46120</v>
      </c>
      <c r="C181" s="206" t="s">
        <v>394</v>
      </c>
      <c r="D181" s="300" t="s">
        <v>405</v>
      </c>
      <c r="E181" s="300"/>
      <c r="F181" s="292" t="s">
        <v>226</v>
      </c>
      <c r="G181" s="29">
        <f>G161</f>
        <v>57000</v>
      </c>
      <c r="H181" s="206" t="s">
        <v>348</v>
      </c>
      <c r="I181" s="206">
        <v>3000</v>
      </c>
      <c r="J181" s="206">
        <f>SUM(G181:I181)</f>
        <v>60000</v>
      </c>
    </row>
    <row r="182" spans="1:10">
      <c r="A182" s="29">
        <v>22</v>
      </c>
      <c r="B182" s="299">
        <f>B181</f>
        <v>46120</v>
      </c>
      <c r="C182" s="29" t="s">
        <v>394</v>
      </c>
      <c r="D182" s="29" t="s">
        <v>46</v>
      </c>
      <c r="E182" s="29"/>
      <c r="F182" s="29" t="s">
        <v>226</v>
      </c>
      <c r="G182" s="29">
        <f>G161</f>
        <v>57000</v>
      </c>
      <c r="H182" s="206" t="s">
        <v>348</v>
      </c>
      <c r="I182" s="29">
        <v>3300</v>
      </c>
      <c r="J182" s="206">
        <f>SUM(G182:I182)</f>
        <v>60300</v>
      </c>
    </row>
  </sheetData>
  <autoFilter ref="A158:AJ182" xr:uid="{17F90CC9-35DB-45DC-8213-CEFBBC1F5E21}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C982-358F-4C97-9227-E175C5D3CE34}">
  <dimension ref="A1:L34"/>
  <sheetViews>
    <sheetView workbookViewId="0">
      <selection activeCell="H2" sqref="H2"/>
    </sheetView>
  </sheetViews>
  <sheetFormatPr defaultRowHeight="15"/>
  <cols>
    <col min="3" max="3" width="22.5703125" customWidth="1"/>
    <col min="4" max="4" width="14.42578125" customWidth="1"/>
    <col min="6" max="6" width="10.5703125" bestFit="1" customWidth="1"/>
    <col min="11" max="12" width="15.140625" customWidth="1"/>
    <col min="13" max="13" width="12" customWidth="1"/>
    <col min="14" max="14" width="9.7109375" bestFit="1" customWidth="1"/>
  </cols>
  <sheetData>
    <row r="1" spans="1:12">
      <c r="D1" s="368"/>
      <c r="E1" s="369"/>
      <c r="F1" s="358"/>
      <c r="G1" s="370"/>
    </row>
    <row r="2" spans="1:12">
      <c r="A2" s="295" t="s">
        <v>324</v>
      </c>
      <c r="B2" s="295" t="s">
        <v>325</v>
      </c>
      <c r="C2" s="359" t="s">
        <v>330</v>
      </c>
      <c r="D2" s="296" t="s">
        <v>424</v>
      </c>
      <c r="E2" s="296" t="s">
        <v>425</v>
      </c>
      <c r="F2" s="367">
        <v>46032</v>
      </c>
      <c r="G2" s="360" t="s">
        <v>425</v>
      </c>
      <c r="K2" t="s">
        <v>323</v>
      </c>
      <c r="L2" s="30">
        <v>46031</v>
      </c>
    </row>
    <row r="3" spans="1:12">
      <c r="A3" s="206" t="s">
        <v>340</v>
      </c>
      <c r="B3" s="206" t="s">
        <v>341</v>
      </c>
      <c r="C3" s="361" t="s">
        <v>342</v>
      </c>
      <c r="D3" s="362" t="s">
        <v>426</v>
      </c>
      <c r="E3" s="362">
        <f>L3+G3</f>
        <v>48200</v>
      </c>
      <c r="F3" s="362">
        <v>46600</v>
      </c>
      <c r="G3" s="363">
        <f>300+750+750</f>
        <v>1800</v>
      </c>
      <c r="K3" t="s">
        <v>427</v>
      </c>
      <c r="L3">
        <f>_xlfn.XLOOKUP(L2,'steel Mint data'!A:A,'steel Mint data'!D:D,"")</f>
        <v>46400</v>
      </c>
    </row>
    <row r="4" spans="1:12">
      <c r="A4" s="206" t="s">
        <v>340</v>
      </c>
      <c r="B4" s="206" t="s">
        <v>345</v>
      </c>
      <c r="C4" s="361" t="s">
        <v>346</v>
      </c>
      <c r="D4" s="364" t="s">
        <v>428</v>
      </c>
      <c r="E4" s="364">
        <f>E3+G4</f>
        <v>48000</v>
      </c>
      <c r="F4" s="364">
        <v>46440</v>
      </c>
      <c r="G4" s="363">
        <f>500-1000+300</f>
        <v>-200</v>
      </c>
      <c r="K4" t="s">
        <v>45</v>
      </c>
      <c r="L4">
        <f>_xlfn.XLOOKUP(L2,'steel Mint data'!A:A,'steel Mint data'!I:I,"")</f>
        <v>45000</v>
      </c>
    </row>
    <row r="5" spans="1:12">
      <c r="A5" s="206" t="s">
        <v>340</v>
      </c>
      <c r="B5" s="206" t="s">
        <v>349</v>
      </c>
      <c r="C5" s="361" t="s">
        <v>350</v>
      </c>
      <c r="D5" s="364" t="s">
        <v>429</v>
      </c>
      <c r="E5" s="364">
        <f>52500+G5</f>
        <v>50500</v>
      </c>
      <c r="F5" s="364">
        <v>51500</v>
      </c>
      <c r="G5" s="363">
        <v>-2000</v>
      </c>
      <c r="K5" t="s">
        <v>384</v>
      </c>
      <c r="L5">
        <f>_xlfn.XLOOKUP(L2,'steel Mint data'!A:A,'steel Mint data'!O:O,"")</f>
        <v>46200</v>
      </c>
    </row>
    <row r="6" spans="1:12">
      <c r="A6" s="206" t="s">
        <v>340</v>
      </c>
      <c r="B6" s="206" t="s">
        <v>353</v>
      </c>
      <c r="C6" s="361" t="s">
        <v>430</v>
      </c>
      <c r="D6" s="364" t="str">
        <f>D5</f>
        <v xml:space="preserve">Shyam </v>
      </c>
      <c r="E6" s="364">
        <f>52500-500+G6</f>
        <v>51500</v>
      </c>
      <c r="F6" s="364">
        <v>52400</v>
      </c>
      <c r="G6" s="363">
        <v>-500</v>
      </c>
      <c r="K6" t="s">
        <v>431</v>
      </c>
      <c r="L6">
        <f>_xlfn.XLOOKUP(L2,'steel Mint data'!A:A,'steel Mint data'!E:E,"")</f>
        <v>41600</v>
      </c>
    </row>
    <row r="7" spans="1:12">
      <c r="A7" s="206" t="s">
        <v>340</v>
      </c>
      <c r="B7" s="206" t="s">
        <v>357</v>
      </c>
      <c r="C7" s="361" t="s">
        <v>45</v>
      </c>
      <c r="D7" s="364" t="s">
        <v>426</v>
      </c>
      <c r="E7" s="362">
        <f>L4+G7</f>
        <v>46800</v>
      </c>
      <c r="F7" s="362">
        <v>47000</v>
      </c>
      <c r="G7" s="363">
        <f>300+500+1000</f>
        <v>1800</v>
      </c>
      <c r="K7" t="s">
        <v>404</v>
      </c>
      <c r="L7">
        <f>_xlfn.XLOOKUP(L2,'steel Mint data'!A:A,'steel Mint data'!B:B,"")</f>
        <v>48200</v>
      </c>
    </row>
    <row r="8" spans="1:12">
      <c r="A8" s="206" t="s">
        <v>340</v>
      </c>
      <c r="B8" s="206" t="s">
        <v>359</v>
      </c>
      <c r="C8" s="361" t="s">
        <v>360</v>
      </c>
      <c r="D8" s="364" t="s">
        <v>426</v>
      </c>
      <c r="E8" s="364">
        <f>E3+G8</f>
        <v>49700</v>
      </c>
      <c r="F8" s="364">
        <v>48200</v>
      </c>
      <c r="G8" s="363">
        <v>1500</v>
      </c>
      <c r="K8" t="s">
        <v>154</v>
      </c>
      <c r="L8">
        <f>_xlfn.XLOOKUP(L2,'steel Mint data'!A:A,'steel Mint data'!Q:Q,"")</f>
        <v>42900</v>
      </c>
    </row>
    <row r="9" spans="1:12">
      <c r="A9" s="206" t="s">
        <v>340</v>
      </c>
      <c r="B9" s="206" t="s">
        <v>359</v>
      </c>
      <c r="C9" s="361" t="s">
        <v>365</v>
      </c>
      <c r="D9" s="364" t="s">
        <v>426</v>
      </c>
      <c r="E9" s="364">
        <f>E3+G9</f>
        <v>49700</v>
      </c>
      <c r="F9" s="364">
        <v>47700</v>
      </c>
      <c r="G9" s="363">
        <v>1500</v>
      </c>
      <c r="K9" s="365" t="s">
        <v>392</v>
      </c>
      <c r="L9">
        <f>_xlfn.XLOOKUP(L2,'steel Mint data'!A:A,'steel Mint data'!R:R,"")</f>
        <v>42500</v>
      </c>
    </row>
    <row r="10" spans="1:12">
      <c r="A10" s="206" t="s">
        <v>340</v>
      </c>
      <c r="B10" s="206" t="s">
        <v>367</v>
      </c>
      <c r="C10" s="361" t="s">
        <v>368</v>
      </c>
      <c r="D10" s="364" t="s">
        <v>426</v>
      </c>
      <c r="E10" s="364">
        <f>E3+G10</f>
        <v>49700</v>
      </c>
      <c r="F10" s="364">
        <v>48200</v>
      </c>
      <c r="G10" s="363">
        <v>1500</v>
      </c>
      <c r="K10" s="366" t="s">
        <v>396</v>
      </c>
      <c r="L10">
        <f>_xlfn.XLOOKUP(L2,'steel Mint data'!A:A,'steel Mint data'!M:M,"")</f>
        <v>47900</v>
      </c>
    </row>
    <row r="11" spans="1:12">
      <c r="A11" s="206" t="s">
        <v>340</v>
      </c>
      <c r="B11" s="206" t="s">
        <v>370</v>
      </c>
      <c r="C11" s="361" t="s">
        <v>371</v>
      </c>
      <c r="D11" s="364" t="s">
        <v>426</v>
      </c>
      <c r="E11" s="364">
        <f>E3+G11</f>
        <v>49700</v>
      </c>
      <c r="F11" s="364"/>
      <c r="G11" s="363">
        <v>1500</v>
      </c>
      <c r="K11" t="s">
        <v>432</v>
      </c>
      <c r="L11">
        <f>_xlfn.XLOOKUP(L2,'steel Mint data'!A:A,'steel Mint data'!J:J,"")</f>
        <v>49000</v>
      </c>
    </row>
    <row r="12" spans="1:12">
      <c r="A12" s="206" t="s">
        <v>340</v>
      </c>
      <c r="B12" s="206" t="s">
        <v>373</v>
      </c>
      <c r="C12" s="361" t="s">
        <v>374</v>
      </c>
      <c r="D12" s="364" t="s">
        <v>433</v>
      </c>
      <c r="E12" s="364">
        <f>E3+G12</f>
        <v>49200</v>
      </c>
      <c r="F12" s="364">
        <v>45800</v>
      </c>
      <c r="G12" s="363">
        <v>1000</v>
      </c>
      <c r="K12" t="s">
        <v>434</v>
      </c>
      <c r="L12">
        <f>_xlfn.XLOOKUP(L2,'steel Mint data'!A:A,'steel Mint data'!F:F,"")</f>
        <v>48500</v>
      </c>
    </row>
    <row r="13" spans="1:12">
      <c r="A13" s="206" t="s">
        <v>340</v>
      </c>
      <c r="B13" s="206" t="s">
        <v>376</v>
      </c>
      <c r="C13" s="361" t="s">
        <v>377</v>
      </c>
      <c r="D13" s="364" t="s">
        <v>435</v>
      </c>
      <c r="E13" s="364">
        <f>E3+G13</f>
        <v>48700</v>
      </c>
      <c r="F13" s="364">
        <v>48700</v>
      </c>
      <c r="G13" s="363">
        <v>500</v>
      </c>
    </row>
    <row r="14" spans="1:12">
      <c r="A14" s="206" t="s">
        <v>379</v>
      </c>
      <c r="B14" s="206" t="s">
        <v>380</v>
      </c>
      <c r="C14" s="361" t="s">
        <v>96</v>
      </c>
      <c r="D14" s="364" t="s">
        <v>436</v>
      </c>
      <c r="E14" s="364">
        <f>E18+G14</f>
        <v>45000</v>
      </c>
      <c r="F14" s="364"/>
      <c r="G14" s="363">
        <v>1000</v>
      </c>
    </row>
    <row r="15" spans="1:12">
      <c r="A15" s="206" t="s">
        <v>379</v>
      </c>
      <c r="B15" s="206" t="s">
        <v>383</v>
      </c>
      <c r="C15" s="361" t="s">
        <v>384</v>
      </c>
      <c r="D15" s="364" t="s">
        <v>437</v>
      </c>
      <c r="E15" s="362">
        <f>L5+G15</f>
        <v>45200</v>
      </c>
      <c r="F15" s="362"/>
      <c r="G15" s="363">
        <f>-1000</f>
        <v>-1000</v>
      </c>
    </row>
    <row r="16" spans="1:12">
      <c r="A16" s="206" t="s">
        <v>379</v>
      </c>
      <c r="B16" s="206" t="s">
        <v>386</v>
      </c>
      <c r="C16" s="361" t="s">
        <v>387</v>
      </c>
      <c r="D16" s="364" t="s">
        <v>149</v>
      </c>
      <c r="E16" s="362">
        <f>L6+G16</f>
        <v>44100</v>
      </c>
      <c r="F16" s="362"/>
      <c r="G16" s="363">
        <f>1000+1500</f>
        <v>2500</v>
      </c>
    </row>
    <row r="17" spans="1:7">
      <c r="A17" s="206" t="s">
        <v>379</v>
      </c>
      <c r="B17" s="206" t="s">
        <v>386</v>
      </c>
      <c r="C17" s="361" t="s">
        <v>107</v>
      </c>
      <c r="D17" s="364" t="s">
        <v>149</v>
      </c>
      <c r="E17" s="364">
        <f>L6+G17</f>
        <v>43100</v>
      </c>
      <c r="F17" s="364"/>
      <c r="G17" s="363">
        <f>500+1000</f>
        <v>1500</v>
      </c>
    </row>
    <row r="18" spans="1:7">
      <c r="A18" s="206" t="s">
        <v>379</v>
      </c>
      <c r="B18" s="206" t="s">
        <v>389</v>
      </c>
      <c r="C18" s="361" t="s">
        <v>390</v>
      </c>
      <c r="D18" s="364" t="s">
        <v>436</v>
      </c>
      <c r="E18" s="362">
        <f>L9+G18</f>
        <v>44000</v>
      </c>
      <c r="F18" s="362"/>
      <c r="G18" s="363">
        <f>500+1000</f>
        <v>1500</v>
      </c>
    </row>
    <row r="19" spans="1:7">
      <c r="A19" s="206" t="s">
        <v>379</v>
      </c>
      <c r="B19" s="206" t="s">
        <v>391</v>
      </c>
      <c r="C19" s="361" t="s">
        <v>392</v>
      </c>
      <c r="D19" s="364" t="s">
        <v>436</v>
      </c>
      <c r="E19" s="364">
        <f>L9+G19</f>
        <v>44000</v>
      </c>
      <c r="F19" s="364"/>
      <c r="G19" s="363">
        <v>1500</v>
      </c>
    </row>
    <row r="20" spans="1:7">
      <c r="A20" s="206" t="s">
        <v>394</v>
      </c>
      <c r="B20" s="206" t="s">
        <v>395</v>
      </c>
      <c r="C20" s="361" t="s">
        <v>396</v>
      </c>
      <c r="D20" s="364" t="s">
        <v>438</v>
      </c>
      <c r="E20" s="362">
        <f>L10+G20</f>
        <v>48400</v>
      </c>
      <c r="F20" s="362"/>
      <c r="G20" s="363">
        <f>1500-1000</f>
        <v>500</v>
      </c>
    </row>
    <row r="21" spans="1:7">
      <c r="A21" s="206" t="s">
        <v>394</v>
      </c>
      <c r="B21" s="206" t="s">
        <v>395</v>
      </c>
      <c r="C21" s="361" t="s">
        <v>398</v>
      </c>
      <c r="D21" s="364" t="s">
        <v>439</v>
      </c>
      <c r="E21" s="364">
        <f>E20+G21</f>
        <v>48900</v>
      </c>
      <c r="F21" s="364"/>
      <c r="G21" s="363">
        <v>500</v>
      </c>
    </row>
    <row r="22" spans="1:7">
      <c r="A22" s="206" t="s">
        <v>394</v>
      </c>
      <c r="B22" s="206" t="s">
        <v>395</v>
      </c>
      <c r="C22" s="361" t="s">
        <v>399</v>
      </c>
      <c r="D22" s="364" t="s">
        <v>440</v>
      </c>
      <c r="E22" s="364" t="e">
        <f>#REF!+G22</f>
        <v>#REF!</v>
      </c>
      <c r="F22" s="364"/>
      <c r="G22" s="363">
        <v>500</v>
      </c>
    </row>
    <row r="23" spans="1:7">
      <c r="A23" s="206" t="s">
        <v>394</v>
      </c>
      <c r="B23" s="206" t="s">
        <v>395</v>
      </c>
      <c r="C23" s="361" t="s">
        <v>401</v>
      </c>
      <c r="D23" s="364" t="s">
        <v>441</v>
      </c>
      <c r="E23" s="362" t="e">
        <f>#REF!+G23</f>
        <v>#REF!</v>
      </c>
      <c r="F23" s="362"/>
      <c r="G23" s="363">
        <v>500</v>
      </c>
    </row>
    <row r="24" spans="1:7">
      <c r="A24" s="206" t="s">
        <v>394</v>
      </c>
      <c r="B24" s="206" t="s">
        <v>403</v>
      </c>
      <c r="C24" s="361" t="s">
        <v>404</v>
      </c>
      <c r="D24" s="364" t="s">
        <v>442</v>
      </c>
      <c r="E24" s="362" t="e">
        <f>#REF!+G24</f>
        <v>#REF!</v>
      </c>
      <c r="F24" s="362"/>
      <c r="G24" s="363">
        <f>500+1500-1000</f>
        <v>1000</v>
      </c>
    </row>
    <row r="25" spans="1:7">
      <c r="A25" s="206" t="s">
        <v>337</v>
      </c>
      <c r="B25" s="206" t="s">
        <v>406</v>
      </c>
      <c r="C25" s="361" t="s">
        <v>154</v>
      </c>
      <c r="D25" s="364" t="s">
        <v>443</v>
      </c>
      <c r="E25" s="362" t="e">
        <f>#REF!+G25</f>
        <v>#REF!</v>
      </c>
      <c r="F25" s="362"/>
      <c r="G25" s="363">
        <v>3000</v>
      </c>
    </row>
    <row r="26" spans="1:7">
      <c r="A26" s="206" t="s">
        <v>337</v>
      </c>
      <c r="B26" s="206" t="s">
        <v>407</v>
      </c>
      <c r="C26" s="361" t="s">
        <v>408</v>
      </c>
      <c r="D26" s="364" t="s">
        <v>444</v>
      </c>
      <c r="E26" s="364" t="e">
        <f>E25+G26</f>
        <v>#REF!</v>
      </c>
      <c r="F26" s="364"/>
      <c r="G26" s="363">
        <v>900</v>
      </c>
    </row>
    <row r="27" spans="1:7">
      <c r="A27" s="206" t="s">
        <v>409</v>
      </c>
      <c r="B27" s="206" t="s">
        <v>410</v>
      </c>
      <c r="C27" s="361" t="s">
        <v>411</v>
      </c>
      <c r="D27" s="364" t="s">
        <v>412</v>
      </c>
      <c r="E27" s="364"/>
      <c r="F27" s="364"/>
      <c r="G27" s="363">
        <v>0</v>
      </c>
    </row>
    <row r="28" spans="1:7">
      <c r="A28" s="206" t="s">
        <v>409</v>
      </c>
      <c r="B28" s="206" t="s">
        <v>410</v>
      </c>
      <c r="C28" s="361" t="s">
        <v>413</v>
      </c>
      <c r="D28" s="364" t="s">
        <v>412</v>
      </c>
      <c r="E28" s="364"/>
      <c r="F28" s="364"/>
      <c r="G28" s="363">
        <v>0</v>
      </c>
    </row>
    <row r="29" spans="1:7">
      <c r="A29" s="206" t="s">
        <v>409</v>
      </c>
      <c r="B29" s="206" t="s">
        <v>414</v>
      </c>
      <c r="C29" s="361" t="s">
        <v>415</v>
      </c>
      <c r="D29" s="364" t="s">
        <v>412</v>
      </c>
      <c r="E29" s="364"/>
      <c r="F29" s="364"/>
      <c r="G29" s="363">
        <v>0</v>
      </c>
    </row>
    <row r="30" spans="1:7">
      <c r="A30" s="206" t="s">
        <v>409</v>
      </c>
      <c r="B30" s="206" t="s">
        <v>414</v>
      </c>
      <c r="C30" s="361" t="s">
        <v>416</v>
      </c>
      <c r="D30" s="364" t="s">
        <v>412</v>
      </c>
      <c r="E30" s="364"/>
      <c r="F30" s="364"/>
      <c r="G30" s="363">
        <v>0</v>
      </c>
    </row>
    <row r="31" spans="1:7">
      <c r="A31" s="206" t="s">
        <v>409</v>
      </c>
      <c r="B31" s="206" t="s">
        <v>417</v>
      </c>
      <c r="C31" s="361" t="s">
        <v>418</v>
      </c>
      <c r="D31" s="364" t="s">
        <v>412</v>
      </c>
      <c r="E31" s="364"/>
      <c r="F31" s="364"/>
      <c r="G31" s="363">
        <v>0</v>
      </c>
    </row>
    <row r="32" spans="1:7">
      <c r="A32" s="206" t="s">
        <v>409</v>
      </c>
      <c r="B32" s="206" t="s">
        <v>419</v>
      </c>
      <c r="C32" s="361" t="s">
        <v>420</v>
      </c>
      <c r="D32" s="364" t="s">
        <v>412</v>
      </c>
      <c r="E32" s="364"/>
      <c r="F32" s="364"/>
      <c r="G32" s="363">
        <v>0</v>
      </c>
    </row>
    <row r="33" spans="1:7">
      <c r="A33" s="206" t="s">
        <v>409</v>
      </c>
      <c r="B33" s="206" t="s">
        <v>419</v>
      </c>
      <c r="C33" s="361" t="s">
        <v>421</v>
      </c>
      <c r="D33" s="364" t="s">
        <v>412</v>
      </c>
      <c r="E33" s="364"/>
      <c r="F33" s="364"/>
      <c r="G33" s="363">
        <v>0</v>
      </c>
    </row>
    <row r="34" spans="1:7">
      <c r="A34" s="206" t="s">
        <v>409</v>
      </c>
      <c r="B34" s="206" t="s">
        <v>422</v>
      </c>
      <c r="C34" s="361" t="s">
        <v>423</v>
      </c>
      <c r="D34" s="364" t="s">
        <v>412</v>
      </c>
      <c r="E34" s="364"/>
      <c r="F34" s="364"/>
      <c r="G34" s="363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13C2-50AD-4920-8A27-E9BE1C6E0D2A}">
  <dimension ref="A1:AD1982"/>
  <sheetViews>
    <sheetView workbookViewId="0">
      <pane ySplit="2" topLeftCell="A1825" activePane="bottomLeft" state="frozen"/>
      <selection pane="bottomLeft" activeCell="Q1820" sqref="Q1820:Q1833"/>
    </sheetView>
  </sheetViews>
  <sheetFormatPr defaultRowHeight="15"/>
  <cols>
    <col min="1" max="1" width="15.28515625" customWidth="1"/>
    <col min="2" max="2" width="12.5703125" customWidth="1"/>
    <col min="3" max="3" width="8" bestFit="1" customWidth="1"/>
    <col min="4" max="4" width="9.85546875" bestFit="1" customWidth="1"/>
    <col min="5" max="5" width="8.85546875" bestFit="1" customWidth="1"/>
    <col min="6" max="6" width="6.28515625" bestFit="1" customWidth="1"/>
    <col min="7" max="7" width="9" bestFit="1" customWidth="1"/>
    <col min="8" max="8" width="10.28515625" bestFit="1" customWidth="1"/>
    <col min="9" max="10" width="6.28515625" bestFit="1" customWidth="1"/>
    <col min="11" max="11" width="9.42578125" bestFit="1" customWidth="1"/>
    <col min="12" max="12" width="16.5703125" bestFit="1" customWidth="1"/>
    <col min="13" max="13" width="7.85546875" bestFit="1" customWidth="1"/>
    <col min="14" max="14" width="13.140625" bestFit="1" customWidth="1"/>
    <col min="15" max="15" width="6.28515625" bestFit="1" customWidth="1"/>
    <col min="16" max="16" width="7.28515625" bestFit="1" customWidth="1"/>
    <col min="17" max="17" width="6.42578125" bestFit="1" customWidth="1"/>
    <col min="18" max="18" width="8.42578125" bestFit="1" customWidth="1"/>
    <col min="19" max="19" width="14.28515625" customWidth="1"/>
    <col min="20" max="20" width="6.42578125" bestFit="1" customWidth="1"/>
    <col min="21" max="21" width="8.42578125" bestFit="1" customWidth="1"/>
    <col min="22" max="22" width="37.42578125" bestFit="1" customWidth="1"/>
    <col min="23" max="23" width="38.85546875" bestFit="1" customWidth="1"/>
    <col min="28" max="28" width="15.85546875" customWidth="1"/>
    <col min="29" max="29" width="11.42578125" customWidth="1"/>
    <col min="30" max="30" width="16.7109375" customWidth="1"/>
  </cols>
  <sheetData>
    <row r="1" spans="1:23" s="27" customFormat="1">
      <c r="A1" s="27" t="str" cm="1">
        <f t="array" ref="A1:W1982">'[1]12MM'!$A$19:$W$2000</f>
        <v>Date</v>
      </c>
      <c r="B1" s="27" t="str">
        <v>IS 1786- 500 Fe,12-25mm, Induction Grade</v>
      </c>
      <c r="C1" s="27">
        <v>0</v>
      </c>
      <c r="D1" s="27">
        <v>0</v>
      </c>
      <c r="E1" s="27">
        <v>0</v>
      </c>
      <c r="F1" s="27">
        <v>0</v>
      </c>
      <c r="G1" s="27">
        <v>0</v>
      </c>
      <c r="H1" s="27">
        <v>0</v>
      </c>
      <c r="I1" s="27">
        <v>0</v>
      </c>
      <c r="J1" s="27">
        <v>0</v>
      </c>
      <c r="K1" s="27">
        <v>0</v>
      </c>
      <c r="L1" s="27">
        <v>0</v>
      </c>
      <c r="M1" s="27">
        <v>0</v>
      </c>
      <c r="N1" s="27">
        <v>0</v>
      </c>
      <c r="O1" s="27">
        <v>0</v>
      </c>
      <c r="P1" s="27">
        <v>0</v>
      </c>
      <c r="Q1" s="27">
        <v>0</v>
      </c>
      <c r="R1" s="27">
        <v>0</v>
      </c>
      <c r="S1" s="27" t="str">
        <v>IS 1786- 500D Fe 12-25mm, Induction Grade</v>
      </c>
      <c r="T1" s="27">
        <v>0</v>
      </c>
      <c r="U1" s="27">
        <v>0</v>
      </c>
      <c r="V1" s="27" t="str">
        <v>IS 1786- 550 Fe 12-25mm, Induction Grade</v>
      </c>
      <c r="W1" s="27" t="str">
        <v>IS 1786- 550D Fe 12-25mm, Induction Grade</v>
      </c>
    </row>
    <row r="2" spans="1:23" s="28" customFormat="1">
      <c r="A2" s="28">
        <v>0</v>
      </c>
      <c r="B2" s="31" t="str">
        <v>Ahmedabad</v>
      </c>
      <c r="C2" s="31" t="str">
        <v>Chennai</v>
      </c>
      <c r="D2" s="31" t="str">
        <v>Delhi/NCR</v>
      </c>
      <c r="E2" s="31" t="str">
        <v>Durgapur-550</v>
      </c>
      <c r="F2" s="31" t="str">
        <v>Goa</v>
      </c>
      <c r="G2" s="31" t="str">
        <v>Guwahati</v>
      </c>
      <c r="H2" s="31" t="str">
        <v>Hyderabad</v>
      </c>
      <c r="I2" s="31" t="str">
        <v>Jaipur</v>
      </c>
      <c r="J2" s="31" t="str">
        <v>Jalna</v>
      </c>
      <c r="K2" s="31" t="str">
        <v>Jharsugda</v>
      </c>
      <c r="L2" s="31" t="str">
        <v>Mandi Gobindgarh</v>
      </c>
      <c r="M2" s="31" t="str">
        <v>Mumbai</v>
      </c>
      <c r="N2" s="31" t="str">
        <v>Muzaffarnagar</v>
      </c>
      <c r="O2" s="31" t="str">
        <v>Patna</v>
      </c>
      <c r="P2" s="31" t="str">
        <v>Raigarh</v>
      </c>
      <c r="Q2" s="31" t="str">
        <v>Raipur</v>
      </c>
      <c r="R2" s="31" t="str">
        <v>Rourkela</v>
      </c>
      <c r="S2" s="28" t="str">
        <v>Durgapur</v>
      </c>
      <c r="T2" s="28" t="str">
        <v>Raipur</v>
      </c>
      <c r="U2" s="28" t="str">
        <v>Rourkela</v>
      </c>
      <c r="V2" s="28" t="str">
        <v>Bangalore</v>
      </c>
      <c r="W2" s="28" t="str">
        <v>Bangalore</v>
      </c>
    </row>
    <row r="3" spans="1:23">
      <c r="A3" s="30">
        <v>44287</v>
      </c>
      <c r="B3" s="29">
        <v>47200</v>
      </c>
      <c r="C3" s="29">
        <v>47900</v>
      </c>
      <c r="D3" s="29">
        <v>45700</v>
      </c>
      <c r="E3" s="29">
        <v>45750</v>
      </c>
      <c r="F3" s="29">
        <v>48600</v>
      </c>
      <c r="G3" s="29" t="str">
        <v>-</v>
      </c>
      <c r="H3" s="29">
        <v>47500</v>
      </c>
      <c r="I3" s="29" t="str">
        <v>-</v>
      </c>
      <c r="J3" s="29">
        <v>48100</v>
      </c>
      <c r="K3" s="29" t="str">
        <v>-</v>
      </c>
      <c r="L3" s="29">
        <v>47100</v>
      </c>
      <c r="M3" s="29">
        <v>47500</v>
      </c>
      <c r="N3" s="29">
        <v>45500</v>
      </c>
      <c r="O3" s="29" t="str">
        <v>-</v>
      </c>
      <c r="P3" s="29">
        <v>45400</v>
      </c>
      <c r="Q3" s="29">
        <v>44800</v>
      </c>
      <c r="R3" s="29">
        <v>45600</v>
      </c>
      <c r="S3" t="str">
        <v>-</v>
      </c>
      <c r="T3" t="str">
        <v>-</v>
      </c>
      <c r="U3" t="str">
        <v>-</v>
      </c>
      <c r="V3">
        <v>47900</v>
      </c>
      <c r="W3" t="str">
        <v>-</v>
      </c>
    </row>
    <row r="4" spans="1:23">
      <c r="A4" s="30">
        <v>44288</v>
      </c>
      <c r="B4" s="29">
        <v>47500</v>
      </c>
      <c r="C4" s="29">
        <v>48300</v>
      </c>
      <c r="D4" s="29">
        <v>46300</v>
      </c>
      <c r="E4" s="29">
        <v>46000</v>
      </c>
      <c r="F4" s="29">
        <v>49300</v>
      </c>
      <c r="G4" s="29" t="str">
        <v>-</v>
      </c>
      <c r="H4" s="29">
        <v>47600</v>
      </c>
      <c r="I4" s="29" t="str">
        <v>-</v>
      </c>
      <c r="J4" s="29">
        <v>48400</v>
      </c>
      <c r="K4" s="29" t="str">
        <v>-</v>
      </c>
      <c r="L4" s="29">
        <v>47500</v>
      </c>
      <c r="M4" s="29">
        <v>47800</v>
      </c>
      <c r="N4" s="29">
        <v>45600</v>
      </c>
      <c r="O4" s="29" t="str">
        <v>-</v>
      </c>
      <c r="P4" s="29">
        <v>45500</v>
      </c>
      <c r="Q4" s="29">
        <v>45100</v>
      </c>
      <c r="R4" s="29">
        <v>45800</v>
      </c>
      <c r="S4" t="str">
        <v>-</v>
      </c>
      <c r="T4" t="str">
        <v>-</v>
      </c>
      <c r="U4" t="str">
        <v>-</v>
      </c>
      <c r="V4">
        <v>48500</v>
      </c>
      <c r="W4" t="str">
        <v>-</v>
      </c>
    </row>
    <row r="5" spans="1:23">
      <c r="A5" s="30">
        <v>44289</v>
      </c>
      <c r="B5" s="29">
        <v>47600</v>
      </c>
      <c r="C5" s="29">
        <v>48700</v>
      </c>
      <c r="D5" s="29">
        <v>46300</v>
      </c>
      <c r="E5" s="29">
        <v>46500</v>
      </c>
      <c r="F5" s="29">
        <v>49700</v>
      </c>
      <c r="G5" s="29" t="str">
        <v>-</v>
      </c>
      <c r="H5" s="29">
        <v>47900</v>
      </c>
      <c r="I5" s="29" t="str">
        <v>-</v>
      </c>
      <c r="J5" s="29">
        <v>48400</v>
      </c>
      <c r="K5" s="29" t="str">
        <v>-</v>
      </c>
      <c r="L5" s="29">
        <v>47800</v>
      </c>
      <c r="M5" s="29">
        <v>47800</v>
      </c>
      <c r="N5" s="29">
        <v>45600</v>
      </c>
      <c r="O5" s="29" t="str">
        <v>-</v>
      </c>
      <c r="P5" s="29">
        <v>45300</v>
      </c>
      <c r="Q5" s="29">
        <v>44900</v>
      </c>
      <c r="R5" s="29">
        <v>45700</v>
      </c>
      <c r="S5" t="str">
        <v>-</v>
      </c>
      <c r="T5" t="str">
        <v>-</v>
      </c>
      <c r="U5" t="str">
        <v>-</v>
      </c>
      <c r="V5">
        <v>48600</v>
      </c>
      <c r="W5" t="str">
        <v>-</v>
      </c>
    </row>
    <row r="6" spans="1:23">
      <c r="A6" s="30">
        <v>44290</v>
      </c>
      <c r="B6" s="29" t="str">
        <v>H</v>
      </c>
      <c r="C6" s="29" t="str">
        <v>H</v>
      </c>
      <c r="D6" s="29" t="str">
        <v>H</v>
      </c>
      <c r="E6" s="29" t="str">
        <v>H</v>
      </c>
      <c r="F6" s="29" t="str">
        <v>H</v>
      </c>
      <c r="G6" s="29" t="str">
        <v>H</v>
      </c>
      <c r="H6" s="29" t="str">
        <v>H</v>
      </c>
      <c r="I6" s="29" t="str">
        <v>H</v>
      </c>
      <c r="J6" s="29" t="str">
        <v>H</v>
      </c>
      <c r="K6" s="29" t="str">
        <v>H</v>
      </c>
      <c r="L6" s="29" t="str">
        <v>H</v>
      </c>
      <c r="M6" s="29" t="str">
        <v>H</v>
      </c>
      <c r="N6" s="29" t="str">
        <v>H</v>
      </c>
      <c r="O6" s="29" t="str">
        <v>H</v>
      </c>
      <c r="P6" s="29" t="str">
        <v>H</v>
      </c>
      <c r="Q6" s="29" t="str">
        <v>H</v>
      </c>
      <c r="R6" s="29" t="str">
        <v>H</v>
      </c>
      <c r="S6" t="str">
        <v>H</v>
      </c>
      <c r="T6" t="str">
        <v>H</v>
      </c>
      <c r="U6" t="str">
        <v>H</v>
      </c>
      <c r="V6" t="str">
        <v>H</v>
      </c>
      <c r="W6" t="str">
        <v>H</v>
      </c>
    </row>
    <row r="7" spans="1:23">
      <c r="A7" s="30">
        <v>44291</v>
      </c>
      <c r="B7" s="29">
        <v>48100</v>
      </c>
      <c r="C7" s="29">
        <v>49100</v>
      </c>
      <c r="D7" s="29">
        <v>46500</v>
      </c>
      <c r="E7" s="29">
        <v>46500</v>
      </c>
      <c r="F7" s="29">
        <v>49700</v>
      </c>
      <c r="G7" s="29" t="str">
        <v>-</v>
      </c>
      <c r="H7" s="29">
        <v>47800</v>
      </c>
      <c r="I7" s="29" t="str">
        <v>-</v>
      </c>
      <c r="J7" s="29">
        <v>48400</v>
      </c>
      <c r="K7" s="29" t="str">
        <v>-</v>
      </c>
      <c r="L7" s="29">
        <v>48000</v>
      </c>
      <c r="M7" s="29">
        <v>47800</v>
      </c>
      <c r="N7" s="29">
        <v>45600</v>
      </c>
      <c r="O7" s="29" t="str">
        <v>-</v>
      </c>
      <c r="P7" s="29">
        <v>45000</v>
      </c>
      <c r="Q7" s="29">
        <v>44900</v>
      </c>
      <c r="R7" s="29">
        <v>45600</v>
      </c>
      <c r="S7" t="str">
        <v>-</v>
      </c>
      <c r="T7" t="str">
        <v>-</v>
      </c>
      <c r="U7" t="str">
        <v>-</v>
      </c>
      <c r="V7">
        <v>48600</v>
      </c>
      <c r="W7" t="str">
        <v>-</v>
      </c>
    </row>
    <row r="8" spans="1:23">
      <c r="A8" s="30">
        <v>44292</v>
      </c>
      <c r="B8" s="29">
        <v>48600</v>
      </c>
      <c r="C8" s="29" t="str">
        <v>-</v>
      </c>
      <c r="D8" s="29">
        <v>47100</v>
      </c>
      <c r="E8" s="29">
        <v>46500</v>
      </c>
      <c r="F8" s="29">
        <v>49700</v>
      </c>
      <c r="G8" s="29" t="str">
        <v>-</v>
      </c>
      <c r="H8" s="29">
        <v>48300</v>
      </c>
      <c r="I8" s="29" t="str">
        <v>-</v>
      </c>
      <c r="J8" s="29">
        <v>48400</v>
      </c>
      <c r="K8" s="29" t="str">
        <v>-</v>
      </c>
      <c r="L8" s="29">
        <v>48400</v>
      </c>
      <c r="M8" s="29">
        <v>47700</v>
      </c>
      <c r="N8" s="29">
        <v>46300</v>
      </c>
      <c r="O8" s="29" t="str">
        <v>-</v>
      </c>
      <c r="P8" s="29">
        <v>45200</v>
      </c>
      <c r="Q8" s="29">
        <v>45100</v>
      </c>
      <c r="R8" s="29">
        <v>45800</v>
      </c>
      <c r="S8" t="str">
        <v>-</v>
      </c>
      <c r="T8" t="str">
        <v>-</v>
      </c>
      <c r="U8" t="str">
        <v>-</v>
      </c>
      <c r="V8">
        <v>48600</v>
      </c>
      <c r="W8" t="str">
        <v>-</v>
      </c>
    </row>
    <row r="9" spans="1:23">
      <c r="A9" s="30">
        <v>44293</v>
      </c>
      <c r="B9" s="29">
        <v>48600</v>
      </c>
      <c r="C9" s="29">
        <v>49100</v>
      </c>
      <c r="D9" s="29">
        <v>47100</v>
      </c>
      <c r="E9" s="29">
        <v>46500</v>
      </c>
      <c r="F9" s="29">
        <v>49700</v>
      </c>
      <c r="G9" s="29" t="str">
        <v>-</v>
      </c>
      <c r="H9" s="29">
        <v>48000</v>
      </c>
      <c r="I9" s="29" t="str">
        <v>-</v>
      </c>
      <c r="J9" s="29">
        <v>48400</v>
      </c>
      <c r="K9" s="29" t="str">
        <v>-</v>
      </c>
      <c r="L9" s="29">
        <v>48300</v>
      </c>
      <c r="M9" s="29">
        <v>47700</v>
      </c>
      <c r="N9" s="29">
        <v>46000</v>
      </c>
      <c r="O9" s="29" t="str">
        <v>-</v>
      </c>
      <c r="P9" s="29">
        <v>45100</v>
      </c>
      <c r="Q9" s="29">
        <v>44900</v>
      </c>
      <c r="R9" s="29">
        <v>45700</v>
      </c>
      <c r="S9" t="str">
        <v>-</v>
      </c>
      <c r="T9" t="str">
        <v>-</v>
      </c>
      <c r="U9" t="str">
        <v>-</v>
      </c>
      <c r="V9">
        <v>48700</v>
      </c>
      <c r="W9" t="str">
        <v>-</v>
      </c>
    </row>
    <row r="10" spans="1:23">
      <c r="A10" s="30">
        <v>44294</v>
      </c>
      <c r="B10" s="29">
        <v>48600</v>
      </c>
      <c r="C10" s="29">
        <v>49100</v>
      </c>
      <c r="D10" s="29">
        <v>47000</v>
      </c>
      <c r="E10" s="29">
        <v>46500</v>
      </c>
      <c r="F10" s="29">
        <v>49400</v>
      </c>
      <c r="G10" s="29" t="str">
        <v>-</v>
      </c>
      <c r="H10" s="29">
        <v>47900</v>
      </c>
      <c r="I10" s="29" t="str">
        <v>-</v>
      </c>
      <c r="J10" s="29">
        <v>48400</v>
      </c>
      <c r="K10" s="29" t="str">
        <v>-</v>
      </c>
      <c r="L10" s="29">
        <v>48300</v>
      </c>
      <c r="M10" s="29">
        <v>47700</v>
      </c>
      <c r="N10" s="29">
        <v>46000</v>
      </c>
      <c r="O10" s="29" t="str">
        <v>-</v>
      </c>
      <c r="P10" s="29">
        <v>44800</v>
      </c>
      <c r="Q10" s="29">
        <v>44700</v>
      </c>
      <c r="R10" s="29">
        <v>45700</v>
      </c>
      <c r="S10" t="str">
        <v>-</v>
      </c>
      <c r="T10" t="str">
        <v>-</v>
      </c>
      <c r="U10" t="str">
        <v>-</v>
      </c>
      <c r="V10">
        <v>48600</v>
      </c>
      <c r="W10" t="str">
        <v>-</v>
      </c>
    </row>
    <row r="11" spans="1:23">
      <c r="A11" s="30">
        <v>44295</v>
      </c>
      <c r="B11" s="29">
        <v>48200</v>
      </c>
      <c r="C11" s="29">
        <v>49000</v>
      </c>
      <c r="D11" s="29">
        <v>46400</v>
      </c>
      <c r="E11" s="29">
        <v>46300</v>
      </c>
      <c r="F11" s="29">
        <v>49100</v>
      </c>
      <c r="G11" s="29" t="str">
        <v>-</v>
      </c>
      <c r="H11" s="29">
        <v>47500</v>
      </c>
      <c r="I11" s="29" t="str">
        <v>-</v>
      </c>
      <c r="J11" s="29">
        <v>48300</v>
      </c>
      <c r="K11" s="29" t="str">
        <v>-</v>
      </c>
      <c r="L11" s="29">
        <v>48000</v>
      </c>
      <c r="M11" s="29">
        <v>47700</v>
      </c>
      <c r="N11" s="29">
        <v>45500</v>
      </c>
      <c r="O11" s="29" t="str">
        <v>-</v>
      </c>
      <c r="P11" s="29">
        <v>44000</v>
      </c>
      <c r="Q11" s="29">
        <v>44300</v>
      </c>
      <c r="R11" s="29">
        <v>45200</v>
      </c>
      <c r="S11" t="str">
        <v>-</v>
      </c>
      <c r="T11" t="str">
        <v>-</v>
      </c>
      <c r="U11" t="str">
        <v>-</v>
      </c>
      <c r="V11">
        <v>48100</v>
      </c>
      <c r="W11" t="str">
        <v>-</v>
      </c>
    </row>
    <row r="12" spans="1:23">
      <c r="A12" s="30">
        <v>44296</v>
      </c>
      <c r="B12" s="29">
        <v>48200</v>
      </c>
      <c r="C12" s="29">
        <v>49100</v>
      </c>
      <c r="D12" s="29">
        <v>46300</v>
      </c>
      <c r="E12" s="29">
        <v>45750</v>
      </c>
      <c r="F12" s="29">
        <v>48500</v>
      </c>
      <c r="G12" s="29" t="str">
        <v>-</v>
      </c>
      <c r="H12" s="29">
        <v>47000</v>
      </c>
      <c r="I12" s="29" t="str">
        <v>-</v>
      </c>
      <c r="J12" s="29">
        <v>48200</v>
      </c>
      <c r="K12" s="29" t="str">
        <v>-</v>
      </c>
      <c r="L12" s="29">
        <v>48200</v>
      </c>
      <c r="M12" s="29">
        <v>47200</v>
      </c>
      <c r="N12" s="29">
        <v>45600</v>
      </c>
      <c r="O12" s="29" t="str">
        <v>-</v>
      </c>
      <c r="P12" s="29">
        <v>44000</v>
      </c>
      <c r="Q12" s="29">
        <v>44300</v>
      </c>
      <c r="R12" s="29">
        <v>45100</v>
      </c>
      <c r="S12" t="str">
        <v>-</v>
      </c>
      <c r="T12" t="str">
        <v>-</v>
      </c>
      <c r="U12" t="str">
        <v>-</v>
      </c>
      <c r="V12">
        <v>48000</v>
      </c>
      <c r="W12" t="str">
        <v>-</v>
      </c>
    </row>
    <row r="13" spans="1:23">
      <c r="A13" s="30">
        <v>44297</v>
      </c>
      <c r="B13" s="29" t="str">
        <v>H</v>
      </c>
      <c r="C13" s="29" t="str">
        <v>H</v>
      </c>
      <c r="D13" s="29" t="str">
        <v>H</v>
      </c>
      <c r="E13" s="29" t="str">
        <v>H</v>
      </c>
      <c r="F13" s="29" t="str">
        <v>H</v>
      </c>
      <c r="G13" s="29" t="str">
        <v>H</v>
      </c>
      <c r="H13" s="29" t="str">
        <v>H</v>
      </c>
      <c r="I13" s="29" t="str">
        <v>H</v>
      </c>
      <c r="J13" s="29" t="str">
        <v>H</v>
      </c>
      <c r="K13" s="29" t="str">
        <v>H</v>
      </c>
      <c r="L13" s="29" t="str">
        <v>H</v>
      </c>
      <c r="M13" s="29" t="str">
        <v>H</v>
      </c>
      <c r="N13" s="29" t="str">
        <v>H</v>
      </c>
      <c r="O13" s="29" t="str">
        <v>H</v>
      </c>
      <c r="P13" s="29" t="str">
        <v>H</v>
      </c>
      <c r="Q13" s="29" t="str">
        <v>H</v>
      </c>
      <c r="R13" s="29" t="str">
        <v>H</v>
      </c>
      <c r="S13" t="str">
        <v>H</v>
      </c>
      <c r="T13" t="str">
        <v>H</v>
      </c>
      <c r="U13" t="str">
        <v>H</v>
      </c>
      <c r="V13" t="str">
        <v>H</v>
      </c>
      <c r="W13" t="str">
        <v>H</v>
      </c>
    </row>
    <row r="14" spans="1:23">
      <c r="A14" s="30">
        <v>44298</v>
      </c>
      <c r="B14" s="29">
        <v>48400</v>
      </c>
      <c r="C14" s="29">
        <v>49300</v>
      </c>
      <c r="D14" s="29">
        <v>46600</v>
      </c>
      <c r="E14" s="29">
        <v>46000</v>
      </c>
      <c r="F14" s="29">
        <v>48800</v>
      </c>
      <c r="G14" s="29" t="str">
        <v>-</v>
      </c>
      <c r="H14" s="29">
        <v>47600</v>
      </c>
      <c r="I14" s="29" t="str">
        <v>-</v>
      </c>
      <c r="J14" s="29">
        <v>48900</v>
      </c>
      <c r="K14" s="29" t="str">
        <v>-</v>
      </c>
      <c r="L14" s="29">
        <v>48500</v>
      </c>
      <c r="M14" s="29">
        <v>47300</v>
      </c>
      <c r="N14" s="29">
        <v>46100</v>
      </c>
      <c r="O14" s="29" t="str">
        <v>-</v>
      </c>
      <c r="P14" s="29">
        <v>44800</v>
      </c>
      <c r="Q14" s="29">
        <v>44900</v>
      </c>
      <c r="R14" s="29">
        <v>45400</v>
      </c>
      <c r="S14" t="str">
        <v>-</v>
      </c>
      <c r="T14" t="str">
        <v>-</v>
      </c>
      <c r="U14" t="str">
        <v>-</v>
      </c>
      <c r="V14">
        <v>48100</v>
      </c>
      <c r="W14" t="str">
        <v>-</v>
      </c>
    </row>
    <row r="15" spans="1:23">
      <c r="A15" s="30">
        <v>44299</v>
      </c>
      <c r="B15" s="29">
        <v>48300</v>
      </c>
      <c r="C15" s="29">
        <v>49100</v>
      </c>
      <c r="D15" s="29">
        <v>46300</v>
      </c>
      <c r="E15" s="29">
        <v>45700</v>
      </c>
      <c r="F15" s="29">
        <v>48900</v>
      </c>
      <c r="G15" s="29" t="str">
        <v>-</v>
      </c>
      <c r="H15" s="29">
        <v>47500</v>
      </c>
      <c r="I15" s="29" t="str">
        <v>-</v>
      </c>
      <c r="J15" s="29">
        <v>48900</v>
      </c>
      <c r="K15" s="29" t="str">
        <v>-</v>
      </c>
      <c r="L15" s="29">
        <v>48400</v>
      </c>
      <c r="M15" s="29">
        <v>47300</v>
      </c>
      <c r="N15" s="29">
        <v>45500</v>
      </c>
      <c r="O15" s="29" t="str">
        <v>-</v>
      </c>
      <c r="P15" s="29">
        <v>44900</v>
      </c>
      <c r="Q15" s="29">
        <v>44900</v>
      </c>
      <c r="R15" s="29">
        <v>45400</v>
      </c>
      <c r="S15" t="str">
        <v>-</v>
      </c>
      <c r="T15" t="str">
        <v>-</v>
      </c>
      <c r="U15" t="str">
        <v>-</v>
      </c>
      <c r="V15">
        <v>48100</v>
      </c>
      <c r="W15" t="str">
        <v>-</v>
      </c>
    </row>
    <row r="16" spans="1:23">
      <c r="A16" s="30">
        <v>44300</v>
      </c>
      <c r="B16" s="29">
        <v>48400</v>
      </c>
      <c r="C16" s="29">
        <v>49100</v>
      </c>
      <c r="D16" s="29">
        <v>46400</v>
      </c>
      <c r="E16" s="29">
        <v>45750</v>
      </c>
      <c r="F16" s="29">
        <v>49000</v>
      </c>
      <c r="G16" s="29" t="str">
        <v>-</v>
      </c>
      <c r="H16" s="29">
        <v>47400</v>
      </c>
      <c r="I16" s="29" t="str">
        <v>-</v>
      </c>
      <c r="J16" s="29">
        <v>49000</v>
      </c>
      <c r="K16" s="29" t="str">
        <v>-</v>
      </c>
      <c r="L16" s="29">
        <v>48500</v>
      </c>
      <c r="M16" s="29">
        <v>47500</v>
      </c>
      <c r="N16" s="29">
        <v>45700</v>
      </c>
      <c r="O16" s="29" t="str">
        <v>-</v>
      </c>
      <c r="P16" s="29">
        <v>45200</v>
      </c>
      <c r="Q16" s="29">
        <v>44900</v>
      </c>
      <c r="R16" s="29">
        <v>45600</v>
      </c>
      <c r="S16" t="str">
        <v>-</v>
      </c>
      <c r="T16" t="str">
        <v>-</v>
      </c>
      <c r="U16" t="str">
        <v>-</v>
      </c>
      <c r="V16">
        <v>48100</v>
      </c>
      <c r="W16" t="str">
        <v>-</v>
      </c>
    </row>
    <row r="17" spans="1:23">
      <c r="A17" s="30">
        <v>44301</v>
      </c>
      <c r="B17" s="29">
        <v>48900</v>
      </c>
      <c r="C17" s="29">
        <v>49200</v>
      </c>
      <c r="D17" s="29">
        <v>46900</v>
      </c>
      <c r="E17" s="29">
        <v>46300</v>
      </c>
      <c r="F17" s="29">
        <v>49400</v>
      </c>
      <c r="G17" s="29" t="str">
        <v>-</v>
      </c>
      <c r="H17" s="29">
        <v>47700</v>
      </c>
      <c r="I17" s="29" t="str">
        <v>-</v>
      </c>
      <c r="J17" s="29">
        <v>50600</v>
      </c>
      <c r="K17" s="29" t="str">
        <v>-</v>
      </c>
      <c r="L17" s="29">
        <v>48900</v>
      </c>
      <c r="M17" s="29">
        <v>48400</v>
      </c>
      <c r="N17" s="29">
        <v>46300</v>
      </c>
      <c r="O17" s="29" t="str">
        <v>-</v>
      </c>
      <c r="P17" s="29">
        <v>46100</v>
      </c>
      <c r="Q17" s="29">
        <v>46400</v>
      </c>
      <c r="R17" s="29">
        <v>46500</v>
      </c>
      <c r="S17" t="str">
        <v>-</v>
      </c>
      <c r="T17" t="str">
        <v>-</v>
      </c>
      <c r="U17" t="str">
        <v>-</v>
      </c>
      <c r="V17">
        <v>48300</v>
      </c>
      <c r="W17" t="str">
        <v>-</v>
      </c>
    </row>
    <row r="18" spans="1:23">
      <c r="A18" s="30">
        <v>44302</v>
      </c>
      <c r="B18" s="29">
        <v>50800</v>
      </c>
      <c r="C18" s="29">
        <v>50000</v>
      </c>
      <c r="D18" s="29">
        <v>47500</v>
      </c>
      <c r="E18" s="29">
        <v>47000</v>
      </c>
      <c r="F18" s="29">
        <v>50800</v>
      </c>
      <c r="G18" s="29" t="str">
        <v>-</v>
      </c>
      <c r="H18" s="29">
        <v>48300</v>
      </c>
      <c r="I18" s="29" t="str">
        <v>-</v>
      </c>
      <c r="J18" s="29">
        <v>52700</v>
      </c>
      <c r="K18" s="29" t="str">
        <v>-</v>
      </c>
      <c r="L18" s="29">
        <v>49100</v>
      </c>
      <c r="M18" s="29">
        <v>49700</v>
      </c>
      <c r="N18" s="29">
        <v>47000</v>
      </c>
      <c r="O18" s="29" t="str">
        <v>-</v>
      </c>
      <c r="P18" s="29">
        <v>46900</v>
      </c>
      <c r="Q18" s="29">
        <v>47300</v>
      </c>
      <c r="R18" s="29">
        <v>47400</v>
      </c>
      <c r="S18" t="str">
        <v>-</v>
      </c>
      <c r="T18" t="str">
        <v>-</v>
      </c>
      <c r="U18" t="str">
        <v>-</v>
      </c>
      <c r="V18">
        <v>49700</v>
      </c>
      <c r="W18" t="str">
        <v>-</v>
      </c>
    </row>
    <row r="19" spans="1:23">
      <c r="A19" s="30">
        <v>44303</v>
      </c>
      <c r="B19" s="29">
        <v>51300</v>
      </c>
      <c r="C19" s="29">
        <v>50200</v>
      </c>
      <c r="D19" s="29">
        <v>47800</v>
      </c>
      <c r="E19" s="29">
        <v>47000</v>
      </c>
      <c r="F19" s="29">
        <v>52200</v>
      </c>
      <c r="G19" s="29" t="str">
        <v>-</v>
      </c>
      <c r="H19" s="29">
        <v>48400</v>
      </c>
      <c r="I19" s="29" t="str">
        <v>-</v>
      </c>
      <c r="J19" s="29">
        <v>52700</v>
      </c>
      <c r="K19" s="29" t="str">
        <v>-</v>
      </c>
      <c r="L19" s="29">
        <v>49300</v>
      </c>
      <c r="M19" s="29">
        <v>50900</v>
      </c>
      <c r="N19" s="29">
        <v>46700</v>
      </c>
      <c r="O19" s="29" t="str">
        <v>-</v>
      </c>
      <c r="P19" s="29">
        <v>46800</v>
      </c>
      <c r="Q19" s="29">
        <v>47300</v>
      </c>
      <c r="R19" s="29">
        <v>47300</v>
      </c>
      <c r="S19" t="str">
        <v>-</v>
      </c>
      <c r="T19" t="str">
        <v>-</v>
      </c>
      <c r="U19" t="str">
        <v>-</v>
      </c>
      <c r="V19">
        <v>50000</v>
      </c>
      <c r="W19" t="str">
        <v>-</v>
      </c>
    </row>
    <row r="20" spans="1:23">
      <c r="A20" s="30">
        <v>44304</v>
      </c>
      <c r="B20" s="29" t="str">
        <v>H</v>
      </c>
      <c r="C20" s="29" t="str">
        <v>H</v>
      </c>
      <c r="D20" s="29" t="str">
        <v>H</v>
      </c>
      <c r="E20" s="29" t="str">
        <v>H</v>
      </c>
      <c r="F20" s="29" t="str">
        <v>H</v>
      </c>
      <c r="G20" s="29" t="str">
        <v>H</v>
      </c>
      <c r="H20" s="29" t="str">
        <v>H</v>
      </c>
      <c r="I20" s="29" t="str">
        <v>H</v>
      </c>
      <c r="J20" s="29" t="str">
        <v>H</v>
      </c>
      <c r="K20" s="29" t="str">
        <v>H</v>
      </c>
      <c r="L20" s="29" t="str">
        <v>H</v>
      </c>
      <c r="M20" s="29" t="str">
        <v>H</v>
      </c>
      <c r="N20" s="29" t="str">
        <v>H</v>
      </c>
      <c r="O20" s="29" t="str">
        <v>H</v>
      </c>
      <c r="P20" s="29" t="str">
        <v>H</v>
      </c>
      <c r="Q20" s="29" t="str">
        <v>H</v>
      </c>
      <c r="R20" s="29" t="str">
        <v>H</v>
      </c>
      <c r="S20" t="str">
        <v>H</v>
      </c>
      <c r="T20" t="str">
        <v>H</v>
      </c>
      <c r="U20" t="str">
        <v>H</v>
      </c>
      <c r="V20" t="str">
        <v>H</v>
      </c>
      <c r="W20" t="str">
        <v>H</v>
      </c>
    </row>
    <row r="21" spans="1:23">
      <c r="A21" s="30">
        <v>44305</v>
      </c>
      <c r="B21" s="29">
        <v>51200</v>
      </c>
      <c r="C21" s="29">
        <v>50700</v>
      </c>
      <c r="D21" s="29">
        <v>48500</v>
      </c>
      <c r="E21" s="29">
        <v>46500</v>
      </c>
      <c r="F21" s="29">
        <v>52100</v>
      </c>
      <c r="G21" s="29" t="str">
        <v>-</v>
      </c>
      <c r="H21" s="29">
        <v>48000</v>
      </c>
      <c r="I21" s="29" t="str">
        <v>-</v>
      </c>
      <c r="J21" s="29">
        <v>52600</v>
      </c>
      <c r="K21" s="29" t="str">
        <v>-</v>
      </c>
      <c r="L21" s="29">
        <v>49100</v>
      </c>
      <c r="M21" s="29">
        <v>50900</v>
      </c>
      <c r="N21" s="29">
        <v>46000</v>
      </c>
      <c r="O21" s="29" t="str">
        <v>-</v>
      </c>
      <c r="P21" s="29">
        <v>46200</v>
      </c>
      <c r="Q21" s="29">
        <v>47000</v>
      </c>
      <c r="R21" s="29">
        <v>47100</v>
      </c>
      <c r="S21" t="str">
        <v>-</v>
      </c>
      <c r="T21" t="str">
        <v>-</v>
      </c>
      <c r="U21" t="str">
        <v>-</v>
      </c>
      <c r="V21">
        <v>50100</v>
      </c>
      <c r="W21" t="str">
        <v>-</v>
      </c>
    </row>
    <row r="22" spans="1:23">
      <c r="A22" s="30">
        <v>44306</v>
      </c>
      <c r="B22" s="29">
        <v>50400</v>
      </c>
      <c r="C22" s="29">
        <v>50700</v>
      </c>
      <c r="D22" s="29">
        <v>48300</v>
      </c>
      <c r="E22" s="29">
        <v>45800</v>
      </c>
      <c r="F22" s="29">
        <v>50200</v>
      </c>
      <c r="G22" s="29" t="str">
        <v>-</v>
      </c>
      <c r="H22" s="29">
        <v>47000</v>
      </c>
      <c r="I22" s="29" t="str">
        <v>-</v>
      </c>
      <c r="J22" s="29">
        <v>50600</v>
      </c>
      <c r="K22" s="29" t="str">
        <v>-</v>
      </c>
      <c r="L22" s="29">
        <v>48500</v>
      </c>
      <c r="M22" s="29">
        <v>49900</v>
      </c>
      <c r="N22" s="29">
        <v>45500</v>
      </c>
      <c r="O22" s="29" t="str">
        <v>-</v>
      </c>
      <c r="P22" s="29">
        <v>45100</v>
      </c>
      <c r="Q22" s="29">
        <v>46000</v>
      </c>
      <c r="R22" s="29">
        <v>46500</v>
      </c>
      <c r="S22" t="str">
        <v>-</v>
      </c>
      <c r="T22" t="str">
        <v>-</v>
      </c>
      <c r="U22" t="str">
        <v>-</v>
      </c>
      <c r="V22">
        <v>49900</v>
      </c>
      <c r="W22" t="str">
        <v>-</v>
      </c>
    </row>
    <row r="23" spans="1:23">
      <c r="A23" s="30">
        <v>44307</v>
      </c>
      <c r="B23" s="29">
        <v>49900</v>
      </c>
      <c r="C23" s="29">
        <v>50700</v>
      </c>
      <c r="D23" s="29">
        <v>48300</v>
      </c>
      <c r="E23" s="29">
        <v>45800</v>
      </c>
      <c r="F23" s="29">
        <v>50200</v>
      </c>
      <c r="G23" s="29" t="str">
        <v>-</v>
      </c>
      <c r="H23" s="29">
        <v>47500</v>
      </c>
      <c r="I23" s="29" t="str">
        <v>-</v>
      </c>
      <c r="J23" s="29">
        <v>49600</v>
      </c>
      <c r="K23" s="29" t="str">
        <v>-</v>
      </c>
      <c r="L23" s="29">
        <v>48500</v>
      </c>
      <c r="M23" s="29">
        <v>48900</v>
      </c>
      <c r="N23" s="29">
        <v>46000</v>
      </c>
      <c r="O23" s="29" t="str">
        <v>-</v>
      </c>
      <c r="P23" s="29">
        <v>45000</v>
      </c>
      <c r="Q23" s="29">
        <v>45900</v>
      </c>
      <c r="R23" s="29">
        <v>46500</v>
      </c>
      <c r="S23" t="str">
        <v>-</v>
      </c>
      <c r="T23" t="str">
        <v>-</v>
      </c>
      <c r="U23" t="str">
        <v>-</v>
      </c>
      <c r="V23">
        <v>49800</v>
      </c>
      <c r="W23" t="str">
        <v>-</v>
      </c>
    </row>
    <row r="24" spans="1:23">
      <c r="A24" s="30">
        <v>44308</v>
      </c>
      <c r="B24" s="29">
        <v>50200</v>
      </c>
      <c r="C24" s="29">
        <v>50900</v>
      </c>
      <c r="D24" s="29">
        <v>47800</v>
      </c>
      <c r="E24" s="29">
        <v>46500</v>
      </c>
      <c r="F24" s="29">
        <v>50500</v>
      </c>
      <c r="G24" s="29" t="str">
        <v>-</v>
      </c>
      <c r="H24" s="29">
        <v>47800</v>
      </c>
      <c r="I24" s="29" t="str">
        <v>-</v>
      </c>
      <c r="J24" s="29">
        <v>49600</v>
      </c>
      <c r="K24" s="29" t="str">
        <v>-</v>
      </c>
      <c r="L24" s="29">
        <v>48800</v>
      </c>
      <c r="M24" s="29">
        <v>48900</v>
      </c>
      <c r="N24" s="29">
        <v>46700</v>
      </c>
      <c r="O24" s="29" t="str">
        <v>-</v>
      </c>
      <c r="P24" s="29">
        <v>45400</v>
      </c>
      <c r="Q24" s="29">
        <v>46000</v>
      </c>
      <c r="R24" s="29">
        <v>46600</v>
      </c>
      <c r="S24" t="str">
        <v>-</v>
      </c>
      <c r="T24" t="str">
        <v>-</v>
      </c>
      <c r="U24" t="str">
        <v>-</v>
      </c>
      <c r="V24">
        <v>49800</v>
      </c>
      <c r="W24" t="str">
        <v>-</v>
      </c>
    </row>
    <row r="25" spans="1:23">
      <c r="A25" s="30">
        <v>44309</v>
      </c>
      <c r="B25" s="29">
        <v>50400</v>
      </c>
      <c r="C25" s="29">
        <v>50900</v>
      </c>
      <c r="D25" s="29">
        <v>48600</v>
      </c>
      <c r="E25" s="29">
        <v>46800</v>
      </c>
      <c r="F25" s="29">
        <v>51100</v>
      </c>
      <c r="G25" s="29" t="str">
        <v>-</v>
      </c>
      <c r="H25" s="29">
        <v>47800</v>
      </c>
      <c r="I25" s="29" t="str">
        <v>-</v>
      </c>
      <c r="J25" s="29">
        <v>49800</v>
      </c>
      <c r="K25" s="29" t="str">
        <v>-</v>
      </c>
      <c r="L25" s="29">
        <v>49500</v>
      </c>
      <c r="M25" s="29">
        <v>49100</v>
      </c>
      <c r="N25" s="29">
        <v>46800</v>
      </c>
      <c r="O25" s="29" t="str">
        <v>-</v>
      </c>
      <c r="P25" s="29">
        <v>45900</v>
      </c>
      <c r="Q25" s="29">
        <v>46200</v>
      </c>
      <c r="R25" s="29">
        <v>46600</v>
      </c>
      <c r="S25" t="str">
        <v>-</v>
      </c>
      <c r="T25" t="str">
        <v>-</v>
      </c>
      <c r="U25" t="str">
        <v>-</v>
      </c>
      <c r="V25">
        <v>49800</v>
      </c>
      <c r="W25" t="str">
        <v>-</v>
      </c>
    </row>
    <row r="26" spans="1:23">
      <c r="A26" s="30">
        <v>44310</v>
      </c>
      <c r="B26" s="29">
        <v>50400</v>
      </c>
      <c r="C26" s="29">
        <v>50900</v>
      </c>
      <c r="D26" s="29">
        <v>48500</v>
      </c>
      <c r="E26" s="29">
        <v>46500</v>
      </c>
      <c r="F26" s="29">
        <v>51500</v>
      </c>
      <c r="G26" s="29" t="str">
        <v>-</v>
      </c>
      <c r="H26" s="29">
        <v>47500</v>
      </c>
      <c r="I26" s="29" t="str">
        <v>-</v>
      </c>
      <c r="J26" s="29">
        <v>49800</v>
      </c>
      <c r="K26" s="29" t="str">
        <v>-</v>
      </c>
      <c r="L26" s="29">
        <v>49300</v>
      </c>
      <c r="M26" s="29">
        <v>49100</v>
      </c>
      <c r="N26" s="29">
        <v>47000</v>
      </c>
      <c r="O26" s="29" t="str">
        <v>-</v>
      </c>
      <c r="P26" s="29">
        <v>45600</v>
      </c>
      <c r="Q26" s="29">
        <v>46100</v>
      </c>
      <c r="R26" s="29">
        <v>46400</v>
      </c>
      <c r="S26" t="str">
        <v>-</v>
      </c>
      <c r="T26" t="str">
        <v>-</v>
      </c>
      <c r="U26" t="str">
        <v>-</v>
      </c>
      <c r="V26">
        <v>49800</v>
      </c>
      <c r="W26" t="str">
        <v>-</v>
      </c>
    </row>
    <row r="27" spans="1:23">
      <c r="A27" s="30">
        <v>44311</v>
      </c>
      <c r="B27" s="29" t="str">
        <v>H</v>
      </c>
      <c r="C27" s="29" t="str">
        <v>H</v>
      </c>
      <c r="D27" s="29" t="str">
        <v>H</v>
      </c>
      <c r="E27" s="29" t="str">
        <v>H</v>
      </c>
      <c r="F27" s="29" t="str">
        <v>H</v>
      </c>
      <c r="G27" s="29" t="str">
        <v>H</v>
      </c>
      <c r="H27" s="29" t="str">
        <v>H</v>
      </c>
      <c r="I27" s="29" t="str">
        <v>H</v>
      </c>
      <c r="J27" s="29" t="str">
        <v>H</v>
      </c>
      <c r="K27" s="29" t="str">
        <v>H</v>
      </c>
      <c r="L27" s="29" t="str">
        <v>H</v>
      </c>
      <c r="M27" s="29" t="str">
        <v>H</v>
      </c>
      <c r="N27" s="29" t="str">
        <v>H</v>
      </c>
      <c r="O27" s="29" t="str">
        <v>H</v>
      </c>
      <c r="P27" s="29" t="str">
        <v>H</v>
      </c>
      <c r="Q27" s="29" t="str">
        <v>H</v>
      </c>
      <c r="R27" s="29" t="str">
        <v>H</v>
      </c>
      <c r="S27" t="str">
        <v>H</v>
      </c>
      <c r="T27" t="str">
        <v>H</v>
      </c>
      <c r="U27" t="str">
        <v>H</v>
      </c>
      <c r="V27" t="str">
        <v>H</v>
      </c>
      <c r="W27" t="str">
        <v>H</v>
      </c>
    </row>
    <row r="28" spans="1:23">
      <c r="A28" s="30">
        <v>44312</v>
      </c>
      <c r="B28" s="29">
        <v>49900</v>
      </c>
      <c r="C28" s="29">
        <v>51200</v>
      </c>
      <c r="D28" s="29">
        <v>48500</v>
      </c>
      <c r="E28" s="29">
        <v>46500</v>
      </c>
      <c r="F28" s="29">
        <v>51500</v>
      </c>
      <c r="G28" s="29" t="str">
        <v>-</v>
      </c>
      <c r="H28" s="29">
        <v>47000</v>
      </c>
      <c r="I28" s="29" t="str">
        <v>-</v>
      </c>
      <c r="J28" s="29">
        <v>49700</v>
      </c>
      <c r="K28" s="29" t="str">
        <v>-</v>
      </c>
      <c r="L28" s="29">
        <v>49400</v>
      </c>
      <c r="M28" s="29">
        <v>49100</v>
      </c>
      <c r="N28" s="29">
        <v>46500</v>
      </c>
      <c r="O28" s="29" t="str">
        <v>-</v>
      </c>
      <c r="P28" s="29">
        <v>45300</v>
      </c>
      <c r="Q28" s="29">
        <v>45800</v>
      </c>
      <c r="R28" s="29">
        <v>46200</v>
      </c>
      <c r="S28" t="str">
        <v>-</v>
      </c>
      <c r="T28" t="str">
        <v>-</v>
      </c>
      <c r="U28" t="str">
        <v>-</v>
      </c>
      <c r="V28">
        <v>49700</v>
      </c>
      <c r="W28" t="str">
        <v>-</v>
      </c>
    </row>
    <row r="29" spans="1:23">
      <c r="A29" s="30">
        <v>44313</v>
      </c>
      <c r="B29" s="29">
        <v>49600</v>
      </c>
      <c r="C29" s="29">
        <v>51200</v>
      </c>
      <c r="D29" s="29">
        <v>48500</v>
      </c>
      <c r="E29" s="29">
        <v>46500</v>
      </c>
      <c r="F29" s="29">
        <v>50700</v>
      </c>
      <c r="G29" s="29" t="str">
        <v>-</v>
      </c>
      <c r="H29" s="29">
        <v>47300</v>
      </c>
      <c r="I29" s="29" t="str">
        <v>-</v>
      </c>
      <c r="J29" s="29">
        <v>49700</v>
      </c>
      <c r="K29" s="29" t="str">
        <v>-</v>
      </c>
      <c r="L29" s="29">
        <v>49300</v>
      </c>
      <c r="M29" s="29">
        <v>49100</v>
      </c>
      <c r="N29" s="29">
        <v>46500</v>
      </c>
      <c r="O29" s="29" t="str">
        <v>-</v>
      </c>
      <c r="P29" s="29">
        <v>45000</v>
      </c>
      <c r="Q29" s="29">
        <v>45600</v>
      </c>
      <c r="R29" s="29">
        <v>45500</v>
      </c>
      <c r="S29" t="str">
        <v>-</v>
      </c>
      <c r="T29" t="str">
        <v>-</v>
      </c>
      <c r="U29" t="str">
        <v>-</v>
      </c>
      <c r="V29">
        <v>49600</v>
      </c>
      <c r="W29" t="str">
        <v>-</v>
      </c>
    </row>
    <row r="30" spans="1:23">
      <c r="A30" s="30">
        <v>44314</v>
      </c>
      <c r="B30" s="29">
        <v>49300</v>
      </c>
      <c r="C30" s="29">
        <v>51200</v>
      </c>
      <c r="D30" s="29">
        <v>48600</v>
      </c>
      <c r="E30" s="29">
        <v>47000</v>
      </c>
      <c r="F30" s="29">
        <v>50100</v>
      </c>
      <c r="G30" s="29" t="str">
        <v>-</v>
      </c>
      <c r="H30" s="29">
        <v>47700</v>
      </c>
      <c r="I30" s="29" t="str">
        <v>-</v>
      </c>
      <c r="J30" s="29">
        <v>49700</v>
      </c>
      <c r="K30" s="29" t="str">
        <v>-</v>
      </c>
      <c r="L30" s="29">
        <v>49700</v>
      </c>
      <c r="M30" s="29">
        <v>48800</v>
      </c>
      <c r="N30" s="29">
        <v>47100</v>
      </c>
      <c r="O30" s="29" t="str">
        <v>-</v>
      </c>
      <c r="P30" s="29">
        <v>45300</v>
      </c>
      <c r="Q30" s="29">
        <v>45600</v>
      </c>
      <c r="R30" s="29">
        <v>45700</v>
      </c>
      <c r="S30" t="str">
        <v>-</v>
      </c>
      <c r="T30" t="str">
        <v>-</v>
      </c>
      <c r="U30" t="str">
        <v>-</v>
      </c>
      <c r="V30">
        <v>49400</v>
      </c>
      <c r="W30" t="str">
        <v>-</v>
      </c>
    </row>
    <row r="31" spans="1:23">
      <c r="A31" s="30">
        <v>44315</v>
      </c>
      <c r="B31" s="29">
        <v>49300</v>
      </c>
      <c r="C31" s="29">
        <v>51000</v>
      </c>
      <c r="D31" s="29">
        <v>48700</v>
      </c>
      <c r="E31" s="29">
        <v>47500</v>
      </c>
      <c r="F31" s="29">
        <v>50400</v>
      </c>
      <c r="G31" s="29" t="str">
        <v>-</v>
      </c>
      <c r="H31" s="29">
        <v>48000</v>
      </c>
      <c r="I31" s="29" t="str">
        <v>-</v>
      </c>
      <c r="J31" s="29">
        <v>49700</v>
      </c>
      <c r="K31" s="29" t="str">
        <v>-</v>
      </c>
      <c r="L31" s="29">
        <v>49800</v>
      </c>
      <c r="M31" s="29">
        <v>49000</v>
      </c>
      <c r="N31" s="29">
        <v>47800</v>
      </c>
      <c r="O31" s="29" t="str">
        <v>-</v>
      </c>
      <c r="P31" s="29">
        <v>45400</v>
      </c>
      <c r="Q31" s="29">
        <v>45800</v>
      </c>
      <c r="R31" s="29">
        <v>45800</v>
      </c>
      <c r="S31" t="str">
        <v>-</v>
      </c>
      <c r="T31" t="str">
        <v>-</v>
      </c>
      <c r="U31" t="str">
        <v>-</v>
      </c>
      <c r="V31">
        <v>49400</v>
      </c>
      <c r="W31" t="str">
        <v>-</v>
      </c>
    </row>
    <row r="32" spans="1:23">
      <c r="A32" s="30">
        <v>44316</v>
      </c>
      <c r="B32" s="29">
        <v>49200</v>
      </c>
      <c r="C32" s="29">
        <v>51300</v>
      </c>
      <c r="D32" s="29">
        <v>48800</v>
      </c>
      <c r="E32" s="29">
        <v>47300</v>
      </c>
      <c r="F32" s="29">
        <v>51000</v>
      </c>
      <c r="G32" s="29" t="str">
        <v>-</v>
      </c>
      <c r="H32" s="29">
        <v>48300</v>
      </c>
      <c r="I32" s="29" t="str">
        <v>-</v>
      </c>
      <c r="J32" s="29">
        <v>49700</v>
      </c>
      <c r="K32" s="29" t="str">
        <v>-</v>
      </c>
      <c r="L32" s="29">
        <v>49900</v>
      </c>
      <c r="M32" s="29">
        <v>49000</v>
      </c>
      <c r="N32" s="29">
        <v>47900</v>
      </c>
      <c r="O32" s="29" t="str">
        <v>-</v>
      </c>
      <c r="P32" s="29">
        <v>45400</v>
      </c>
      <c r="Q32" s="29">
        <v>45700</v>
      </c>
      <c r="R32" s="29">
        <v>45800</v>
      </c>
      <c r="S32" t="str">
        <v>-</v>
      </c>
      <c r="T32" t="str">
        <v>-</v>
      </c>
      <c r="U32" t="str">
        <v>-</v>
      </c>
      <c r="V32">
        <v>49400</v>
      </c>
      <c r="W32" t="str">
        <v>-</v>
      </c>
    </row>
    <row r="33" spans="1:23">
      <c r="A33" s="30">
        <v>44317</v>
      </c>
      <c r="B33" s="29">
        <v>49200</v>
      </c>
      <c r="C33" s="29">
        <v>51300</v>
      </c>
      <c r="D33" s="29">
        <v>49000</v>
      </c>
      <c r="E33" s="29">
        <v>47500</v>
      </c>
      <c r="F33" s="29">
        <v>52000</v>
      </c>
      <c r="G33" s="29" t="str">
        <v>-</v>
      </c>
      <c r="H33" s="29">
        <v>48500</v>
      </c>
      <c r="I33" s="29" t="str">
        <v>-</v>
      </c>
      <c r="J33" s="29">
        <v>49700</v>
      </c>
      <c r="K33" s="29" t="str">
        <v>-</v>
      </c>
      <c r="L33" s="29">
        <v>50300</v>
      </c>
      <c r="M33" s="29">
        <v>49000</v>
      </c>
      <c r="N33" s="29">
        <v>48000</v>
      </c>
      <c r="O33" s="29" t="str">
        <v>-</v>
      </c>
      <c r="P33" s="29">
        <v>45900</v>
      </c>
      <c r="Q33" s="29">
        <v>46100</v>
      </c>
      <c r="R33" s="29">
        <v>45800</v>
      </c>
      <c r="S33" t="str">
        <v>-</v>
      </c>
      <c r="T33" t="str">
        <v>-</v>
      </c>
      <c r="U33" t="str">
        <v>-</v>
      </c>
      <c r="V33">
        <v>49400</v>
      </c>
      <c r="W33" t="str">
        <v>-</v>
      </c>
    </row>
    <row r="34" spans="1:23">
      <c r="A34" s="30">
        <v>44318</v>
      </c>
      <c r="B34" s="29" t="str">
        <v>H</v>
      </c>
      <c r="C34" s="29" t="str">
        <v>H</v>
      </c>
      <c r="D34" s="29" t="str">
        <v>H</v>
      </c>
      <c r="E34" s="29" t="str">
        <v>H</v>
      </c>
      <c r="F34" s="29" t="str">
        <v>H</v>
      </c>
      <c r="G34" s="29" t="str">
        <v>H</v>
      </c>
      <c r="H34" s="29" t="str">
        <v>H</v>
      </c>
      <c r="I34" s="29" t="str">
        <v>H</v>
      </c>
      <c r="J34" s="29" t="str">
        <v>H</v>
      </c>
      <c r="K34" s="29" t="str">
        <v>H</v>
      </c>
      <c r="L34" s="29" t="str">
        <v>H</v>
      </c>
      <c r="M34" s="29" t="str">
        <v>H</v>
      </c>
      <c r="N34" s="29" t="str">
        <v>H</v>
      </c>
      <c r="O34" s="29" t="str">
        <v>H</v>
      </c>
      <c r="P34" s="29" t="str">
        <v>H</v>
      </c>
      <c r="Q34" s="29" t="str">
        <v>H</v>
      </c>
      <c r="R34" s="29" t="str">
        <v>H</v>
      </c>
      <c r="S34" t="str">
        <v>H</v>
      </c>
      <c r="T34" t="str">
        <v>H</v>
      </c>
      <c r="U34" t="str">
        <v>H</v>
      </c>
      <c r="V34" t="str">
        <v>H</v>
      </c>
      <c r="W34" t="str">
        <v>H</v>
      </c>
    </row>
    <row r="35" spans="1:23">
      <c r="A35" s="30">
        <v>44319</v>
      </c>
      <c r="B35" s="29">
        <v>49300</v>
      </c>
      <c r="C35" s="29">
        <v>51500</v>
      </c>
      <c r="D35" s="29">
        <v>49500</v>
      </c>
      <c r="E35" s="29">
        <v>48500</v>
      </c>
      <c r="F35" s="29">
        <v>52200</v>
      </c>
      <c r="G35" s="29" t="str">
        <v>-</v>
      </c>
      <c r="H35" s="29">
        <v>49000</v>
      </c>
      <c r="I35" s="29" t="str">
        <v>-</v>
      </c>
      <c r="J35" s="29">
        <v>49900</v>
      </c>
      <c r="K35" s="29" t="str">
        <v>-</v>
      </c>
      <c r="L35" s="29">
        <v>50800</v>
      </c>
      <c r="M35" s="29">
        <v>49600</v>
      </c>
      <c r="N35" s="29">
        <v>48500</v>
      </c>
      <c r="O35" s="29" t="str">
        <v>-</v>
      </c>
      <c r="P35" s="29">
        <v>46200</v>
      </c>
      <c r="Q35" s="29">
        <v>46600</v>
      </c>
      <c r="R35" s="29">
        <v>46500</v>
      </c>
      <c r="S35" t="str">
        <v>-</v>
      </c>
      <c r="T35" t="str">
        <v>-</v>
      </c>
      <c r="U35" t="str">
        <v>-</v>
      </c>
      <c r="V35">
        <v>49600</v>
      </c>
      <c r="W35" t="str">
        <v>-</v>
      </c>
    </row>
    <row r="36" spans="1:23">
      <c r="A36" s="30">
        <v>44320</v>
      </c>
      <c r="B36" s="29">
        <v>49800</v>
      </c>
      <c r="C36" s="29">
        <v>51700</v>
      </c>
      <c r="D36" s="29">
        <v>49500</v>
      </c>
      <c r="E36" s="29">
        <v>48800</v>
      </c>
      <c r="F36" s="29">
        <v>52200</v>
      </c>
      <c r="G36" s="29" t="str">
        <v>-</v>
      </c>
      <c r="H36" s="29">
        <v>49000</v>
      </c>
      <c r="I36" s="29" t="str">
        <v>-</v>
      </c>
      <c r="J36" s="29">
        <v>49900</v>
      </c>
      <c r="K36" s="29" t="str">
        <v>-</v>
      </c>
      <c r="L36" s="29">
        <v>51500</v>
      </c>
      <c r="M36" s="29">
        <v>49800</v>
      </c>
      <c r="N36" s="29">
        <v>48800</v>
      </c>
      <c r="O36" s="29" t="str">
        <v>-</v>
      </c>
      <c r="P36" s="29">
        <v>46200</v>
      </c>
      <c r="Q36" s="29">
        <v>46600</v>
      </c>
      <c r="R36" s="29">
        <v>46600</v>
      </c>
      <c r="S36" t="str">
        <v>-</v>
      </c>
      <c r="T36" t="str">
        <v>-</v>
      </c>
      <c r="U36" t="str">
        <v>-</v>
      </c>
      <c r="V36">
        <v>49800</v>
      </c>
      <c r="W36" t="str">
        <v>-</v>
      </c>
    </row>
    <row r="37" spans="1:23">
      <c r="A37" s="30">
        <v>44321</v>
      </c>
      <c r="B37" s="29">
        <v>50100</v>
      </c>
      <c r="C37" s="29">
        <v>51700</v>
      </c>
      <c r="D37" s="29">
        <v>49600</v>
      </c>
      <c r="E37" s="29">
        <v>48500</v>
      </c>
      <c r="F37" s="29">
        <v>52200</v>
      </c>
      <c r="G37" s="29" t="str">
        <v>-</v>
      </c>
      <c r="H37" s="29">
        <v>49000</v>
      </c>
      <c r="I37" s="29" t="str">
        <v>-</v>
      </c>
      <c r="J37" s="29">
        <v>49900</v>
      </c>
      <c r="K37" s="29" t="str">
        <v>-</v>
      </c>
      <c r="L37" s="29">
        <v>51600</v>
      </c>
      <c r="M37" s="29">
        <v>49800</v>
      </c>
      <c r="N37" s="29">
        <v>49000</v>
      </c>
      <c r="O37" s="29" t="str">
        <v>-</v>
      </c>
      <c r="P37" s="29">
        <v>46000</v>
      </c>
      <c r="Q37" s="29">
        <v>46300</v>
      </c>
      <c r="R37" s="29">
        <v>46300</v>
      </c>
      <c r="S37" t="str">
        <v>-</v>
      </c>
      <c r="T37" t="str">
        <v>-</v>
      </c>
      <c r="U37" t="str">
        <v>-</v>
      </c>
      <c r="V37">
        <v>49800</v>
      </c>
      <c r="W37" t="str">
        <v>-</v>
      </c>
    </row>
    <row r="38" spans="1:23">
      <c r="A38" s="30">
        <v>44322</v>
      </c>
      <c r="B38" s="29">
        <v>50100</v>
      </c>
      <c r="C38" s="29">
        <v>51500</v>
      </c>
      <c r="D38" s="29">
        <v>49500</v>
      </c>
      <c r="E38" s="29">
        <v>47700</v>
      </c>
      <c r="F38" s="29">
        <v>51900</v>
      </c>
      <c r="G38" s="29" t="str">
        <v>-</v>
      </c>
      <c r="H38" s="29">
        <v>48500</v>
      </c>
      <c r="I38" s="29" t="str">
        <v>-</v>
      </c>
      <c r="J38" s="29">
        <v>49800</v>
      </c>
      <c r="K38" s="29" t="str">
        <v>-</v>
      </c>
      <c r="L38" s="29">
        <v>51400</v>
      </c>
      <c r="M38" s="29">
        <v>50200</v>
      </c>
      <c r="N38" s="29">
        <v>48800</v>
      </c>
      <c r="O38" s="29" t="str">
        <v>-</v>
      </c>
      <c r="P38" s="29">
        <v>45500</v>
      </c>
      <c r="Q38" s="29">
        <v>45800</v>
      </c>
      <c r="R38" s="29">
        <v>46000</v>
      </c>
      <c r="S38" t="str">
        <v>-</v>
      </c>
      <c r="T38" t="str">
        <v>-</v>
      </c>
      <c r="U38" t="str">
        <v>-</v>
      </c>
      <c r="V38">
        <v>49900</v>
      </c>
      <c r="W38" t="str">
        <v>-</v>
      </c>
    </row>
    <row r="39" spans="1:23">
      <c r="A39" s="30">
        <v>44323</v>
      </c>
      <c r="B39" s="29">
        <v>49900</v>
      </c>
      <c r="C39" s="29">
        <v>51500</v>
      </c>
      <c r="D39" s="29">
        <v>49600</v>
      </c>
      <c r="E39" s="29">
        <v>48200</v>
      </c>
      <c r="F39" s="29">
        <v>51900</v>
      </c>
      <c r="G39" s="29" t="str">
        <v>-</v>
      </c>
      <c r="H39" s="29">
        <v>48500</v>
      </c>
      <c r="I39" s="29" t="str">
        <v>-</v>
      </c>
      <c r="J39" s="29">
        <v>49800</v>
      </c>
      <c r="K39" s="29" t="str">
        <v>-</v>
      </c>
      <c r="L39" s="29">
        <v>51600</v>
      </c>
      <c r="M39" s="29">
        <v>50300</v>
      </c>
      <c r="N39" s="29">
        <v>48800</v>
      </c>
      <c r="O39" s="29" t="str">
        <v>-</v>
      </c>
      <c r="P39" s="29">
        <v>45800</v>
      </c>
      <c r="Q39" s="29">
        <v>45800</v>
      </c>
      <c r="R39" s="29">
        <v>46200</v>
      </c>
      <c r="S39" t="str">
        <v>-</v>
      </c>
      <c r="T39" t="str">
        <v>-</v>
      </c>
      <c r="U39" t="str">
        <v>-</v>
      </c>
      <c r="V39">
        <v>50000</v>
      </c>
      <c r="W39" t="str">
        <v>-</v>
      </c>
    </row>
    <row r="40" spans="1:23">
      <c r="A40" s="30">
        <v>44324</v>
      </c>
      <c r="B40" s="29">
        <v>50200</v>
      </c>
      <c r="C40" s="29">
        <v>51500</v>
      </c>
      <c r="D40" s="29">
        <v>50300</v>
      </c>
      <c r="E40" s="29">
        <v>48800</v>
      </c>
      <c r="F40" s="29">
        <v>52000</v>
      </c>
      <c r="G40" s="29" t="str">
        <v>-</v>
      </c>
      <c r="H40" s="29">
        <v>49000</v>
      </c>
      <c r="I40" s="29" t="str">
        <v>-</v>
      </c>
      <c r="J40" s="29">
        <v>49800</v>
      </c>
      <c r="K40" s="29" t="str">
        <v>-</v>
      </c>
      <c r="L40" s="29">
        <v>52000</v>
      </c>
      <c r="M40" s="29">
        <v>50500</v>
      </c>
      <c r="N40" s="29">
        <v>49100</v>
      </c>
      <c r="O40" s="29" t="str">
        <v>-</v>
      </c>
      <c r="P40" s="29">
        <v>46500</v>
      </c>
      <c r="Q40" s="29">
        <v>46300</v>
      </c>
      <c r="R40" s="29">
        <v>47000</v>
      </c>
      <c r="S40" t="str">
        <v>-</v>
      </c>
      <c r="T40" t="str">
        <v>-</v>
      </c>
      <c r="U40" t="str">
        <v>-</v>
      </c>
      <c r="V40">
        <v>50000</v>
      </c>
      <c r="W40" t="str">
        <v>-</v>
      </c>
    </row>
    <row r="41" spans="1:23">
      <c r="A41" s="30">
        <v>44325</v>
      </c>
      <c r="B41" s="29" t="str">
        <v>H</v>
      </c>
      <c r="C41" s="29" t="str">
        <v>H</v>
      </c>
      <c r="D41" s="29" t="str">
        <v>H</v>
      </c>
      <c r="E41" s="29" t="str">
        <v>H</v>
      </c>
      <c r="F41" s="29" t="str">
        <v>H</v>
      </c>
      <c r="G41" s="29" t="str">
        <v>H</v>
      </c>
      <c r="H41" s="29" t="str">
        <v>H</v>
      </c>
      <c r="I41" s="29" t="str">
        <v>H</v>
      </c>
      <c r="J41" s="29" t="str">
        <v>H</v>
      </c>
      <c r="K41" s="29" t="str">
        <v>H</v>
      </c>
      <c r="L41" s="29" t="str">
        <v>H</v>
      </c>
      <c r="M41" s="29" t="str">
        <v>H</v>
      </c>
      <c r="N41" s="29" t="str">
        <v>H</v>
      </c>
      <c r="O41" s="29" t="str">
        <v>H</v>
      </c>
      <c r="P41" s="29" t="str">
        <v>H</v>
      </c>
      <c r="Q41" s="29" t="str">
        <v>H</v>
      </c>
      <c r="R41" s="29" t="str">
        <v>H</v>
      </c>
      <c r="S41" t="str">
        <v>H</v>
      </c>
      <c r="T41" t="str">
        <v>H</v>
      </c>
      <c r="U41" t="str">
        <v>H</v>
      </c>
      <c r="V41" t="str">
        <v>H</v>
      </c>
      <c r="W41" t="str">
        <v>H</v>
      </c>
    </row>
    <row r="42" spans="1:23">
      <c r="A42" s="30">
        <v>44326</v>
      </c>
      <c r="B42" s="29">
        <v>50900</v>
      </c>
      <c r="C42" s="29">
        <v>51500</v>
      </c>
      <c r="D42" s="29">
        <v>50300</v>
      </c>
      <c r="E42" s="29">
        <v>49300</v>
      </c>
      <c r="F42" s="29">
        <v>52000</v>
      </c>
      <c r="G42" s="29" t="str">
        <v>-</v>
      </c>
      <c r="H42" s="29">
        <v>49000</v>
      </c>
      <c r="I42" s="29" t="str">
        <v>-</v>
      </c>
      <c r="J42" s="29">
        <v>49800</v>
      </c>
      <c r="K42" s="29" t="str">
        <v>-</v>
      </c>
      <c r="L42" s="29">
        <v>52100</v>
      </c>
      <c r="M42" s="29">
        <v>50400</v>
      </c>
      <c r="N42" s="29">
        <v>49300</v>
      </c>
      <c r="O42" s="29" t="str">
        <v>-</v>
      </c>
      <c r="P42" s="29">
        <v>46600</v>
      </c>
      <c r="Q42" s="29">
        <v>46400</v>
      </c>
      <c r="R42" s="29">
        <v>47400</v>
      </c>
      <c r="S42" t="str">
        <v>-</v>
      </c>
      <c r="T42" t="str">
        <v>-</v>
      </c>
      <c r="U42" t="str">
        <v>-</v>
      </c>
      <c r="V42">
        <v>50000</v>
      </c>
      <c r="W42" t="str">
        <v>-</v>
      </c>
    </row>
    <row r="43" spans="1:23">
      <c r="A43" s="30">
        <v>44327</v>
      </c>
      <c r="B43" s="29">
        <v>51500</v>
      </c>
      <c r="C43" s="29">
        <v>51900</v>
      </c>
      <c r="D43" s="29">
        <v>50700</v>
      </c>
      <c r="E43" s="29">
        <v>49600</v>
      </c>
      <c r="F43" s="29">
        <v>52300</v>
      </c>
      <c r="G43" s="29" t="str">
        <v>-</v>
      </c>
      <c r="H43" s="29">
        <v>49500</v>
      </c>
      <c r="I43" s="29" t="str">
        <v>-</v>
      </c>
      <c r="J43" s="29">
        <v>50300</v>
      </c>
      <c r="K43" s="29" t="str">
        <v>-</v>
      </c>
      <c r="L43" s="29">
        <v>52400</v>
      </c>
      <c r="M43" s="29">
        <v>50400</v>
      </c>
      <c r="N43" s="29">
        <v>50000</v>
      </c>
      <c r="O43" s="29" t="str">
        <v>-</v>
      </c>
      <c r="P43" s="29">
        <v>47500</v>
      </c>
      <c r="Q43" s="29">
        <v>47400</v>
      </c>
      <c r="R43" s="29">
        <v>47500</v>
      </c>
      <c r="S43" t="str">
        <v>-</v>
      </c>
      <c r="T43" t="str">
        <v>-</v>
      </c>
      <c r="U43" t="str">
        <v>-</v>
      </c>
      <c r="V43">
        <v>50200</v>
      </c>
      <c r="W43" t="str">
        <v>-</v>
      </c>
    </row>
    <row r="44" spans="1:23">
      <c r="A44" s="30">
        <v>44328</v>
      </c>
      <c r="B44" s="29">
        <v>51800</v>
      </c>
      <c r="C44" s="29">
        <v>52200</v>
      </c>
      <c r="D44" s="29">
        <v>50800</v>
      </c>
      <c r="E44" s="29">
        <v>50000</v>
      </c>
      <c r="F44" s="29">
        <v>52300</v>
      </c>
      <c r="G44" s="29" t="str">
        <v>-</v>
      </c>
      <c r="H44" s="29">
        <v>49600</v>
      </c>
      <c r="I44" s="29" t="str">
        <v>-</v>
      </c>
      <c r="J44" s="29">
        <v>50500</v>
      </c>
      <c r="K44" s="29" t="str">
        <v>-</v>
      </c>
      <c r="L44" s="29">
        <v>52400</v>
      </c>
      <c r="M44" s="29">
        <v>50700</v>
      </c>
      <c r="N44" s="29">
        <v>50200</v>
      </c>
      <c r="O44" s="29" t="str">
        <v>-</v>
      </c>
      <c r="P44" s="29">
        <v>48000</v>
      </c>
      <c r="Q44" s="29">
        <v>47600</v>
      </c>
      <c r="R44" s="29">
        <v>47850</v>
      </c>
      <c r="S44" t="str">
        <v>-</v>
      </c>
      <c r="T44" t="str">
        <v>-</v>
      </c>
      <c r="U44" t="str">
        <v>-</v>
      </c>
      <c r="V44">
        <v>50600</v>
      </c>
      <c r="W44" t="str">
        <v>-</v>
      </c>
    </row>
    <row r="45" spans="1:23">
      <c r="A45" s="30">
        <v>44329</v>
      </c>
      <c r="B45" s="29">
        <v>52100</v>
      </c>
      <c r="C45" s="29">
        <v>52300</v>
      </c>
      <c r="D45" s="29">
        <v>50800</v>
      </c>
      <c r="E45" s="29">
        <v>50250</v>
      </c>
      <c r="F45" s="29">
        <v>52300</v>
      </c>
      <c r="G45" s="29" t="str">
        <v>-</v>
      </c>
      <c r="H45" s="29">
        <v>50000</v>
      </c>
      <c r="I45" s="29" t="str">
        <v>-</v>
      </c>
      <c r="J45" s="29">
        <v>50500</v>
      </c>
      <c r="K45" s="29" t="str">
        <v>-</v>
      </c>
      <c r="L45" s="29">
        <v>52600</v>
      </c>
      <c r="M45" s="29">
        <v>50900</v>
      </c>
      <c r="N45" s="29">
        <v>50200</v>
      </c>
      <c r="O45" s="29" t="str">
        <v>-</v>
      </c>
      <c r="P45" s="29">
        <v>48500</v>
      </c>
      <c r="Q45" s="29">
        <v>48000</v>
      </c>
      <c r="R45" s="29">
        <v>48000</v>
      </c>
      <c r="S45" t="str">
        <v>-</v>
      </c>
      <c r="T45" t="str">
        <v>-</v>
      </c>
      <c r="U45" t="str">
        <v>-</v>
      </c>
      <c r="V45">
        <v>51100</v>
      </c>
      <c r="W45" t="str">
        <v>-</v>
      </c>
    </row>
    <row r="46" spans="1:23">
      <c r="A46" s="30">
        <v>44330</v>
      </c>
      <c r="B46" s="29">
        <v>52100</v>
      </c>
      <c r="C46" s="29">
        <v>52300</v>
      </c>
      <c r="D46" s="29">
        <v>50600</v>
      </c>
      <c r="E46" s="29">
        <v>49250</v>
      </c>
      <c r="F46" s="29">
        <v>52200</v>
      </c>
      <c r="G46" s="29" t="str">
        <v>-</v>
      </c>
      <c r="H46" s="29">
        <v>49500</v>
      </c>
      <c r="I46" s="29" t="str">
        <v>-</v>
      </c>
      <c r="J46" s="29">
        <v>50500</v>
      </c>
      <c r="K46" s="29" t="str">
        <v>-</v>
      </c>
      <c r="L46" s="29">
        <v>52200</v>
      </c>
      <c r="M46" s="29">
        <v>50900</v>
      </c>
      <c r="N46" s="29">
        <v>49800</v>
      </c>
      <c r="O46" s="29" t="str">
        <v>-</v>
      </c>
      <c r="P46" s="29">
        <v>47700</v>
      </c>
      <c r="Q46" s="29">
        <v>47600</v>
      </c>
      <c r="R46" s="29">
        <v>47500</v>
      </c>
      <c r="S46" t="str">
        <v>-</v>
      </c>
      <c r="T46" t="str">
        <v>-</v>
      </c>
      <c r="U46" t="str">
        <v>-</v>
      </c>
      <c r="V46">
        <v>51100</v>
      </c>
      <c r="W46" t="str">
        <v>-</v>
      </c>
    </row>
    <row r="47" spans="1:23">
      <c r="A47" s="30">
        <v>44331</v>
      </c>
      <c r="B47" s="29">
        <v>52100</v>
      </c>
      <c r="C47" s="29">
        <v>52300</v>
      </c>
      <c r="D47" s="29">
        <v>50200</v>
      </c>
      <c r="E47" s="29">
        <v>48750</v>
      </c>
      <c r="F47" s="29">
        <v>52200</v>
      </c>
      <c r="G47" s="29" t="str">
        <v>-</v>
      </c>
      <c r="H47" s="29">
        <v>49500</v>
      </c>
      <c r="I47" s="29" t="str">
        <v>-</v>
      </c>
      <c r="J47" s="29">
        <v>50400</v>
      </c>
      <c r="K47" s="29" t="str">
        <v>-</v>
      </c>
      <c r="L47" s="29">
        <v>52200</v>
      </c>
      <c r="M47" s="29">
        <v>50900</v>
      </c>
      <c r="N47" s="29">
        <v>50000</v>
      </c>
      <c r="O47" s="29" t="str">
        <v>-</v>
      </c>
      <c r="P47" s="29">
        <v>48000</v>
      </c>
      <c r="Q47" s="29">
        <v>47600</v>
      </c>
      <c r="R47" s="29">
        <v>47800</v>
      </c>
      <c r="S47" t="str">
        <v>-</v>
      </c>
      <c r="T47" t="str">
        <v>-</v>
      </c>
      <c r="U47" t="str">
        <v>-</v>
      </c>
      <c r="V47">
        <v>51200</v>
      </c>
      <c r="W47" t="str">
        <v>-</v>
      </c>
    </row>
    <row r="48" spans="1:23">
      <c r="A48" s="30">
        <v>44332</v>
      </c>
      <c r="B48" s="29" t="str">
        <v>H</v>
      </c>
      <c r="C48" s="29" t="str">
        <v>H</v>
      </c>
      <c r="D48" s="29" t="str">
        <v>H</v>
      </c>
      <c r="E48" s="29" t="str">
        <v>H</v>
      </c>
      <c r="F48" s="29" t="str">
        <v>H</v>
      </c>
      <c r="G48" s="29" t="str">
        <v>H</v>
      </c>
      <c r="H48" s="29" t="str">
        <v>H</v>
      </c>
      <c r="I48" s="29" t="str">
        <v>H</v>
      </c>
      <c r="J48" s="29" t="str">
        <v>H</v>
      </c>
      <c r="K48" s="29" t="str">
        <v>H</v>
      </c>
      <c r="L48" s="29" t="str">
        <v>H</v>
      </c>
      <c r="M48" s="29" t="str">
        <v>H</v>
      </c>
      <c r="N48" s="29" t="str">
        <v>H</v>
      </c>
      <c r="O48" s="29" t="str">
        <v>H</v>
      </c>
      <c r="P48" s="29" t="str">
        <v>H</v>
      </c>
      <c r="Q48" s="29" t="str">
        <v>H</v>
      </c>
      <c r="R48" s="29" t="str">
        <v>H</v>
      </c>
      <c r="S48" t="str">
        <v>H</v>
      </c>
      <c r="T48" t="str">
        <v>H</v>
      </c>
      <c r="U48" t="str">
        <v>H</v>
      </c>
      <c r="V48" t="str">
        <v>H</v>
      </c>
      <c r="W48" t="str">
        <v>H</v>
      </c>
    </row>
    <row r="49" spans="1:23">
      <c r="A49" s="30">
        <v>44333</v>
      </c>
      <c r="B49" s="29">
        <v>51700</v>
      </c>
      <c r="C49" s="29">
        <v>52300</v>
      </c>
      <c r="D49" s="29">
        <v>50000</v>
      </c>
      <c r="E49" s="29">
        <v>48750</v>
      </c>
      <c r="F49" s="29">
        <v>52000</v>
      </c>
      <c r="G49" s="29" t="str">
        <v>-</v>
      </c>
      <c r="H49" s="29">
        <v>49500</v>
      </c>
      <c r="I49" s="29" t="str">
        <v>-</v>
      </c>
      <c r="J49" s="29">
        <v>50400</v>
      </c>
      <c r="K49" s="29" t="str">
        <v>-</v>
      </c>
      <c r="L49" s="29">
        <v>52200</v>
      </c>
      <c r="M49" s="29">
        <v>50600</v>
      </c>
      <c r="N49" s="29">
        <v>50000</v>
      </c>
      <c r="O49" s="29" t="str">
        <v>-</v>
      </c>
      <c r="P49" s="29">
        <v>48000</v>
      </c>
      <c r="Q49" s="29">
        <v>47600</v>
      </c>
      <c r="R49" s="29">
        <v>47900</v>
      </c>
      <c r="S49" t="str">
        <v>-</v>
      </c>
      <c r="T49" t="str">
        <v>-</v>
      </c>
      <c r="U49" t="str">
        <v>-</v>
      </c>
      <c r="V49">
        <v>51300</v>
      </c>
      <c r="W49" t="str">
        <v>-</v>
      </c>
    </row>
    <row r="50" spans="1:23">
      <c r="A50" s="30">
        <v>44334</v>
      </c>
      <c r="B50" s="29">
        <v>51400</v>
      </c>
      <c r="C50" s="29">
        <v>52300</v>
      </c>
      <c r="D50" s="29">
        <v>50000</v>
      </c>
      <c r="E50" s="29">
        <v>48250</v>
      </c>
      <c r="F50" s="29">
        <v>51900</v>
      </c>
      <c r="G50" s="29" t="str">
        <v>-</v>
      </c>
      <c r="H50" s="29">
        <v>49000</v>
      </c>
      <c r="I50" s="29" t="str">
        <v>-</v>
      </c>
      <c r="J50" s="29">
        <v>50400</v>
      </c>
      <c r="K50" s="29" t="str">
        <v>-</v>
      </c>
      <c r="L50" s="29">
        <v>52000</v>
      </c>
      <c r="M50" s="29">
        <v>50300</v>
      </c>
      <c r="N50" s="29">
        <v>49700</v>
      </c>
      <c r="O50" s="29" t="str">
        <v>-</v>
      </c>
      <c r="P50" s="29">
        <v>47300</v>
      </c>
      <c r="Q50" s="29">
        <v>47000</v>
      </c>
      <c r="R50" s="29">
        <v>47500</v>
      </c>
      <c r="S50" t="str">
        <v>-</v>
      </c>
      <c r="T50" t="str">
        <v>-</v>
      </c>
      <c r="U50" t="str">
        <v>-</v>
      </c>
      <c r="V50">
        <v>51300</v>
      </c>
      <c r="W50" t="str">
        <v>-</v>
      </c>
    </row>
    <row r="51" spans="1:23">
      <c r="A51" s="30">
        <v>44335</v>
      </c>
      <c r="B51" s="29">
        <v>51400</v>
      </c>
      <c r="C51" s="29">
        <v>52100</v>
      </c>
      <c r="D51" s="29">
        <v>49500</v>
      </c>
      <c r="E51" s="29">
        <v>47750</v>
      </c>
      <c r="F51" s="29">
        <v>51400</v>
      </c>
      <c r="G51" s="29" t="str">
        <v>-</v>
      </c>
      <c r="H51" s="29">
        <v>48500</v>
      </c>
      <c r="I51" s="29" t="str">
        <v>-</v>
      </c>
      <c r="J51" s="29">
        <v>50200</v>
      </c>
      <c r="K51" s="29" t="str">
        <v>-</v>
      </c>
      <c r="L51" s="29">
        <v>51700</v>
      </c>
      <c r="M51" s="29">
        <v>50100</v>
      </c>
      <c r="N51" s="29">
        <v>49300</v>
      </c>
      <c r="O51" s="29" t="str">
        <v>-</v>
      </c>
      <c r="P51" s="29">
        <v>46700</v>
      </c>
      <c r="Q51" s="29">
        <v>46200</v>
      </c>
      <c r="R51" s="29">
        <v>47300</v>
      </c>
      <c r="S51" t="str">
        <v>-</v>
      </c>
      <c r="T51" t="str">
        <v>-</v>
      </c>
      <c r="U51" t="str">
        <v>-</v>
      </c>
      <c r="V51">
        <v>51300</v>
      </c>
      <c r="W51" t="str">
        <v>-</v>
      </c>
    </row>
    <row r="52" spans="1:23">
      <c r="A52" s="30">
        <v>44336</v>
      </c>
      <c r="B52" s="29">
        <v>50700</v>
      </c>
      <c r="C52" s="29">
        <v>52200</v>
      </c>
      <c r="D52" s="29">
        <v>49300</v>
      </c>
      <c r="E52" s="29">
        <v>47700</v>
      </c>
      <c r="F52" s="29">
        <v>51100</v>
      </c>
      <c r="G52" s="29" t="str">
        <v>-</v>
      </c>
      <c r="H52" s="29">
        <v>48500</v>
      </c>
      <c r="I52" s="29" t="str">
        <v>-</v>
      </c>
      <c r="J52" s="29">
        <v>50200</v>
      </c>
      <c r="K52" s="29" t="str">
        <v>-</v>
      </c>
      <c r="L52" s="29">
        <v>51700</v>
      </c>
      <c r="M52" s="29">
        <v>49800</v>
      </c>
      <c r="N52" s="29">
        <v>49200</v>
      </c>
      <c r="O52" s="29" t="str">
        <v>-</v>
      </c>
      <c r="P52" s="29">
        <v>46600</v>
      </c>
      <c r="Q52" s="29">
        <v>46300</v>
      </c>
      <c r="R52" s="29">
        <v>46800</v>
      </c>
      <c r="S52" t="str">
        <v>-</v>
      </c>
      <c r="T52" t="str">
        <v>-</v>
      </c>
      <c r="U52" t="str">
        <v>-</v>
      </c>
      <c r="V52">
        <v>50900</v>
      </c>
      <c r="W52" t="str">
        <v>-</v>
      </c>
    </row>
    <row r="53" spans="1:23">
      <c r="A53" s="30">
        <v>44337</v>
      </c>
      <c r="B53" s="29">
        <v>50200</v>
      </c>
      <c r="C53" s="29">
        <v>51800</v>
      </c>
      <c r="D53" s="29">
        <v>48700</v>
      </c>
      <c r="E53" s="29">
        <v>47000</v>
      </c>
      <c r="F53" s="29">
        <v>50900</v>
      </c>
      <c r="G53" s="29" t="str">
        <v>-</v>
      </c>
      <c r="H53" s="29">
        <v>48500</v>
      </c>
      <c r="I53" s="29" t="str">
        <v>-</v>
      </c>
      <c r="J53" s="29">
        <v>50000</v>
      </c>
      <c r="K53" s="29" t="str">
        <v>-</v>
      </c>
      <c r="L53" s="29">
        <v>51000</v>
      </c>
      <c r="M53" s="29">
        <v>49300</v>
      </c>
      <c r="N53" s="29">
        <v>48300</v>
      </c>
      <c r="O53" s="29" t="str">
        <v>-</v>
      </c>
      <c r="P53" s="29">
        <v>45700</v>
      </c>
      <c r="Q53" s="29">
        <v>45500</v>
      </c>
      <c r="R53" s="29">
        <v>46300</v>
      </c>
      <c r="S53" t="str">
        <v>-</v>
      </c>
      <c r="T53" t="str">
        <v>-</v>
      </c>
      <c r="U53" t="str">
        <v>-</v>
      </c>
      <c r="V53">
        <v>50600</v>
      </c>
      <c r="W53" t="str">
        <v>-</v>
      </c>
    </row>
    <row r="54" spans="1:23">
      <c r="A54" s="30">
        <v>44338</v>
      </c>
      <c r="B54" s="29">
        <v>49900</v>
      </c>
      <c r="C54" s="29">
        <v>51800</v>
      </c>
      <c r="D54" s="29">
        <v>49300</v>
      </c>
      <c r="E54" s="29">
        <v>47700</v>
      </c>
      <c r="F54" s="29">
        <v>50900</v>
      </c>
      <c r="G54" s="29" t="str">
        <v>-</v>
      </c>
      <c r="H54" s="29">
        <v>48500</v>
      </c>
      <c r="I54" s="29" t="str">
        <v>-</v>
      </c>
      <c r="J54" s="29">
        <v>49700</v>
      </c>
      <c r="K54" s="29" t="str">
        <v>-</v>
      </c>
      <c r="L54" s="29">
        <v>51100</v>
      </c>
      <c r="M54" s="29">
        <v>48800</v>
      </c>
      <c r="N54" s="29">
        <v>48600</v>
      </c>
      <c r="O54" s="29" t="str">
        <v>-</v>
      </c>
      <c r="P54" s="29">
        <v>46200</v>
      </c>
      <c r="Q54" s="29">
        <v>45600</v>
      </c>
      <c r="R54" s="29">
        <v>46900</v>
      </c>
      <c r="S54" t="str">
        <v>-</v>
      </c>
      <c r="T54" t="str">
        <v>-</v>
      </c>
      <c r="U54" t="str">
        <v>-</v>
      </c>
      <c r="V54">
        <v>50500</v>
      </c>
      <c r="W54" t="str">
        <v>-</v>
      </c>
    </row>
    <row r="55" spans="1:23">
      <c r="A55" s="30">
        <v>44339</v>
      </c>
      <c r="B55" s="29" t="str">
        <v>H</v>
      </c>
      <c r="C55" s="29" t="str">
        <v>H</v>
      </c>
      <c r="D55" s="29" t="str">
        <v>H</v>
      </c>
      <c r="E55" s="29" t="str">
        <v>H</v>
      </c>
      <c r="F55" s="29" t="str">
        <v>H</v>
      </c>
      <c r="G55" s="29" t="str">
        <v>H</v>
      </c>
      <c r="H55" s="29" t="str">
        <v>H</v>
      </c>
      <c r="I55" s="29" t="str">
        <v>H</v>
      </c>
      <c r="J55" s="29" t="str">
        <v>H</v>
      </c>
      <c r="K55" s="29" t="str">
        <v>H</v>
      </c>
      <c r="L55" s="29" t="str">
        <v>H</v>
      </c>
      <c r="M55" s="29" t="str">
        <v>H</v>
      </c>
      <c r="N55" s="29" t="str">
        <v>H</v>
      </c>
      <c r="O55" s="29" t="str">
        <v>H</v>
      </c>
      <c r="P55" s="29" t="str">
        <v>H</v>
      </c>
      <c r="Q55" s="29" t="str">
        <v>H</v>
      </c>
      <c r="R55" s="29" t="str">
        <v>H</v>
      </c>
      <c r="S55" t="str">
        <v>H</v>
      </c>
      <c r="T55" t="str">
        <v>H</v>
      </c>
      <c r="U55" t="str">
        <v>H</v>
      </c>
      <c r="V55" t="str">
        <v>H</v>
      </c>
      <c r="W55" t="str">
        <v>H</v>
      </c>
    </row>
    <row r="56" spans="1:23">
      <c r="A56" s="30">
        <v>44340</v>
      </c>
      <c r="B56" s="29">
        <v>49900</v>
      </c>
      <c r="C56" s="29">
        <v>51500</v>
      </c>
      <c r="D56" s="29">
        <v>49000</v>
      </c>
      <c r="E56" s="29">
        <v>47000</v>
      </c>
      <c r="F56" s="29">
        <v>50900</v>
      </c>
      <c r="G56" s="29" t="str">
        <v>-</v>
      </c>
      <c r="H56" s="29">
        <v>48000</v>
      </c>
      <c r="I56" s="29" t="str">
        <v>-</v>
      </c>
      <c r="J56" s="29">
        <v>49700</v>
      </c>
      <c r="K56" s="29" t="str">
        <v>-</v>
      </c>
      <c r="L56" s="29">
        <v>50800</v>
      </c>
      <c r="M56" s="29">
        <v>48800</v>
      </c>
      <c r="N56" s="29">
        <v>48300</v>
      </c>
      <c r="O56" s="29" t="str">
        <v>-</v>
      </c>
      <c r="P56" s="29">
        <v>45600</v>
      </c>
      <c r="Q56" s="29">
        <v>45400</v>
      </c>
      <c r="R56" s="29">
        <v>45800</v>
      </c>
      <c r="S56" t="str">
        <v>-</v>
      </c>
      <c r="T56" t="str">
        <v>-</v>
      </c>
      <c r="U56" t="str">
        <v>-</v>
      </c>
      <c r="V56">
        <v>49800</v>
      </c>
      <c r="W56" t="str">
        <v>-</v>
      </c>
    </row>
    <row r="57" spans="1:23">
      <c r="A57" s="30">
        <v>44341</v>
      </c>
      <c r="B57" s="29">
        <v>49700</v>
      </c>
      <c r="C57" s="29">
        <v>51200</v>
      </c>
      <c r="D57" s="29">
        <v>48400</v>
      </c>
      <c r="E57" s="29">
        <v>46750</v>
      </c>
      <c r="F57" s="29">
        <v>50400</v>
      </c>
      <c r="G57" s="29" t="str">
        <v>-</v>
      </c>
      <c r="H57" s="29">
        <v>47500</v>
      </c>
      <c r="I57" s="29" t="str">
        <v>-</v>
      </c>
      <c r="J57" s="29">
        <v>49700</v>
      </c>
      <c r="K57" s="29" t="str">
        <v>-</v>
      </c>
      <c r="L57" s="29">
        <v>50500</v>
      </c>
      <c r="M57" s="29">
        <v>48800</v>
      </c>
      <c r="N57" s="29">
        <v>47500</v>
      </c>
      <c r="O57" s="29" t="str">
        <v>-</v>
      </c>
      <c r="P57" s="29">
        <v>45600</v>
      </c>
      <c r="Q57" s="29">
        <v>45200</v>
      </c>
      <c r="R57" s="29">
        <v>45800</v>
      </c>
      <c r="S57" t="str">
        <v>-</v>
      </c>
      <c r="T57" t="str">
        <v>-</v>
      </c>
      <c r="U57" t="str">
        <v>-</v>
      </c>
      <c r="V57">
        <v>49700</v>
      </c>
      <c r="W57" t="str">
        <v>-</v>
      </c>
    </row>
    <row r="58" spans="1:23">
      <c r="A58" s="30">
        <v>44342</v>
      </c>
      <c r="B58" s="29">
        <v>48800</v>
      </c>
      <c r="C58" s="29">
        <v>51000</v>
      </c>
      <c r="D58" s="29">
        <v>47500</v>
      </c>
      <c r="E58" s="29">
        <v>45750</v>
      </c>
      <c r="F58" s="29">
        <v>50100</v>
      </c>
      <c r="G58" s="29" t="str">
        <v>-</v>
      </c>
      <c r="H58" s="29">
        <v>47000</v>
      </c>
      <c r="I58" s="29" t="str">
        <v>-</v>
      </c>
      <c r="J58" s="29">
        <v>48800</v>
      </c>
      <c r="K58" s="29" t="str">
        <v>-</v>
      </c>
      <c r="L58" s="29">
        <v>49900</v>
      </c>
      <c r="M58" s="29">
        <v>47900</v>
      </c>
      <c r="N58" s="29">
        <v>47100</v>
      </c>
      <c r="O58" s="29" t="str">
        <v>-</v>
      </c>
      <c r="P58" s="29">
        <v>44700</v>
      </c>
      <c r="Q58" s="29">
        <v>44900</v>
      </c>
      <c r="R58" s="29">
        <v>45500</v>
      </c>
      <c r="S58" t="str">
        <v>-</v>
      </c>
      <c r="T58" t="str">
        <v>-</v>
      </c>
      <c r="U58" t="str">
        <v>-</v>
      </c>
      <c r="V58">
        <v>49000</v>
      </c>
      <c r="W58" t="str">
        <v>-</v>
      </c>
    </row>
    <row r="59" spans="1:23">
      <c r="A59" s="30">
        <v>44343</v>
      </c>
      <c r="B59" s="29">
        <v>48500</v>
      </c>
      <c r="C59" s="29">
        <v>51000</v>
      </c>
      <c r="D59" s="29">
        <v>47200</v>
      </c>
      <c r="E59" s="29">
        <v>45500</v>
      </c>
      <c r="F59" s="29">
        <v>49500</v>
      </c>
      <c r="G59" s="29" t="str">
        <v>-</v>
      </c>
      <c r="H59" s="29">
        <v>47000</v>
      </c>
      <c r="I59" s="29" t="str">
        <v>-</v>
      </c>
      <c r="J59" s="29">
        <v>48700</v>
      </c>
      <c r="K59" s="29" t="str">
        <v>-</v>
      </c>
      <c r="L59" s="29">
        <v>49500</v>
      </c>
      <c r="M59" s="29">
        <v>47600</v>
      </c>
      <c r="N59" s="29">
        <v>46500</v>
      </c>
      <c r="O59" s="29" t="str">
        <v>-</v>
      </c>
      <c r="P59" s="29">
        <v>44400</v>
      </c>
      <c r="Q59" s="29">
        <v>44300</v>
      </c>
      <c r="R59" s="29">
        <v>45400</v>
      </c>
      <c r="S59" t="str">
        <v>-</v>
      </c>
      <c r="T59" t="str">
        <v>-</v>
      </c>
      <c r="U59" t="str">
        <v>-</v>
      </c>
      <c r="V59">
        <v>48700</v>
      </c>
      <c r="W59" t="str">
        <v>-</v>
      </c>
    </row>
    <row r="60" spans="1:23">
      <c r="A60" s="30">
        <v>44344</v>
      </c>
      <c r="B60" s="29">
        <v>48600</v>
      </c>
      <c r="C60" s="29">
        <v>50800</v>
      </c>
      <c r="D60" s="29">
        <v>47600</v>
      </c>
      <c r="E60" s="29">
        <v>45750</v>
      </c>
      <c r="F60" s="29">
        <v>48800</v>
      </c>
      <c r="G60" s="29" t="str">
        <v>-</v>
      </c>
      <c r="H60" s="29">
        <v>47200</v>
      </c>
      <c r="I60" s="29" t="str">
        <v>-</v>
      </c>
      <c r="J60" s="29">
        <v>48700</v>
      </c>
      <c r="K60" s="29" t="str">
        <v>-</v>
      </c>
      <c r="L60" s="29">
        <v>50000</v>
      </c>
      <c r="M60" s="29">
        <v>47600</v>
      </c>
      <c r="N60" s="29">
        <v>46900</v>
      </c>
      <c r="O60" s="29" t="str">
        <v>-</v>
      </c>
      <c r="P60" s="29">
        <v>45200</v>
      </c>
      <c r="Q60" s="29">
        <v>44700</v>
      </c>
      <c r="R60" s="29">
        <v>45500</v>
      </c>
      <c r="S60" t="str">
        <v>-</v>
      </c>
      <c r="T60" t="str">
        <v>-</v>
      </c>
      <c r="U60" t="str">
        <v>-</v>
      </c>
      <c r="V60">
        <v>48700</v>
      </c>
      <c r="W60" t="str">
        <v>-</v>
      </c>
    </row>
    <row r="61" spans="1:23">
      <c r="A61" s="30">
        <v>44345</v>
      </c>
      <c r="B61" s="29">
        <v>48500</v>
      </c>
      <c r="C61" s="29">
        <v>50800</v>
      </c>
      <c r="D61" s="29">
        <v>47500</v>
      </c>
      <c r="E61" s="29">
        <v>45500</v>
      </c>
      <c r="F61" s="29">
        <v>48700</v>
      </c>
      <c r="G61" s="29" t="str">
        <v>-</v>
      </c>
      <c r="H61" s="29">
        <v>47500</v>
      </c>
      <c r="I61" s="29" t="str">
        <v>-</v>
      </c>
      <c r="J61" s="29">
        <v>48700</v>
      </c>
      <c r="K61" s="29" t="str">
        <v>-</v>
      </c>
      <c r="L61" s="29">
        <v>49700</v>
      </c>
      <c r="M61" s="29">
        <v>47800</v>
      </c>
      <c r="N61" s="29">
        <v>46800</v>
      </c>
      <c r="O61" s="29" t="str">
        <v>-</v>
      </c>
      <c r="P61" s="29">
        <v>45300</v>
      </c>
      <c r="Q61" s="29">
        <v>44700</v>
      </c>
      <c r="R61" s="29">
        <v>45200</v>
      </c>
      <c r="S61" t="str">
        <v>-</v>
      </c>
      <c r="T61" t="str">
        <v>-</v>
      </c>
      <c r="U61" t="str">
        <v>-</v>
      </c>
      <c r="V61">
        <v>48600</v>
      </c>
      <c r="W61" t="str">
        <v>-</v>
      </c>
    </row>
    <row r="62" spans="1:23">
      <c r="A62" s="30">
        <v>44346</v>
      </c>
      <c r="B62" s="29" t="str">
        <v>H</v>
      </c>
      <c r="C62" s="29" t="str">
        <v>H</v>
      </c>
      <c r="D62" s="29" t="str">
        <v>H</v>
      </c>
      <c r="E62" s="29" t="str">
        <v>H</v>
      </c>
      <c r="F62" s="29" t="str">
        <v>H</v>
      </c>
      <c r="G62" s="29" t="str">
        <v>H</v>
      </c>
      <c r="H62" s="29" t="str">
        <v>H</v>
      </c>
      <c r="I62" s="29" t="str">
        <v>H</v>
      </c>
      <c r="J62" s="29" t="str">
        <v>H</v>
      </c>
      <c r="K62" s="29" t="str">
        <v>H</v>
      </c>
      <c r="L62" s="29" t="str">
        <v>H</v>
      </c>
      <c r="M62" s="29" t="str">
        <v>H</v>
      </c>
      <c r="N62" s="29" t="str">
        <v>H</v>
      </c>
      <c r="O62" s="29" t="str">
        <v>H</v>
      </c>
      <c r="P62" s="29" t="str">
        <v>H</v>
      </c>
      <c r="Q62" s="29" t="str">
        <v>H</v>
      </c>
      <c r="R62" s="29" t="str">
        <v>H</v>
      </c>
      <c r="S62" t="str">
        <v>H</v>
      </c>
      <c r="T62" t="str">
        <v>H</v>
      </c>
      <c r="U62" t="str">
        <v>H</v>
      </c>
      <c r="V62" t="str">
        <v>H</v>
      </c>
      <c r="W62" t="str">
        <v>H</v>
      </c>
    </row>
    <row r="63" spans="1:23">
      <c r="A63" s="30">
        <v>44347</v>
      </c>
      <c r="B63" s="29">
        <v>48600</v>
      </c>
      <c r="C63" s="29">
        <v>50800</v>
      </c>
      <c r="D63" s="29">
        <v>47600</v>
      </c>
      <c r="E63" s="29">
        <v>45700</v>
      </c>
      <c r="F63" s="29">
        <v>48700</v>
      </c>
      <c r="G63" s="29" t="str">
        <v>-</v>
      </c>
      <c r="H63" s="29">
        <v>47500</v>
      </c>
      <c r="I63" s="29" t="str">
        <v>-</v>
      </c>
      <c r="J63" s="29">
        <v>48700</v>
      </c>
      <c r="K63" s="29" t="str">
        <v>-</v>
      </c>
      <c r="L63" s="29">
        <v>49800</v>
      </c>
      <c r="M63" s="29">
        <v>47800</v>
      </c>
      <c r="N63" s="29">
        <v>47000</v>
      </c>
      <c r="O63" s="29" t="str">
        <v>-</v>
      </c>
      <c r="P63" s="29">
        <v>45100</v>
      </c>
      <c r="Q63" s="29">
        <v>44900</v>
      </c>
      <c r="R63" s="29">
        <v>45300</v>
      </c>
      <c r="S63" t="str">
        <v>-</v>
      </c>
      <c r="T63" t="str">
        <v>-</v>
      </c>
      <c r="U63" t="str">
        <v>-</v>
      </c>
      <c r="V63">
        <v>48700</v>
      </c>
      <c r="W63" t="str">
        <v>-</v>
      </c>
    </row>
    <row r="64" spans="1:23">
      <c r="A64" s="30">
        <v>44348</v>
      </c>
      <c r="B64" s="29">
        <v>48700</v>
      </c>
      <c r="C64" s="29">
        <v>50800</v>
      </c>
      <c r="D64" s="29">
        <v>47800</v>
      </c>
      <c r="E64" s="29">
        <v>46100</v>
      </c>
      <c r="F64" s="29">
        <v>48700</v>
      </c>
      <c r="G64" s="29" t="str">
        <v>-</v>
      </c>
      <c r="H64" s="29">
        <v>48000</v>
      </c>
      <c r="I64" s="29" t="str">
        <v>-</v>
      </c>
      <c r="J64" s="29">
        <v>48700</v>
      </c>
      <c r="K64" s="29" t="str">
        <v>-</v>
      </c>
      <c r="L64" s="29">
        <v>50300</v>
      </c>
      <c r="M64" s="29">
        <v>47800</v>
      </c>
      <c r="N64" s="29">
        <v>47600</v>
      </c>
      <c r="O64" s="29" t="str">
        <v>-</v>
      </c>
      <c r="P64" s="29">
        <v>45600</v>
      </c>
      <c r="Q64" s="29">
        <v>45300</v>
      </c>
      <c r="R64" s="29">
        <v>45500</v>
      </c>
      <c r="S64" t="str">
        <v>-</v>
      </c>
      <c r="T64" t="str">
        <v>-</v>
      </c>
      <c r="U64" t="str">
        <v>-</v>
      </c>
      <c r="V64">
        <v>48800</v>
      </c>
      <c r="W64" t="str">
        <v>-</v>
      </c>
    </row>
    <row r="65" spans="1:23">
      <c r="A65" s="30">
        <v>44349</v>
      </c>
      <c r="B65" s="29">
        <v>48900</v>
      </c>
      <c r="C65" s="29">
        <v>50800</v>
      </c>
      <c r="D65" s="29">
        <v>48500</v>
      </c>
      <c r="E65" s="29">
        <v>46500</v>
      </c>
      <c r="F65" s="29">
        <v>48700</v>
      </c>
      <c r="G65" s="29" t="str">
        <v>-</v>
      </c>
      <c r="H65" s="29">
        <v>48500</v>
      </c>
      <c r="I65" s="29" t="str">
        <v>-</v>
      </c>
      <c r="J65" s="29">
        <v>48700</v>
      </c>
      <c r="K65" s="29" t="str">
        <v>-</v>
      </c>
      <c r="L65" s="29">
        <v>50800</v>
      </c>
      <c r="M65" s="29">
        <v>47800</v>
      </c>
      <c r="N65" s="29">
        <v>48050</v>
      </c>
      <c r="O65" s="29" t="str">
        <v>-</v>
      </c>
      <c r="P65" s="29">
        <v>46500</v>
      </c>
      <c r="Q65" s="29">
        <v>46200</v>
      </c>
      <c r="R65" s="29">
        <v>46600</v>
      </c>
      <c r="S65" t="str">
        <v>-</v>
      </c>
      <c r="T65" t="str">
        <v>-</v>
      </c>
      <c r="U65" t="str">
        <v>-</v>
      </c>
      <c r="V65">
        <v>49100</v>
      </c>
      <c r="W65" t="str">
        <v>-</v>
      </c>
    </row>
    <row r="66" spans="1:23">
      <c r="A66" s="30">
        <v>44350</v>
      </c>
      <c r="B66" s="29">
        <v>49300</v>
      </c>
      <c r="C66" s="29">
        <v>50800</v>
      </c>
      <c r="D66" s="29">
        <v>48900</v>
      </c>
      <c r="E66" s="29">
        <v>47000</v>
      </c>
      <c r="F66" s="29">
        <v>49000</v>
      </c>
      <c r="G66" s="29" t="str">
        <v>-</v>
      </c>
      <c r="H66" s="29">
        <v>49000</v>
      </c>
      <c r="I66" s="29" t="str">
        <v>-</v>
      </c>
      <c r="J66" s="29">
        <v>48700</v>
      </c>
      <c r="K66" s="29" t="str">
        <v>-</v>
      </c>
      <c r="L66" s="29">
        <v>51500</v>
      </c>
      <c r="M66" s="29">
        <v>47800</v>
      </c>
      <c r="N66" s="29">
        <v>48600</v>
      </c>
      <c r="O66" s="29" t="str">
        <v>-</v>
      </c>
      <c r="P66" s="29">
        <v>47000</v>
      </c>
      <c r="Q66" s="29">
        <v>46600</v>
      </c>
      <c r="R66" s="29">
        <v>47100</v>
      </c>
      <c r="S66" t="str">
        <v>-</v>
      </c>
      <c r="T66" t="str">
        <v>-</v>
      </c>
      <c r="U66" t="str">
        <v>-</v>
      </c>
      <c r="V66">
        <v>49400</v>
      </c>
      <c r="W66" t="str">
        <v>-</v>
      </c>
    </row>
    <row r="67" spans="1:23">
      <c r="A67" s="30">
        <v>44351</v>
      </c>
      <c r="B67" s="29">
        <v>49400</v>
      </c>
      <c r="C67" s="29">
        <v>51000</v>
      </c>
      <c r="D67" s="29">
        <v>49600</v>
      </c>
      <c r="E67" s="29">
        <v>47800</v>
      </c>
      <c r="F67" s="29">
        <v>49200</v>
      </c>
      <c r="G67" s="29" t="str">
        <v>-</v>
      </c>
      <c r="H67" s="29">
        <v>49000</v>
      </c>
      <c r="I67" s="29" t="str">
        <v>-</v>
      </c>
      <c r="J67" s="29">
        <v>48800</v>
      </c>
      <c r="K67" s="29" t="str">
        <v>-</v>
      </c>
      <c r="L67" s="29">
        <v>51900</v>
      </c>
      <c r="M67" s="29">
        <v>48000</v>
      </c>
      <c r="N67" s="29">
        <v>49200</v>
      </c>
      <c r="O67" s="29" t="str">
        <v>-</v>
      </c>
      <c r="P67" s="29">
        <v>47000</v>
      </c>
      <c r="Q67" s="29">
        <v>46700</v>
      </c>
      <c r="R67" s="29">
        <v>47400</v>
      </c>
      <c r="S67" t="str">
        <v>-</v>
      </c>
      <c r="T67" t="str">
        <v>-</v>
      </c>
      <c r="U67" t="str">
        <v>-</v>
      </c>
      <c r="V67">
        <v>49600</v>
      </c>
      <c r="W67" t="str">
        <v>-</v>
      </c>
    </row>
    <row r="68" spans="1:23">
      <c r="A68" s="30">
        <v>44352</v>
      </c>
      <c r="B68" s="29">
        <v>49600</v>
      </c>
      <c r="C68" s="29">
        <v>51300</v>
      </c>
      <c r="D68" s="29">
        <v>50300</v>
      </c>
      <c r="E68" s="29">
        <v>48000</v>
      </c>
      <c r="F68" s="29">
        <v>49200</v>
      </c>
      <c r="G68" s="29" t="str">
        <v>-</v>
      </c>
      <c r="H68" s="29">
        <v>48700</v>
      </c>
      <c r="I68" s="29" t="str">
        <v>-</v>
      </c>
      <c r="J68" s="29">
        <v>48900</v>
      </c>
      <c r="K68" s="29" t="str">
        <v>-</v>
      </c>
      <c r="L68" s="29">
        <v>52200</v>
      </c>
      <c r="M68" s="29">
        <v>48200</v>
      </c>
      <c r="N68" s="29">
        <v>49250</v>
      </c>
      <c r="O68" s="29" t="str">
        <v>-</v>
      </c>
      <c r="P68" s="29">
        <v>46800</v>
      </c>
      <c r="Q68" s="29">
        <v>46800</v>
      </c>
      <c r="R68" s="29">
        <v>47000</v>
      </c>
      <c r="S68" t="str">
        <v>-</v>
      </c>
      <c r="T68" t="str">
        <v>-</v>
      </c>
      <c r="U68" t="str">
        <v>-</v>
      </c>
      <c r="V68">
        <v>49800</v>
      </c>
      <c r="W68" t="str">
        <v>-</v>
      </c>
    </row>
    <row r="69" spans="1:23">
      <c r="A69" s="30">
        <v>44353</v>
      </c>
      <c r="B69" s="29" t="str">
        <v>H</v>
      </c>
      <c r="C69" s="29" t="str">
        <v>H</v>
      </c>
      <c r="D69" s="29" t="str">
        <v>H</v>
      </c>
      <c r="E69" s="29" t="str">
        <v>H</v>
      </c>
      <c r="F69" s="29" t="str">
        <v>H</v>
      </c>
      <c r="G69" s="29" t="str">
        <v>H</v>
      </c>
      <c r="H69" s="29" t="str">
        <v>H</v>
      </c>
      <c r="I69" s="29" t="str">
        <v>H</v>
      </c>
      <c r="J69" s="29" t="str">
        <v>H</v>
      </c>
      <c r="K69" s="29" t="str">
        <v>H</v>
      </c>
      <c r="L69" s="29" t="str">
        <v>H</v>
      </c>
      <c r="M69" s="29" t="str">
        <v>H</v>
      </c>
      <c r="N69" s="29" t="str">
        <v>H</v>
      </c>
      <c r="O69" s="29" t="str">
        <v>H</v>
      </c>
      <c r="P69" s="29" t="str">
        <v>H</v>
      </c>
      <c r="Q69" s="29" t="str">
        <v>H</v>
      </c>
      <c r="R69" s="29" t="str">
        <v>H</v>
      </c>
      <c r="S69" t="str">
        <v>H</v>
      </c>
      <c r="T69" t="str">
        <v>H</v>
      </c>
      <c r="U69" t="str">
        <v>H</v>
      </c>
      <c r="V69" t="str">
        <v>H</v>
      </c>
      <c r="W69" t="str">
        <v>H</v>
      </c>
    </row>
    <row r="70" spans="1:23">
      <c r="A70" s="30">
        <v>44354</v>
      </c>
      <c r="B70" s="29">
        <v>49600</v>
      </c>
      <c r="C70" s="29">
        <v>51300</v>
      </c>
      <c r="D70" s="29">
        <v>50000</v>
      </c>
      <c r="E70" s="29">
        <v>47500</v>
      </c>
      <c r="F70" s="29">
        <v>49100</v>
      </c>
      <c r="G70" s="29" t="str">
        <v>-</v>
      </c>
      <c r="H70" s="29">
        <v>48000</v>
      </c>
      <c r="I70" s="29" t="str">
        <v>-</v>
      </c>
      <c r="J70" s="29">
        <v>48900</v>
      </c>
      <c r="K70" s="29" t="str">
        <v>-</v>
      </c>
      <c r="L70" s="29">
        <v>52100</v>
      </c>
      <c r="M70" s="29">
        <v>48200</v>
      </c>
      <c r="N70" s="29">
        <v>49000</v>
      </c>
      <c r="O70" s="29" t="str">
        <v>-</v>
      </c>
      <c r="P70" s="29">
        <v>46600</v>
      </c>
      <c r="Q70" s="29">
        <v>46600</v>
      </c>
      <c r="R70" s="29">
        <v>46600</v>
      </c>
      <c r="S70" t="str">
        <v>-</v>
      </c>
      <c r="T70" t="str">
        <v>-</v>
      </c>
      <c r="U70" t="str">
        <v>-</v>
      </c>
      <c r="V70">
        <v>49800</v>
      </c>
      <c r="W70" t="str">
        <v>-</v>
      </c>
    </row>
    <row r="71" spans="1:23">
      <c r="A71" s="30">
        <v>44355</v>
      </c>
      <c r="B71" s="29">
        <v>49300</v>
      </c>
      <c r="C71" s="29">
        <v>51200</v>
      </c>
      <c r="D71" s="29">
        <v>49900</v>
      </c>
      <c r="E71" s="29">
        <v>47500</v>
      </c>
      <c r="F71" s="29">
        <v>49000</v>
      </c>
      <c r="G71" s="29" t="str">
        <v>-</v>
      </c>
      <c r="H71" s="29">
        <v>47500</v>
      </c>
      <c r="I71" s="29" t="str">
        <v>-</v>
      </c>
      <c r="J71" s="29">
        <v>48800</v>
      </c>
      <c r="K71" s="29" t="str">
        <v>-</v>
      </c>
      <c r="L71" s="29">
        <v>51800</v>
      </c>
      <c r="M71" s="29">
        <v>47600</v>
      </c>
      <c r="N71" s="29">
        <v>49000</v>
      </c>
      <c r="O71" s="29" t="str">
        <v>-</v>
      </c>
      <c r="P71" s="29">
        <v>46400</v>
      </c>
      <c r="Q71" s="29">
        <v>46000</v>
      </c>
      <c r="R71" s="29">
        <v>46450</v>
      </c>
      <c r="S71" t="str">
        <v>-</v>
      </c>
      <c r="T71" t="str">
        <v>-</v>
      </c>
      <c r="U71" t="str">
        <v>-</v>
      </c>
      <c r="V71">
        <v>49600</v>
      </c>
      <c r="W71" t="str">
        <v>-</v>
      </c>
    </row>
    <row r="72" spans="1:23">
      <c r="A72" s="30">
        <v>44356</v>
      </c>
      <c r="B72" s="29">
        <v>49100</v>
      </c>
      <c r="C72" s="29">
        <v>51100</v>
      </c>
      <c r="D72" s="29">
        <v>49500</v>
      </c>
      <c r="E72" s="29">
        <v>47000</v>
      </c>
      <c r="F72" s="29">
        <v>48700</v>
      </c>
      <c r="G72" s="29" t="str">
        <v>-</v>
      </c>
      <c r="H72" s="29">
        <v>47500</v>
      </c>
      <c r="I72" s="29" t="str">
        <v>-</v>
      </c>
      <c r="J72" s="29">
        <v>48200</v>
      </c>
      <c r="K72" s="29" t="str">
        <v>-</v>
      </c>
      <c r="L72" s="29">
        <v>51600</v>
      </c>
      <c r="M72" s="29">
        <v>47300</v>
      </c>
      <c r="N72" s="29">
        <v>48500</v>
      </c>
      <c r="O72" s="29" t="str">
        <v>-</v>
      </c>
      <c r="P72" s="29">
        <v>46000</v>
      </c>
      <c r="Q72" s="29">
        <v>46000</v>
      </c>
      <c r="R72" s="29">
        <v>46500</v>
      </c>
      <c r="S72" t="str">
        <v>-</v>
      </c>
      <c r="T72" t="str">
        <v>-</v>
      </c>
      <c r="U72" t="str">
        <v>-</v>
      </c>
      <c r="V72">
        <v>49300</v>
      </c>
      <c r="W72" t="str">
        <v>-</v>
      </c>
    </row>
    <row r="73" spans="1:23">
      <c r="A73" s="30">
        <v>44357</v>
      </c>
      <c r="B73" s="29">
        <v>49200</v>
      </c>
      <c r="C73" s="29">
        <v>51200</v>
      </c>
      <c r="D73" s="29">
        <v>49700</v>
      </c>
      <c r="E73" s="29">
        <v>47250</v>
      </c>
      <c r="F73" s="29">
        <v>48400</v>
      </c>
      <c r="G73" s="29" t="str">
        <v>-</v>
      </c>
      <c r="H73" s="29">
        <v>47500</v>
      </c>
      <c r="I73" s="29" t="str">
        <v>-</v>
      </c>
      <c r="J73" s="29">
        <v>48200</v>
      </c>
      <c r="K73" s="29" t="str">
        <v>-</v>
      </c>
      <c r="L73" s="29">
        <v>51800</v>
      </c>
      <c r="M73" s="29">
        <v>47300</v>
      </c>
      <c r="N73" s="29">
        <v>48800</v>
      </c>
      <c r="O73" s="29" t="str">
        <v>-</v>
      </c>
      <c r="P73" s="29">
        <v>46400</v>
      </c>
      <c r="Q73" s="29">
        <v>46100</v>
      </c>
      <c r="R73" s="29">
        <v>46500</v>
      </c>
      <c r="S73" t="str">
        <v>-</v>
      </c>
      <c r="T73" t="str">
        <v>-</v>
      </c>
      <c r="U73" t="str">
        <v>-</v>
      </c>
      <c r="V73">
        <v>49100</v>
      </c>
      <c r="W73" t="str">
        <v>-</v>
      </c>
    </row>
    <row r="74" spans="1:23">
      <c r="A74" s="30">
        <v>44358</v>
      </c>
      <c r="B74" s="29">
        <v>49500</v>
      </c>
      <c r="C74" s="29">
        <v>51700</v>
      </c>
      <c r="D74" s="29">
        <v>49800</v>
      </c>
      <c r="E74" s="29">
        <v>47250</v>
      </c>
      <c r="F74" s="29">
        <v>48400</v>
      </c>
      <c r="G74" s="29" t="str">
        <v>-</v>
      </c>
      <c r="H74" s="29">
        <v>48000</v>
      </c>
      <c r="I74" s="29" t="str">
        <v>-</v>
      </c>
      <c r="J74" s="29">
        <v>48300</v>
      </c>
      <c r="K74" s="29" t="str">
        <v>-</v>
      </c>
      <c r="L74" s="29">
        <v>52100</v>
      </c>
      <c r="M74" s="29">
        <v>47500</v>
      </c>
      <c r="N74" s="29">
        <v>49200</v>
      </c>
      <c r="O74" s="29" t="str">
        <v>-</v>
      </c>
      <c r="P74" s="29">
        <v>46900</v>
      </c>
      <c r="Q74" s="29">
        <v>46600</v>
      </c>
      <c r="R74" s="29">
        <v>46700</v>
      </c>
      <c r="S74" t="str">
        <v>-</v>
      </c>
      <c r="T74" t="str">
        <v>-</v>
      </c>
      <c r="U74" t="str">
        <v>-</v>
      </c>
      <c r="V74">
        <v>48800</v>
      </c>
      <c r="W74" t="str">
        <v>-</v>
      </c>
    </row>
    <row r="75" spans="1:23">
      <c r="A75" s="30">
        <v>44359</v>
      </c>
      <c r="B75" s="29">
        <v>49500</v>
      </c>
      <c r="C75" s="29">
        <v>51700</v>
      </c>
      <c r="D75" s="29">
        <v>49800</v>
      </c>
      <c r="E75" s="29">
        <v>47250</v>
      </c>
      <c r="F75" s="29">
        <v>48400</v>
      </c>
      <c r="G75" s="29" t="str">
        <v>-</v>
      </c>
      <c r="H75" s="29">
        <v>48500</v>
      </c>
      <c r="I75" s="29" t="str">
        <v>-</v>
      </c>
      <c r="J75" s="29">
        <v>48300</v>
      </c>
      <c r="K75" s="29" t="str">
        <v>-</v>
      </c>
      <c r="L75" s="29">
        <v>51900</v>
      </c>
      <c r="M75" s="29">
        <v>47500</v>
      </c>
      <c r="N75" s="29">
        <v>49100</v>
      </c>
      <c r="O75" s="29" t="str">
        <v>-</v>
      </c>
      <c r="P75" s="29">
        <v>46500</v>
      </c>
      <c r="Q75" s="29">
        <v>46600</v>
      </c>
      <c r="R75" s="29">
        <v>46600</v>
      </c>
      <c r="S75" t="str">
        <v>-</v>
      </c>
      <c r="T75" t="str">
        <v>-</v>
      </c>
      <c r="U75" t="str">
        <v>-</v>
      </c>
      <c r="V75">
        <v>48800</v>
      </c>
      <c r="W75" t="str">
        <v>-</v>
      </c>
    </row>
    <row r="76" spans="1:23">
      <c r="A76" s="30">
        <v>44360</v>
      </c>
      <c r="B76" s="29" t="str">
        <v>H</v>
      </c>
      <c r="C76" s="29" t="str">
        <v>H</v>
      </c>
      <c r="D76" s="29" t="str">
        <v>H</v>
      </c>
      <c r="E76" s="29" t="str">
        <v>H</v>
      </c>
      <c r="F76" s="29" t="str">
        <v>H</v>
      </c>
      <c r="G76" s="29" t="str">
        <v>H</v>
      </c>
      <c r="H76" s="29" t="str">
        <v>H</v>
      </c>
      <c r="I76" s="29" t="str">
        <v>H</v>
      </c>
      <c r="J76" s="29" t="str">
        <v>H</v>
      </c>
      <c r="K76" s="29" t="str">
        <v>H</v>
      </c>
      <c r="L76" s="29" t="str">
        <v>H</v>
      </c>
      <c r="M76" s="29" t="str">
        <v>H</v>
      </c>
      <c r="N76" s="29" t="str">
        <v>H</v>
      </c>
      <c r="O76" s="29" t="str">
        <v>H</v>
      </c>
      <c r="P76" s="29" t="str">
        <v>H</v>
      </c>
      <c r="Q76" s="29" t="str">
        <v>H</v>
      </c>
      <c r="R76" s="29" t="str">
        <v>H</v>
      </c>
      <c r="S76" t="str">
        <v>H</v>
      </c>
      <c r="T76" t="str">
        <v>H</v>
      </c>
      <c r="U76" t="str">
        <v>H</v>
      </c>
      <c r="V76" t="str">
        <v>H</v>
      </c>
      <c r="W76" t="str">
        <v>H</v>
      </c>
    </row>
    <row r="77" spans="1:23">
      <c r="A77" s="30">
        <v>44361</v>
      </c>
      <c r="B77" s="29">
        <v>49300</v>
      </c>
      <c r="C77" s="29">
        <v>51500</v>
      </c>
      <c r="D77" s="29">
        <v>49100</v>
      </c>
      <c r="E77" s="29">
        <v>47000</v>
      </c>
      <c r="F77" s="29">
        <v>48400</v>
      </c>
      <c r="G77" s="29" t="str">
        <v>-</v>
      </c>
      <c r="H77" s="29">
        <v>48000</v>
      </c>
      <c r="I77" s="29" t="str">
        <v>-</v>
      </c>
      <c r="J77" s="29">
        <v>48300</v>
      </c>
      <c r="K77" s="29" t="str">
        <v>-</v>
      </c>
      <c r="L77" s="29">
        <v>51600</v>
      </c>
      <c r="M77" s="29">
        <v>47500</v>
      </c>
      <c r="N77" s="29">
        <v>48600</v>
      </c>
      <c r="O77" s="29" t="str">
        <v>-</v>
      </c>
      <c r="P77" s="29">
        <v>46000</v>
      </c>
      <c r="Q77" s="29">
        <v>46200</v>
      </c>
      <c r="R77" s="29">
        <v>46500</v>
      </c>
      <c r="S77" t="str">
        <v>-</v>
      </c>
      <c r="T77" t="str">
        <v>-</v>
      </c>
      <c r="U77" t="str">
        <v>-</v>
      </c>
      <c r="V77">
        <v>49100</v>
      </c>
      <c r="W77" t="str">
        <v>-</v>
      </c>
    </row>
    <row r="78" spans="1:23">
      <c r="A78" s="30">
        <v>44362</v>
      </c>
      <c r="B78" s="29">
        <v>49200</v>
      </c>
      <c r="C78" s="29">
        <v>51300</v>
      </c>
      <c r="D78" s="29">
        <v>49100</v>
      </c>
      <c r="E78" s="29">
        <v>46750</v>
      </c>
      <c r="F78" s="29">
        <v>48400</v>
      </c>
      <c r="G78" s="29" t="str">
        <v>-</v>
      </c>
      <c r="H78" s="29">
        <v>47500</v>
      </c>
      <c r="I78" s="29" t="str">
        <v>-</v>
      </c>
      <c r="J78" s="29">
        <v>48300</v>
      </c>
      <c r="K78" s="29" t="str">
        <v>-</v>
      </c>
      <c r="L78" s="29">
        <v>51500</v>
      </c>
      <c r="M78" s="29">
        <v>47500</v>
      </c>
      <c r="N78" s="29">
        <v>48400</v>
      </c>
      <c r="O78" s="29" t="str">
        <v>-</v>
      </c>
      <c r="P78" s="29">
        <v>46300</v>
      </c>
      <c r="Q78" s="29">
        <v>46200</v>
      </c>
      <c r="R78" s="29">
        <v>46400</v>
      </c>
      <c r="S78" t="str">
        <v>-</v>
      </c>
      <c r="T78" t="str">
        <v>-</v>
      </c>
      <c r="U78" t="str">
        <v>-</v>
      </c>
      <c r="V78">
        <v>49100</v>
      </c>
      <c r="W78" t="str">
        <v>-</v>
      </c>
    </row>
    <row r="79" spans="1:23">
      <c r="A79" s="30">
        <v>44363</v>
      </c>
      <c r="B79" s="29">
        <v>49200</v>
      </c>
      <c r="C79" s="29">
        <v>51200</v>
      </c>
      <c r="D79" s="29">
        <v>49000</v>
      </c>
      <c r="E79" s="29">
        <v>46000</v>
      </c>
      <c r="F79" s="29">
        <v>48300</v>
      </c>
      <c r="G79" s="29" t="str">
        <v>-</v>
      </c>
      <c r="H79" s="29">
        <v>47500</v>
      </c>
      <c r="I79" s="29" t="str">
        <v>-</v>
      </c>
      <c r="J79" s="29">
        <v>47800</v>
      </c>
      <c r="K79" s="29" t="str">
        <v>-</v>
      </c>
      <c r="L79" s="29">
        <v>51300</v>
      </c>
      <c r="M79" s="29">
        <v>47500</v>
      </c>
      <c r="N79" s="29">
        <v>47900</v>
      </c>
      <c r="O79" s="29" t="str">
        <v>-</v>
      </c>
      <c r="P79" s="29">
        <v>45600</v>
      </c>
      <c r="Q79" s="29">
        <v>46000</v>
      </c>
      <c r="R79" s="29">
        <v>46000</v>
      </c>
      <c r="S79" t="str">
        <v>-</v>
      </c>
      <c r="T79" t="str">
        <v>-</v>
      </c>
      <c r="U79" t="str">
        <v>-</v>
      </c>
      <c r="V79">
        <v>49100</v>
      </c>
      <c r="W79" t="str">
        <v>-</v>
      </c>
    </row>
    <row r="80" spans="1:23">
      <c r="A80" s="30">
        <v>44364</v>
      </c>
      <c r="B80" s="29">
        <v>48800</v>
      </c>
      <c r="C80" s="29">
        <v>50800</v>
      </c>
      <c r="D80" s="29">
        <v>48900</v>
      </c>
      <c r="E80" s="29">
        <v>45500</v>
      </c>
      <c r="F80" s="29">
        <v>48100</v>
      </c>
      <c r="G80" s="29" t="str">
        <v>-</v>
      </c>
      <c r="H80" s="29">
        <v>47000</v>
      </c>
      <c r="I80" s="29" t="str">
        <v>-</v>
      </c>
      <c r="J80" s="29">
        <v>47700</v>
      </c>
      <c r="K80" s="29" t="str">
        <v>-</v>
      </c>
      <c r="L80" s="29">
        <v>50900</v>
      </c>
      <c r="M80" s="29">
        <v>47000</v>
      </c>
      <c r="N80" s="29">
        <v>47500</v>
      </c>
      <c r="O80" s="29" t="str">
        <v>-</v>
      </c>
      <c r="P80" s="29">
        <v>45550</v>
      </c>
      <c r="Q80" s="29">
        <v>45600</v>
      </c>
      <c r="R80" s="29">
        <v>45700</v>
      </c>
      <c r="S80" t="str">
        <v>-</v>
      </c>
      <c r="T80" t="str">
        <v>-</v>
      </c>
      <c r="U80" t="str">
        <v>-</v>
      </c>
      <c r="V80">
        <v>49000</v>
      </c>
      <c r="W80" t="str">
        <v>-</v>
      </c>
    </row>
    <row r="81" spans="1:23">
      <c r="A81" s="30">
        <v>44365</v>
      </c>
      <c r="B81" s="29">
        <v>48400</v>
      </c>
      <c r="C81" s="29">
        <v>50800</v>
      </c>
      <c r="D81" s="29">
        <v>48200</v>
      </c>
      <c r="E81" s="29">
        <v>45200</v>
      </c>
      <c r="F81" s="29">
        <v>47900</v>
      </c>
      <c r="G81" s="29" t="str">
        <v>-</v>
      </c>
      <c r="H81" s="29">
        <v>46800</v>
      </c>
      <c r="I81" s="29" t="str">
        <v>-</v>
      </c>
      <c r="J81" s="29">
        <v>47700</v>
      </c>
      <c r="K81" s="29" t="str">
        <v>-</v>
      </c>
      <c r="L81" s="29">
        <v>50400</v>
      </c>
      <c r="M81" s="29">
        <v>46800</v>
      </c>
      <c r="N81" s="29">
        <v>47100</v>
      </c>
      <c r="O81" s="29" t="str">
        <v>-</v>
      </c>
      <c r="P81" s="29">
        <v>45500</v>
      </c>
      <c r="Q81" s="29">
        <v>45600</v>
      </c>
      <c r="R81" s="29">
        <v>45500</v>
      </c>
      <c r="S81" t="str">
        <v>-</v>
      </c>
      <c r="T81" t="str">
        <v>-</v>
      </c>
      <c r="U81" t="str">
        <v>-</v>
      </c>
      <c r="V81">
        <v>48800</v>
      </c>
      <c r="W81" t="str">
        <v>-</v>
      </c>
    </row>
    <row r="82" spans="1:23">
      <c r="A82" s="30">
        <v>44366</v>
      </c>
      <c r="B82" s="29">
        <v>48400</v>
      </c>
      <c r="C82" s="29">
        <v>51000</v>
      </c>
      <c r="D82" s="29">
        <v>48200</v>
      </c>
      <c r="E82" s="29">
        <v>45750</v>
      </c>
      <c r="F82" s="29">
        <v>47700</v>
      </c>
      <c r="G82" s="29" t="str">
        <v>-</v>
      </c>
      <c r="H82" s="29">
        <v>46800</v>
      </c>
      <c r="I82" s="29" t="str">
        <v>-</v>
      </c>
      <c r="J82" s="29">
        <v>47600</v>
      </c>
      <c r="K82" s="29" t="str">
        <v>-</v>
      </c>
      <c r="L82" s="29">
        <v>50500</v>
      </c>
      <c r="M82" s="29">
        <v>46500</v>
      </c>
      <c r="N82" s="29">
        <v>47300</v>
      </c>
      <c r="O82" s="29" t="str">
        <v>-</v>
      </c>
      <c r="P82" s="29">
        <v>45500</v>
      </c>
      <c r="Q82" s="29">
        <v>45700</v>
      </c>
      <c r="R82" s="29">
        <v>45800</v>
      </c>
      <c r="S82" t="str">
        <v>-</v>
      </c>
      <c r="T82" t="str">
        <v>-</v>
      </c>
      <c r="U82" t="str">
        <v>-</v>
      </c>
      <c r="V82">
        <v>48600</v>
      </c>
      <c r="W82" t="str">
        <v>-</v>
      </c>
    </row>
    <row r="83" spans="1:23">
      <c r="A83" s="30">
        <v>44367</v>
      </c>
      <c r="B83" s="29" t="str">
        <v>H</v>
      </c>
      <c r="C83" s="29" t="str">
        <v>H</v>
      </c>
      <c r="D83" s="29" t="str">
        <v>H</v>
      </c>
      <c r="E83" s="29" t="str">
        <v>H</v>
      </c>
      <c r="F83" s="29" t="str">
        <v>H</v>
      </c>
      <c r="G83" s="29" t="str">
        <v>H</v>
      </c>
      <c r="H83" s="29" t="str">
        <v>H</v>
      </c>
      <c r="I83" s="29" t="str">
        <v>H</v>
      </c>
      <c r="J83" s="29" t="str">
        <v>H</v>
      </c>
      <c r="K83" s="29" t="str">
        <v>H</v>
      </c>
      <c r="L83" s="29" t="str">
        <v>H</v>
      </c>
      <c r="M83" s="29" t="str">
        <v>H</v>
      </c>
      <c r="N83" s="29" t="str">
        <v>H</v>
      </c>
      <c r="O83" s="29" t="str">
        <v>H</v>
      </c>
      <c r="P83" s="29" t="str">
        <v>H</v>
      </c>
      <c r="Q83" s="29" t="str">
        <v>H</v>
      </c>
      <c r="R83" s="29" t="str">
        <v>H</v>
      </c>
      <c r="S83" t="str">
        <v>H</v>
      </c>
      <c r="T83" t="str">
        <v>H</v>
      </c>
      <c r="U83" t="str">
        <v>H</v>
      </c>
      <c r="V83" t="str">
        <v>H</v>
      </c>
      <c r="W83" t="str">
        <v>H</v>
      </c>
    </row>
    <row r="84" spans="1:23">
      <c r="A84" s="30">
        <v>44368</v>
      </c>
      <c r="B84" s="29">
        <v>48300</v>
      </c>
      <c r="C84" s="29">
        <v>50600</v>
      </c>
      <c r="D84" s="29">
        <v>48400</v>
      </c>
      <c r="E84" s="29">
        <v>45250</v>
      </c>
      <c r="F84" s="29">
        <v>47600</v>
      </c>
      <c r="G84" s="29" t="str">
        <v>-</v>
      </c>
      <c r="H84" s="29">
        <v>46800</v>
      </c>
      <c r="I84" s="29" t="str">
        <v>-</v>
      </c>
      <c r="J84" s="29">
        <v>47200</v>
      </c>
      <c r="K84" s="29" t="str">
        <v>-</v>
      </c>
      <c r="L84" s="29">
        <v>50200</v>
      </c>
      <c r="M84" s="29">
        <v>46200</v>
      </c>
      <c r="N84" s="29">
        <v>46700</v>
      </c>
      <c r="O84" s="29" t="str">
        <v>-</v>
      </c>
      <c r="P84" s="29">
        <v>45400</v>
      </c>
      <c r="Q84" s="29">
        <v>45300</v>
      </c>
      <c r="R84" s="29">
        <v>45450</v>
      </c>
      <c r="S84" t="str">
        <v>-</v>
      </c>
      <c r="T84" t="str">
        <v>-</v>
      </c>
      <c r="U84" t="str">
        <v>-</v>
      </c>
      <c r="V84">
        <v>48400</v>
      </c>
      <c r="W84" t="str">
        <v>-</v>
      </c>
    </row>
    <row r="85" spans="1:23">
      <c r="A85" s="30">
        <v>44369</v>
      </c>
      <c r="B85" s="29">
        <v>48100</v>
      </c>
      <c r="C85" s="29">
        <v>50000</v>
      </c>
      <c r="D85" s="29">
        <v>47800</v>
      </c>
      <c r="E85" s="29">
        <v>44500</v>
      </c>
      <c r="F85" s="29">
        <v>47500</v>
      </c>
      <c r="G85" s="29" t="str">
        <v>-</v>
      </c>
      <c r="H85" s="29">
        <v>46800</v>
      </c>
      <c r="I85" s="29" t="str">
        <v>-</v>
      </c>
      <c r="J85" s="29">
        <v>47100</v>
      </c>
      <c r="K85" s="29" t="str">
        <v>-</v>
      </c>
      <c r="L85" s="29">
        <v>49800</v>
      </c>
      <c r="M85" s="29">
        <v>46000</v>
      </c>
      <c r="N85" s="29">
        <v>46700</v>
      </c>
      <c r="O85" s="29" t="str">
        <v>-</v>
      </c>
      <c r="P85" s="29">
        <v>44600</v>
      </c>
      <c r="Q85" s="29">
        <v>45000</v>
      </c>
      <c r="R85" s="29">
        <v>45500</v>
      </c>
      <c r="S85" t="str">
        <v>-</v>
      </c>
      <c r="T85" t="str">
        <v>-</v>
      </c>
      <c r="U85" t="str">
        <v>-</v>
      </c>
      <c r="V85">
        <v>48400</v>
      </c>
      <c r="W85" t="str">
        <v>-</v>
      </c>
    </row>
    <row r="86" spans="1:23">
      <c r="A86" s="30">
        <v>44370</v>
      </c>
      <c r="B86" s="29">
        <v>47800</v>
      </c>
      <c r="C86" s="29">
        <v>50000</v>
      </c>
      <c r="D86" s="29">
        <v>47600</v>
      </c>
      <c r="E86" s="29">
        <v>44500</v>
      </c>
      <c r="F86" s="29">
        <v>47500</v>
      </c>
      <c r="G86" s="29" t="str">
        <v>-</v>
      </c>
      <c r="H86" s="29">
        <v>46500</v>
      </c>
      <c r="I86" s="29" t="str">
        <v>-</v>
      </c>
      <c r="J86" s="29">
        <v>47000</v>
      </c>
      <c r="K86" s="29" t="str">
        <v>-</v>
      </c>
      <c r="L86" s="29">
        <v>49400</v>
      </c>
      <c r="M86" s="29">
        <v>45700</v>
      </c>
      <c r="N86" s="29">
        <v>46500</v>
      </c>
      <c r="O86" s="29" t="str">
        <v>-</v>
      </c>
      <c r="P86" s="29">
        <v>44400</v>
      </c>
      <c r="Q86" s="29">
        <v>44600</v>
      </c>
      <c r="R86" s="29">
        <v>44700</v>
      </c>
      <c r="S86" t="str">
        <v>-</v>
      </c>
      <c r="T86" t="str">
        <v>-</v>
      </c>
      <c r="U86" t="str">
        <v>-</v>
      </c>
      <c r="V86">
        <v>48100</v>
      </c>
      <c r="W86" t="str">
        <v>-</v>
      </c>
    </row>
    <row r="87" spans="1:23">
      <c r="A87" s="30">
        <v>44371</v>
      </c>
      <c r="B87" s="29">
        <v>47800</v>
      </c>
      <c r="C87" s="29">
        <v>49500</v>
      </c>
      <c r="D87" s="29">
        <v>47500</v>
      </c>
      <c r="E87" s="29">
        <v>44500</v>
      </c>
      <c r="F87" s="29">
        <v>47200</v>
      </c>
      <c r="G87" s="29" t="str">
        <v>-</v>
      </c>
      <c r="H87" s="29">
        <v>46500</v>
      </c>
      <c r="I87" s="29" t="str">
        <v>-</v>
      </c>
      <c r="J87" s="29">
        <v>46700</v>
      </c>
      <c r="K87" s="29" t="str">
        <v>-</v>
      </c>
      <c r="L87" s="29">
        <v>49200</v>
      </c>
      <c r="M87" s="29">
        <v>45500</v>
      </c>
      <c r="N87" s="29">
        <v>46600</v>
      </c>
      <c r="O87" s="29" t="str">
        <v>-</v>
      </c>
      <c r="P87" s="29">
        <v>44200</v>
      </c>
      <c r="Q87" s="29">
        <v>44500</v>
      </c>
      <c r="R87" s="29">
        <v>44600</v>
      </c>
      <c r="S87" t="str">
        <v>-</v>
      </c>
      <c r="T87" t="str">
        <v>-</v>
      </c>
      <c r="U87" t="str">
        <v>-</v>
      </c>
      <c r="V87">
        <v>48100</v>
      </c>
      <c r="W87" t="str">
        <v>-</v>
      </c>
    </row>
    <row r="88" spans="1:23">
      <c r="A88" s="30">
        <v>44372</v>
      </c>
      <c r="B88" s="29">
        <v>47700</v>
      </c>
      <c r="C88" s="29">
        <v>49300</v>
      </c>
      <c r="D88" s="29">
        <v>47000</v>
      </c>
      <c r="E88" s="29">
        <v>44000</v>
      </c>
      <c r="F88" s="29">
        <v>46800</v>
      </c>
      <c r="G88" s="29" t="str">
        <v>-</v>
      </c>
      <c r="H88" s="29">
        <v>46200</v>
      </c>
      <c r="I88" s="29" t="str">
        <v>-</v>
      </c>
      <c r="J88" s="29">
        <v>46600</v>
      </c>
      <c r="K88" s="29" t="str">
        <v>-</v>
      </c>
      <c r="L88" s="29">
        <v>49000</v>
      </c>
      <c r="M88" s="29">
        <v>45400</v>
      </c>
      <c r="N88" s="29">
        <v>46100</v>
      </c>
      <c r="O88" s="29" t="str">
        <v>-</v>
      </c>
      <c r="P88" s="29">
        <v>44000</v>
      </c>
      <c r="Q88" s="29">
        <v>44300</v>
      </c>
      <c r="R88" s="29">
        <v>44400</v>
      </c>
      <c r="S88" t="str">
        <v>-</v>
      </c>
      <c r="T88" t="str">
        <v>-</v>
      </c>
      <c r="U88" t="str">
        <v>-</v>
      </c>
      <c r="V88">
        <v>48000</v>
      </c>
      <c r="W88" t="str">
        <v>-</v>
      </c>
    </row>
    <row r="89" spans="1:23">
      <c r="A89" s="30">
        <v>44373</v>
      </c>
      <c r="B89" s="29">
        <v>47500</v>
      </c>
      <c r="C89" s="29">
        <v>49100</v>
      </c>
      <c r="D89" s="29">
        <v>47000</v>
      </c>
      <c r="E89" s="29">
        <v>44000</v>
      </c>
      <c r="F89" s="29">
        <v>46700</v>
      </c>
      <c r="G89" s="29" t="str">
        <v>-</v>
      </c>
      <c r="H89" s="29">
        <v>46000</v>
      </c>
      <c r="I89" s="29" t="str">
        <v>-</v>
      </c>
      <c r="J89" s="29">
        <v>46500</v>
      </c>
      <c r="K89" s="29" t="str">
        <v>-</v>
      </c>
      <c r="L89" s="29">
        <v>48700</v>
      </c>
      <c r="M89" s="29">
        <v>45400</v>
      </c>
      <c r="N89" s="29">
        <v>46100</v>
      </c>
      <c r="O89" s="29" t="str">
        <v>-</v>
      </c>
      <c r="P89" s="29">
        <v>43800</v>
      </c>
      <c r="Q89" s="29">
        <v>44100</v>
      </c>
      <c r="R89" s="29">
        <v>44200</v>
      </c>
      <c r="S89" t="str">
        <v>-</v>
      </c>
      <c r="T89" t="str">
        <v>-</v>
      </c>
      <c r="U89" t="str">
        <v>-</v>
      </c>
      <c r="V89">
        <v>47900</v>
      </c>
      <c r="W89" t="str">
        <v>-</v>
      </c>
    </row>
    <row r="90" spans="1:23">
      <c r="A90" s="30">
        <v>44374</v>
      </c>
      <c r="B90" s="29" t="str">
        <v>H</v>
      </c>
      <c r="C90" s="29" t="str">
        <v>H</v>
      </c>
      <c r="D90" s="29" t="str">
        <v>H</v>
      </c>
      <c r="E90" s="29" t="str">
        <v>H</v>
      </c>
      <c r="F90" s="29" t="str">
        <v>H</v>
      </c>
      <c r="G90" s="29" t="str">
        <v>H</v>
      </c>
      <c r="H90" s="29" t="str">
        <v>H</v>
      </c>
      <c r="I90" s="29" t="str">
        <v>H</v>
      </c>
      <c r="J90" s="29" t="str">
        <v>H</v>
      </c>
      <c r="K90" s="29" t="str">
        <v>H</v>
      </c>
      <c r="L90" s="29" t="str">
        <v>H</v>
      </c>
      <c r="M90" s="29" t="str">
        <v>H</v>
      </c>
      <c r="N90" s="29" t="str">
        <v>H</v>
      </c>
      <c r="O90" s="29" t="str">
        <v>H</v>
      </c>
      <c r="P90" s="29" t="str">
        <v>H</v>
      </c>
      <c r="Q90" s="29" t="str">
        <v>H</v>
      </c>
      <c r="R90" s="29" t="str">
        <v>H</v>
      </c>
      <c r="S90" t="str">
        <v>H</v>
      </c>
      <c r="T90" t="str">
        <v>H</v>
      </c>
      <c r="U90" t="str">
        <v>H</v>
      </c>
      <c r="V90" t="str">
        <v>H</v>
      </c>
      <c r="W90" t="str">
        <v>H</v>
      </c>
    </row>
    <row r="91" spans="1:23">
      <c r="A91" s="30">
        <v>44375</v>
      </c>
      <c r="B91" s="29">
        <v>47300</v>
      </c>
      <c r="C91" s="29">
        <v>49000</v>
      </c>
      <c r="D91" s="29">
        <v>46800</v>
      </c>
      <c r="E91" s="29">
        <v>43750</v>
      </c>
      <c r="F91" s="29">
        <v>46400</v>
      </c>
      <c r="G91" s="29" t="str">
        <v>-</v>
      </c>
      <c r="H91" s="29">
        <v>46000</v>
      </c>
      <c r="I91" s="29" t="str">
        <v>-</v>
      </c>
      <c r="J91" s="29">
        <v>46400</v>
      </c>
      <c r="K91" s="29" t="str">
        <v>-</v>
      </c>
      <c r="L91" s="29">
        <v>48400</v>
      </c>
      <c r="M91" s="29">
        <v>45300</v>
      </c>
      <c r="N91" s="29">
        <v>46000</v>
      </c>
      <c r="O91" s="29" t="str">
        <v>-</v>
      </c>
      <c r="P91" s="29">
        <v>43650</v>
      </c>
      <c r="Q91" s="29">
        <v>43800</v>
      </c>
      <c r="R91" s="29">
        <v>44200</v>
      </c>
      <c r="S91" t="str">
        <v>-</v>
      </c>
      <c r="T91" t="str">
        <v>-</v>
      </c>
      <c r="U91" t="str">
        <v>-</v>
      </c>
      <c r="V91">
        <v>47500</v>
      </c>
      <c r="W91" t="str">
        <v>-</v>
      </c>
    </row>
    <row r="92" spans="1:23">
      <c r="A92" s="30">
        <v>44376</v>
      </c>
      <c r="B92" s="29">
        <v>47000</v>
      </c>
      <c r="C92" s="29">
        <v>48500</v>
      </c>
      <c r="D92" s="29">
        <v>46400</v>
      </c>
      <c r="E92" s="29">
        <v>43700</v>
      </c>
      <c r="F92" s="29">
        <v>46300</v>
      </c>
      <c r="G92" s="29" t="str">
        <v>-</v>
      </c>
      <c r="H92" s="29">
        <v>45500</v>
      </c>
      <c r="I92" s="29" t="str">
        <v>-</v>
      </c>
      <c r="J92" s="29">
        <v>46300</v>
      </c>
      <c r="K92" s="29" t="str">
        <v>-</v>
      </c>
      <c r="L92" s="29">
        <v>47900</v>
      </c>
      <c r="M92" s="29">
        <v>45200</v>
      </c>
      <c r="N92" s="29">
        <v>45400</v>
      </c>
      <c r="O92" s="29" t="str">
        <v>-</v>
      </c>
      <c r="P92" s="29">
        <v>43200</v>
      </c>
      <c r="Q92" s="29">
        <v>43500</v>
      </c>
      <c r="R92" s="29">
        <v>44100</v>
      </c>
      <c r="S92" t="str">
        <v>-</v>
      </c>
      <c r="T92" t="str">
        <v>-</v>
      </c>
      <c r="U92" t="str">
        <v>-</v>
      </c>
      <c r="V92">
        <v>47300</v>
      </c>
      <c r="W92" t="str">
        <v>-</v>
      </c>
    </row>
    <row r="93" spans="1:23">
      <c r="A93" s="30">
        <v>44377</v>
      </c>
      <c r="B93" s="29">
        <v>46800</v>
      </c>
      <c r="C93" s="29">
        <v>48300</v>
      </c>
      <c r="D93" s="29">
        <v>46500</v>
      </c>
      <c r="E93" s="29">
        <v>43750</v>
      </c>
      <c r="F93" s="29">
        <v>45800</v>
      </c>
      <c r="G93" s="29" t="str">
        <v>-</v>
      </c>
      <c r="H93" s="29">
        <v>45500</v>
      </c>
      <c r="I93" s="29" t="str">
        <v>-</v>
      </c>
      <c r="J93" s="29">
        <v>46100</v>
      </c>
      <c r="K93" s="29" t="str">
        <v>-</v>
      </c>
      <c r="L93" s="29">
        <v>47600</v>
      </c>
      <c r="M93" s="29">
        <v>45200</v>
      </c>
      <c r="N93" s="29">
        <v>45700</v>
      </c>
      <c r="O93" s="29" t="str">
        <v>-</v>
      </c>
      <c r="P93" s="29">
        <v>43500</v>
      </c>
      <c r="Q93" s="29">
        <v>43600</v>
      </c>
      <c r="R93" s="29">
        <v>44300</v>
      </c>
      <c r="S93" t="str">
        <v>-</v>
      </c>
      <c r="T93" t="str">
        <v>-</v>
      </c>
      <c r="U93" t="str">
        <v>-</v>
      </c>
      <c r="V93">
        <v>47000</v>
      </c>
      <c r="W93" t="str">
        <v>-</v>
      </c>
    </row>
    <row r="94" spans="1:23">
      <c r="A94" s="30">
        <v>44378</v>
      </c>
      <c r="B94" s="29">
        <v>46600</v>
      </c>
      <c r="C94" s="29">
        <v>48000</v>
      </c>
      <c r="D94" s="29">
        <v>46400</v>
      </c>
      <c r="E94" s="29">
        <v>43500</v>
      </c>
      <c r="F94" s="29">
        <v>45700</v>
      </c>
      <c r="G94" s="29" t="str">
        <v>-</v>
      </c>
      <c r="H94" s="29">
        <v>45500</v>
      </c>
      <c r="I94" s="29" t="str">
        <v>-</v>
      </c>
      <c r="J94" s="29">
        <v>45800</v>
      </c>
      <c r="K94" s="29" t="str">
        <v>-</v>
      </c>
      <c r="L94" s="29">
        <v>47300</v>
      </c>
      <c r="M94" s="29">
        <v>45200</v>
      </c>
      <c r="N94" s="29">
        <v>45400</v>
      </c>
      <c r="O94" s="29" t="str">
        <v>-</v>
      </c>
      <c r="P94" s="29">
        <v>43300</v>
      </c>
      <c r="Q94" s="29">
        <v>43300</v>
      </c>
      <c r="R94" s="29">
        <v>44100</v>
      </c>
      <c r="S94" t="str">
        <v>-</v>
      </c>
      <c r="T94" t="str">
        <v>-</v>
      </c>
      <c r="U94" t="str">
        <v>-</v>
      </c>
      <c r="V94">
        <v>46800</v>
      </c>
      <c r="W94" t="str">
        <v>-</v>
      </c>
    </row>
    <row r="95" spans="1:23">
      <c r="A95" s="30">
        <v>44379</v>
      </c>
      <c r="B95" s="29">
        <v>46600</v>
      </c>
      <c r="C95" s="29">
        <v>47800</v>
      </c>
      <c r="D95" s="29">
        <v>46400</v>
      </c>
      <c r="E95" s="29">
        <v>43200</v>
      </c>
      <c r="F95" s="29">
        <v>45700</v>
      </c>
      <c r="G95" s="29" t="str">
        <v>-</v>
      </c>
      <c r="H95" s="29">
        <v>45200</v>
      </c>
      <c r="I95" s="29" t="str">
        <v>-</v>
      </c>
      <c r="J95" s="29">
        <v>45700</v>
      </c>
      <c r="K95" s="29" t="str">
        <v>-</v>
      </c>
      <c r="L95" s="29">
        <v>47200</v>
      </c>
      <c r="M95" s="29">
        <v>45200</v>
      </c>
      <c r="N95" s="29">
        <v>45400</v>
      </c>
      <c r="O95" s="29" t="str">
        <v>-</v>
      </c>
      <c r="P95" s="29">
        <v>43100</v>
      </c>
      <c r="Q95" s="29">
        <v>43200</v>
      </c>
      <c r="R95" s="29">
        <v>43900</v>
      </c>
      <c r="S95" t="str">
        <v>-</v>
      </c>
      <c r="T95" t="str">
        <v>-</v>
      </c>
      <c r="U95" t="str">
        <v>-</v>
      </c>
      <c r="V95">
        <v>46800</v>
      </c>
      <c r="W95" t="str">
        <v>-</v>
      </c>
    </row>
    <row r="96" spans="1:23">
      <c r="A96" s="30">
        <v>44380</v>
      </c>
      <c r="B96" s="29">
        <v>46600</v>
      </c>
      <c r="C96" s="29">
        <v>47500</v>
      </c>
      <c r="D96" s="29">
        <v>46200</v>
      </c>
      <c r="E96" s="29">
        <v>43200</v>
      </c>
      <c r="F96" s="29">
        <v>45500</v>
      </c>
      <c r="G96" s="29" t="str">
        <v>-</v>
      </c>
      <c r="H96" s="29">
        <v>45000</v>
      </c>
      <c r="I96" s="29" t="str">
        <v>-</v>
      </c>
      <c r="J96" s="29">
        <v>45600</v>
      </c>
      <c r="K96" s="29" t="str">
        <v>-</v>
      </c>
      <c r="L96" s="29">
        <v>47400</v>
      </c>
      <c r="M96" s="29">
        <v>45200</v>
      </c>
      <c r="N96" s="29">
        <v>45400</v>
      </c>
      <c r="O96" s="29" t="str">
        <v>-</v>
      </c>
      <c r="P96" s="29">
        <v>43100</v>
      </c>
      <c r="Q96" s="29">
        <v>43200</v>
      </c>
      <c r="R96" s="29">
        <v>43900</v>
      </c>
      <c r="S96" t="str">
        <v>-</v>
      </c>
      <c r="T96" t="str">
        <v>-</v>
      </c>
      <c r="U96" t="str">
        <v>-</v>
      </c>
      <c r="V96">
        <v>46800</v>
      </c>
      <c r="W96" t="str">
        <v>-</v>
      </c>
    </row>
    <row r="97" spans="1:23">
      <c r="A97" s="30">
        <v>44381</v>
      </c>
      <c r="B97" s="29" t="str">
        <v>H</v>
      </c>
      <c r="C97" s="29" t="str">
        <v>H</v>
      </c>
      <c r="D97" s="29" t="str">
        <v>H</v>
      </c>
      <c r="E97" s="29" t="str">
        <v>H</v>
      </c>
      <c r="F97" s="29" t="str">
        <v>H</v>
      </c>
      <c r="G97" s="29" t="str">
        <v>H</v>
      </c>
      <c r="H97" s="29" t="str">
        <v>H</v>
      </c>
      <c r="I97" s="29" t="str">
        <v>H</v>
      </c>
      <c r="J97" s="29" t="str">
        <v>H</v>
      </c>
      <c r="K97" s="29" t="str">
        <v>H</v>
      </c>
      <c r="L97" s="29" t="str">
        <v>H</v>
      </c>
      <c r="M97" s="29" t="str">
        <v>H</v>
      </c>
      <c r="N97" s="29" t="str">
        <v>H</v>
      </c>
      <c r="O97" s="29" t="str">
        <v>H</v>
      </c>
      <c r="P97" s="29" t="str">
        <v>H</v>
      </c>
      <c r="Q97" s="29" t="str">
        <v>H</v>
      </c>
      <c r="R97" s="29" t="str">
        <v>H</v>
      </c>
      <c r="S97" t="str">
        <v>H</v>
      </c>
      <c r="T97" t="str">
        <v>H</v>
      </c>
      <c r="U97" t="str">
        <v>H</v>
      </c>
      <c r="V97" t="str">
        <v>H</v>
      </c>
      <c r="W97" t="str">
        <v>H</v>
      </c>
    </row>
    <row r="98" spans="1:23">
      <c r="A98" s="30">
        <v>44382</v>
      </c>
      <c r="B98" s="29">
        <v>46700</v>
      </c>
      <c r="C98" s="29">
        <v>47300</v>
      </c>
      <c r="D98" s="29">
        <v>46200</v>
      </c>
      <c r="E98" s="29">
        <v>43250</v>
      </c>
      <c r="F98" s="29">
        <v>45500</v>
      </c>
      <c r="G98" s="29" t="str">
        <v>-</v>
      </c>
      <c r="H98" s="29">
        <v>45000</v>
      </c>
      <c r="I98" s="29" t="str">
        <v>-</v>
      </c>
      <c r="J98" s="29">
        <v>45600</v>
      </c>
      <c r="K98" s="29" t="str">
        <v>-</v>
      </c>
      <c r="L98" s="29">
        <v>47800</v>
      </c>
      <c r="M98" s="29">
        <v>45200</v>
      </c>
      <c r="N98" s="29">
        <v>45500</v>
      </c>
      <c r="O98" s="29" t="str">
        <v>-</v>
      </c>
      <c r="P98" s="29">
        <v>43150</v>
      </c>
      <c r="Q98" s="29">
        <v>43300</v>
      </c>
      <c r="R98" s="29">
        <v>43900</v>
      </c>
      <c r="S98" t="str">
        <v>-</v>
      </c>
      <c r="T98" t="str">
        <v>-</v>
      </c>
      <c r="U98" t="str">
        <v>-</v>
      </c>
      <c r="V98">
        <v>46600</v>
      </c>
      <c r="W98" t="str">
        <v>-</v>
      </c>
    </row>
    <row r="99" spans="1:23">
      <c r="A99" s="30">
        <v>44383</v>
      </c>
      <c r="B99" s="29">
        <v>46600</v>
      </c>
      <c r="C99" s="29">
        <v>47000</v>
      </c>
      <c r="D99" s="29">
        <v>46100</v>
      </c>
      <c r="E99" s="29">
        <v>42750</v>
      </c>
      <c r="F99" s="29">
        <v>45400</v>
      </c>
      <c r="G99" s="29" t="str">
        <v>-</v>
      </c>
      <c r="H99" s="29">
        <v>45000</v>
      </c>
      <c r="I99" s="29" t="str">
        <v>-</v>
      </c>
      <c r="J99" s="29">
        <v>45600</v>
      </c>
      <c r="K99" s="29" t="str">
        <v>-</v>
      </c>
      <c r="L99" s="29">
        <v>47800</v>
      </c>
      <c r="M99" s="29">
        <v>45200</v>
      </c>
      <c r="N99" s="29">
        <v>45100</v>
      </c>
      <c r="O99" s="29" t="str">
        <v>-</v>
      </c>
      <c r="P99" s="29">
        <v>43000</v>
      </c>
      <c r="Q99" s="29">
        <v>43200</v>
      </c>
      <c r="R99" s="29">
        <v>43700</v>
      </c>
      <c r="S99" t="str">
        <v>-</v>
      </c>
      <c r="T99" t="str">
        <v>-</v>
      </c>
      <c r="U99" t="str">
        <v>-</v>
      </c>
      <c r="V99">
        <v>46200</v>
      </c>
      <c r="W99" t="str">
        <v>-</v>
      </c>
    </row>
    <row r="100" spans="1:23">
      <c r="A100" s="30">
        <v>44384</v>
      </c>
      <c r="B100" s="29">
        <v>46400</v>
      </c>
      <c r="C100" s="29">
        <v>47000</v>
      </c>
      <c r="D100" s="29">
        <v>46100</v>
      </c>
      <c r="E100" s="29">
        <v>42750</v>
      </c>
      <c r="F100" s="29">
        <v>45400</v>
      </c>
      <c r="G100" s="29" t="str">
        <v>-</v>
      </c>
      <c r="H100" s="29">
        <v>45000</v>
      </c>
      <c r="I100" s="29" t="str">
        <v>-</v>
      </c>
      <c r="J100" s="29">
        <v>45700</v>
      </c>
      <c r="K100" s="29" t="str">
        <v>-</v>
      </c>
      <c r="L100" s="29">
        <v>48000</v>
      </c>
      <c r="M100" s="29">
        <v>45400</v>
      </c>
      <c r="N100" s="29">
        <v>45100</v>
      </c>
      <c r="O100" s="29" t="str">
        <v>-</v>
      </c>
      <c r="P100" s="29">
        <v>43000</v>
      </c>
      <c r="Q100" s="29">
        <v>43100</v>
      </c>
      <c r="R100" s="29">
        <v>43500</v>
      </c>
      <c r="S100" t="str">
        <v>-</v>
      </c>
      <c r="T100" t="str">
        <v>-</v>
      </c>
      <c r="U100" t="str">
        <v>-</v>
      </c>
      <c r="V100">
        <v>46000</v>
      </c>
      <c r="W100" t="str">
        <v>-</v>
      </c>
    </row>
    <row r="101" spans="1:23">
      <c r="A101" s="30">
        <v>44385</v>
      </c>
      <c r="B101" s="29">
        <v>46500</v>
      </c>
      <c r="C101" s="29">
        <v>47000</v>
      </c>
      <c r="D101" s="29">
        <v>46000</v>
      </c>
      <c r="E101" s="29">
        <v>42750</v>
      </c>
      <c r="F101" s="29">
        <v>45400</v>
      </c>
      <c r="G101" s="29" t="str">
        <v>-</v>
      </c>
      <c r="H101" s="29">
        <v>44800</v>
      </c>
      <c r="I101" s="29" t="str">
        <v>-</v>
      </c>
      <c r="J101" s="29">
        <v>45700</v>
      </c>
      <c r="K101" s="29" t="str">
        <v>-</v>
      </c>
      <c r="L101" s="29">
        <v>48100</v>
      </c>
      <c r="M101" s="29">
        <v>45700</v>
      </c>
      <c r="N101" s="29">
        <v>45100</v>
      </c>
      <c r="O101" s="29" t="str">
        <v>-</v>
      </c>
      <c r="P101" s="29">
        <v>42800</v>
      </c>
      <c r="Q101" s="29">
        <v>43000</v>
      </c>
      <c r="R101" s="29">
        <v>43500</v>
      </c>
      <c r="S101" t="str">
        <v>-</v>
      </c>
      <c r="T101" t="str">
        <v>-</v>
      </c>
      <c r="U101" t="str">
        <v>-</v>
      </c>
      <c r="V101">
        <v>46000</v>
      </c>
      <c r="W101" t="str">
        <v>-</v>
      </c>
    </row>
    <row r="102" spans="1:23">
      <c r="A102" s="30">
        <v>44386</v>
      </c>
      <c r="B102" s="29">
        <v>46500</v>
      </c>
      <c r="C102" s="29">
        <v>47000</v>
      </c>
      <c r="D102" s="29">
        <v>46100</v>
      </c>
      <c r="E102" s="29">
        <v>42750</v>
      </c>
      <c r="F102" s="29">
        <v>45400</v>
      </c>
      <c r="G102" s="29" t="str">
        <v>-</v>
      </c>
      <c r="H102" s="29">
        <v>44500</v>
      </c>
      <c r="I102" s="29" t="str">
        <v>-</v>
      </c>
      <c r="J102" s="29">
        <v>45700</v>
      </c>
      <c r="K102" s="29" t="str">
        <v>-</v>
      </c>
      <c r="L102" s="29">
        <v>48200</v>
      </c>
      <c r="M102" s="29">
        <v>46100</v>
      </c>
      <c r="N102" s="29">
        <v>45200</v>
      </c>
      <c r="O102" s="29" t="str">
        <v>-</v>
      </c>
      <c r="P102" s="29">
        <v>42700</v>
      </c>
      <c r="Q102" s="29">
        <v>43000</v>
      </c>
      <c r="R102" s="29">
        <v>43300</v>
      </c>
      <c r="S102" t="str">
        <v>-</v>
      </c>
      <c r="T102" t="str">
        <v>-</v>
      </c>
      <c r="U102" t="str">
        <v>-</v>
      </c>
      <c r="V102">
        <v>46000</v>
      </c>
      <c r="W102" t="str">
        <v>-</v>
      </c>
    </row>
    <row r="103" spans="1:23">
      <c r="A103" s="30">
        <v>44387</v>
      </c>
      <c r="B103" s="29">
        <v>46900</v>
      </c>
      <c r="C103" s="29">
        <v>47700</v>
      </c>
      <c r="D103" s="29">
        <v>46300</v>
      </c>
      <c r="E103" s="29">
        <v>43150</v>
      </c>
      <c r="F103" s="29">
        <v>45500</v>
      </c>
      <c r="G103" s="29" t="str">
        <v>-</v>
      </c>
      <c r="H103" s="29">
        <v>45300</v>
      </c>
      <c r="I103" s="29" t="str">
        <v>-</v>
      </c>
      <c r="J103" s="29">
        <v>45900</v>
      </c>
      <c r="K103" s="29" t="str">
        <v>-</v>
      </c>
      <c r="L103" s="29">
        <v>48800</v>
      </c>
      <c r="M103" s="29">
        <v>46400</v>
      </c>
      <c r="N103" s="29">
        <v>45700</v>
      </c>
      <c r="O103" s="29" t="str">
        <v>-</v>
      </c>
      <c r="P103" s="29">
        <v>43400</v>
      </c>
      <c r="Q103" s="29">
        <v>43500</v>
      </c>
      <c r="R103" s="29">
        <v>43700</v>
      </c>
      <c r="S103" t="str">
        <v>-</v>
      </c>
      <c r="T103" t="str">
        <v>-</v>
      </c>
      <c r="U103" t="str">
        <v>-</v>
      </c>
      <c r="V103">
        <v>46000</v>
      </c>
      <c r="W103" t="str">
        <v>-</v>
      </c>
    </row>
    <row r="104" spans="1:23">
      <c r="A104" s="30">
        <v>44388</v>
      </c>
      <c r="B104" s="29" t="str">
        <v>H</v>
      </c>
      <c r="C104" s="29" t="str">
        <v>H</v>
      </c>
      <c r="D104" s="29" t="str">
        <v>H</v>
      </c>
      <c r="E104" s="29" t="str">
        <v>H</v>
      </c>
      <c r="F104" s="29" t="str">
        <v>H</v>
      </c>
      <c r="G104" s="29" t="str">
        <v>H</v>
      </c>
      <c r="H104" s="29" t="str">
        <v>H</v>
      </c>
      <c r="I104" s="29" t="str">
        <v>H</v>
      </c>
      <c r="J104" s="29" t="str">
        <v>H</v>
      </c>
      <c r="K104" s="29" t="str">
        <v>H</v>
      </c>
      <c r="L104" s="29" t="str">
        <v>H</v>
      </c>
      <c r="M104" s="29" t="str">
        <v>H</v>
      </c>
      <c r="N104" s="29" t="str">
        <v>H</v>
      </c>
      <c r="O104" s="29" t="str">
        <v>H</v>
      </c>
      <c r="P104" s="29" t="str">
        <v>H</v>
      </c>
      <c r="Q104" s="29" t="str">
        <v>H</v>
      </c>
      <c r="R104" s="29" t="str">
        <v>H</v>
      </c>
      <c r="S104" t="str">
        <v>H</v>
      </c>
      <c r="T104" t="str">
        <v>H</v>
      </c>
      <c r="U104" t="str">
        <v>H</v>
      </c>
      <c r="V104" t="str">
        <v>H</v>
      </c>
      <c r="W104" t="str">
        <v>H</v>
      </c>
    </row>
    <row r="105" spans="1:23">
      <c r="A105" s="30">
        <v>44389</v>
      </c>
      <c r="B105" s="29">
        <v>47500</v>
      </c>
      <c r="C105" s="29">
        <v>48300</v>
      </c>
      <c r="D105" s="29">
        <v>46400</v>
      </c>
      <c r="E105" s="29">
        <v>43750</v>
      </c>
      <c r="F105" s="29">
        <v>46300</v>
      </c>
      <c r="G105" s="29" t="str">
        <v>-</v>
      </c>
      <c r="H105" s="29">
        <v>46000</v>
      </c>
      <c r="I105" s="29" t="str">
        <v>-</v>
      </c>
      <c r="J105" s="29">
        <v>46400</v>
      </c>
      <c r="K105" s="29" t="str">
        <v>-</v>
      </c>
      <c r="L105" s="29">
        <v>49300</v>
      </c>
      <c r="M105" s="29">
        <v>46900</v>
      </c>
      <c r="N105" s="29">
        <v>45700</v>
      </c>
      <c r="O105" s="29" t="str">
        <v>-</v>
      </c>
      <c r="P105" s="29">
        <v>44200</v>
      </c>
      <c r="Q105" s="29">
        <v>44100</v>
      </c>
      <c r="R105" s="29">
        <v>44100</v>
      </c>
      <c r="S105" t="str">
        <v>-</v>
      </c>
      <c r="T105" t="str">
        <v>-</v>
      </c>
      <c r="U105" t="str">
        <v>-</v>
      </c>
      <c r="V105">
        <v>46500</v>
      </c>
      <c r="W105" t="str">
        <v>-</v>
      </c>
    </row>
    <row r="106" spans="1:23">
      <c r="A106" s="30">
        <v>44390</v>
      </c>
      <c r="B106" s="29">
        <v>47300</v>
      </c>
      <c r="C106" s="29">
        <v>48300</v>
      </c>
      <c r="D106" s="29">
        <v>46200</v>
      </c>
      <c r="E106" s="29">
        <v>43400</v>
      </c>
      <c r="F106" s="29">
        <v>46300</v>
      </c>
      <c r="G106" s="29" t="str">
        <v>-</v>
      </c>
      <c r="H106" s="29">
        <v>46000</v>
      </c>
      <c r="I106" s="29" t="str">
        <v>-</v>
      </c>
      <c r="J106" s="29">
        <v>46400</v>
      </c>
      <c r="K106" s="29" t="str">
        <v>-</v>
      </c>
      <c r="L106" s="29">
        <v>48800</v>
      </c>
      <c r="M106" s="29">
        <v>47500</v>
      </c>
      <c r="N106" s="29">
        <v>45100</v>
      </c>
      <c r="O106" s="29" t="str">
        <v>-</v>
      </c>
      <c r="P106" s="29">
        <v>43900</v>
      </c>
      <c r="Q106" s="29">
        <v>43900</v>
      </c>
      <c r="R106" s="29">
        <v>44000</v>
      </c>
      <c r="S106" t="str">
        <v>-</v>
      </c>
      <c r="T106" t="str">
        <v>-</v>
      </c>
      <c r="U106" t="str">
        <v>-</v>
      </c>
      <c r="V106">
        <v>46500</v>
      </c>
      <c r="W106" t="str">
        <v>-</v>
      </c>
    </row>
    <row r="107" spans="1:23">
      <c r="A107" s="30">
        <v>44391</v>
      </c>
      <c r="B107" s="29">
        <v>47200</v>
      </c>
      <c r="C107" s="29">
        <v>48000</v>
      </c>
      <c r="D107" s="29">
        <v>45800</v>
      </c>
      <c r="E107" s="29">
        <v>43300</v>
      </c>
      <c r="F107" s="29">
        <v>46000</v>
      </c>
      <c r="G107" s="29" t="str">
        <v>-</v>
      </c>
      <c r="H107" s="29">
        <v>45500</v>
      </c>
      <c r="I107" s="29" t="str">
        <v>-</v>
      </c>
      <c r="J107" s="29">
        <v>46300</v>
      </c>
      <c r="K107" s="29" t="str">
        <v>-</v>
      </c>
      <c r="L107" s="29">
        <v>48200</v>
      </c>
      <c r="M107" s="29">
        <v>47500</v>
      </c>
      <c r="N107" s="29">
        <v>44800</v>
      </c>
      <c r="O107" s="29" t="str">
        <v>-</v>
      </c>
      <c r="P107" s="29">
        <v>43100</v>
      </c>
      <c r="Q107" s="29">
        <v>43500</v>
      </c>
      <c r="R107" s="29">
        <v>43300</v>
      </c>
      <c r="S107" t="str">
        <v>-</v>
      </c>
      <c r="T107" t="str">
        <v>-</v>
      </c>
      <c r="U107" t="str">
        <v>-</v>
      </c>
      <c r="V107">
        <v>46400</v>
      </c>
      <c r="W107" t="str">
        <v>-</v>
      </c>
    </row>
    <row r="108" spans="1:23">
      <c r="A108" s="30">
        <v>44392</v>
      </c>
      <c r="B108" s="29">
        <v>47200</v>
      </c>
      <c r="C108" s="29">
        <v>47900</v>
      </c>
      <c r="D108" s="29">
        <v>45600</v>
      </c>
      <c r="E108" s="29">
        <v>43300</v>
      </c>
      <c r="F108" s="29">
        <v>46000</v>
      </c>
      <c r="G108" s="29" t="str">
        <v>-</v>
      </c>
      <c r="H108" s="29">
        <v>45500</v>
      </c>
      <c r="I108" s="29" t="str">
        <v>-</v>
      </c>
      <c r="J108" s="29">
        <v>46200</v>
      </c>
      <c r="K108" s="29" t="str">
        <v>-</v>
      </c>
      <c r="L108" s="29">
        <v>48200</v>
      </c>
      <c r="M108" s="29">
        <v>47500</v>
      </c>
      <c r="N108" s="29">
        <v>44500</v>
      </c>
      <c r="O108" s="29" t="str">
        <v>-</v>
      </c>
      <c r="P108" s="29">
        <v>43200</v>
      </c>
      <c r="Q108" s="29">
        <v>43800</v>
      </c>
      <c r="R108" s="29">
        <v>43650</v>
      </c>
      <c r="S108" t="str">
        <v>-</v>
      </c>
      <c r="T108" t="str">
        <v>-</v>
      </c>
      <c r="U108" t="str">
        <v>-</v>
      </c>
      <c r="V108">
        <v>46200</v>
      </c>
      <c r="W108" t="str">
        <v>-</v>
      </c>
    </row>
    <row r="109" spans="1:23">
      <c r="A109" s="30">
        <v>44393</v>
      </c>
      <c r="B109" s="29">
        <v>47200</v>
      </c>
      <c r="C109" s="29">
        <v>47900</v>
      </c>
      <c r="D109" s="29">
        <v>45500</v>
      </c>
      <c r="E109" s="29">
        <v>43200</v>
      </c>
      <c r="F109" s="29">
        <v>46000</v>
      </c>
      <c r="G109" s="29" t="str">
        <v>-</v>
      </c>
      <c r="H109" s="29">
        <v>45500</v>
      </c>
      <c r="I109" s="29" t="str">
        <v>-</v>
      </c>
      <c r="J109" s="29">
        <v>46000</v>
      </c>
      <c r="K109" s="29" t="str">
        <v>-</v>
      </c>
      <c r="L109" s="29">
        <v>47700</v>
      </c>
      <c r="M109" s="29">
        <v>47200</v>
      </c>
      <c r="N109" s="29">
        <v>44200</v>
      </c>
      <c r="O109" s="29" t="str">
        <v>-</v>
      </c>
      <c r="P109" s="29">
        <v>43300</v>
      </c>
      <c r="Q109" s="29">
        <v>43800</v>
      </c>
      <c r="R109" s="29">
        <v>43650</v>
      </c>
      <c r="S109" t="str">
        <v>-</v>
      </c>
      <c r="T109" t="str">
        <v>-</v>
      </c>
      <c r="U109" t="str">
        <v>-</v>
      </c>
      <c r="V109">
        <v>46000</v>
      </c>
      <c r="W109" t="str">
        <v>-</v>
      </c>
    </row>
    <row r="110" spans="1:23">
      <c r="A110" s="30">
        <v>44394</v>
      </c>
      <c r="B110" s="29">
        <v>47500</v>
      </c>
      <c r="C110" s="29">
        <v>47500</v>
      </c>
      <c r="D110" s="29">
        <v>46000</v>
      </c>
      <c r="E110" s="29">
        <v>43500</v>
      </c>
      <c r="F110" s="29">
        <v>46000</v>
      </c>
      <c r="G110" s="29" t="str">
        <v>-</v>
      </c>
      <c r="H110" s="29">
        <v>46500</v>
      </c>
      <c r="I110" s="29" t="str">
        <v>-</v>
      </c>
      <c r="J110" s="29">
        <v>46200</v>
      </c>
      <c r="K110" s="29" t="str">
        <v>-</v>
      </c>
      <c r="L110" s="29">
        <v>48300</v>
      </c>
      <c r="M110" s="29">
        <v>47200</v>
      </c>
      <c r="N110" s="29">
        <v>44500</v>
      </c>
      <c r="O110" s="29" t="str">
        <v>-</v>
      </c>
      <c r="P110" s="29">
        <v>43800</v>
      </c>
      <c r="Q110" s="29">
        <v>44100</v>
      </c>
      <c r="R110" s="29">
        <v>44100</v>
      </c>
      <c r="S110" t="str">
        <v>-</v>
      </c>
      <c r="T110" t="str">
        <v>-</v>
      </c>
      <c r="U110" t="str">
        <v>-</v>
      </c>
      <c r="V110">
        <v>46000</v>
      </c>
      <c r="W110" t="str">
        <v>-</v>
      </c>
    </row>
    <row r="111" spans="1:23">
      <c r="A111" s="30">
        <v>44395</v>
      </c>
      <c r="B111" s="29" t="str">
        <v>H</v>
      </c>
      <c r="C111" s="29" t="str">
        <v>H</v>
      </c>
      <c r="D111" s="29" t="str">
        <v>H</v>
      </c>
      <c r="E111" s="29" t="str">
        <v>H</v>
      </c>
      <c r="F111" s="29" t="str">
        <v>H</v>
      </c>
      <c r="G111" s="29" t="str">
        <v>H</v>
      </c>
      <c r="H111" s="29" t="str">
        <v>H</v>
      </c>
      <c r="I111" s="29" t="str">
        <v>H</v>
      </c>
      <c r="J111" s="29" t="str">
        <v>H</v>
      </c>
      <c r="K111" s="29" t="str">
        <v>H</v>
      </c>
      <c r="L111" s="29" t="str">
        <v>H</v>
      </c>
      <c r="M111" s="29" t="str">
        <v>H</v>
      </c>
      <c r="N111" s="29" t="str">
        <v>H</v>
      </c>
      <c r="O111" s="29" t="str">
        <v>H</v>
      </c>
      <c r="P111" s="29" t="str">
        <v>H</v>
      </c>
      <c r="Q111" s="29" t="str">
        <v>H</v>
      </c>
      <c r="R111" s="29" t="str">
        <v>H</v>
      </c>
      <c r="S111" t="str">
        <v>H</v>
      </c>
      <c r="T111" t="str">
        <v>H</v>
      </c>
      <c r="U111" t="str">
        <v>H</v>
      </c>
      <c r="V111" t="str">
        <v>H</v>
      </c>
      <c r="W111" t="str">
        <v>H</v>
      </c>
    </row>
    <row r="112" spans="1:23">
      <c r="A112" s="30">
        <v>44396</v>
      </c>
      <c r="B112" s="29">
        <v>47800</v>
      </c>
      <c r="C112" s="29">
        <v>47500</v>
      </c>
      <c r="D112" s="29">
        <v>46100</v>
      </c>
      <c r="E112" s="29">
        <v>44100</v>
      </c>
      <c r="F112" s="29">
        <v>46000</v>
      </c>
      <c r="G112" s="29" t="str">
        <v>-</v>
      </c>
      <c r="H112" s="29">
        <v>46500</v>
      </c>
      <c r="I112" s="29" t="str">
        <v>-</v>
      </c>
      <c r="J112" s="29">
        <v>46500</v>
      </c>
      <c r="K112" s="29" t="str">
        <v>-</v>
      </c>
      <c r="L112" s="29">
        <v>48600</v>
      </c>
      <c r="M112" s="29">
        <v>47200</v>
      </c>
      <c r="N112" s="29">
        <v>44700</v>
      </c>
      <c r="O112" s="29" t="str">
        <v>-</v>
      </c>
      <c r="P112" s="29">
        <v>44000</v>
      </c>
      <c r="Q112" s="29">
        <v>44300</v>
      </c>
      <c r="R112" s="29">
        <v>44000</v>
      </c>
      <c r="S112" t="str">
        <v>-</v>
      </c>
      <c r="T112" t="str">
        <v>-</v>
      </c>
      <c r="U112" t="str">
        <v>-</v>
      </c>
      <c r="V112">
        <v>46000</v>
      </c>
      <c r="W112" t="str">
        <v>-</v>
      </c>
    </row>
    <row r="113" spans="1:23">
      <c r="A113" s="30">
        <v>44397</v>
      </c>
      <c r="B113" s="29">
        <v>48500</v>
      </c>
      <c r="C113" s="29">
        <v>47200</v>
      </c>
      <c r="D113" s="29">
        <v>46300</v>
      </c>
      <c r="E113" s="29">
        <v>44300</v>
      </c>
      <c r="F113" s="29">
        <v>46300</v>
      </c>
      <c r="G113" s="29" t="str">
        <v>-</v>
      </c>
      <c r="H113" s="29">
        <v>47000</v>
      </c>
      <c r="I113" s="29" t="str">
        <v>-</v>
      </c>
      <c r="J113" s="29">
        <v>47200</v>
      </c>
      <c r="K113" s="29" t="str">
        <v>-</v>
      </c>
      <c r="L113" s="29">
        <v>49200</v>
      </c>
      <c r="M113" s="29">
        <v>47700</v>
      </c>
      <c r="N113" s="29">
        <v>45500</v>
      </c>
      <c r="O113" s="29" t="str">
        <v>-</v>
      </c>
      <c r="P113" s="29">
        <v>44400</v>
      </c>
      <c r="Q113" s="29">
        <v>44700</v>
      </c>
      <c r="R113" s="29">
        <v>44750</v>
      </c>
      <c r="S113" t="str">
        <v>-</v>
      </c>
      <c r="T113" t="str">
        <v>-</v>
      </c>
      <c r="U113" t="str">
        <v>-</v>
      </c>
      <c r="V113">
        <v>46300</v>
      </c>
      <c r="W113" t="str">
        <v>-</v>
      </c>
    </row>
    <row r="114" spans="1:23">
      <c r="A114" s="30">
        <v>44398</v>
      </c>
      <c r="B114" s="29">
        <v>48600</v>
      </c>
      <c r="C114" s="29">
        <v>47200</v>
      </c>
      <c r="D114" s="29">
        <v>46300</v>
      </c>
      <c r="E114" s="29">
        <v>44500</v>
      </c>
      <c r="F114" s="29">
        <v>46300</v>
      </c>
      <c r="G114" s="29" t="str">
        <v>-</v>
      </c>
      <c r="H114" s="29">
        <v>47000</v>
      </c>
      <c r="I114" s="29" t="str">
        <v>-</v>
      </c>
      <c r="J114" s="29">
        <v>47200</v>
      </c>
      <c r="K114" s="29" t="str">
        <v>-</v>
      </c>
      <c r="L114" s="29">
        <v>49800</v>
      </c>
      <c r="M114" s="29">
        <v>47700</v>
      </c>
      <c r="N114" s="29">
        <v>45500</v>
      </c>
      <c r="O114" s="29" t="str">
        <v>-</v>
      </c>
      <c r="P114" s="29">
        <v>44500</v>
      </c>
      <c r="Q114" s="29">
        <v>45000</v>
      </c>
      <c r="R114" s="29">
        <v>44900</v>
      </c>
      <c r="S114" t="str">
        <v>-</v>
      </c>
      <c r="T114" t="str">
        <v>-</v>
      </c>
      <c r="U114" t="str">
        <v>-</v>
      </c>
      <c r="V114">
        <v>46300</v>
      </c>
      <c r="W114" t="str">
        <v>-</v>
      </c>
    </row>
    <row r="115" spans="1:23">
      <c r="A115" s="30">
        <v>44399</v>
      </c>
      <c r="B115" s="29">
        <v>48900</v>
      </c>
      <c r="C115" s="29">
        <v>47200</v>
      </c>
      <c r="D115" s="29">
        <v>46300</v>
      </c>
      <c r="E115" s="29">
        <v>44700</v>
      </c>
      <c r="F115" s="29">
        <v>46700</v>
      </c>
      <c r="G115" s="29" t="str">
        <v>-</v>
      </c>
      <c r="H115" s="29">
        <v>47000</v>
      </c>
      <c r="I115" s="29" t="str">
        <v>-</v>
      </c>
      <c r="J115" s="29">
        <v>47200</v>
      </c>
      <c r="K115" s="29" t="str">
        <v>-</v>
      </c>
      <c r="L115" s="29">
        <v>49900</v>
      </c>
      <c r="M115" s="29">
        <v>47700</v>
      </c>
      <c r="N115" s="29">
        <v>45900</v>
      </c>
      <c r="O115" s="29" t="str">
        <v>-</v>
      </c>
      <c r="P115" s="29">
        <v>44600</v>
      </c>
      <c r="Q115" s="29">
        <v>44700</v>
      </c>
      <c r="R115" s="29">
        <v>44900</v>
      </c>
      <c r="S115" t="str">
        <v>-</v>
      </c>
      <c r="T115" t="str">
        <v>-</v>
      </c>
      <c r="U115" t="str">
        <v>-</v>
      </c>
      <c r="V115">
        <v>46300</v>
      </c>
      <c r="W115" t="str">
        <v>-</v>
      </c>
    </row>
    <row r="116" spans="1:23">
      <c r="A116" s="30">
        <v>44400</v>
      </c>
      <c r="B116" s="29">
        <v>48800</v>
      </c>
      <c r="C116" s="29">
        <v>47200</v>
      </c>
      <c r="D116" s="29">
        <v>46200</v>
      </c>
      <c r="E116" s="29">
        <v>44250</v>
      </c>
      <c r="F116" s="29">
        <v>46700</v>
      </c>
      <c r="G116" s="29" t="str">
        <v>-</v>
      </c>
      <c r="H116" s="29">
        <v>47000</v>
      </c>
      <c r="I116" s="29" t="str">
        <v>-</v>
      </c>
      <c r="J116" s="29">
        <v>47200</v>
      </c>
      <c r="K116" s="29" t="str">
        <v>-</v>
      </c>
      <c r="L116" s="29">
        <v>49800</v>
      </c>
      <c r="M116" s="29">
        <v>47700</v>
      </c>
      <c r="N116" s="29">
        <v>45800</v>
      </c>
      <c r="O116" s="29" t="str">
        <v>-</v>
      </c>
      <c r="P116" s="29">
        <v>44500</v>
      </c>
      <c r="Q116" s="29">
        <v>44700</v>
      </c>
      <c r="R116" s="29">
        <v>44500</v>
      </c>
      <c r="S116" t="str">
        <v>-</v>
      </c>
      <c r="T116" t="str">
        <v>-</v>
      </c>
      <c r="U116" t="str">
        <v>-</v>
      </c>
      <c r="V116">
        <v>46300</v>
      </c>
      <c r="W116" t="str">
        <v>-</v>
      </c>
    </row>
    <row r="117" spans="1:23">
      <c r="A117" s="30">
        <v>44401</v>
      </c>
      <c r="B117" s="29">
        <v>48800</v>
      </c>
      <c r="C117" s="29">
        <v>47000</v>
      </c>
      <c r="D117" s="29">
        <v>46700</v>
      </c>
      <c r="E117" s="29">
        <v>44000</v>
      </c>
      <c r="F117" s="29">
        <v>46700</v>
      </c>
      <c r="G117" s="29" t="str">
        <v>-</v>
      </c>
      <c r="H117" s="29">
        <v>46500</v>
      </c>
      <c r="I117" s="29" t="str">
        <v>-</v>
      </c>
      <c r="J117" s="29">
        <v>47200</v>
      </c>
      <c r="K117" s="29" t="str">
        <v>-</v>
      </c>
      <c r="L117" s="29">
        <v>50000</v>
      </c>
      <c r="M117" s="29">
        <v>47700</v>
      </c>
      <c r="N117" s="29">
        <v>45500</v>
      </c>
      <c r="O117" s="29" t="str">
        <v>-</v>
      </c>
      <c r="P117" s="29">
        <v>44300</v>
      </c>
      <c r="Q117" s="29">
        <v>44700</v>
      </c>
      <c r="R117" s="29">
        <v>44500</v>
      </c>
      <c r="S117" t="str">
        <v>-</v>
      </c>
      <c r="T117" t="str">
        <v>-</v>
      </c>
      <c r="U117" t="str">
        <v>-</v>
      </c>
      <c r="V117">
        <v>46300</v>
      </c>
      <c r="W117" t="str">
        <v>-</v>
      </c>
    </row>
    <row r="118" spans="1:23">
      <c r="A118" s="30">
        <v>44402</v>
      </c>
      <c r="B118" s="29" t="str">
        <v>H</v>
      </c>
      <c r="C118" s="29" t="str">
        <v>H</v>
      </c>
      <c r="D118" s="29" t="str">
        <v>H</v>
      </c>
      <c r="E118" s="29" t="str">
        <v>H</v>
      </c>
      <c r="F118" s="29" t="str">
        <v>H</v>
      </c>
      <c r="G118" s="29" t="str">
        <v>H</v>
      </c>
      <c r="H118" s="29" t="str">
        <v>H</v>
      </c>
      <c r="I118" s="29" t="str">
        <v>H</v>
      </c>
      <c r="J118" s="29" t="str">
        <v>H</v>
      </c>
      <c r="K118" s="29" t="str">
        <v>H</v>
      </c>
      <c r="L118" s="29" t="str">
        <v>H</v>
      </c>
      <c r="M118" s="29" t="str">
        <v>H</v>
      </c>
      <c r="N118" s="29" t="str">
        <v>H</v>
      </c>
      <c r="O118" s="29" t="str">
        <v>H</v>
      </c>
      <c r="P118" s="29" t="str">
        <v>H</v>
      </c>
      <c r="Q118" s="29" t="str">
        <v>H</v>
      </c>
      <c r="R118" s="29" t="str">
        <v>H</v>
      </c>
      <c r="S118" t="str">
        <v>H</v>
      </c>
      <c r="T118" t="str">
        <v>H</v>
      </c>
      <c r="U118" t="str">
        <v>H</v>
      </c>
      <c r="V118" t="str">
        <v>H</v>
      </c>
      <c r="W118" t="str">
        <v>H</v>
      </c>
    </row>
    <row r="119" spans="1:23">
      <c r="A119" s="30">
        <v>44403</v>
      </c>
      <c r="B119" s="29">
        <v>48900</v>
      </c>
      <c r="C119" s="29">
        <v>47000</v>
      </c>
      <c r="D119" s="29">
        <v>46800</v>
      </c>
      <c r="E119" s="29">
        <v>44250</v>
      </c>
      <c r="F119" s="29">
        <v>46700</v>
      </c>
      <c r="G119" s="29" t="str">
        <v>-</v>
      </c>
      <c r="H119" s="29">
        <v>46500</v>
      </c>
      <c r="I119" s="29" t="str">
        <v>-</v>
      </c>
      <c r="J119" s="29">
        <v>47300</v>
      </c>
      <c r="K119" s="29" t="str">
        <v>-</v>
      </c>
      <c r="L119" s="29">
        <v>50100</v>
      </c>
      <c r="M119" s="29">
        <v>47900</v>
      </c>
      <c r="N119" s="29">
        <v>45700</v>
      </c>
      <c r="O119" s="29" t="str">
        <v>-</v>
      </c>
      <c r="P119" s="29">
        <v>44450</v>
      </c>
      <c r="Q119" s="29">
        <v>44600</v>
      </c>
      <c r="R119" s="29">
        <v>44750</v>
      </c>
      <c r="S119" t="str">
        <v>-</v>
      </c>
      <c r="T119" t="str">
        <v>-</v>
      </c>
      <c r="U119" t="str">
        <v>-</v>
      </c>
      <c r="V119">
        <v>46200</v>
      </c>
      <c r="W119" t="str">
        <v>-</v>
      </c>
    </row>
    <row r="120" spans="1:23">
      <c r="A120" s="30">
        <v>44404</v>
      </c>
      <c r="B120" s="29">
        <v>48900</v>
      </c>
      <c r="C120" s="29">
        <v>46800</v>
      </c>
      <c r="D120" s="29">
        <v>46700</v>
      </c>
      <c r="E120" s="29">
        <v>44500</v>
      </c>
      <c r="F120" s="29">
        <v>46700</v>
      </c>
      <c r="G120" s="29" t="str">
        <v>-</v>
      </c>
      <c r="H120" s="29">
        <v>46300</v>
      </c>
      <c r="I120" s="29" t="str">
        <v>-</v>
      </c>
      <c r="J120" s="29">
        <v>47400</v>
      </c>
      <c r="K120" s="29" t="str">
        <v>-</v>
      </c>
      <c r="L120" s="29">
        <v>49800</v>
      </c>
      <c r="M120" s="29">
        <v>48300</v>
      </c>
      <c r="N120" s="29">
        <v>45800</v>
      </c>
      <c r="O120" s="29" t="str">
        <v>-</v>
      </c>
      <c r="P120" s="29">
        <v>44400</v>
      </c>
      <c r="Q120" s="29">
        <v>44500</v>
      </c>
      <c r="R120" s="29">
        <v>44500</v>
      </c>
      <c r="S120" t="str">
        <v>-</v>
      </c>
      <c r="T120" t="str">
        <v>-</v>
      </c>
      <c r="U120" t="str">
        <v>-</v>
      </c>
      <c r="V120">
        <v>46200</v>
      </c>
      <c r="W120" t="str">
        <v>-</v>
      </c>
    </row>
    <row r="121" spans="1:23">
      <c r="A121" s="30">
        <v>44405</v>
      </c>
      <c r="B121" s="29">
        <v>49000</v>
      </c>
      <c r="C121" s="29">
        <v>47000</v>
      </c>
      <c r="D121" s="29">
        <v>47000</v>
      </c>
      <c r="E121" s="29">
        <v>44500</v>
      </c>
      <c r="F121" s="29">
        <v>47100</v>
      </c>
      <c r="G121" s="29" t="str">
        <v>-</v>
      </c>
      <c r="H121" s="29">
        <v>46500</v>
      </c>
      <c r="I121" s="29" t="str">
        <v>-</v>
      </c>
      <c r="J121" s="29">
        <v>47600</v>
      </c>
      <c r="K121" s="29" t="str">
        <v>-</v>
      </c>
      <c r="L121" s="29">
        <v>49900</v>
      </c>
      <c r="M121" s="29">
        <v>48500</v>
      </c>
      <c r="N121" s="29">
        <v>45800</v>
      </c>
      <c r="O121" s="29" t="str">
        <v>-</v>
      </c>
      <c r="P121" s="29">
        <v>44500</v>
      </c>
      <c r="Q121" s="29">
        <v>44500</v>
      </c>
      <c r="R121" s="29">
        <v>44750</v>
      </c>
      <c r="S121" t="str">
        <v>-</v>
      </c>
      <c r="T121" t="str">
        <v>-</v>
      </c>
      <c r="U121" t="str">
        <v>-</v>
      </c>
      <c r="V121">
        <v>46300</v>
      </c>
      <c r="W121" t="str">
        <v>-</v>
      </c>
    </row>
    <row r="122" spans="1:23">
      <c r="A122" s="30">
        <v>44406</v>
      </c>
      <c r="B122" s="29">
        <v>49400</v>
      </c>
      <c r="C122" s="29">
        <v>47000</v>
      </c>
      <c r="D122" s="29">
        <v>47500</v>
      </c>
      <c r="E122" s="29">
        <v>45000</v>
      </c>
      <c r="F122" s="29">
        <v>47200</v>
      </c>
      <c r="G122" s="29" t="str">
        <v>-</v>
      </c>
      <c r="H122" s="29">
        <v>47000</v>
      </c>
      <c r="I122" s="29" t="str">
        <v>-</v>
      </c>
      <c r="J122" s="29">
        <v>48200</v>
      </c>
      <c r="K122" s="29" t="str">
        <v>-</v>
      </c>
      <c r="L122" s="29">
        <v>50200</v>
      </c>
      <c r="M122" s="29">
        <v>48700</v>
      </c>
      <c r="N122" s="29">
        <v>46500</v>
      </c>
      <c r="O122" s="29" t="str">
        <v>-</v>
      </c>
      <c r="P122" s="29">
        <v>45000</v>
      </c>
      <c r="Q122" s="29">
        <v>45100</v>
      </c>
      <c r="R122" s="29">
        <v>45300</v>
      </c>
      <c r="S122" t="str">
        <v>-</v>
      </c>
      <c r="T122" t="str">
        <v>-</v>
      </c>
      <c r="U122" t="str">
        <v>-</v>
      </c>
      <c r="V122">
        <v>46700</v>
      </c>
      <c r="W122" t="str">
        <v>-</v>
      </c>
    </row>
    <row r="123" spans="1:23">
      <c r="A123" s="30">
        <v>44407</v>
      </c>
      <c r="B123" s="29">
        <v>49400</v>
      </c>
      <c r="C123" s="29">
        <v>47200</v>
      </c>
      <c r="D123" s="29">
        <v>47300</v>
      </c>
      <c r="E123" s="29">
        <v>45000</v>
      </c>
      <c r="F123" s="29">
        <v>47700</v>
      </c>
      <c r="G123" s="29" t="str">
        <v>-</v>
      </c>
      <c r="H123" s="29">
        <v>47000</v>
      </c>
      <c r="I123" s="29" t="str">
        <v>-</v>
      </c>
      <c r="J123" s="29">
        <v>48200</v>
      </c>
      <c r="K123" s="29" t="str">
        <v>-</v>
      </c>
      <c r="L123" s="29">
        <v>50200</v>
      </c>
      <c r="M123" s="29">
        <v>48700</v>
      </c>
      <c r="N123" s="29">
        <v>46500</v>
      </c>
      <c r="O123" s="29" t="str">
        <v>-</v>
      </c>
      <c r="P123" s="29">
        <v>44800</v>
      </c>
      <c r="Q123" s="29">
        <v>45000</v>
      </c>
      <c r="R123" s="29">
        <v>45200</v>
      </c>
      <c r="S123" t="str">
        <v>-</v>
      </c>
      <c r="T123" t="str">
        <v>-</v>
      </c>
      <c r="U123" t="str">
        <v>-</v>
      </c>
      <c r="V123">
        <v>46700</v>
      </c>
      <c r="W123" t="str">
        <v>-</v>
      </c>
    </row>
    <row r="124" spans="1:23">
      <c r="A124" s="30">
        <v>44408</v>
      </c>
      <c r="B124" s="29">
        <v>49700</v>
      </c>
      <c r="C124" s="29">
        <v>47500</v>
      </c>
      <c r="D124" s="29">
        <v>47600</v>
      </c>
      <c r="E124" s="29">
        <v>45800</v>
      </c>
      <c r="F124" s="29">
        <v>47800</v>
      </c>
      <c r="G124" s="29" t="str">
        <v>-</v>
      </c>
      <c r="H124" s="29">
        <v>47300</v>
      </c>
      <c r="I124" s="29" t="str">
        <v>-</v>
      </c>
      <c r="J124" s="29">
        <v>48300</v>
      </c>
      <c r="K124" s="29" t="str">
        <v>-</v>
      </c>
      <c r="L124" s="29">
        <v>50500</v>
      </c>
      <c r="M124" s="29">
        <v>48900</v>
      </c>
      <c r="N124" s="29">
        <v>46800</v>
      </c>
      <c r="O124" s="29" t="str">
        <v>-</v>
      </c>
      <c r="P124" s="29">
        <v>45450</v>
      </c>
      <c r="Q124" s="29">
        <v>45200</v>
      </c>
      <c r="R124" s="29">
        <v>45300</v>
      </c>
      <c r="S124" t="str">
        <v>-</v>
      </c>
      <c r="T124" t="str">
        <v>-</v>
      </c>
      <c r="U124" t="str">
        <v>-</v>
      </c>
      <c r="V124">
        <v>46800</v>
      </c>
      <c r="W124" t="str">
        <v>-</v>
      </c>
    </row>
    <row r="125" spans="1:23">
      <c r="A125" s="30">
        <v>44409</v>
      </c>
      <c r="B125" s="29" t="str">
        <v>H</v>
      </c>
      <c r="C125" s="29" t="str">
        <v>H</v>
      </c>
      <c r="D125" s="29" t="str">
        <v>H</v>
      </c>
      <c r="E125" s="29" t="str">
        <v>H</v>
      </c>
      <c r="F125" s="29" t="str">
        <v>H</v>
      </c>
      <c r="G125" s="29" t="str">
        <v>H</v>
      </c>
      <c r="H125" s="29" t="str">
        <v>H</v>
      </c>
      <c r="I125" s="29" t="str">
        <v>H</v>
      </c>
      <c r="J125" s="29" t="str">
        <v>H</v>
      </c>
      <c r="K125" s="29" t="str">
        <v>H</v>
      </c>
      <c r="L125" s="29" t="str">
        <v>H</v>
      </c>
      <c r="M125" s="29" t="str">
        <v>H</v>
      </c>
      <c r="N125" s="29" t="str">
        <v>H</v>
      </c>
      <c r="O125" s="29" t="str">
        <v>H</v>
      </c>
      <c r="P125" s="29" t="str">
        <v>H</v>
      </c>
      <c r="Q125" s="29" t="str">
        <v>H</v>
      </c>
      <c r="R125" s="29" t="str">
        <v>H</v>
      </c>
      <c r="S125" t="str">
        <v>H</v>
      </c>
      <c r="T125" t="str">
        <v>H</v>
      </c>
      <c r="U125" t="str">
        <v>H</v>
      </c>
      <c r="V125" t="str">
        <v>H</v>
      </c>
      <c r="W125" t="str">
        <v>H</v>
      </c>
    </row>
    <row r="126" spans="1:23">
      <c r="A126" s="30">
        <v>44410</v>
      </c>
      <c r="B126" s="29">
        <v>49800</v>
      </c>
      <c r="C126" s="29">
        <v>47700</v>
      </c>
      <c r="D126" s="29">
        <v>47800</v>
      </c>
      <c r="E126" s="29">
        <v>45800</v>
      </c>
      <c r="F126" s="29">
        <v>47800</v>
      </c>
      <c r="G126" s="29" t="str">
        <v>-</v>
      </c>
      <c r="H126" s="29">
        <v>47500</v>
      </c>
      <c r="I126" s="29" t="str">
        <v>-</v>
      </c>
      <c r="J126" s="29">
        <v>48400</v>
      </c>
      <c r="K126" s="29" t="str">
        <v>-</v>
      </c>
      <c r="L126" s="29">
        <v>50600</v>
      </c>
      <c r="M126" s="29">
        <v>49200</v>
      </c>
      <c r="N126" s="29">
        <v>47000</v>
      </c>
      <c r="O126" s="29" t="str">
        <v>-</v>
      </c>
      <c r="P126" s="29">
        <v>45450</v>
      </c>
      <c r="Q126" s="29">
        <v>45400</v>
      </c>
      <c r="R126" s="29">
        <v>45650</v>
      </c>
      <c r="S126" t="str">
        <v>-</v>
      </c>
      <c r="T126" t="str">
        <v>-</v>
      </c>
      <c r="U126" t="str">
        <v>-</v>
      </c>
      <c r="V126">
        <v>47200</v>
      </c>
      <c r="W126" t="str">
        <v>-</v>
      </c>
    </row>
    <row r="127" spans="1:23">
      <c r="A127" s="30">
        <v>44411</v>
      </c>
      <c r="B127" s="29">
        <v>49700</v>
      </c>
      <c r="C127" s="29">
        <v>47700</v>
      </c>
      <c r="D127" s="29">
        <v>47400</v>
      </c>
      <c r="E127" s="29">
        <v>45500</v>
      </c>
      <c r="F127" s="29">
        <v>47800</v>
      </c>
      <c r="G127" s="29" t="str">
        <v>-</v>
      </c>
      <c r="H127" s="29">
        <v>47300</v>
      </c>
      <c r="I127" s="29" t="str">
        <v>-</v>
      </c>
      <c r="J127" s="29">
        <v>48300</v>
      </c>
      <c r="K127" s="29" t="str">
        <v>-</v>
      </c>
      <c r="L127" s="29">
        <v>50300</v>
      </c>
      <c r="M127" s="29">
        <v>49300</v>
      </c>
      <c r="N127" s="29">
        <v>47000</v>
      </c>
      <c r="O127" s="29" t="str">
        <v>-</v>
      </c>
      <c r="P127" s="29">
        <v>45200</v>
      </c>
      <c r="Q127" s="29">
        <v>45400</v>
      </c>
      <c r="R127" s="29">
        <v>45600</v>
      </c>
      <c r="S127" t="str">
        <v>-</v>
      </c>
      <c r="T127" t="str">
        <v>-</v>
      </c>
      <c r="U127" t="str">
        <v>-</v>
      </c>
      <c r="V127">
        <v>47500</v>
      </c>
      <c r="W127" t="str">
        <v>-</v>
      </c>
    </row>
    <row r="128" spans="1:23">
      <c r="A128" s="30">
        <v>44412</v>
      </c>
      <c r="B128" s="29">
        <v>49900</v>
      </c>
      <c r="C128" s="29">
        <v>47700</v>
      </c>
      <c r="D128" s="29">
        <v>47600</v>
      </c>
      <c r="E128" s="29">
        <v>45500</v>
      </c>
      <c r="F128" s="29">
        <v>47800</v>
      </c>
      <c r="G128" s="29" t="str">
        <v>-</v>
      </c>
      <c r="H128" s="29">
        <v>47500</v>
      </c>
      <c r="I128" s="29" t="str">
        <v>-</v>
      </c>
      <c r="J128" s="29">
        <v>48500</v>
      </c>
      <c r="K128" s="29" t="str">
        <v>-</v>
      </c>
      <c r="L128" s="29">
        <v>50400</v>
      </c>
      <c r="M128" s="29">
        <v>49600</v>
      </c>
      <c r="N128" s="29">
        <v>47200</v>
      </c>
      <c r="O128" s="29" t="str">
        <v>-</v>
      </c>
      <c r="P128" s="29">
        <v>45100</v>
      </c>
      <c r="Q128" s="29">
        <v>45500</v>
      </c>
      <c r="R128" s="29">
        <v>45750</v>
      </c>
      <c r="S128" t="str">
        <v>-</v>
      </c>
      <c r="T128" t="str">
        <v>-</v>
      </c>
      <c r="U128" t="str">
        <v>-</v>
      </c>
      <c r="V128">
        <v>47600</v>
      </c>
      <c r="W128" t="str">
        <v>-</v>
      </c>
    </row>
    <row r="129" spans="1:23">
      <c r="A129" s="30">
        <v>44413</v>
      </c>
      <c r="B129" s="29">
        <v>49800</v>
      </c>
      <c r="C129" s="29">
        <v>47500</v>
      </c>
      <c r="D129" s="29">
        <v>47600</v>
      </c>
      <c r="E129" s="29">
        <v>45500</v>
      </c>
      <c r="F129" s="29">
        <v>47900</v>
      </c>
      <c r="G129" s="29" t="str">
        <v>-</v>
      </c>
      <c r="H129" s="29">
        <v>47300</v>
      </c>
      <c r="I129" s="29" t="str">
        <v>-</v>
      </c>
      <c r="J129" s="29">
        <v>48500</v>
      </c>
      <c r="K129" s="29" t="str">
        <v>-</v>
      </c>
      <c r="L129" s="29">
        <v>50400</v>
      </c>
      <c r="M129" s="29">
        <v>49600</v>
      </c>
      <c r="N129" s="29">
        <v>47200</v>
      </c>
      <c r="O129" s="29" t="str">
        <v>-</v>
      </c>
      <c r="P129" s="29">
        <v>45000</v>
      </c>
      <c r="Q129" s="29">
        <v>45400</v>
      </c>
      <c r="R129" s="29">
        <v>45600</v>
      </c>
      <c r="S129" t="str">
        <v>-</v>
      </c>
      <c r="T129" t="str">
        <v>-</v>
      </c>
      <c r="U129" t="str">
        <v>-</v>
      </c>
      <c r="V129">
        <v>47700</v>
      </c>
      <c r="W129" t="str">
        <v>-</v>
      </c>
    </row>
    <row r="130" spans="1:23">
      <c r="A130" s="30">
        <v>44414</v>
      </c>
      <c r="B130" s="29">
        <v>49700</v>
      </c>
      <c r="C130" s="29">
        <v>47500</v>
      </c>
      <c r="D130" s="29">
        <v>47300</v>
      </c>
      <c r="E130" s="29">
        <v>45300</v>
      </c>
      <c r="F130" s="29">
        <v>47900</v>
      </c>
      <c r="G130" s="29" t="str">
        <v>-</v>
      </c>
      <c r="H130" s="29">
        <v>47000</v>
      </c>
      <c r="I130" s="29" t="str">
        <v>-</v>
      </c>
      <c r="J130" s="29">
        <v>48500</v>
      </c>
      <c r="K130" s="29" t="str">
        <v>-</v>
      </c>
      <c r="L130" s="29">
        <v>49900</v>
      </c>
      <c r="M130" s="29">
        <v>49600</v>
      </c>
      <c r="N130" s="29">
        <v>46900</v>
      </c>
      <c r="O130" s="29" t="str">
        <v>-</v>
      </c>
      <c r="P130" s="29">
        <v>44900</v>
      </c>
      <c r="Q130" s="29">
        <v>45100</v>
      </c>
      <c r="R130" s="29">
        <v>45300</v>
      </c>
      <c r="S130" t="str">
        <v>-</v>
      </c>
      <c r="T130" t="str">
        <v>-</v>
      </c>
      <c r="U130" t="str">
        <v>-</v>
      </c>
      <c r="V130">
        <v>47700</v>
      </c>
      <c r="W130" t="str">
        <v>-</v>
      </c>
    </row>
    <row r="131" spans="1:23">
      <c r="A131" s="30">
        <v>44415</v>
      </c>
      <c r="B131" s="29">
        <v>49600</v>
      </c>
      <c r="C131" s="29">
        <v>47300</v>
      </c>
      <c r="D131" s="29">
        <v>47300</v>
      </c>
      <c r="E131" s="29">
        <v>45000</v>
      </c>
      <c r="F131" s="29">
        <v>47800</v>
      </c>
      <c r="G131" s="29" t="str">
        <v>-</v>
      </c>
      <c r="H131" s="29">
        <v>47000</v>
      </c>
      <c r="I131" s="29" t="str">
        <v>-</v>
      </c>
      <c r="J131" s="29">
        <v>48500</v>
      </c>
      <c r="K131" s="29" t="str">
        <v>-</v>
      </c>
      <c r="L131" s="29">
        <v>49600</v>
      </c>
      <c r="M131" s="29">
        <v>49600</v>
      </c>
      <c r="N131" s="29">
        <v>46700</v>
      </c>
      <c r="O131" s="29" t="str">
        <v>-</v>
      </c>
      <c r="P131" s="29">
        <v>44800</v>
      </c>
      <c r="Q131" s="29">
        <v>44900</v>
      </c>
      <c r="R131" s="29">
        <v>45300</v>
      </c>
      <c r="S131" t="str">
        <v>-</v>
      </c>
      <c r="T131" t="str">
        <v>-</v>
      </c>
      <c r="U131" t="str">
        <v>-</v>
      </c>
      <c r="V131">
        <v>47800</v>
      </c>
      <c r="W131" t="str">
        <v>-</v>
      </c>
    </row>
    <row r="132" spans="1:23">
      <c r="A132" s="30">
        <v>44416</v>
      </c>
      <c r="B132" s="29" t="str">
        <v>H</v>
      </c>
      <c r="C132" s="29" t="str">
        <v>H</v>
      </c>
      <c r="D132" s="29" t="str">
        <v>H</v>
      </c>
      <c r="E132" s="29" t="str">
        <v>H</v>
      </c>
      <c r="F132" s="29" t="str">
        <v>H</v>
      </c>
      <c r="G132" s="29" t="str">
        <v>H</v>
      </c>
      <c r="H132" s="29" t="str">
        <v>H</v>
      </c>
      <c r="I132" s="29" t="str">
        <v>H</v>
      </c>
      <c r="J132" s="29" t="str">
        <v>H</v>
      </c>
      <c r="K132" s="29" t="str">
        <v>H</v>
      </c>
      <c r="L132" s="29" t="str">
        <v>H</v>
      </c>
      <c r="M132" s="29" t="str">
        <v>H</v>
      </c>
      <c r="N132" s="29" t="str">
        <v>H</v>
      </c>
      <c r="O132" s="29" t="str">
        <v>H</v>
      </c>
      <c r="P132" s="29" t="str">
        <v>H</v>
      </c>
      <c r="Q132" s="29" t="str">
        <v>H</v>
      </c>
      <c r="R132" s="29" t="str">
        <v>H</v>
      </c>
      <c r="S132" t="str">
        <v>H</v>
      </c>
      <c r="T132" t="str">
        <v>H</v>
      </c>
      <c r="U132" t="str">
        <v>H</v>
      </c>
      <c r="V132" t="str">
        <v>H</v>
      </c>
      <c r="W132" t="str">
        <v>H</v>
      </c>
    </row>
    <row r="133" spans="1:23">
      <c r="A133" s="30">
        <v>44417</v>
      </c>
      <c r="B133" s="29">
        <v>49600</v>
      </c>
      <c r="C133" s="29">
        <v>47000</v>
      </c>
      <c r="D133" s="29">
        <v>47300</v>
      </c>
      <c r="E133" s="29">
        <v>45000</v>
      </c>
      <c r="F133" s="29">
        <v>47800</v>
      </c>
      <c r="G133" s="29" t="str">
        <v>-</v>
      </c>
      <c r="H133" s="29">
        <v>47300</v>
      </c>
      <c r="I133" s="29" t="str">
        <v>-</v>
      </c>
      <c r="J133" s="29">
        <v>48100</v>
      </c>
      <c r="K133" s="29" t="str">
        <v>-</v>
      </c>
      <c r="L133" s="29">
        <v>49400</v>
      </c>
      <c r="M133" s="29">
        <v>49200</v>
      </c>
      <c r="N133" s="29">
        <v>46400</v>
      </c>
      <c r="O133" s="29" t="str">
        <v>-</v>
      </c>
      <c r="P133" s="29">
        <v>44800</v>
      </c>
      <c r="Q133" s="29">
        <v>44700</v>
      </c>
      <c r="R133" s="29">
        <v>44900</v>
      </c>
      <c r="S133" t="str">
        <v>-</v>
      </c>
      <c r="T133" t="str">
        <v>-</v>
      </c>
      <c r="U133" t="str">
        <v>-</v>
      </c>
      <c r="V133">
        <v>47700</v>
      </c>
      <c r="W133" t="str">
        <v>-</v>
      </c>
    </row>
    <row r="134" spans="1:23">
      <c r="A134" s="30">
        <v>44418</v>
      </c>
      <c r="B134" s="29">
        <v>49400</v>
      </c>
      <c r="C134" s="29">
        <v>47000</v>
      </c>
      <c r="D134" s="29">
        <v>47500</v>
      </c>
      <c r="E134" s="29">
        <v>44800</v>
      </c>
      <c r="F134" s="29">
        <v>47800</v>
      </c>
      <c r="G134" s="29" t="str">
        <v>-</v>
      </c>
      <c r="H134" s="29">
        <v>46500</v>
      </c>
      <c r="I134" s="29" t="str">
        <v>-</v>
      </c>
      <c r="J134" s="29">
        <v>48300</v>
      </c>
      <c r="K134" s="29" t="str">
        <v>-</v>
      </c>
      <c r="L134" s="29">
        <v>49300</v>
      </c>
      <c r="M134" s="29">
        <v>49400</v>
      </c>
      <c r="N134" s="29">
        <v>46300</v>
      </c>
      <c r="O134" s="29" t="str">
        <v>-</v>
      </c>
      <c r="P134" s="29">
        <v>44650</v>
      </c>
      <c r="Q134" s="29">
        <v>44600</v>
      </c>
      <c r="R134" s="29">
        <v>44900</v>
      </c>
      <c r="S134" t="str">
        <v>-</v>
      </c>
      <c r="T134" t="str">
        <v>-</v>
      </c>
      <c r="U134" t="str">
        <v>-</v>
      </c>
      <c r="V134">
        <v>47500</v>
      </c>
      <c r="W134" t="str">
        <v>-</v>
      </c>
    </row>
    <row r="135" spans="1:23">
      <c r="A135" s="30">
        <v>44419</v>
      </c>
      <c r="B135" s="29">
        <v>49700</v>
      </c>
      <c r="C135" s="29">
        <v>47000</v>
      </c>
      <c r="D135" s="29">
        <v>47800</v>
      </c>
      <c r="E135" s="29">
        <v>45000</v>
      </c>
      <c r="F135" s="29">
        <v>47700</v>
      </c>
      <c r="G135" s="29" t="str">
        <v>-</v>
      </c>
      <c r="H135" s="29">
        <v>46800</v>
      </c>
      <c r="I135" s="29" t="str">
        <v>-</v>
      </c>
      <c r="J135" s="29">
        <v>48600</v>
      </c>
      <c r="K135" s="29" t="str">
        <v>-</v>
      </c>
      <c r="L135" s="29">
        <v>49700</v>
      </c>
      <c r="M135" s="29">
        <v>49600</v>
      </c>
      <c r="N135" s="29">
        <v>46650</v>
      </c>
      <c r="O135" s="29" t="str">
        <v>-</v>
      </c>
      <c r="P135" s="29">
        <v>45250</v>
      </c>
      <c r="Q135" s="29">
        <v>45200</v>
      </c>
      <c r="R135" s="29">
        <v>45300</v>
      </c>
      <c r="S135" t="str">
        <v>-</v>
      </c>
      <c r="T135" t="str">
        <v>-</v>
      </c>
      <c r="U135" t="str">
        <v>-</v>
      </c>
      <c r="V135">
        <v>47500</v>
      </c>
      <c r="W135" t="str">
        <v>-</v>
      </c>
    </row>
    <row r="136" spans="1:23">
      <c r="A136" s="30">
        <v>44420</v>
      </c>
      <c r="B136" s="29">
        <v>49900</v>
      </c>
      <c r="C136" s="29">
        <v>47000</v>
      </c>
      <c r="D136" s="29">
        <v>48000</v>
      </c>
      <c r="E136" s="29">
        <v>45300</v>
      </c>
      <c r="F136" s="29">
        <v>47700</v>
      </c>
      <c r="G136" s="29" t="str">
        <v>-</v>
      </c>
      <c r="H136" s="29">
        <v>47000</v>
      </c>
      <c r="I136" s="29" t="str">
        <v>-</v>
      </c>
      <c r="J136" s="29">
        <v>48600</v>
      </c>
      <c r="K136" s="29" t="str">
        <v>-</v>
      </c>
      <c r="L136" s="29">
        <v>49900</v>
      </c>
      <c r="M136" s="29">
        <v>49600</v>
      </c>
      <c r="N136" s="29">
        <v>46700</v>
      </c>
      <c r="O136" s="29" t="str">
        <v>-</v>
      </c>
      <c r="P136" s="29">
        <v>45600</v>
      </c>
      <c r="Q136" s="29">
        <v>45400</v>
      </c>
      <c r="R136" s="29">
        <v>45750</v>
      </c>
      <c r="S136" t="str">
        <v>-</v>
      </c>
      <c r="T136" t="str">
        <v>-</v>
      </c>
      <c r="U136" t="str">
        <v>-</v>
      </c>
      <c r="V136">
        <v>47500</v>
      </c>
      <c r="W136" t="str">
        <v>-</v>
      </c>
    </row>
    <row r="137" spans="1:23">
      <c r="A137" s="30">
        <v>44421</v>
      </c>
      <c r="B137" s="29">
        <v>49900</v>
      </c>
      <c r="C137" s="29">
        <v>47200</v>
      </c>
      <c r="D137" s="29">
        <v>48200</v>
      </c>
      <c r="E137" s="29">
        <v>45300</v>
      </c>
      <c r="F137" s="29">
        <v>47700</v>
      </c>
      <c r="G137" s="29" t="str">
        <v>-</v>
      </c>
      <c r="H137" s="29">
        <v>47000</v>
      </c>
      <c r="I137" s="29" t="str">
        <v>-</v>
      </c>
      <c r="J137" s="29">
        <v>48600</v>
      </c>
      <c r="K137" s="29" t="str">
        <v>-</v>
      </c>
      <c r="L137" s="29">
        <v>50000</v>
      </c>
      <c r="M137" s="29">
        <v>49600</v>
      </c>
      <c r="N137" s="29">
        <v>46700</v>
      </c>
      <c r="O137" s="29" t="str">
        <v>-</v>
      </c>
      <c r="P137" s="29">
        <v>45350</v>
      </c>
      <c r="Q137" s="29">
        <v>45600</v>
      </c>
      <c r="R137" s="29">
        <v>45750</v>
      </c>
      <c r="S137" t="str">
        <v>-</v>
      </c>
      <c r="T137" t="str">
        <v>-</v>
      </c>
      <c r="U137" t="str">
        <v>-</v>
      </c>
      <c r="V137">
        <v>47500</v>
      </c>
      <c r="W137" t="str">
        <v>-</v>
      </c>
    </row>
    <row r="138" spans="1:23">
      <c r="A138" s="30">
        <v>44422</v>
      </c>
      <c r="B138" s="29">
        <v>50100</v>
      </c>
      <c r="C138" s="29">
        <v>47200</v>
      </c>
      <c r="D138" s="29">
        <v>48200</v>
      </c>
      <c r="E138" s="29">
        <v>45500</v>
      </c>
      <c r="F138" s="29">
        <v>47700</v>
      </c>
      <c r="G138" s="29" t="str">
        <v>-</v>
      </c>
      <c r="H138" s="29">
        <v>47000</v>
      </c>
      <c r="I138" s="29" t="str">
        <v>-</v>
      </c>
      <c r="J138" s="29">
        <v>48600</v>
      </c>
      <c r="K138" s="29" t="str">
        <v>-</v>
      </c>
      <c r="L138" s="29">
        <v>50300</v>
      </c>
      <c r="M138" s="29">
        <v>49600</v>
      </c>
      <c r="N138" s="29">
        <v>47000</v>
      </c>
      <c r="O138" s="29" t="str">
        <v>-</v>
      </c>
      <c r="P138" s="29">
        <v>45500</v>
      </c>
      <c r="Q138" s="29">
        <v>45600</v>
      </c>
      <c r="R138" s="29">
        <v>45750</v>
      </c>
      <c r="S138" t="str">
        <v>-</v>
      </c>
      <c r="T138" t="str">
        <v>-</v>
      </c>
      <c r="U138" t="str">
        <v>-</v>
      </c>
      <c r="V138">
        <v>47500</v>
      </c>
      <c r="W138" t="str">
        <v>-</v>
      </c>
    </row>
    <row r="139" spans="1:23">
      <c r="A139" s="30">
        <v>44423</v>
      </c>
      <c r="B139" s="29" t="str">
        <v>H</v>
      </c>
      <c r="C139" s="29" t="str">
        <v>H</v>
      </c>
      <c r="D139" s="29" t="str">
        <v>H</v>
      </c>
      <c r="E139" s="29" t="str">
        <v>H</v>
      </c>
      <c r="F139" s="29" t="str">
        <v>H</v>
      </c>
      <c r="G139" s="29" t="str">
        <v>H</v>
      </c>
      <c r="H139" s="29" t="str">
        <v>H</v>
      </c>
      <c r="I139" s="29" t="str">
        <v>H</v>
      </c>
      <c r="J139" s="29" t="str">
        <v>H</v>
      </c>
      <c r="K139" s="29" t="str">
        <v>H</v>
      </c>
      <c r="L139" s="29" t="str">
        <v>H</v>
      </c>
      <c r="M139" s="29" t="str">
        <v>H</v>
      </c>
      <c r="N139" s="29" t="str">
        <v>H</v>
      </c>
      <c r="O139" s="29" t="str">
        <v>H</v>
      </c>
      <c r="P139" s="29" t="str">
        <v>H</v>
      </c>
      <c r="Q139" s="29" t="str">
        <v>H</v>
      </c>
      <c r="R139" s="29" t="str">
        <v>H</v>
      </c>
      <c r="S139" t="str">
        <v>H</v>
      </c>
      <c r="T139" t="str">
        <v>H</v>
      </c>
      <c r="U139" t="str">
        <v>H</v>
      </c>
      <c r="V139" t="str">
        <v>H</v>
      </c>
      <c r="W139" t="str">
        <v>H</v>
      </c>
    </row>
    <row r="140" spans="1:23">
      <c r="A140" s="30">
        <v>44424</v>
      </c>
      <c r="B140" s="29">
        <v>50200</v>
      </c>
      <c r="C140" s="29">
        <v>47300</v>
      </c>
      <c r="D140" s="29">
        <v>48400</v>
      </c>
      <c r="E140" s="29">
        <v>45700</v>
      </c>
      <c r="F140" s="29">
        <v>47700</v>
      </c>
      <c r="G140" s="29" t="str">
        <v>-</v>
      </c>
      <c r="H140" s="29">
        <v>47500</v>
      </c>
      <c r="I140" s="29" t="str">
        <v>-</v>
      </c>
      <c r="J140" s="29">
        <v>49200</v>
      </c>
      <c r="K140" s="29" t="str">
        <v>-</v>
      </c>
      <c r="L140" s="29">
        <v>50500</v>
      </c>
      <c r="M140" s="29">
        <v>50200</v>
      </c>
      <c r="N140" s="29">
        <v>47200</v>
      </c>
      <c r="O140" s="29" t="str">
        <v>-</v>
      </c>
      <c r="P140" s="29">
        <v>45600</v>
      </c>
      <c r="Q140" s="29">
        <v>45700</v>
      </c>
      <c r="R140" s="29">
        <v>45750</v>
      </c>
      <c r="S140" t="str">
        <v>-</v>
      </c>
      <c r="T140" t="str">
        <v>-</v>
      </c>
      <c r="U140" t="str">
        <v>-</v>
      </c>
      <c r="V140">
        <v>47300</v>
      </c>
      <c r="W140" t="str">
        <v>-</v>
      </c>
    </row>
    <row r="141" spans="1:23">
      <c r="A141" s="30">
        <v>44425</v>
      </c>
      <c r="B141" s="29">
        <v>50200</v>
      </c>
      <c r="C141" s="29">
        <v>47500</v>
      </c>
      <c r="D141" s="29">
        <v>48400</v>
      </c>
      <c r="E141" s="29">
        <v>45800</v>
      </c>
      <c r="F141" s="29">
        <v>47700</v>
      </c>
      <c r="G141" s="29" t="str">
        <v>-</v>
      </c>
      <c r="H141" s="29">
        <v>47500</v>
      </c>
      <c r="I141" s="29" t="str">
        <v>-</v>
      </c>
      <c r="J141" s="29">
        <v>49200</v>
      </c>
      <c r="K141" s="29" t="str">
        <v>-</v>
      </c>
      <c r="L141" s="29">
        <v>50500</v>
      </c>
      <c r="M141" s="29">
        <v>50300</v>
      </c>
      <c r="N141" s="29">
        <v>47300</v>
      </c>
      <c r="O141" s="29" t="str">
        <v>-</v>
      </c>
      <c r="P141" s="29">
        <v>45800</v>
      </c>
      <c r="Q141" s="29">
        <v>45800</v>
      </c>
      <c r="R141" s="29">
        <v>45750</v>
      </c>
      <c r="S141" t="str">
        <v>-</v>
      </c>
      <c r="T141" t="str">
        <v>-</v>
      </c>
      <c r="U141" t="str">
        <v>-</v>
      </c>
      <c r="V141">
        <v>47200</v>
      </c>
      <c r="W141" t="str">
        <v>-</v>
      </c>
    </row>
    <row r="142" spans="1:23">
      <c r="A142" s="30">
        <v>44426</v>
      </c>
      <c r="B142" s="29">
        <v>50100</v>
      </c>
      <c r="C142" s="29">
        <v>47500</v>
      </c>
      <c r="D142" s="29">
        <v>48100</v>
      </c>
      <c r="E142" s="29">
        <v>45500</v>
      </c>
      <c r="F142" s="29">
        <v>47700</v>
      </c>
      <c r="G142" s="29" t="str">
        <v>-</v>
      </c>
      <c r="H142" s="29">
        <v>47300</v>
      </c>
      <c r="I142" s="29" t="str">
        <v>-</v>
      </c>
      <c r="J142" s="29">
        <v>49100</v>
      </c>
      <c r="K142" s="29" t="str">
        <v>-</v>
      </c>
      <c r="L142" s="29">
        <v>50300</v>
      </c>
      <c r="M142" s="29">
        <v>50300</v>
      </c>
      <c r="N142" s="29">
        <v>47100</v>
      </c>
      <c r="O142" s="29" t="str">
        <v>-</v>
      </c>
      <c r="P142" s="29">
        <v>45800</v>
      </c>
      <c r="Q142" s="29">
        <v>45700</v>
      </c>
      <c r="R142" s="29">
        <v>45750</v>
      </c>
      <c r="S142" t="str">
        <v>-</v>
      </c>
      <c r="T142" t="str">
        <v>-</v>
      </c>
      <c r="U142" t="str">
        <v>-</v>
      </c>
      <c r="V142">
        <v>47200</v>
      </c>
      <c r="W142" t="str">
        <v>-</v>
      </c>
    </row>
    <row r="143" spans="1:23">
      <c r="A143" s="30">
        <v>44427</v>
      </c>
      <c r="B143" s="29">
        <v>50100</v>
      </c>
      <c r="C143" s="29">
        <v>47500</v>
      </c>
      <c r="D143" s="29">
        <v>48100</v>
      </c>
      <c r="E143" s="29">
        <v>45300</v>
      </c>
      <c r="F143" s="29">
        <v>47700</v>
      </c>
      <c r="G143" s="29" t="str">
        <v>-</v>
      </c>
      <c r="H143" s="29">
        <v>47000</v>
      </c>
      <c r="I143" s="29" t="str">
        <v>-</v>
      </c>
      <c r="J143" s="29">
        <v>49100</v>
      </c>
      <c r="K143" s="29" t="str">
        <v>-</v>
      </c>
      <c r="L143" s="29">
        <v>50200</v>
      </c>
      <c r="M143" s="29">
        <v>50300</v>
      </c>
      <c r="N143" s="29">
        <v>47250</v>
      </c>
      <c r="O143" s="29" t="str">
        <v>-</v>
      </c>
      <c r="P143" s="29">
        <v>45600</v>
      </c>
      <c r="Q143" s="29">
        <v>45700</v>
      </c>
      <c r="R143" s="29">
        <v>45750</v>
      </c>
      <c r="S143" t="str">
        <v>-</v>
      </c>
      <c r="T143" t="str">
        <v>-</v>
      </c>
      <c r="U143" t="str">
        <v>-</v>
      </c>
      <c r="V143">
        <v>47200</v>
      </c>
      <c r="W143" t="str">
        <v>-</v>
      </c>
    </row>
    <row r="144" spans="1:23">
      <c r="A144" s="30">
        <v>44428</v>
      </c>
      <c r="B144" s="29">
        <v>49900</v>
      </c>
      <c r="C144" s="29">
        <v>47500</v>
      </c>
      <c r="D144" s="29">
        <v>48100</v>
      </c>
      <c r="E144" s="29">
        <v>45200</v>
      </c>
      <c r="F144" s="29">
        <v>47600</v>
      </c>
      <c r="G144" s="29" t="str">
        <v>-</v>
      </c>
      <c r="H144" s="29">
        <v>47000</v>
      </c>
      <c r="I144" s="29" t="str">
        <v>-</v>
      </c>
      <c r="J144" s="29">
        <v>49100</v>
      </c>
      <c r="K144" s="29" t="str">
        <v>-</v>
      </c>
      <c r="L144" s="29">
        <v>50100</v>
      </c>
      <c r="M144" s="29">
        <v>50000</v>
      </c>
      <c r="N144" s="29">
        <v>47200</v>
      </c>
      <c r="O144" s="29" t="str">
        <v>-</v>
      </c>
      <c r="P144" s="29">
        <v>45550</v>
      </c>
      <c r="Q144" s="29">
        <v>45600</v>
      </c>
      <c r="R144" s="29">
        <v>45700</v>
      </c>
      <c r="S144">
        <v>48700</v>
      </c>
      <c r="T144">
        <v>48200</v>
      </c>
      <c r="U144">
        <v>47000</v>
      </c>
      <c r="V144">
        <v>47200</v>
      </c>
      <c r="W144">
        <v>50000</v>
      </c>
    </row>
    <row r="145" spans="1:23">
      <c r="A145" s="30">
        <v>44429</v>
      </c>
      <c r="B145" s="29">
        <v>49800</v>
      </c>
      <c r="C145" s="29">
        <v>47300</v>
      </c>
      <c r="D145" s="29">
        <v>47800</v>
      </c>
      <c r="E145" s="29">
        <v>45000</v>
      </c>
      <c r="F145" s="29">
        <v>47400</v>
      </c>
      <c r="G145" s="29" t="str">
        <v>-</v>
      </c>
      <c r="H145" s="29">
        <v>47000</v>
      </c>
      <c r="I145" s="29" t="str">
        <v>-</v>
      </c>
      <c r="J145" s="29">
        <v>48900</v>
      </c>
      <c r="K145" s="29" t="str">
        <v>-</v>
      </c>
      <c r="L145" s="29">
        <v>49700</v>
      </c>
      <c r="M145" s="29">
        <v>49800</v>
      </c>
      <c r="N145" s="29">
        <v>47000</v>
      </c>
      <c r="O145" s="29" t="str">
        <v>-</v>
      </c>
      <c r="P145" s="29">
        <v>45200</v>
      </c>
      <c r="Q145" s="29">
        <v>45500</v>
      </c>
      <c r="R145" s="29">
        <v>45500</v>
      </c>
      <c r="S145">
        <v>48500</v>
      </c>
      <c r="T145">
        <v>47700</v>
      </c>
      <c r="U145">
        <v>47500</v>
      </c>
      <c r="V145">
        <v>47100</v>
      </c>
      <c r="W145">
        <v>49900</v>
      </c>
    </row>
    <row r="146" spans="1:23">
      <c r="A146" s="30">
        <v>44430</v>
      </c>
      <c r="B146" s="29" t="str">
        <v>H</v>
      </c>
      <c r="C146" s="29" t="str">
        <v>H</v>
      </c>
      <c r="D146" s="29" t="str">
        <v>H</v>
      </c>
      <c r="E146" s="29" t="str">
        <v>H</v>
      </c>
      <c r="F146" s="29" t="str">
        <v>H</v>
      </c>
      <c r="G146" s="29" t="str">
        <v>H</v>
      </c>
      <c r="H146" s="29" t="str">
        <v>H</v>
      </c>
      <c r="I146" s="29" t="str">
        <v>H</v>
      </c>
      <c r="J146" s="29" t="str">
        <v>H</v>
      </c>
      <c r="K146" s="29" t="str">
        <v>H</v>
      </c>
      <c r="L146" s="29" t="str">
        <v>H</v>
      </c>
      <c r="M146" s="29" t="str">
        <v>H</v>
      </c>
      <c r="N146" s="29" t="str">
        <v>H</v>
      </c>
      <c r="O146" s="29" t="str">
        <v>H</v>
      </c>
      <c r="P146" s="29" t="str">
        <v>H</v>
      </c>
      <c r="Q146" s="29" t="str">
        <v>H</v>
      </c>
      <c r="R146" s="29" t="str">
        <v>H</v>
      </c>
      <c r="S146" t="str">
        <v>H</v>
      </c>
      <c r="T146" t="str">
        <v>H</v>
      </c>
      <c r="U146" t="str">
        <v>H</v>
      </c>
      <c r="V146" t="str">
        <v>H</v>
      </c>
      <c r="W146" t="str">
        <v>H</v>
      </c>
    </row>
    <row r="147" spans="1:23">
      <c r="A147" s="30">
        <v>44431</v>
      </c>
      <c r="B147" s="29">
        <v>49700</v>
      </c>
      <c r="C147" s="29">
        <v>47000</v>
      </c>
      <c r="D147" s="29">
        <v>47800</v>
      </c>
      <c r="E147" s="29">
        <v>44500</v>
      </c>
      <c r="F147" s="29">
        <v>47300</v>
      </c>
      <c r="G147" s="29" t="str">
        <v>-</v>
      </c>
      <c r="H147" s="29">
        <v>46500</v>
      </c>
      <c r="I147" s="29" t="str">
        <v>-</v>
      </c>
      <c r="J147" s="29">
        <v>48700</v>
      </c>
      <c r="K147" s="29" t="str">
        <v>-</v>
      </c>
      <c r="L147" s="29">
        <v>49400</v>
      </c>
      <c r="M147" s="29">
        <v>49400</v>
      </c>
      <c r="N147" s="29">
        <v>46600</v>
      </c>
      <c r="O147" s="29" t="str">
        <v>-</v>
      </c>
      <c r="P147" s="29">
        <v>44850</v>
      </c>
      <c r="Q147" s="29">
        <v>45300</v>
      </c>
      <c r="R147" s="29">
        <v>45300</v>
      </c>
      <c r="S147">
        <v>47950</v>
      </c>
      <c r="T147">
        <v>47500</v>
      </c>
      <c r="U147">
        <v>47500</v>
      </c>
      <c r="V147">
        <v>47000</v>
      </c>
      <c r="W147">
        <v>49700</v>
      </c>
    </row>
    <row r="148" spans="1:23">
      <c r="A148" s="30">
        <v>44432</v>
      </c>
      <c r="B148" s="29">
        <v>49600</v>
      </c>
      <c r="C148" s="29">
        <v>47000</v>
      </c>
      <c r="D148" s="29">
        <v>47600</v>
      </c>
      <c r="E148" s="29">
        <v>44500</v>
      </c>
      <c r="F148" s="29">
        <v>47000</v>
      </c>
      <c r="G148" s="29" t="str">
        <v>-</v>
      </c>
      <c r="H148" s="29">
        <v>46500</v>
      </c>
      <c r="I148" s="29" t="str">
        <v>-</v>
      </c>
      <c r="J148" s="29">
        <v>48700</v>
      </c>
      <c r="K148" s="29" t="str">
        <v>-</v>
      </c>
      <c r="L148" s="29">
        <v>49400</v>
      </c>
      <c r="M148" s="29">
        <v>49000</v>
      </c>
      <c r="N148" s="29">
        <v>46500</v>
      </c>
      <c r="O148" s="29" t="str">
        <v>-</v>
      </c>
      <c r="P148" s="29">
        <v>44650</v>
      </c>
      <c r="Q148" s="29">
        <v>44800</v>
      </c>
      <c r="R148" s="29">
        <v>45300</v>
      </c>
      <c r="S148">
        <v>48000</v>
      </c>
      <c r="T148">
        <v>47000</v>
      </c>
      <c r="U148">
        <v>47000</v>
      </c>
      <c r="V148">
        <v>46800</v>
      </c>
      <c r="W148">
        <v>49600</v>
      </c>
    </row>
    <row r="149" spans="1:23">
      <c r="A149" s="30">
        <v>44433</v>
      </c>
      <c r="B149" s="29">
        <v>49700</v>
      </c>
      <c r="C149" s="29">
        <v>47000</v>
      </c>
      <c r="D149" s="29">
        <v>47600</v>
      </c>
      <c r="E149" s="29">
        <v>44700</v>
      </c>
      <c r="F149" s="29">
        <v>47000</v>
      </c>
      <c r="G149" s="29" t="str">
        <v>-</v>
      </c>
      <c r="H149" s="29">
        <v>46500</v>
      </c>
      <c r="I149" s="29" t="str">
        <v>-</v>
      </c>
      <c r="J149" s="29">
        <v>48800</v>
      </c>
      <c r="K149" s="29" t="str">
        <v>-</v>
      </c>
      <c r="L149" s="29">
        <v>49400</v>
      </c>
      <c r="M149" s="29">
        <v>49000</v>
      </c>
      <c r="N149" s="29">
        <v>46500</v>
      </c>
      <c r="O149" s="29" t="str">
        <v>-</v>
      </c>
      <c r="P149" s="29">
        <v>44650</v>
      </c>
      <c r="Q149" s="29">
        <v>44800</v>
      </c>
      <c r="R149" s="29">
        <v>45300</v>
      </c>
      <c r="S149">
        <v>48000</v>
      </c>
      <c r="T149">
        <v>47200</v>
      </c>
      <c r="U149">
        <v>47000</v>
      </c>
      <c r="V149">
        <v>46800</v>
      </c>
      <c r="W149">
        <v>49600</v>
      </c>
    </row>
    <row r="150" spans="1:23">
      <c r="A150" s="30">
        <v>44434</v>
      </c>
      <c r="B150" s="29">
        <v>49700</v>
      </c>
      <c r="C150" s="29">
        <v>46800</v>
      </c>
      <c r="D150" s="29">
        <v>47200</v>
      </c>
      <c r="E150" s="29">
        <v>44250</v>
      </c>
      <c r="F150" s="29">
        <v>47000</v>
      </c>
      <c r="G150" s="29" t="str">
        <v>-</v>
      </c>
      <c r="H150" s="29">
        <v>46500</v>
      </c>
      <c r="I150" s="29" t="str">
        <v>-</v>
      </c>
      <c r="J150" s="29">
        <v>48700</v>
      </c>
      <c r="K150" s="29" t="str">
        <v>-</v>
      </c>
      <c r="L150" s="29">
        <v>49200</v>
      </c>
      <c r="M150" s="29">
        <v>49200</v>
      </c>
      <c r="N150" s="29">
        <v>46300</v>
      </c>
      <c r="O150" s="29" t="str">
        <v>-</v>
      </c>
      <c r="P150" s="29">
        <v>44200</v>
      </c>
      <c r="Q150" s="29">
        <v>44400</v>
      </c>
      <c r="R150" s="29">
        <v>44900</v>
      </c>
      <c r="S150">
        <v>47700</v>
      </c>
      <c r="T150">
        <v>47000</v>
      </c>
      <c r="U150">
        <v>46700</v>
      </c>
      <c r="V150">
        <v>46800</v>
      </c>
      <c r="W150">
        <v>49300</v>
      </c>
    </row>
    <row r="151" spans="1:23">
      <c r="A151" s="30">
        <v>44435</v>
      </c>
      <c r="B151" s="29">
        <v>49500</v>
      </c>
      <c r="C151" s="29">
        <v>46800</v>
      </c>
      <c r="D151" s="29">
        <v>47000</v>
      </c>
      <c r="E151" s="29">
        <v>43850</v>
      </c>
      <c r="F151" s="29">
        <v>46700</v>
      </c>
      <c r="G151" s="29" t="str">
        <v>-</v>
      </c>
      <c r="H151" s="29">
        <v>46500</v>
      </c>
      <c r="I151" s="29" t="str">
        <v>-</v>
      </c>
      <c r="J151" s="29">
        <v>48600</v>
      </c>
      <c r="K151" s="29" t="str">
        <v>-</v>
      </c>
      <c r="L151" s="29">
        <v>48800</v>
      </c>
      <c r="M151" s="29">
        <v>49100</v>
      </c>
      <c r="N151" s="29">
        <v>46100</v>
      </c>
      <c r="O151" s="29" t="str">
        <v>-</v>
      </c>
      <c r="P151" s="29">
        <v>43800</v>
      </c>
      <c r="Q151" s="29">
        <v>44200</v>
      </c>
      <c r="R151" s="29">
        <v>44500</v>
      </c>
      <c r="S151">
        <v>47300</v>
      </c>
      <c r="T151">
        <v>46800</v>
      </c>
      <c r="U151">
        <v>45500</v>
      </c>
      <c r="V151">
        <v>46600</v>
      </c>
      <c r="W151">
        <v>49100</v>
      </c>
    </row>
    <row r="152" spans="1:23">
      <c r="A152" s="30">
        <v>44436</v>
      </c>
      <c r="B152" s="29">
        <v>49500</v>
      </c>
      <c r="C152" s="29">
        <v>46800</v>
      </c>
      <c r="D152" s="29">
        <v>47000</v>
      </c>
      <c r="E152" s="29">
        <v>43750</v>
      </c>
      <c r="F152" s="29">
        <v>46500</v>
      </c>
      <c r="G152" s="29" t="str">
        <v>-</v>
      </c>
      <c r="H152" s="29">
        <v>46500</v>
      </c>
      <c r="I152" s="29" t="str">
        <v>-</v>
      </c>
      <c r="J152" s="29">
        <v>48400</v>
      </c>
      <c r="K152" s="29" t="str">
        <v>-</v>
      </c>
      <c r="L152" s="29">
        <v>48700</v>
      </c>
      <c r="M152" s="29">
        <v>48800</v>
      </c>
      <c r="N152" s="29">
        <v>46000</v>
      </c>
      <c r="O152" s="29" t="str">
        <v>-</v>
      </c>
      <c r="P152" s="29">
        <v>43700</v>
      </c>
      <c r="Q152" s="29">
        <v>44300</v>
      </c>
      <c r="R152" s="29">
        <v>44300</v>
      </c>
      <c r="S152">
        <v>47000</v>
      </c>
      <c r="T152">
        <v>46800</v>
      </c>
      <c r="U152">
        <v>45200</v>
      </c>
      <c r="V152">
        <v>46300</v>
      </c>
      <c r="W152">
        <v>48900</v>
      </c>
    </row>
    <row r="153" spans="1:23">
      <c r="A153" s="30">
        <v>44437</v>
      </c>
      <c r="B153" s="29" t="str">
        <v>H</v>
      </c>
      <c r="C153" s="29" t="str">
        <v>H</v>
      </c>
      <c r="D153" s="29" t="str">
        <v>H</v>
      </c>
      <c r="E153" s="29" t="str">
        <v>H</v>
      </c>
      <c r="F153" s="29" t="str">
        <v>H</v>
      </c>
      <c r="G153" s="29" t="str">
        <v>H</v>
      </c>
      <c r="H153" s="29" t="str">
        <v>H</v>
      </c>
      <c r="I153" s="29" t="str">
        <v>H</v>
      </c>
      <c r="J153" s="29" t="str">
        <v>H</v>
      </c>
      <c r="K153" s="29" t="str">
        <v>H</v>
      </c>
      <c r="L153" s="29" t="str">
        <v>H</v>
      </c>
      <c r="M153" s="29" t="str">
        <v>H</v>
      </c>
      <c r="N153" s="29" t="str">
        <v>H</v>
      </c>
      <c r="O153" s="29" t="str">
        <v>H</v>
      </c>
      <c r="P153" s="29" t="str">
        <v>H</v>
      </c>
      <c r="Q153" s="29" t="str">
        <v>H</v>
      </c>
      <c r="R153" s="29" t="str">
        <v>H</v>
      </c>
      <c r="S153" t="str">
        <v>H</v>
      </c>
      <c r="T153" t="str">
        <v>H</v>
      </c>
      <c r="U153" t="str">
        <v>H</v>
      </c>
      <c r="V153" t="str">
        <v>H</v>
      </c>
      <c r="W153" t="str">
        <v>H</v>
      </c>
    </row>
    <row r="154" spans="1:23">
      <c r="A154" s="30">
        <v>44438</v>
      </c>
      <c r="B154" s="29" t="str">
        <v>-</v>
      </c>
      <c r="C154" s="29">
        <v>46800</v>
      </c>
      <c r="D154" s="29">
        <v>47000</v>
      </c>
      <c r="E154" s="29">
        <v>43500</v>
      </c>
      <c r="F154" s="29">
        <v>46500</v>
      </c>
      <c r="G154" s="29" t="str">
        <v>-</v>
      </c>
      <c r="H154" s="29">
        <v>46000</v>
      </c>
      <c r="I154" s="29" t="str">
        <v>-</v>
      </c>
      <c r="J154" s="29">
        <v>48300</v>
      </c>
      <c r="K154" s="29" t="str">
        <v>-</v>
      </c>
      <c r="L154" s="29">
        <v>49000</v>
      </c>
      <c r="M154" s="29">
        <v>48800</v>
      </c>
      <c r="N154" s="29">
        <v>46000</v>
      </c>
      <c r="O154" s="29" t="str">
        <v>-</v>
      </c>
      <c r="P154" s="29">
        <v>43800</v>
      </c>
      <c r="Q154" s="29">
        <v>44200</v>
      </c>
      <c r="R154" s="29">
        <v>44200</v>
      </c>
      <c r="S154">
        <v>46800</v>
      </c>
      <c r="T154">
        <v>46600</v>
      </c>
      <c r="U154">
        <v>45200</v>
      </c>
      <c r="V154">
        <v>45900</v>
      </c>
      <c r="W154">
        <v>48300</v>
      </c>
    </row>
    <row r="155" spans="1:23">
      <c r="A155" s="30">
        <v>44439</v>
      </c>
      <c r="B155" s="29">
        <v>49500</v>
      </c>
      <c r="C155" s="29">
        <v>47000</v>
      </c>
      <c r="D155" s="29">
        <v>46900</v>
      </c>
      <c r="E155" s="29">
        <v>43500</v>
      </c>
      <c r="F155" s="29">
        <v>46500</v>
      </c>
      <c r="G155" s="29" t="str">
        <v>-</v>
      </c>
      <c r="H155" s="29">
        <v>46000</v>
      </c>
      <c r="I155" s="29" t="str">
        <v>-</v>
      </c>
      <c r="J155" s="29">
        <v>48200</v>
      </c>
      <c r="K155" s="29" t="str">
        <v>-</v>
      </c>
      <c r="L155" s="29">
        <v>49000</v>
      </c>
      <c r="M155" s="29">
        <v>48400</v>
      </c>
      <c r="N155" s="29">
        <v>46200</v>
      </c>
      <c r="O155" s="29" t="str">
        <v>-</v>
      </c>
      <c r="P155" s="29">
        <v>44000</v>
      </c>
      <c r="Q155" s="29">
        <v>44400</v>
      </c>
      <c r="R155" s="29">
        <v>44300</v>
      </c>
      <c r="S155">
        <v>46800</v>
      </c>
      <c r="T155">
        <v>46600</v>
      </c>
      <c r="U155">
        <v>45200</v>
      </c>
      <c r="V155">
        <v>45800</v>
      </c>
      <c r="W155">
        <v>48300</v>
      </c>
    </row>
    <row r="156" spans="1:23">
      <c r="A156" s="30">
        <v>44440</v>
      </c>
      <c r="B156" s="29">
        <v>49900</v>
      </c>
      <c r="C156" s="29">
        <v>47000</v>
      </c>
      <c r="D156" s="29">
        <v>47300</v>
      </c>
      <c r="E156" s="29">
        <v>44000</v>
      </c>
      <c r="F156" s="29">
        <v>46400</v>
      </c>
      <c r="G156" s="29" t="str">
        <v>-</v>
      </c>
      <c r="H156" s="29">
        <v>46500</v>
      </c>
      <c r="I156" s="29" t="str">
        <v>-</v>
      </c>
      <c r="J156" s="29">
        <v>48200</v>
      </c>
      <c r="K156" s="29" t="str">
        <v>-</v>
      </c>
      <c r="L156" s="29">
        <v>49300</v>
      </c>
      <c r="M156" s="29">
        <v>48100</v>
      </c>
      <c r="N156" s="29">
        <v>46500</v>
      </c>
      <c r="O156" s="29" t="str">
        <v>-</v>
      </c>
      <c r="P156" s="29">
        <v>44600</v>
      </c>
      <c r="Q156" s="29">
        <v>44700</v>
      </c>
      <c r="R156" s="29">
        <v>44600</v>
      </c>
      <c r="S156">
        <v>46900</v>
      </c>
      <c r="T156">
        <v>47000</v>
      </c>
      <c r="U156">
        <v>45800</v>
      </c>
      <c r="V156">
        <v>45900</v>
      </c>
      <c r="W156">
        <v>48300</v>
      </c>
    </row>
    <row r="157" spans="1:23">
      <c r="A157" s="30">
        <v>44441</v>
      </c>
      <c r="B157" s="29">
        <v>50000</v>
      </c>
      <c r="C157" s="29">
        <v>47200</v>
      </c>
      <c r="D157" s="29">
        <v>47000</v>
      </c>
      <c r="E157" s="29">
        <v>43800</v>
      </c>
      <c r="F157" s="29">
        <v>46400</v>
      </c>
      <c r="G157" s="29" t="str">
        <v>-</v>
      </c>
      <c r="H157" s="29">
        <v>46500</v>
      </c>
      <c r="I157" s="29" t="str">
        <v>-</v>
      </c>
      <c r="J157" s="29">
        <v>48000</v>
      </c>
      <c r="K157" s="29" t="str">
        <v>-</v>
      </c>
      <c r="L157" s="29">
        <v>49200</v>
      </c>
      <c r="M157" s="29">
        <v>47900</v>
      </c>
      <c r="N157" s="29">
        <v>46500</v>
      </c>
      <c r="O157" s="29" t="str">
        <v>-</v>
      </c>
      <c r="P157" s="29">
        <v>44300</v>
      </c>
      <c r="Q157" s="29">
        <v>44700</v>
      </c>
      <c r="R157" s="29">
        <v>44500</v>
      </c>
      <c r="S157">
        <v>46600</v>
      </c>
      <c r="T157">
        <v>47000</v>
      </c>
      <c r="U157">
        <v>45800</v>
      </c>
      <c r="V157">
        <v>45900</v>
      </c>
      <c r="W157">
        <v>48000</v>
      </c>
    </row>
    <row r="158" spans="1:23">
      <c r="A158" s="30">
        <v>44442</v>
      </c>
      <c r="B158" s="29">
        <v>49700</v>
      </c>
      <c r="C158" s="29">
        <v>47000</v>
      </c>
      <c r="D158" s="29">
        <v>47300</v>
      </c>
      <c r="E158" s="29">
        <v>43800</v>
      </c>
      <c r="F158" s="29">
        <v>46400</v>
      </c>
      <c r="G158" s="29" t="str">
        <v>-</v>
      </c>
      <c r="H158" s="29">
        <v>46000</v>
      </c>
      <c r="I158" s="29" t="str">
        <v>-</v>
      </c>
      <c r="J158" s="29">
        <v>48000</v>
      </c>
      <c r="K158" s="29" t="str">
        <v>-</v>
      </c>
      <c r="L158" s="29">
        <v>49200</v>
      </c>
      <c r="M158" s="29">
        <v>47600</v>
      </c>
      <c r="N158" s="29">
        <v>46300</v>
      </c>
      <c r="O158" s="29" t="str">
        <v>-</v>
      </c>
      <c r="P158" s="29">
        <v>44400</v>
      </c>
      <c r="Q158" s="29">
        <v>44700</v>
      </c>
      <c r="R158" s="29">
        <v>44300</v>
      </c>
      <c r="S158">
        <v>46500</v>
      </c>
      <c r="T158">
        <v>47000</v>
      </c>
      <c r="U158">
        <v>45800</v>
      </c>
      <c r="V158">
        <v>46100</v>
      </c>
      <c r="W158">
        <v>48000</v>
      </c>
    </row>
    <row r="159" spans="1:23">
      <c r="A159" s="30">
        <v>44443</v>
      </c>
      <c r="B159" s="29">
        <v>49500</v>
      </c>
      <c r="C159" s="29">
        <v>47000</v>
      </c>
      <c r="D159" s="29">
        <v>47600</v>
      </c>
      <c r="E159" s="29">
        <v>43750</v>
      </c>
      <c r="F159" s="29">
        <v>46300</v>
      </c>
      <c r="G159" s="29" t="str">
        <v>-</v>
      </c>
      <c r="H159" s="29">
        <v>46000</v>
      </c>
      <c r="I159" s="29" t="str">
        <v>-</v>
      </c>
      <c r="J159" s="29">
        <v>47400</v>
      </c>
      <c r="K159" s="29" t="str">
        <v>-</v>
      </c>
      <c r="L159" s="29">
        <v>49200</v>
      </c>
      <c r="M159" s="29">
        <v>47400</v>
      </c>
      <c r="N159" s="29">
        <v>46200</v>
      </c>
      <c r="O159" s="29" t="str">
        <v>-</v>
      </c>
      <c r="P159" s="29">
        <v>44200</v>
      </c>
      <c r="Q159" s="29">
        <v>44400</v>
      </c>
      <c r="R159" s="29">
        <v>44100</v>
      </c>
      <c r="S159">
        <v>46300</v>
      </c>
      <c r="T159">
        <v>46800</v>
      </c>
      <c r="U159">
        <v>45800</v>
      </c>
      <c r="V159">
        <v>46100</v>
      </c>
      <c r="W159">
        <v>47900</v>
      </c>
    </row>
    <row r="160" spans="1:23">
      <c r="A160" s="30">
        <v>44444</v>
      </c>
      <c r="B160" s="29" t="str">
        <v>H</v>
      </c>
      <c r="C160" s="29" t="str">
        <v>H</v>
      </c>
      <c r="D160" s="29" t="str">
        <v>H</v>
      </c>
      <c r="E160" s="29" t="str">
        <v>H</v>
      </c>
      <c r="F160" s="29" t="str">
        <v>H</v>
      </c>
      <c r="G160" s="29" t="str">
        <v>H</v>
      </c>
      <c r="H160" s="29" t="str">
        <v>H</v>
      </c>
      <c r="I160" s="29" t="str">
        <v>H</v>
      </c>
      <c r="J160" s="29" t="str">
        <v>H</v>
      </c>
      <c r="K160" s="29" t="str">
        <v>H</v>
      </c>
      <c r="L160" s="29" t="str">
        <v>H</v>
      </c>
      <c r="M160" s="29" t="str">
        <v>H</v>
      </c>
      <c r="N160" s="29" t="str">
        <v>H</v>
      </c>
      <c r="O160" s="29" t="str">
        <v>H</v>
      </c>
      <c r="P160" s="29" t="str">
        <v>H</v>
      </c>
      <c r="Q160" s="29" t="str">
        <v>H</v>
      </c>
      <c r="R160" s="29" t="str">
        <v>H</v>
      </c>
      <c r="S160" t="str">
        <v>H</v>
      </c>
      <c r="T160" t="str">
        <v>H</v>
      </c>
      <c r="U160" t="str">
        <v>H</v>
      </c>
      <c r="V160" t="str">
        <v>H</v>
      </c>
      <c r="W160" t="str">
        <v>H</v>
      </c>
    </row>
    <row r="161" spans="1:23">
      <c r="A161" s="30">
        <v>44445</v>
      </c>
      <c r="B161" s="29">
        <v>49200</v>
      </c>
      <c r="C161" s="29">
        <v>47000</v>
      </c>
      <c r="D161" s="29">
        <v>47400</v>
      </c>
      <c r="E161" s="29">
        <v>43500</v>
      </c>
      <c r="F161" s="29">
        <v>46300</v>
      </c>
      <c r="G161" s="29" t="str">
        <v>-</v>
      </c>
      <c r="H161" s="29">
        <v>46000</v>
      </c>
      <c r="I161" s="29" t="str">
        <v>-</v>
      </c>
      <c r="J161" s="29">
        <v>47200</v>
      </c>
      <c r="K161" s="29" t="str">
        <v>-</v>
      </c>
      <c r="L161" s="29">
        <v>49100</v>
      </c>
      <c r="M161" s="29">
        <v>47400</v>
      </c>
      <c r="N161" s="29">
        <v>45900</v>
      </c>
      <c r="O161" s="29" t="str">
        <v>-</v>
      </c>
      <c r="P161" s="29">
        <v>43800</v>
      </c>
      <c r="Q161" s="29">
        <v>44200</v>
      </c>
      <c r="R161" s="29">
        <v>44000</v>
      </c>
      <c r="S161">
        <v>46000</v>
      </c>
      <c r="T161">
        <v>46500</v>
      </c>
      <c r="U161">
        <v>45800</v>
      </c>
      <c r="V161">
        <v>46100</v>
      </c>
      <c r="W161">
        <v>47900</v>
      </c>
    </row>
    <row r="162" spans="1:23">
      <c r="A162" s="30">
        <v>44446</v>
      </c>
      <c r="B162" s="29">
        <v>48900</v>
      </c>
      <c r="C162" s="29">
        <v>47000</v>
      </c>
      <c r="D162" s="29">
        <v>47200</v>
      </c>
      <c r="E162" s="29">
        <v>43250</v>
      </c>
      <c r="F162" s="29">
        <v>46200</v>
      </c>
      <c r="G162" s="29" t="str">
        <v>-</v>
      </c>
      <c r="H162" s="29">
        <v>45500</v>
      </c>
      <c r="I162" s="29" t="str">
        <v>-</v>
      </c>
      <c r="J162" s="29">
        <v>47000</v>
      </c>
      <c r="K162" s="29" t="str">
        <v>-</v>
      </c>
      <c r="L162" s="29">
        <v>48900</v>
      </c>
      <c r="M162" s="29">
        <v>46900</v>
      </c>
      <c r="N162" s="29">
        <v>45700</v>
      </c>
      <c r="O162" s="29" t="str">
        <v>-</v>
      </c>
      <c r="P162" s="29">
        <v>43700</v>
      </c>
      <c r="Q162" s="29">
        <v>44100</v>
      </c>
      <c r="R162" s="29">
        <v>43650</v>
      </c>
      <c r="S162">
        <v>46000</v>
      </c>
      <c r="T162">
        <v>46500</v>
      </c>
      <c r="U162">
        <v>45800</v>
      </c>
      <c r="V162">
        <v>46000</v>
      </c>
      <c r="W162">
        <v>47700</v>
      </c>
    </row>
    <row r="163" spans="1:23">
      <c r="A163" s="30">
        <v>44447</v>
      </c>
      <c r="B163" s="29">
        <v>48200</v>
      </c>
      <c r="C163" s="29">
        <v>47000</v>
      </c>
      <c r="D163" s="29">
        <v>47100</v>
      </c>
      <c r="E163" s="29">
        <v>43100</v>
      </c>
      <c r="F163" s="29">
        <v>45800</v>
      </c>
      <c r="G163" s="29" t="str">
        <v>-</v>
      </c>
      <c r="H163" s="29">
        <v>45500</v>
      </c>
      <c r="I163" s="29" t="str">
        <v>-</v>
      </c>
      <c r="J163" s="29">
        <v>46700</v>
      </c>
      <c r="K163" s="29" t="str">
        <v>-</v>
      </c>
      <c r="L163" s="29">
        <v>48500</v>
      </c>
      <c r="M163" s="29">
        <v>46100</v>
      </c>
      <c r="N163" s="29">
        <v>45400</v>
      </c>
      <c r="O163" s="29" t="str">
        <v>-</v>
      </c>
      <c r="P163" s="29">
        <v>43400</v>
      </c>
      <c r="Q163" s="29">
        <v>43900</v>
      </c>
      <c r="R163" s="29">
        <v>43650</v>
      </c>
      <c r="S163">
        <v>45800</v>
      </c>
      <c r="T163">
        <v>46100</v>
      </c>
      <c r="U163">
        <v>45800</v>
      </c>
      <c r="V163">
        <v>46000</v>
      </c>
      <c r="W163">
        <v>47700</v>
      </c>
    </row>
    <row r="164" spans="1:23">
      <c r="A164" s="30">
        <v>44448</v>
      </c>
      <c r="B164" s="29">
        <v>47600</v>
      </c>
      <c r="C164" s="29">
        <v>46800</v>
      </c>
      <c r="D164" s="29">
        <v>47100</v>
      </c>
      <c r="E164" s="29">
        <v>43250</v>
      </c>
      <c r="F164" s="29">
        <v>45700</v>
      </c>
      <c r="G164" s="29" t="str">
        <v>-</v>
      </c>
      <c r="H164" s="29">
        <v>45500</v>
      </c>
      <c r="I164" s="29" t="str">
        <v>-</v>
      </c>
      <c r="J164" s="29">
        <v>45800</v>
      </c>
      <c r="K164" s="29" t="str">
        <v>-</v>
      </c>
      <c r="L164" s="29">
        <v>48600</v>
      </c>
      <c r="M164" s="29">
        <v>45700</v>
      </c>
      <c r="N164" s="29">
        <v>45400</v>
      </c>
      <c r="O164" s="29" t="str">
        <v>-</v>
      </c>
      <c r="P164" s="29">
        <v>43800</v>
      </c>
      <c r="Q164" s="29">
        <v>44100</v>
      </c>
      <c r="R164" s="29">
        <v>43650</v>
      </c>
      <c r="S164">
        <v>46000</v>
      </c>
      <c r="T164">
        <v>46200</v>
      </c>
      <c r="U164">
        <v>45600</v>
      </c>
      <c r="V164">
        <v>46000</v>
      </c>
      <c r="W164">
        <v>47700</v>
      </c>
    </row>
    <row r="165" spans="1:23">
      <c r="A165" s="30">
        <v>44449</v>
      </c>
      <c r="B165" s="29">
        <v>47800</v>
      </c>
      <c r="C165" s="29">
        <v>46800</v>
      </c>
      <c r="D165" s="29">
        <v>47400</v>
      </c>
      <c r="E165" s="29">
        <v>43600</v>
      </c>
      <c r="F165" s="29">
        <v>45700</v>
      </c>
      <c r="G165" s="29" t="str">
        <v>-</v>
      </c>
      <c r="H165" s="29">
        <v>45500</v>
      </c>
      <c r="I165" s="29" t="str">
        <v>-</v>
      </c>
      <c r="J165" s="29">
        <v>45900</v>
      </c>
      <c r="K165" s="29" t="str">
        <v>-</v>
      </c>
      <c r="L165" s="29">
        <v>49000</v>
      </c>
      <c r="M165" s="29" t="str">
        <v>-</v>
      </c>
      <c r="N165" s="29">
        <v>46000</v>
      </c>
      <c r="O165" s="29" t="str">
        <v>-</v>
      </c>
      <c r="P165" s="29">
        <v>44300</v>
      </c>
      <c r="Q165" s="29">
        <v>44500</v>
      </c>
      <c r="R165" s="29">
        <v>44200</v>
      </c>
      <c r="S165">
        <v>46300</v>
      </c>
      <c r="T165">
        <v>46700</v>
      </c>
      <c r="U165">
        <v>45700</v>
      </c>
      <c r="V165">
        <v>46200</v>
      </c>
      <c r="W165">
        <v>47900</v>
      </c>
    </row>
    <row r="166" spans="1:23">
      <c r="A166" s="30">
        <v>44450</v>
      </c>
      <c r="B166" s="29">
        <v>47900</v>
      </c>
      <c r="C166" s="29">
        <v>47000</v>
      </c>
      <c r="D166" s="29">
        <v>47000</v>
      </c>
      <c r="E166" s="29">
        <v>43700</v>
      </c>
      <c r="F166" s="29">
        <v>45900</v>
      </c>
      <c r="G166" s="29" t="str">
        <v>-</v>
      </c>
      <c r="H166" s="29">
        <v>46200</v>
      </c>
      <c r="I166" s="29" t="str">
        <v>-</v>
      </c>
      <c r="J166" s="29">
        <v>45900</v>
      </c>
      <c r="K166" s="29" t="str">
        <v>-</v>
      </c>
      <c r="L166" s="29">
        <v>49000</v>
      </c>
      <c r="M166" s="29">
        <v>45700</v>
      </c>
      <c r="N166" s="29">
        <v>45800</v>
      </c>
      <c r="O166" s="29" t="str">
        <v>-</v>
      </c>
      <c r="P166" s="29">
        <v>44200</v>
      </c>
      <c r="Q166" s="29">
        <v>44500</v>
      </c>
      <c r="R166" s="29">
        <v>44400</v>
      </c>
      <c r="S166">
        <v>46300</v>
      </c>
      <c r="T166">
        <v>46700</v>
      </c>
      <c r="U166">
        <v>45800</v>
      </c>
      <c r="V166">
        <v>46400</v>
      </c>
      <c r="W166">
        <v>48400</v>
      </c>
    </row>
    <row r="167" spans="1:23">
      <c r="A167" s="30">
        <v>44451</v>
      </c>
      <c r="B167" s="29" t="str">
        <v>H</v>
      </c>
      <c r="C167" s="29" t="str">
        <v>H</v>
      </c>
      <c r="D167" s="29" t="str">
        <v>H</v>
      </c>
      <c r="E167" s="29" t="str">
        <v>H</v>
      </c>
      <c r="F167" s="29" t="str">
        <v>H</v>
      </c>
      <c r="G167" s="29" t="str">
        <v>H</v>
      </c>
      <c r="H167" s="29" t="str">
        <v>H</v>
      </c>
      <c r="I167" s="29" t="str">
        <v>H</v>
      </c>
      <c r="J167" s="29" t="str">
        <v>H</v>
      </c>
      <c r="K167" s="29" t="str">
        <v>H</v>
      </c>
      <c r="L167" s="29" t="str">
        <v>H</v>
      </c>
      <c r="M167" s="29" t="str">
        <v>H</v>
      </c>
      <c r="N167" s="29" t="str">
        <v>H</v>
      </c>
      <c r="O167" s="29" t="str">
        <v>H</v>
      </c>
      <c r="P167" s="29" t="str">
        <v>H</v>
      </c>
      <c r="Q167" s="29" t="str">
        <v>H</v>
      </c>
      <c r="R167" s="29" t="str">
        <v>H</v>
      </c>
      <c r="S167" t="str">
        <v>H</v>
      </c>
      <c r="T167" t="str">
        <v>H</v>
      </c>
      <c r="U167" t="str">
        <v>H</v>
      </c>
      <c r="V167" t="str">
        <v>H</v>
      </c>
      <c r="W167" t="str">
        <v>H</v>
      </c>
    </row>
    <row r="168" spans="1:23">
      <c r="A168" s="30">
        <v>44452</v>
      </c>
      <c r="B168" s="29">
        <v>47500</v>
      </c>
      <c r="C168" s="29">
        <v>47200</v>
      </c>
      <c r="D168" s="29">
        <v>47000</v>
      </c>
      <c r="E168" s="29">
        <v>44200</v>
      </c>
      <c r="F168" s="29">
        <v>45900</v>
      </c>
      <c r="G168" s="29" t="str">
        <v>-</v>
      </c>
      <c r="H168" s="29">
        <v>45500</v>
      </c>
      <c r="I168" s="29" t="str">
        <v>-</v>
      </c>
      <c r="J168" s="29">
        <v>45900</v>
      </c>
      <c r="K168" s="29" t="str">
        <v>-</v>
      </c>
      <c r="L168" s="29">
        <v>49000</v>
      </c>
      <c r="M168" s="29">
        <v>45700</v>
      </c>
      <c r="N168" s="29">
        <v>45500</v>
      </c>
      <c r="O168" s="29" t="str">
        <v>-</v>
      </c>
      <c r="P168" s="29">
        <v>44000</v>
      </c>
      <c r="Q168" s="29">
        <v>44200</v>
      </c>
      <c r="R168" s="29">
        <v>44200</v>
      </c>
      <c r="S168">
        <v>46800</v>
      </c>
      <c r="T168">
        <v>46500</v>
      </c>
      <c r="U168">
        <v>46000</v>
      </c>
      <c r="V168">
        <v>46300</v>
      </c>
      <c r="W168">
        <v>48400</v>
      </c>
    </row>
    <row r="169" spans="1:23">
      <c r="A169" s="30">
        <v>44453</v>
      </c>
      <c r="B169" s="29">
        <v>47200</v>
      </c>
      <c r="C169" s="29">
        <v>47200</v>
      </c>
      <c r="D169" s="29">
        <v>47400</v>
      </c>
      <c r="E169" s="29">
        <v>44500</v>
      </c>
      <c r="F169" s="29">
        <v>46000</v>
      </c>
      <c r="G169" s="29" t="str">
        <v>-</v>
      </c>
      <c r="H169" s="29">
        <v>46000</v>
      </c>
      <c r="I169" s="29" t="str">
        <v>-</v>
      </c>
      <c r="J169" s="29">
        <v>45800</v>
      </c>
      <c r="K169" s="29" t="str">
        <v>-</v>
      </c>
      <c r="L169" s="29">
        <v>49200</v>
      </c>
      <c r="M169" s="29">
        <v>45700</v>
      </c>
      <c r="N169" s="29">
        <v>46000</v>
      </c>
      <c r="O169" s="29" t="str">
        <v>-</v>
      </c>
      <c r="P169" s="29">
        <v>44200</v>
      </c>
      <c r="Q169" s="29">
        <v>44400</v>
      </c>
      <c r="R169" s="29">
        <v>44200</v>
      </c>
      <c r="S169">
        <v>47000</v>
      </c>
      <c r="T169">
        <v>46500</v>
      </c>
      <c r="U169">
        <v>46200</v>
      </c>
      <c r="V169">
        <v>46600</v>
      </c>
      <c r="W169">
        <v>48600</v>
      </c>
    </row>
    <row r="170" spans="1:23">
      <c r="A170" s="30">
        <v>44454</v>
      </c>
      <c r="B170" s="29">
        <v>47200</v>
      </c>
      <c r="C170" s="29">
        <v>47600</v>
      </c>
      <c r="D170" s="29">
        <v>47400</v>
      </c>
      <c r="E170" s="29">
        <v>44500</v>
      </c>
      <c r="F170" s="29">
        <v>46200</v>
      </c>
      <c r="G170" s="29" t="str">
        <v>-</v>
      </c>
      <c r="H170" s="29">
        <v>46200</v>
      </c>
      <c r="I170" s="29" t="str">
        <v>-</v>
      </c>
      <c r="J170" s="29">
        <v>45800</v>
      </c>
      <c r="K170" s="29" t="str">
        <v>-</v>
      </c>
      <c r="L170" s="29">
        <v>49200</v>
      </c>
      <c r="M170" s="29">
        <v>45700</v>
      </c>
      <c r="N170" s="29">
        <v>45800</v>
      </c>
      <c r="O170" s="29" t="str">
        <v>-</v>
      </c>
      <c r="P170" s="29">
        <v>44400</v>
      </c>
      <c r="Q170" s="29">
        <v>44400</v>
      </c>
      <c r="R170" s="29">
        <v>44300</v>
      </c>
      <c r="S170">
        <v>47000</v>
      </c>
      <c r="T170">
        <v>46500</v>
      </c>
      <c r="U170">
        <v>46400</v>
      </c>
      <c r="V170">
        <v>46900</v>
      </c>
      <c r="W170">
        <v>48700</v>
      </c>
    </row>
    <row r="171" spans="1:23">
      <c r="A171" s="30">
        <v>44455</v>
      </c>
      <c r="B171" s="29">
        <v>47100</v>
      </c>
      <c r="C171" s="29">
        <v>48000</v>
      </c>
      <c r="D171" s="29">
        <v>47200</v>
      </c>
      <c r="E171" s="29">
        <v>44500</v>
      </c>
      <c r="F171" s="29">
        <v>46200</v>
      </c>
      <c r="G171" s="29" t="str">
        <v>-</v>
      </c>
      <c r="H171" s="29">
        <v>46000</v>
      </c>
      <c r="I171" s="29" t="str">
        <v>-</v>
      </c>
      <c r="J171" s="29">
        <v>45700</v>
      </c>
      <c r="K171" s="29" t="str">
        <v>-</v>
      </c>
      <c r="L171" s="29">
        <v>49000</v>
      </c>
      <c r="M171" s="29">
        <v>45700</v>
      </c>
      <c r="N171" s="29">
        <v>45700</v>
      </c>
      <c r="O171" s="29" t="str">
        <v>-</v>
      </c>
      <c r="P171" s="29">
        <v>44100</v>
      </c>
      <c r="Q171" s="29">
        <v>44100</v>
      </c>
      <c r="R171" s="29">
        <v>44400</v>
      </c>
      <c r="S171">
        <v>47000</v>
      </c>
      <c r="T171">
        <v>46400</v>
      </c>
      <c r="U171">
        <v>46500</v>
      </c>
      <c r="V171">
        <v>46900</v>
      </c>
      <c r="W171">
        <v>48700</v>
      </c>
    </row>
    <row r="172" spans="1:23">
      <c r="A172" s="30">
        <v>44456</v>
      </c>
      <c r="B172" s="29">
        <v>47000</v>
      </c>
      <c r="C172" s="29">
        <v>48000</v>
      </c>
      <c r="D172" s="29">
        <v>47200</v>
      </c>
      <c r="E172" s="29">
        <v>44800</v>
      </c>
      <c r="F172" s="29">
        <v>46200</v>
      </c>
      <c r="G172" s="29" t="str">
        <v>-</v>
      </c>
      <c r="H172" s="29">
        <v>46000</v>
      </c>
      <c r="I172" s="29" t="str">
        <v>-</v>
      </c>
      <c r="J172" s="29">
        <v>46000</v>
      </c>
      <c r="K172" s="29" t="str">
        <v>-</v>
      </c>
      <c r="L172" s="29">
        <v>49200</v>
      </c>
      <c r="M172" s="29">
        <v>45700</v>
      </c>
      <c r="N172" s="29">
        <v>45700</v>
      </c>
      <c r="O172" s="29" t="str">
        <v>-</v>
      </c>
      <c r="P172" s="29">
        <v>44100</v>
      </c>
      <c r="Q172" s="29">
        <v>44300</v>
      </c>
      <c r="R172" s="29">
        <v>44200</v>
      </c>
      <c r="S172">
        <v>47500</v>
      </c>
      <c r="T172">
        <v>46400</v>
      </c>
      <c r="U172">
        <v>46000</v>
      </c>
      <c r="V172">
        <v>46900</v>
      </c>
      <c r="W172">
        <v>48800</v>
      </c>
    </row>
    <row r="173" spans="1:23">
      <c r="A173" s="30">
        <v>44457</v>
      </c>
      <c r="B173" s="29">
        <v>47000</v>
      </c>
      <c r="C173" s="29">
        <v>48500</v>
      </c>
      <c r="D173" s="29">
        <v>47200</v>
      </c>
      <c r="E173" s="29">
        <v>44800</v>
      </c>
      <c r="F173" s="29">
        <v>46700</v>
      </c>
      <c r="G173" s="29" t="str">
        <v>-</v>
      </c>
      <c r="H173" s="29">
        <v>46000</v>
      </c>
      <c r="I173" s="29" t="str">
        <v>-</v>
      </c>
      <c r="J173" s="29">
        <v>46000</v>
      </c>
      <c r="K173" s="29" t="str">
        <v>-</v>
      </c>
      <c r="L173" s="29">
        <v>49200</v>
      </c>
      <c r="M173" s="29">
        <v>45700</v>
      </c>
      <c r="N173" s="29">
        <v>45700</v>
      </c>
      <c r="O173" s="29" t="str">
        <v>-</v>
      </c>
      <c r="P173" s="29">
        <v>43900</v>
      </c>
      <c r="Q173" s="29">
        <v>44400</v>
      </c>
      <c r="R173" s="29">
        <v>44200</v>
      </c>
      <c r="S173">
        <v>47500</v>
      </c>
      <c r="T173">
        <v>46600</v>
      </c>
      <c r="U173">
        <v>46000</v>
      </c>
      <c r="V173">
        <v>47100</v>
      </c>
      <c r="W173">
        <v>48800</v>
      </c>
    </row>
    <row r="174" spans="1:23">
      <c r="A174" s="30">
        <v>44458</v>
      </c>
      <c r="B174" s="29" t="str">
        <v>H</v>
      </c>
      <c r="C174" s="29" t="str">
        <v>H</v>
      </c>
      <c r="D174" s="29" t="str">
        <v>H</v>
      </c>
      <c r="E174" s="29" t="str">
        <v>H</v>
      </c>
      <c r="F174" s="29" t="str">
        <v>H</v>
      </c>
      <c r="G174" s="29" t="str">
        <v>H</v>
      </c>
      <c r="H174" s="29" t="str">
        <v>H</v>
      </c>
      <c r="I174" s="29" t="str">
        <v>H</v>
      </c>
      <c r="J174" s="29" t="str">
        <v>H</v>
      </c>
      <c r="K174" s="29" t="str">
        <v>H</v>
      </c>
      <c r="L174" s="29" t="str">
        <v>H</v>
      </c>
      <c r="M174" s="29" t="str">
        <v>H</v>
      </c>
      <c r="N174" s="29" t="str">
        <v>H</v>
      </c>
      <c r="O174" s="29" t="str">
        <v>H</v>
      </c>
      <c r="P174" s="29" t="str">
        <v>H</v>
      </c>
      <c r="Q174" s="29" t="str">
        <v>H</v>
      </c>
      <c r="R174" s="29" t="str">
        <v>H</v>
      </c>
      <c r="S174" t="str">
        <v>H</v>
      </c>
      <c r="T174" t="str">
        <v>H</v>
      </c>
      <c r="U174" t="str">
        <v>H</v>
      </c>
      <c r="V174" t="str">
        <v>H</v>
      </c>
      <c r="W174" t="str">
        <v>H</v>
      </c>
    </row>
    <row r="175" spans="1:23">
      <c r="A175" s="30">
        <v>44459</v>
      </c>
      <c r="B175" s="29">
        <v>47000</v>
      </c>
      <c r="C175" s="29">
        <v>48700</v>
      </c>
      <c r="D175" s="29">
        <v>47400</v>
      </c>
      <c r="E175" s="29">
        <v>45000</v>
      </c>
      <c r="F175" s="29">
        <v>46700</v>
      </c>
      <c r="G175" s="29" t="str">
        <v>-</v>
      </c>
      <c r="H175" s="29">
        <v>46000</v>
      </c>
      <c r="I175" s="29" t="str">
        <v>-</v>
      </c>
      <c r="J175" s="29">
        <v>46000</v>
      </c>
      <c r="K175" s="29" t="str">
        <v>-</v>
      </c>
      <c r="L175" s="29">
        <v>49200</v>
      </c>
      <c r="M175" s="29">
        <v>45700</v>
      </c>
      <c r="N175" s="29">
        <v>46000</v>
      </c>
      <c r="O175" s="29" t="str">
        <v>-</v>
      </c>
      <c r="P175" s="29">
        <v>44700</v>
      </c>
      <c r="Q175" s="29">
        <v>45000</v>
      </c>
      <c r="R175" s="29">
        <v>44300</v>
      </c>
      <c r="S175">
        <v>47700</v>
      </c>
      <c r="T175">
        <v>47100</v>
      </c>
      <c r="U175">
        <v>46500</v>
      </c>
      <c r="V175">
        <v>47500</v>
      </c>
      <c r="W175">
        <v>49200</v>
      </c>
    </row>
    <row r="176" spans="1:23">
      <c r="A176" s="30">
        <v>44460</v>
      </c>
      <c r="B176" s="29">
        <v>47200</v>
      </c>
      <c r="C176" s="29">
        <v>48700</v>
      </c>
      <c r="D176" s="29">
        <v>47800</v>
      </c>
      <c r="E176" s="29">
        <v>44800</v>
      </c>
      <c r="F176" s="29">
        <v>46700</v>
      </c>
      <c r="G176" s="29" t="str">
        <v>-</v>
      </c>
      <c r="H176" s="29">
        <v>46000</v>
      </c>
      <c r="I176" s="29" t="str">
        <v>-</v>
      </c>
      <c r="J176" s="29">
        <v>46400</v>
      </c>
      <c r="K176" s="29" t="str">
        <v>-</v>
      </c>
      <c r="L176" s="29">
        <v>49100</v>
      </c>
      <c r="M176" s="29">
        <v>46000</v>
      </c>
      <c r="N176" s="29">
        <v>46300</v>
      </c>
      <c r="O176" s="29" t="str">
        <v>-</v>
      </c>
      <c r="P176" s="29">
        <v>45000</v>
      </c>
      <c r="Q176" s="29">
        <v>45100</v>
      </c>
      <c r="R176" s="29">
        <v>44300</v>
      </c>
      <c r="S176">
        <v>47700</v>
      </c>
      <c r="T176">
        <v>47300</v>
      </c>
      <c r="U176">
        <v>46400</v>
      </c>
      <c r="V176">
        <v>47500</v>
      </c>
      <c r="W176">
        <v>49300</v>
      </c>
    </row>
    <row r="177" spans="1:23">
      <c r="A177" s="30">
        <v>44461</v>
      </c>
      <c r="B177" s="29">
        <v>47200</v>
      </c>
      <c r="C177" s="29">
        <v>48700</v>
      </c>
      <c r="D177" s="29">
        <v>47600</v>
      </c>
      <c r="E177" s="29">
        <v>44500</v>
      </c>
      <c r="F177" s="29">
        <v>46700</v>
      </c>
      <c r="G177" s="29" t="str">
        <v>-</v>
      </c>
      <c r="H177" s="29">
        <v>46000</v>
      </c>
      <c r="I177" s="29" t="str">
        <v>-</v>
      </c>
      <c r="J177" s="29">
        <v>46400</v>
      </c>
      <c r="K177" s="29" t="str">
        <v>-</v>
      </c>
      <c r="L177" s="29">
        <v>49100</v>
      </c>
      <c r="M177" s="29">
        <v>46500</v>
      </c>
      <c r="N177" s="29">
        <v>46300</v>
      </c>
      <c r="O177" s="29" t="str">
        <v>-</v>
      </c>
      <c r="P177" s="29">
        <v>44850</v>
      </c>
      <c r="Q177" s="29">
        <v>45000</v>
      </c>
      <c r="R177" s="29">
        <v>44500</v>
      </c>
      <c r="S177">
        <v>47500</v>
      </c>
      <c r="T177">
        <v>47400</v>
      </c>
      <c r="U177">
        <v>46500</v>
      </c>
      <c r="V177">
        <v>47500</v>
      </c>
      <c r="W177">
        <v>49300</v>
      </c>
    </row>
    <row r="178" spans="1:23">
      <c r="A178" s="30">
        <v>44462</v>
      </c>
      <c r="B178" s="29">
        <v>47000</v>
      </c>
      <c r="C178" s="29">
        <v>48500</v>
      </c>
      <c r="D178" s="29">
        <v>47800</v>
      </c>
      <c r="E178" s="29">
        <v>44300</v>
      </c>
      <c r="F178" s="29">
        <v>46700</v>
      </c>
      <c r="G178" s="29" t="str">
        <v>-</v>
      </c>
      <c r="H178" s="29">
        <v>45500</v>
      </c>
      <c r="I178" s="29" t="str">
        <v>-</v>
      </c>
      <c r="J178" s="29">
        <v>46300</v>
      </c>
      <c r="K178" s="29" t="str">
        <v>-</v>
      </c>
      <c r="L178" s="29">
        <v>48800</v>
      </c>
      <c r="M178" s="29">
        <v>46500</v>
      </c>
      <c r="N178" s="29">
        <v>46100</v>
      </c>
      <c r="O178" s="29" t="str">
        <v>-</v>
      </c>
      <c r="P178" s="29">
        <v>44500</v>
      </c>
      <c r="Q178" s="29">
        <v>44500</v>
      </c>
      <c r="R178" s="29">
        <v>44400</v>
      </c>
      <c r="S178">
        <v>47300</v>
      </c>
      <c r="T178">
        <v>47000</v>
      </c>
      <c r="U178">
        <v>46400</v>
      </c>
      <c r="V178">
        <v>47500</v>
      </c>
      <c r="W178">
        <v>49300</v>
      </c>
    </row>
    <row r="179" spans="1:23">
      <c r="A179" s="30">
        <v>44463</v>
      </c>
      <c r="B179" s="29">
        <v>46800</v>
      </c>
      <c r="C179" s="29">
        <v>48700</v>
      </c>
      <c r="D179" s="29">
        <v>48000</v>
      </c>
      <c r="E179" s="29">
        <v>44700</v>
      </c>
      <c r="F179" s="29">
        <v>46700</v>
      </c>
      <c r="G179" s="29" t="str">
        <v>-</v>
      </c>
      <c r="H179" s="29">
        <v>45500</v>
      </c>
      <c r="I179" s="29" t="str">
        <v>-</v>
      </c>
      <c r="J179" s="29">
        <v>46100</v>
      </c>
      <c r="K179" s="29" t="str">
        <v>-</v>
      </c>
      <c r="L179" s="29">
        <v>48900</v>
      </c>
      <c r="M179" s="29">
        <v>46500</v>
      </c>
      <c r="N179" s="29">
        <v>46300</v>
      </c>
      <c r="O179" s="29" t="str">
        <v>-</v>
      </c>
      <c r="P179" s="29">
        <v>44700</v>
      </c>
      <c r="Q179" s="29">
        <v>44700</v>
      </c>
      <c r="R179" s="29">
        <v>44400</v>
      </c>
      <c r="S179">
        <v>47600</v>
      </c>
      <c r="T179">
        <v>47100</v>
      </c>
      <c r="U179">
        <v>46000</v>
      </c>
      <c r="V179">
        <v>47500</v>
      </c>
      <c r="W179">
        <v>49300</v>
      </c>
    </row>
    <row r="180" spans="1:23">
      <c r="A180" s="30">
        <v>44464</v>
      </c>
      <c r="B180" s="29">
        <v>46800</v>
      </c>
      <c r="C180" s="29">
        <v>48750</v>
      </c>
      <c r="D180" s="29">
        <v>47800</v>
      </c>
      <c r="E180" s="29">
        <v>44500</v>
      </c>
      <c r="F180" s="29">
        <v>46700</v>
      </c>
      <c r="G180" s="29" t="str">
        <v>-</v>
      </c>
      <c r="H180" s="29">
        <v>45500</v>
      </c>
      <c r="I180" s="29" t="str">
        <v>-</v>
      </c>
      <c r="J180" s="29">
        <v>46000</v>
      </c>
      <c r="K180" s="29" t="str">
        <v>-</v>
      </c>
      <c r="L180" s="29">
        <v>48800</v>
      </c>
      <c r="M180" s="29">
        <v>46200</v>
      </c>
      <c r="N180" s="29">
        <v>46300</v>
      </c>
      <c r="O180" s="29" t="str">
        <v>-</v>
      </c>
      <c r="P180" s="29">
        <v>44700</v>
      </c>
      <c r="Q180" s="29">
        <v>44700</v>
      </c>
      <c r="R180" s="29">
        <v>44300</v>
      </c>
      <c r="S180">
        <v>47400</v>
      </c>
      <c r="T180">
        <v>47100</v>
      </c>
      <c r="U180">
        <v>46000</v>
      </c>
      <c r="V180">
        <v>47500</v>
      </c>
      <c r="W180">
        <v>49300</v>
      </c>
    </row>
    <row r="181" spans="1:23">
      <c r="A181" s="30">
        <v>44465</v>
      </c>
      <c r="B181" s="29" t="str">
        <v>H</v>
      </c>
      <c r="C181" s="29" t="str">
        <v>H</v>
      </c>
      <c r="D181" s="29" t="str">
        <v>H</v>
      </c>
      <c r="E181" s="29" t="str">
        <v>H</v>
      </c>
      <c r="F181" s="29" t="str">
        <v>H</v>
      </c>
      <c r="G181" s="29" t="str">
        <v>H</v>
      </c>
      <c r="H181" s="29" t="str">
        <v>H</v>
      </c>
      <c r="I181" s="29" t="str">
        <v>H</v>
      </c>
      <c r="J181" s="29" t="str">
        <v>H</v>
      </c>
      <c r="K181" s="29" t="str">
        <v>H</v>
      </c>
      <c r="L181" s="29" t="str">
        <v>H</v>
      </c>
      <c r="M181" s="29" t="str">
        <v>H</v>
      </c>
      <c r="N181" s="29" t="str">
        <v>H</v>
      </c>
      <c r="O181" s="29" t="str">
        <v>H</v>
      </c>
      <c r="P181" s="29" t="str">
        <v>H</v>
      </c>
      <c r="Q181" s="29" t="str">
        <v>H</v>
      </c>
      <c r="R181" s="29" t="str">
        <v>H</v>
      </c>
      <c r="S181" t="str">
        <v>H</v>
      </c>
      <c r="T181" t="str">
        <v>H</v>
      </c>
      <c r="U181" t="str">
        <v>H</v>
      </c>
      <c r="V181" t="str">
        <v>H</v>
      </c>
      <c r="W181" t="str">
        <v>H</v>
      </c>
    </row>
    <row r="182" spans="1:23">
      <c r="A182" s="30">
        <v>44466</v>
      </c>
      <c r="B182" s="29">
        <v>46600</v>
      </c>
      <c r="C182" s="29">
        <v>48800</v>
      </c>
      <c r="D182" s="29">
        <v>48000</v>
      </c>
      <c r="E182" s="29">
        <v>44800</v>
      </c>
      <c r="F182" s="29">
        <v>46700</v>
      </c>
      <c r="G182" s="29" t="str">
        <v>-</v>
      </c>
      <c r="H182" s="29">
        <v>45500</v>
      </c>
      <c r="I182" s="29" t="str">
        <v>-</v>
      </c>
      <c r="J182" s="29">
        <v>45900</v>
      </c>
      <c r="K182" s="29" t="str">
        <v>-</v>
      </c>
      <c r="L182" s="29">
        <v>49000</v>
      </c>
      <c r="M182" s="29">
        <v>46200</v>
      </c>
      <c r="N182" s="29">
        <v>46500</v>
      </c>
      <c r="O182" s="29" t="str">
        <v>-</v>
      </c>
      <c r="P182" s="29">
        <v>44600</v>
      </c>
      <c r="Q182" s="29">
        <v>44700</v>
      </c>
      <c r="R182" s="29">
        <v>44400</v>
      </c>
      <c r="S182">
        <v>47800</v>
      </c>
      <c r="T182">
        <v>47100</v>
      </c>
      <c r="U182">
        <v>46400</v>
      </c>
      <c r="V182">
        <v>47500</v>
      </c>
      <c r="W182">
        <v>49500</v>
      </c>
    </row>
    <row r="183" spans="1:23">
      <c r="A183" s="30">
        <v>44467</v>
      </c>
      <c r="B183" s="29">
        <v>46900</v>
      </c>
      <c r="C183" s="29">
        <v>48800</v>
      </c>
      <c r="D183" s="29">
        <v>48500</v>
      </c>
      <c r="E183" s="29">
        <v>45200</v>
      </c>
      <c r="F183" s="29">
        <v>46600</v>
      </c>
      <c r="G183" s="29" t="str">
        <v>-</v>
      </c>
      <c r="H183" s="29">
        <v>46000</v>
      </c>
      <c r="I183" s="29" t="str">
        <v>-</v>
      </c>
      <c r="J183" s="29">
        <v>46100</v>
      </c>
      <c r="K183" s="29" t="str">
        <v>-</v>
      </c>
      <c r="L183" s="29">
        <v>49100</v>
      </c>
      <c r="M183" s="29">
        <v>46200</v>
      </c>
      <c r="N183" s="29">
        <v>46800</v>
      </c>
      <c r="O183" s="29" t="str">
        <v>-</v>
      </c>
      <c r="P183" s="29">
        <v>45200</v>
      </c>
      <c r="Q183" s="29">
        <v>45200</v>
      </c>
      <c r="R183" s="29">
        <v>44800</v>
      </c>
      <c r="S183">
        <v>48000</v>
      </c>
      <c r="T183">
        <v>47600</v>
      </c>
      <c r="U183">
        <v>46600</v>
      </c>
      <c r="V183">
        <v>47800</v>
      </c>
      <c r="W183">
        <v>49700</v>
      </c>
    </row>
    <row r="184" spans="1:23">
      <c r="A184" s="30">
        <v>44468</v>
      </c>
      <c r="B184" s="29">
        <v>47500</v>
      </c>
      <c r="C184" s="29">
        <v>49000</v>
      </c>
      <c r="D184" s="29">
        <v>48800</v>
      </c>
      <c r="E184" s="29">
        <v>45500</v>
      </c>
      <c r="F184" s="29">
        <v>47200</v>
      </c>
      <c r="G184" s="29" t="str">
        <v>-</v>
      </c>
      <c r="H184" s="29">
        <v>46500</v>
      </c>
      <c r="I184" s="29" t="str">
        <v>-</v>
      </c>
      <c r="J184" s="29">
        <v>47700</v>
      </c>
      <c r="K184" s="29" t="str">
        <v>-</v>
      </c>
      <c r="L184" s="29">
        <v>49400</v>
      </c>
      <c r="M184" s="29">
        <v>46600</v>
      </c>
      <c r="N184" s="29">
        <v>47300</v>
      </c>
      <c r="O184" s="29" t="str">
        <v>-</v>
      </c>
      <c r="P184" s="29">
        <v>45600</v>
      </c>
      <c r="Q184" s="29">
        <v>45700</v>
      </c>
      <c r="R184" s="29">
        <v>45000</v>
      </c>
      <c r="S184">
        <v>48600</v>
      </c>
      <c r="T184">
        <v>48200</v>
      </c>
      <c r="U184">
        <v>47200</v>
      </c>
      <c r="V184">
        <v>48500</v>
      </c>
      <c r="W184">
        <v>50300</v>
      </c>
    </row>
    <row r="185" spans="1:23">
      <c r="A185" s="30">
        <v>44469</v>
      </c>
      <c r="B185" s="29">
        <v>48800</v>
      </c>
      <c r="C185" s="29">
        <v>50000</v>
      </c>
      <c r="D185" s="29">
        <v>49300</v>
      </c>
      <c r="E185" s="29">
        <v>47500</v>
      </c>
      <c r="F185" s="29">
        <v>48200</v>
      </c>
      <c r="G185" s="29" t="str">
        <v>-</v>
      </c>
      <c r="H185" s="29">
        <v>48500</v>
      </c>
      <c r="I185" s="29" t="str">
        <v>-</v>
      </c>
      <c r="J185" s="29">
        <v>49400</v>
      </c>
      <c r="K185" s="29" t="str">
        <v>-</v>
      </c>
      <c r="L185" s="29">
        <v>50800</v>
      </c>
      <c r="M185" s="29">
        <v>47900</v>
      </c>
      <c r="N185" s="29">
        <v>48200</v>
      </c>
      <c r="O185" s="29" t="str">
        <v>-</v>
      </c>
      <c r="P185" s="29">
        <v>48000</v>
      </c>
      <c r="Q185" s="29">
        <v>47700</v>
      </c>
      <c r="R185" s="29">
        <v>47000</v>
      </c>
      <c r="S185">
        <v>50500</v>
      </c>
      <c r="T185">
        <v>49900</v>
      </c>
      <c r="U185">
        <v>48600</v>
      </c>
      <c r="V185">
        <v>49600</v>
      </c>
      <c r="W185">
        <v>51300</v>
      </c>
    </row>
    <row r="186" spans="1:23">
      <c r="A186" s="30">
        <v>44470</v>
      </c>
      <c r="B186" s="29">
        <v>49900</v>
      </c>
      <c r="C186" s="29">
        <v>52000</v>
      </c>
      <c r="D186" s="29">
        <v>51200</v>
      </c>
      <c r="E186" s="29">
        <v>49700</v>
      </c>
      <c r="F186" s="29">
        <v>50500</v>
      </c>
      <c r="G186" s="29" t="str">
        <v>-</v>
      </c>
      <c r="H186" s="29">
        <v>50500</v>
      </c>
      <c r="I186" s="29" t="str">
        <v>-</v>
      </c>
      <c r="J186" s="29">
        <v>50300</v>
      </c>
      <c r="K186" s="29" t="str">
        <v>-</v>
      </c>
      <c r="L186" s="29">
        <v>52600</v>
      </c>
      <c r="M186" s="29">
        <v>49300</v>
      </c>
      <c r="N186" s="29">
        <v>50000</v>
      </c>
      <c r="O186" s="29" t="str">
        <v>-</v>
      </c>
      <c r="P186" s="29">
        <v>49200</v>
      </c>
      <c r="Q186" s="29">
        <v>49800</v>
      </c>
      <c r="R186" s="29">
        <v>48700</v>
      </c>
      <c r="S186">
        <v>52500</v>
      </c>
      <c r="T186">
        <v>51500</v>
      </c>
      <c r="U186">
        <v>50200</v>
      </c>
      <c r="V186">
        <v>50900</v>
      </c>
      <c r="W186">
        <v>52600</v>
      </c>
    </row>
    <row r="187" spans="1:23">
      <c r="A187" s="30">
        <v>44471</v>
      </c>
      <c r="B187" s="29" t="str">
        <v>H</v>
      </c>
      <c r="C187" s="29" t="str">
        <v>H</v>
      </c>
      <c r="D187" s="29" t="str">
        <v>H</v>
      </c>
      <c r="E187" s="29" t="str">
        <v>H</v>
      </c>
      <c r="F187" s="29" t="str">
        <v>H</v>
      </c>
      <c r="G187" s="29" t="str">
        <v>H</v>
      </c>
      <c r="H187" s="29" t="str">
        <v>H</v>
      </c>
      <c r="I187" s="29" t="str">
        <v>H</v>
      </c>
      <c r="J187" s="29" t="str">
        <v>H</v>
      </c>
      <c r="K187" s="29" t="str">
        <v>H</v>
      </c>
      <c r="L187" s="29" t="str">
        <v>H</v>
      </c>
      <c r="M187" s="29" t="str">
        <v>H</v>
      </c>
      <c r="N187" s="29" t="str">
        <v>H</v>
      </c>
      <c r="O187" s="29" t="str">
        <v>H</v>
      </c>
      <c r="P187" s="29" t="str">
        <v>H</v>
      </c>
      <c r="Q187" s="29" t="str">
        <v>H</v>
      </c>
      <c r="R187" s="29" t="str">
        <v>H</v>
      </c>
      <c r="S187" t="str">
        <v>H</v>
      </c>
      <c r="T187" t="str">
        <v>H</v>
      </c>
      <c r="U187" t="str">
        <v>H</v>
      </c>
      <c r="V187" t="str">
        <v>H</v>
      </c>
      <c r="W187" t="str">
        <v>H</v>
      </c>
    </row>
    <row r="188" spans="1:23">
      <c r="A188" s="30">
        <v>44472</v>
      </c>
      <c r="B188" s="29" t="str">
        <v>H</v>
      </c>
      <c r="C188" s="29" t="str">
        <v>H</v>
      </c>
      <c r="D188" s="29" t="str">
        <v>H</v>
      </c>
      <c r="E188" s="29" t="str">
        <v>H</v>
      </c>
      <c r="F188" s="29" t="str">
        <v>H</v>
      </c>
      <c r="G188" s="29" t="str">
        <v>H</v>
      </c>
      <c r="H188" s="29" t="str">
        <v>H</v>
      </c>
      <c r="I188" s="29" t="str">
        <v>H</v>
      </c>
      <c r="J188" s="29" t="str">
        <v>H</v>
      </c>
      <c r="K188" s="29" t="str">
        <v>H</v>
      </c>
      <c r="L188" s="29" t="str">
        <v>H</v>
      </c>
      <c r="M188" s="29" t="str">
        <v>H</v>
      </c>
      <c r="N188" s="29" t="str">
        <v>H</v>
      </c>
      <c r="O188" s="29" t="str">
        <v>H</v>
      </c>
      <c r="P188" s="29" t="str">
        <v>H</v>
      </c>
      <c r="Q188" s="29" t="str">
        <v>H</v>
      </c>
      <c r="R188" s="29" t="str">
        <v>H</v>
      </c>
      <c r="S188" t="str">
        <v>H</v>
      </c>
      <c r="T188" t="str">
        <v>H</v>
      </c>
      <c r="U188" t="str">
        <v>H</v>
      </c>
      <c r="V188" t="str">
        <v>H</v>
      </c>
      <c r="W188" t="str">
        <v>H</v>
      </c>
    </row>
    <row r="189" spans="1:23">
      <c r="A189" s="30">
        <v>44473</v>
      </c>
      <c r="B189" s="29">
        <v>51200</v>
      </c>
      <c r="C189" s="29">
        <v>54000</v>
      </c>
      <c r="D189" s="29">
        <v>52500</v>
      </c>
      <c r="E189" s="29">
        <v>50200</v>
      </c>
      <c r="F189" s="29" t="str">
        <v>-</v>
      </c>
      <c r="G189" s="29" t="str">
        <v>-</v>
      </c>
      <c r="H189" s="29">
        <v>51000</v>
      </c>
      <c r="I189" s="29" t="str">
        <v>-</v>
      </c>
      <c r="J189" s="29">
        <v>50300</v>
      </c>
      <c r="K189" s="29" t="str">
        <v>-</v>
      </c>
      <c r="L189" s="29">
        <v>53200</v>
      </c>
      <c r="M189" s="29">
        <v>49800</v>
      </c>
      <c r="N189" s="29">
        <v>50600</v>
      </c>
      <c r="O189" s="29" t="str">
        <v>-</v>
      </c>
      <c r="P189" s="29">
        <v>49600</v>
      </c>
      <c r="Q189" s="29">
        <v>49800</v>
      </c>
      <c r="R189" s="29">
        <v>49000</v>
      </c>
      <c r="S189">
        <v>52800</v>
      </c>
      <c r="T189">
        <v>52100</v>
      </c>
      <c r="U189">
        <v>50800</v>
      </c>
      <c r="V189">
        <v>51700</v>
      </c>
      <c r="W189">
        <v>53200</v>
      </c>
    </row>
    <row r="190" spans="1:23">
      <c r="A190" s="30">
        <v>44474</v>
      </c>
      <c r="B190" s="29">
        <v>51400</v>
      </c>
      <c r="C190" s="29">
        <v>55200</v>
      </c>
      <c r="D190" s="29">
        <v>52800</v>
      </c>
      <c r="E190" s="29">
        <v>50200</v>
      </c>
      <c r="F190" s="29">
        <v>54500</v>
      </c>
      <c r="G190" s="29" t="str">
        <v>-</v>
      </c>
      <c r="H190" s="29">
        <v>51500</v>
      </c>
      <c r="I190" s="29" t="str">
        <v>-</v>
      </c>
      <c r="J190" s="29">
        <v>50300</v>
      </c>
      <c r="K190" s="29" t="str">
        <v>-</v>
      </c>
      <c r="L190" s="29">
        <v>53700</v>
      </c>
      <c r="M190" s="29">
        <v>50500</v>
      </c>
      <c r="N190" s="29">
        <v>51000</v>
      </c>
      <c r="O190" s="29" t="str">
        <v>-</v>
      </c>
      <c r="P190" s="29">
        <v>49600</v>
      </c>
      <c r="Q190" s="29">
        <v>49700</v>
      </c>
      <c r="R190" s="29">
        <v>49700</v>
      </c>
      <c r="S190">
        <v>52800</v>
      </c>
      <c r="T190">
        <v>52300</v>
      </c>
      <c r="U190">
        <v>51500</v>
      </c>
      <c r="V190">
        <v>53900</v>
      </c>
      <c r="W190">
        <v>55500</v>
      </c>
    </row>
    <row r="191" spans="1:23">
      <c r="A191" s="30">
        <v>44475</v>
      </c>
      <c r="B191" s="29">
        <v>51900</v>
      </c>
      <c r="C191" s="29">
        <v>55000</v>
      </c>
      <c r="D191" s="29">
        <v>52600</v>
      </c>
      <c r="E191" s="29">
        <v>49700</v>
      </c>
      <c r="F191" s="29">
        <v>55000</v>
      </c>
      <c r="G191" s="29" t="str">
        <v>-</v>
      </c>
      <c r="H191" s="29">
        <v>51500</v>
      </c>
      <c r="I191" s="29" t="str">
        <v>-</v>
      </c>
      <c r="J191" s="29">
        <v>50300</v>
      </c>
      <c r="K191" s="29" t="str">
        <v>-</v>
      </c>
      <c r="L191" s="29">
        <v>53600</v>
      </c>
      <c r="M191" s="29">
        <v>50500</v>
      </c>
      <c r="N191" s="29">
        <v>51100</v>
      </c>
      <c r="O191" s="29" t="str">
        <v>-</v>
      </c>
      <c r="P191" s="29">
        <v>49200</v>
      </c>
      <c r="Q191" s="29">
        <v>49800</v>
      </c>
      <c r="R191" s="29">
        <v>49700</v>
      </c>
      <c r="S191">
        <v>52200</v>
      </c>
      <c r="T191">
        <v>52300</v>
      </c>
      <c r="U191">
        <v>51800</v>
      </c>
      <c r="V191">
        <v>54300</v>
      </c>
      <c r="W191">
        <v>56100</v>
      </c>
    </row>
    <row r="192" spans="1:23">
      <c r="A192" s="30">
        <v>44476</v>
      </c>
      <c r="B192" s="29">
        <v>51900</v>
      </c>
      <c r="C192" s="29">
        <v>55000</v>
      </c>
      <c r="D192" s="29">
        <v>52600</v>
      </c>
      <c r="E192" s="29">
        <v>49500</v>
      </c>
      <c r="F192" s="29">
        <v>55000</v>
      </c>
      <c r="G192" s="29" t="str">
        <v>-</v>
      </c>
      <c r="H192" s="29">
        <v>51000</v>
      </c>
      <c r="I192" s="29" t="str">
        <v>-</v>
      </c>
      <c r="J192" s="29">
        <v>50300</v>
      </c>
      <c r="K192" s="29" t="str">
        <v>-</v>
      </c>
      <c r="L192" s="29">
        <v>53400</v>
      </c>
      <c r="M192" s="29">
        <v>50500</v>
      </c>
      <c r="N192" s="29">
        <v>51100</v>
      </c>
      <c r="O192" s="29" t="str">
        <v>-</v>
      </c>
      <c r="P192" s="29">
        <v>49000</v>
      </c>
      <c r="Q192" s="29">
        <v>49200</v>
      </c>
      <c r="R192" s="29">
        <v>49150</v>
      </c>
      <c r="S192">
        <v>52000</v>
      </c>
      <c r="T192">
        <v>52200</v>
      </c>
      <c r="U192">
        <v>51800</v>
      </c>
      <c r="V192">
        <v>54300</v>
      </c>
      <c r="W192">
        <v>56100</v>
      </c>
    </row>
    <row r="193" spans="1:23">
      <c r="A193" s="30">
        <v>44477</v>
      </c>
      <c r="B193" s="29">
        <v>51300</v>
      </c>
      <c r="C193" s="29">
        <v>54700</v>
      </c>
      <c r="D193" s="29">
        <v>51800</v>
      </c>
      <c r="E193" s="29">
        <v>48900</v>
      </c>
      <c r="F193" s="29">
        <v>53800</v>
      </c>
      <c r="G193" s="29" t="str">
        <v>-</v>
      </c>
      <c r="H193" s="29">
        <v>51000</v>
      </c>
      <c r="I193" s="29" t="str">
        <v>-</v>
      </c>
      <c r="J193" s="29">
        <v>50300</v>
      </c>
      <c r="K193" s="29" t="str">
        <v>-</v>
      </c>
      <c r="L193" s="29">
        <v>52700</v>
      </c>
      <c r="M193" s="29">
        <v>50500</v>
      </c>
      <c r="N193" s="29">
        <v>50200</v>
      </c>
      <c r="O193" s="29" t="str">
        <v>-</v>
      </c>
      <c r="P193" s="29">
        <v>48400</v>
      </c>
      <c r="Q193" s="29">
        <v>48500</v>
      </c>
      <c r="R193" s="29">
        <v>48300</v>
      </c>
      <c r="S193">
        <v>51500</v>
      </c>
      <c r="T193">
        <v>51400</v>
      </c>
      <c r="U193">
        <v>51300</v>
      </c>
      <c r="V193">
        <v>54100</v>
      </c>
      <c r="W193">
        <v>56000</v>
      </c>
    </row>
    <row r="194" spans="1:23">
      <c r="A194" s="30">
        <v>44478</v>
      </c>
      <c r="B194" s="29">
        <v>51500</v>
      </c>
      <c r="C194" s="29">
        <v>54800</v>
      </c>
      <c r="D194" s="29">
        <v>52700</v>
      </c>
      <c r="E194" s="29">
        <v>49200</v>
      </c>
      <c r="F194" s="29">
        <v>53300</v>
      </c>
      <c r="G194" s="29" t="str">
        <v>-</v>
      </c>
      <c r="H194" s="29">
        <v>51000</v>
      </c>
      <c r="I194" s="29" t="str">
        <v>-</v>
      </c>
      <c r="J194" s="29">
        <v>50300</v>
      </c>
      <c r="K194" s="29" t="str">
        <v>-</v>
      </c>
      <c r="L194" s="29">
        <v>52800</v>
      </c>
      <c r="M194" s="29">
        <v>50700</v>
      </c>
      <c r="N194" s="29">
        <v>50600</v>
      </c>
      <c r="O194" s="29" t="str">
        <v>-</v>
      </c>
      <c r="P194" s="29">
        <v>48600</v>
      </c>
      <c r="Q194" s="29">
        <v>48800</v>
      </c>
      <c r="R194" s="29">
        <v>48300</v>
      </c>
      <c r="S194">
        <v>51700</v>
      </c>
      <c r="T194">
        <v>51400</v>
      </c>
      <c r="U194">
        <v>51300</v>
      </c>
      <c r="V194">
        <v>53900</v>
      </c>
      <c r="W194">
        <v>55800</v>
      </c>
    </row>
    <row r="195" spans="1:23">
      <c r="A195" s="30">
        <v>44479</v>
      </c>
      <c r="B195" s="29" t="str">
        <v>H</v>
      </c>
      <c r="C195" s="29" t="str">
        <v>H</v>
      </c>
      <c r="D195" s="29" t="str">
        <v>H</v>
      </c>
      <c r="E195" s="29" t="str">
        <v>H</v>
      </c>
      <c r="F195" s="29" t="str">
        <v>H</v>
      </c>
      <c r="G195" s="29" t="str">
        <v>H</v>
      </c>
      <c r="H195" s="29" t="str">
        <v>H</v>
      </c>
      <c r="I195" s="29" t="str">
        <v>H</v>
      </c>
      <c r="J195" s="29" t="str">
        <v>H</v>
      </c>
      <c r="K195" s="29" t="str">
        <v>H</v>
      </c>
      <c r="L195" s="29" t="str">
        <v>H</v>
      </c>
      <c r="M195" s="29" t="str">
        <v>H</v>
      </c>
      <c r="N195" s="29" t="str">
        <v>H</v>
      </c>
      <c r="O195" s="29" t="str">
        <v>H</v>
      </c>
      <c r="P195" s="29" t="str">
        <v>H</v>
      </c>
      <c r="Q195" s="29" t="str">
        <v>H</v>
      </c>
      <c r="R195" s="29" t="str">
        <v>H</v>
      </c>
      <c r="S195" t="str">
        <v>H</v>
      </c>
      <c r="T195" t="str">
        <v>H</v>
      </c>
      <c r="U195" t="str">
        <v>H</v>
      </c>
      <c r="V195" t="str">
        <v>H</v>
      </c>
      <c r="W195" t="str">
        <v>H</v>
      </c>
    </row>
    <row r="196" spans="1:23">
      <c r="A196" s="30">
        <v>44480</v>
      </c>
      <c r="B196" s="29">
        <v>54000</v>
      </c>
      <c r="C196" s="29">
        <v>55500</v>
      </c>
      <c r="D196" s="29">
        <v>54600</v>
      </c>
      <c r="E196" s="29">
        <v>51000</v>
      </c>
      <c r="F196" s="29">
        <v>54300</v>
      </c>
      <c r="G196" s="29" t="str">
        <v>-</v>
      </c>
      <c r="H196" s="29">
        <v>53000</v>
      </c>
      <c r="I196" s="29" t="str">
        <v>-</v>
      </c>
      <c r="J196" s="29">
        <v>52600</v>
      </c>
      <c r="K196" s="29" t="str">
        <v>-</v>
      </c>
      <c r="L196" s="29">
        <v>54200</v>
      </c>
      <c r="M196" s="29">
        <v>52200</v>
      </c>
      <c r="N196" s="29">
        <v>53400</v>
      </c>
      <c r="O196" s="29" t="str">
        <v>-</v>
      </c>
      <c r="P196" s="29">
        <v>51000</v>
      </c>
      <c r="Q196" s="29">
        <v>51800</v>
      </c>
      <c r="R196" s="29">
        <v>50900</v>
      </c>
      <c r="S196">
        <v>53500</v>
      </c>
      <c r="T196">
        <v>53300</v>
      </c>
      <c r="U196">
        <v>52300</v>
      </c>
      <c r="V196">
        <v>54800</v>
      </c>
      <c r="W196">
        <v>57200</v>
      </c>
    </row>
    <row r="197" spans="1:23">
      <c r="A197" s="30">
        <v>44481</v>
      </c>
      <c r="B197" s="29">
        <v>54400</v>
      </c>
      <c r="C197" s="29">
        <v>56000</v>
      </c>
      <c r="D197" s="29">
        <v>55000</v>
      </c>
      <c r="E197" s="29">
        <v>51000</v>
      </c>
      <c r="F197" s="29">
        <v>55300</v>
      </c>
      <c r="G197" s="29" t="str">
        <v>-</v>
      </c>
      <c r="H197" s="29">
        <v>53700</v>
      </c>
      <c r="I197" s="29" t="str">
        <v>-</v>
      </c>
      <c r="J197" s="29">
        <v>53300</v>
      </c>
      <c r="K197" s="29" t="str">
        <v>-</v>
      </c>
      <c r="L197" s="29">
        <v>54500</v>
      </c>
      <c r="M197" s="29">
        <v>53900</v>
      </c>
      <c r="N197" s="29">
        <v>53400</v>
      </c>
      <c r="O197" s="29" t="str">
        <v>-</v>
      </c>
      <c r="P197" s="29">
        <v>52000</v>
      </c>
      <c r="Q197" s="29">
        <v>52200</v>
      </c>
      <c r="R197" s="29">
        <v>51500</v>
      </c>
      <c r="S197">
        <v>53500</v>
      </c>
      <c r="T197">
        <v>54300</v>
      </c>
      <c r="U197">
        <v>53600</v>
      </c>
      <c r="V197">
        <v>55200</v>
      </c>
      <c r="W197">
        <v>58000</v>
      </c>
    </row>
    <row r="198" spans="1:23">
      <c r="A198" s="30">
        <v>44482</v>
      </c>
      <c r="B198" s="29">
        <v>54400</v>
      </c>
      <c r="C198" s="29">
        <v>56500</v>
      </c>
      <c r="D198" s="29">
        <v>54600</v>
      </c>
      <c r="E198" s="29" t="str">
        <v>-</v>
      </c>
      <c r="F198" s="29">
        <v>55300</v>
      </c>
      <c r="G198" s="29" t="str">
        <v>-</v>
      </c>
      <c r="H198" s="29">
        <v>53500</v>
      </c>
      <c r="I198" s="29" t="str">
        <v>-</v>
      </c>
      <c r="J198" s="29">
        <v>53300</v>
      </c>
      <c r="K198" s="29" t="str">
        <v>-</v>
      </c>
      <c r="L198" s="29">
        <v>54300</v>
      </c>
      <c r="M198" s="29">
        <v>54100</v>
      </c>
      <c r="N198" s="29">
        <v>53200</v>
      </c>
      <c r="O198" s="29" t="str">
        <v>-</v>
      </c>
      <c r="P198" s="29">
        <v>51300</v>
      </c>
      <c r="Q198" s="29">
        <v>52100</v>
      </c>
      <c r="R198" s="29">
        <v>51300</v>
      </c>
      <c r="S198" t="str">
        <v>-</v>
      </c>
      <c r="T198">
        <v>54300</v>
      </c>
      <c r="U198">
        <v>54300</v>
      </c>
      <c r="V198">
        <v>55200</v>
      </c>
      <c r="W198">
        <v>57800</v>
      </c>
    </row>
    <row r="199" spans="1:23">
      <c r="A199" s="30">
        <v>44483</v>
      </c>
      <c r="B199" s="29">
        <v>54400</v>
      </c>
      <c r="C199" s="29" t="str">
        <v>-</v>
      </c>
      <c r="D199" s="29">
        <v>55200</v>
      </c>
      <c r="E199" s="29" t="str">
        <v>-</v>
      </c>
      <c r="F199" s="29">
        <v>55300</v>
      </c>
      <c r="G199" s="29" t="str">
        <v>-</v>
      </c>
      <c r="H199" s="29">
        <v>53500</v>
      </c>
      <c r="I199" s="29" t="str">
        <v>-</v>
      </c>
      <c r="J199" s="29">
        <v>53700</v>
      </c>
      <c r="K199" s="29" t="str">
        <v>-</v>
      </c>
      <c r="L199" s="29">
        <v>54400</v>
      </c>
      <c r="M199" s="29">
        <v>54300</v>
      </c>
      <c r="N199" s="29">
        <v>53800</v>
      </c>
      <c r="O199" s="29" t="str">
        <v>-</v>
      </c>
      <c r="P199" s="29">
        <v>51300</v>
      </c>
      <c r="Q199" s="29">
        <v>51900</v>
      </c>
      <c r="R199" s="29" t="str">
        <v>-</v>
      </c>
      <c r="S199" t="str">
        <v>-</v>
      </c>
      <c r="T199">
        <v>54300</v>
      </c>
      <c r="U199" t="str">
        <v>-</v>
      </c>
      <c r="V199">
        <v>55200</v>
      </c>
      <c r="W199" t="str">
        <v>-</v>
      </c>
    </row>
    <row r="200" spans="1:23">
      <c r="A200" s="30">
        <v>44484</v>
      </c>
      <c r="B200" s="29" t="str">
        <v>H</v>
      </c>
      <c r="C200" s="29" t="str">
        <v>H</v>
      </c>
      <c r="D200" s="29" t="str">
        <v>H</v>
      </c>
      <c r="E200" s="29" t="str">
        <v>H</v>
      </c>
      <c r="F200" s="29" t="str">
        <v>H</v>
      </c>
      <c r="G200" s="29" t="str">
        <v>H</v>
      </c>
      <c r="H200" s="29" t="str">
        <v>H</v>
      </c>
      <c r="I200" s="29" t="str">
        <v>H</v>
      </c>
      <c r="J200" s="29" t="str">
        <v>H</v>
      </c>
      <c r="K200" s="29" t="str">
        <v>H</v>
      </c>
      <c r="L200" s="29" t="str">
        <v>H</v>
      </c>
      <c r="M200" s="29" t="str">
        <v>H</v>
      </c>
      <c r="N200" s="29" t="str">
        <v>H</v>
      </c>
      <c r="O200" s="29" t="str">
        <v>H</v>
      </c>
      <c r="P200" s="29" t="str">
        <v>H</v>
      </c>
      <c r="Q200" s="29" t="str">
        <v>H</v>
      </c>
      <c r="R200" s="29" t="str">
        <v>H</v>
      </c>
      <c r="S200" t="str">
        <v>H</v>
      </c>
      <c r="T200" t="str">
        <v>H</v>
      </c>
      <c r="U200" t="str">
        <v>H</v>
      </c>
      <c r="V200" t="str">
        <v>H</v>
      </c>
      <c r="W200" t="str">
        <v>H</v>
      </c>
    </row>
    <row r="201" spans="1:23">
      <c r="A201" s="30">
        <v>44485</v>
      </c>
      <c r="B201" s="29">
        <v>55200</v>
      </c>
      <c r="C201" s="29">
        <v>57000</v>
      </c>
      <c r="D201" s="29">
        <v>56500</v>
      </c>
      <c r="E201" s="29">
        <v>51500</v>
      </c>
      <c r="F201" s="29">
        <v>55300</v>
      </c>
      <c r="G201" s="29" t="str">
        <v>-</v>
      </c>
      <c r="H201" s="29">
        <v>54000</v>
      </c>
      <c r="I201" s="29" t="str">
        <v>-</v>
      </c>
      <c r="J201" s="29">
        <v>53700</v>
      </c>
      <c r="K201" s="29" t="str">
        <v>-</v>
      </c>
      <c r="L201" s="29">
        <v>54600</v>
      </c>
      <c r="M201" s="29">
        <v>54500</v>
      </c>
      <c r="N201" s="29">
        <v>54800</v>
      </c>
      <c r="O201" s="29" t="str">
        <v>-</v>
      </c>
      <c r="P201" s="29">
        <v>52000</v>
      </c>
      <c r="Q201" s="29">
        <v>52500</v>
      </c>
      <c r="R201" s="29">
        <v>51700</v>
      </c>
      <c r="S201">
        <v>54200</v>
      </c>
      <c r="T201">
        <v>54800</v>
      </c>
      <c r="U201">
        <v>55300</v>
      </c>
      <c r="V201">
        <v>55200</v>
      </c>
      <c r="W201" t="str">
        <v>-</v>
      </c>
    </row>
    <row r="202" spans="1:23">
      <c r="A202" s="30">
        <v>44486</v>
      </c>
      <c r="B202" s="29" t="str">
        <v>H</v>
      </c>
      <c r="C202" s="29" t="str">
        <v>H</v>
      </c>
      <c r="D202" s="29" t="str">
        <v>H</v>
      </c>
      <c r="E202" s="29" t="str">
        <v>H</v>
      </c>
      <c r="F202" s="29" t="str">
        <v>H</v>
      </c>
      <c r="G202" s="29" t="str">
        <v>H</v>
      </c>
      <c r="H202" s="29" t="str">
        <v>H</v>
      </c>
      <c r="I202" s="29" t="str">
        <v>H</v>
      </c>
      <c r="J202" s="29" t="str">
        <v>H</v>
      </c>
      <c r="K202" s="29" t="str">
        <v>H</v>
      </c>
      <c r="L202" s="29" t="str">
        <v>H</v>
      </c>
      <c r="M202" s="29" t="str">
        <v>H</v>
      </c>
      <c r="N202" s="29" t="str">
        <v>H</v>
      </c>
      <c r="O202" s="29" t="str">
        <v>H</v>
      </c>
      <c r="P202" s="29" t="str">
        <v>H</v>
      </c>
      <c r="Q202" s="29" t="str">
        <v>H</v>
      </c>
      <c r="R202" s="29" t="str">
        <v>H</v>
      </c>
      <c r="S202" t="str">
        <v>H</v>
      </c>
      <c r="T202" t="str">
        <v>H</v>
      </c>
      <c r="U202" t="str">
        <v>H</v>
      </c>
      <c r="V202" t="str">
        <v>H</v>
      </c>
      <c r="W202" t="str">
        <v>H</v>
      </c>
    </row>
    <row r="203" spans="1:23">
      <c r="A203" s="30">
        <v>44487</v>
      </c>
      <c r="B203" s="29">
        <v>55200</v>
      </c>
      <c r="C203" s="29">
        <v>57500</v>
      </c>
      <c r="D203" s="29">
        <v>56500</v>
      </c>
      <c r="E203" s="29">
        <v>51500</v>
      </c>
      <c r="F203" s="29">
        <v>55300</v>
      </c>
      <c r="G203" s="29" t="str">
        <v>-</v>
      </c>
      <c r="H203" s="29">
        <v>54000</v>
      </c>
      <c r="I203" s="29" t="str">
        <v>-</v>
      </c>
      <c r="J203" s="29">
        <v>53600</v>
      </c>
      <c r="K203" s="29" t="str">
        <v>-</v>
      </c>
      <c r="L203" s="29">
        <v>54400</v>
      </c>
      <c r="M203" s="29">
        <v>54500</v>
      </c>
      <c r="N203" s="29">
        <v>54000</v>
      </c>
      <c r="O203" s="29" t="str">
        <v>-</v>
      </c>
      <c r="P203" s="29">
        <v>51800</v>
      </c>
      <c r="Q203" s="29">
        <v>52500</v>
      </c>
      <c r="R203" s="29">
        <v>51700</v>
      </c>
      <c r="S203">
        <v>54200</v>
      </c>
      <c r="T203">
        <v>54800</v>
      </c>
      <c r="U203">
        <v>55300</v>
      </c>
      <c r="V203">
        <v>55600</v>
      </c>
      <c r="W203">
        <v>58100</v>
      </c>
    </row>
    <row r="204" spans="1:23">
      <c r="A204" s="30">
        <v>44488</v>
      </c>
      <c r="B204" s="29">
        <v>55200</v>
      </c>
      <c r="C204" s="29">
        <v>57300</v>
      </c>
      <c r="D204" s="29">
        <v>56500</v>
      </c>
      <c r="E204" s="29">
        <v>51700</v>
      </c>
      <c r="F204" s="29">
        <v>55200</v>
      </c>
      <c r="G204" s="29" t="str">
        <v>-</v>
      </c>
      <c r="H204" s="29">
        <v>54000</v>
      </c>
      <c r="I204" s="29" t="str">
        <v>-</v>
      </c>
      <c r="J204" s="29">
        <v>53600</v>
      </c>
      <c r="K204" s="29" t="str">
        <v>-</v>
      </c>
      <c r="L204" s="29">
        <v>54600</v>
      </c>
      <c r="M204" s="29">
        <v>54500</v>
      </c>
      <c r="N204" s="29">
        <v>54200</v>
      </c>
      <c r="O204" s="29" t="str">
        <v>-</v>
      </c>
      <c r="P204" s="29">
        <v>51300</v>
      </c>
      <c r="Q204" s="29">
        <v>51900</v>
      </c>
      <c r="R204" s="29">
        <v>51300</v>
      </c>
      <c r="S204">
        <v>54300</v>
      </c>
      <c r="T204">
        <v>54400</v>
      </c>
      <c r="U204">
        <v>54800</v>
      </c>
      <c r="V204">
        <v>55300</v>
      </c>
      <c r="W204">
        <v>57900</v>
      </c>
    </row>
    <row r="205" spans="1:23">
      <c r="A205" s="30">
        <v>44489</v>
      </c>
      <c r="B205" s="29">
        <v>55100</v>
      </c>
      <c r="C205" s="29">
        <v>57300</v>
      </c>
      <c r="D205" s="29">
        <v>55500</v>
      </c>
      <c r="E205" s="29">
        <v>51700</v>
      </c>
      <c r="F205" s="29">
        <v>55000</v>
      </c>
      <c r="G205" s="29" t="str">
        <v>-</v>
      </c>
      <c r="H205" s="29">
        <v>53500</v>
      </c>
      <c r="I205" s="29" t="str">
        <v>-</v>
      </c>
      <c r="J205" s="29">
        <v>53500</v>
      </c>
      <c r="K205" s="29" t="str">
        <v>-</v>
      </c>
      <c r="L205" s="29">
        <v>54400</v>
      </c>
      <c r="M205" s="29">
        <v>53500</v>
      </c>
      <c r="N205" s="29">
        <v>54000</v>
      </c>
      <c r="O205" s="29" t="str">
        <v>-</v>
      </c>
      <c r="P205" s="29">
        <v>50600</v>
      </c>
      <c r="Q205" s="29">
        <v>51400</v>
      </c>
      <c r="R205" s="29">
        <v>50850</v>
      </c>
      <c r="S205">
        <v>54300</v>
      </c>
      <c r="T205">
        <v>53800</v>
      </c>
      <c r="U205">
        <v>53800</v>
      </c>
      <c r="V205">
        <v>55300</v>
      </c>
      <c r="W205">
        <v>57900</v>
      </c>
    </row>
    <row r="206" spans="1:23">
      <c r="A206" s="30">
        <v>44490</v>
      </c>
      <c r="B206" s="29">
        <v>54900</v>
      </c>
      <c r="C206" s="29">
        <v>57100</v>
      </c>
      <c r="D206" s="29">
        <v>55500</v>
      </c>
      <c r="E206" s="29">
        <v>51500</v>
      </c>
      <c r="F206" s="29">
        <v>54800</v>
      </c>
      <c r="G206" s="29" t="str">
        <v>-</v>
      </c>
      <c r="H206" s="29">
        <v>53500</v>
      </c>
      <c r="I206" s="29" t="str">
        <v>-</v>
      </c>
      <c r="J206" s="29">
        <v>53400</v>
      </c>
      <c r="K206" s="29" t="str">
        <v>-</v>
      </c>
      <c r="L206" s="29">
        <v>54400</v>
      </c>
      <c r="M206" s="29">
        <v>53700</v>
      </c>
      <c r="N206" s="29">
        <v>53500</v>
      </c>
      <c r="O206" s="29" t="str">
        <v>-</v>
      </c>
      <c r="P206" s="29">
        <v>50500</v>
      </c>
      <c r="Q206" s="29">
        <v>50800</v>
      </c>
      <c r="R206" s="29">
        <v>50700</v>
      </c>
      <c r="S206">
        <v>54300</v>
      </c>
      <c r="T206">
        <v>53300</v>
      </c>
      <c r="U206">
        <v>52100</v>
      </c>
      <c r="V206">
        <v>55100</v>
      </c>
      <c r="W206">
        <v>57700</v>
      </c>
    </row>
    <row r="207" spans="1:23">
      <c r="A207" s="30">
        <v>44491</v>
      </c>
      <c r="B207" s="29">
        <v>54200</v>
      </c>
      <c r="C207" s="29">
        <v>56700</v>
      </c>
      <c r="D207" s="29">
        <v>55100</v>
      </c>
      <c r="E207" s="29">
        <v>51200</v>
      </c>
      <c r="F207" s="29">
        <v>54300</v>
      </c>
      <c r="G207" s="29" t="str">
        <v>-</v>
      </c>
      <c r="H207" s="29">
        <v>52500</v>
      </c>
      <c r="I207" s="29" t="str">
        <v>-</v>
      </c>
      <c r="J207" s="29">
        <v>53200</v>
      </c>
      <c r="K207" s="29" t="str">
        <v>-</v>
      </c>
      <c r="L207" s="29">
        <v>54000</v>
      </c>
      <c r="M207" s="29">
        <v>53700</v>
      </c>
      <c r="N207" s="29">
        <v>52900</v>
      </c>
      <c r="O207" s="29" t="str">
        <v>-</v>
      </c>
      <c r="P207" s="29">
        <v>49600</v>
      </c>
      <c r="Q207" s="29">
        <v>50800</v>
      </c>
      <c r="R207" s="29">
        <v>50000</v>
      </c>
      <c r="S207">
        <v>54000</v>
      </c>
      <c r="T207">
        <v>52600</v>
      </c>
      <c r="U207">
        <v>52300</v>
      </c>
      <c r="V207">
        <v>54400</v>
      </c>
      <c r="W207">
        <v>57000</v>
      </c>
    </row>
    <row r="208" spans="1:23">
      <c r="A208" s="30">
        <v>44492</v>
      </c>
      <c r="B208" s="29">
        <v>54100</v>
      </c>
      <c r="C208" s="29">
        <v>56200</v>
      </c>
      <c r="D208" s="29">
        <v>55000</v>
      </c>
      <c r="E208" s="29">
        <v>50500</v>
      </c>
      <c r="F208" s="29">
        <v>53900</v>
      </c>
      <c r="G208" s="29" t="str">
        <v>-</v>
      </c>
      <c r="H208" s="29">
        <v>52000</v>
      </c>
      <c r="I208" s="29" t="str">
        <v>-</v>
      </c>
      <c r="J208" s="29">
        <v>52200</v>
      </c>
      <c r="K208" s="29" t="str">
        <v>-</v>
      </c>
      <c r="L208" s="29">
        <v>53700</v>
      </c>
      <c r="M208" s="29">
        <v>53400</v>
      </c>
      <c r="N208" s="29">
        <v>52000</v>
      </c>
      <c r="O208" s="29" t="str">
        <v>-</v>
      </c>
      <c r="P208" s="29">
        <v>49500</v>
      </c>
      <c r="Q208" s="29">
        <v>50000</v>
      </c>
      <c r="R208" s="29">
        <v>50000</v>
      </c>
      <c r="S208">
        <v>53200</v>
      </c>
      <c r="T208">
        <v>52400</v>
      </c>
      <c r="U208">
        <v>51800</v>
      </c>
      <c r="V208">
        <v>54000</v>
      </c>
      <c r="W208">
        <v>56800</v>
      </c>
    </row>
    <row r="209" spans="1:23">
      <c r="A209" s="30">
        <v>44493</v>
      </c>
      <c r="B209" s="29" t="str">
        <v>H</v>
      </c>
      <c r="C209" s="29" t="str">
        <v>H</v>
      </c>
      <c r="D209" s="29" t="str">
        <v>H</v>
      </c>
      <c r="E209" s="29" t="str">
        <v>H</v>
      </c>
      <c r="F209" s="29" t="str">
        <v>H</v>
      </c>
      <c r="G209" s="29" t="str">
        <v>H</v>
      </c>
      <c r="H209" s="29" t="str">
        <v>H</v>
      </c>
      <c r="I209" s="29" t="str">
        <v>H</v>
      </c>
      <c r="J209" s="29" t="str">
        <v>H</v>
      </c>
      <c r="K209" s="29" t="str">
        <v>H</v>
      </c>
      <c r="L209" s="29" t="str">
        <v>H</v>
      </c>
      <c r="M209" s="29" t="str">
        <v>H</v>
      </c>
      <c r="N209" s="29" t="str">
        <v>H</v>
      </c>
      <c r="O209" s="29" t="str">
        <v>H</v>
      </c>
      <c r="P209" s="29" t="str">
        <v>H</v>
      </c>
      <c r="Q209" s="29" t="str">
        <v>H</v>
      </c>
      <c r="R209" s="29" t="str">
        <v>H</v>
      </c>
      <c r="S209" t="str">
        <v>H</v>
      </c>
      <c r="T209" t="str">
        <v>H</v>
      </c>
      <c r="U209" t="str">
        <v>H</v>
      </c>
      <c r="V209" t="str">
        <v>H</v>
      </c>
      <c r="W209" t="str">
        <v>H</v>
      </c>
    </row>
    <row r="210" spans="1:23">
      <c r="A210" s="30">
        <v>44494</v>
      </c>
      <c r="B210" s="29">
        <v>53900</v>
      </c>
      <c r="C210" s="29">
        <v>55800</v>
      </c>
      <c r="D210" s="29">
        <v>53800</v>
      </c>
      <c r="E210" s="29">
        <v>49500</v>
      </c>
      <c r="F210" s="29">
        <v>53100</v>
      </c>
      <c r="G210" s="29" t="str">
        <v>-</v>
      </c>
      <c r="H210" s="29">
        <v>51500</v>
      </c>
      <c r="I210" s="29" t="str">
        <v>-</v>
      </c>
      <c r="J210" s="29">
        <v>51700</v>
      </c>
      <c r="K210" s="29" t="str">
        <v>-</v>
      </c>
      <c r="L210" s="29">
        <v>53000</v>
      </c>
      <c r="M210" s="29">
        <v>52800</v>
      </c>
      <c r="N210" s="29">
        <v>51500</v>
      </c>
      <c r="O210" s="29" t="str">
        <v>-</v>
      </c>
      <c r="P210" s="29">
        <v>49800</v>
      </c>
      <c r="Q210" s="29">
        <v>50000</v>
      </c>
      <c r="R210" s="29">
        <v>49400</v>
      </c>
      <c r="S210">
        <v>52000</v>
      </c>
      <c r="T210">
        <v>52200</v>
      </c>
      <c r="U210">
        <v>51300</v>
      </c>
      <c r="V210">
        <v>53400</v>
      </c>
      <c r="W210">
        <v>56400</v>
      </c>
    </row>
    <row r="211" spans="1:23">
      <c r="A211" s="30">
        <v>44495</v>
      </c>
      <c r="B211" s="29">
        <v>53500</v>
      </c>
      <c r="C211" s="29">
        <v>55300</v>
      </c>
      <c r="D211" s="29">
        <v>53500</v>
      </c>
      <c r="E211" s="29">
        <v>48800</v>
      </c>
      <c r="F211" s="29">
        <v>52800</v>
      </c>
      <c r="G211" s="29" t="str">
        <v>-</v>
      </c>
      <c r="H211" s="29">
        <v>51300</v>
      </c>
      <c r="I211" s="29" t="str">
        <v>-</v>
      </c>
      <c r="J211" s="29">
        <v>51700</v>
      </c>
      <c r="K211" s="29" t="str">
        <v>-</v>
      </c>
      <c r="L211" s="29">
        <v>52700</v>
      </c>
      <c r="M211" s="29">
        <v>52400</v>
      </c>
      <c r="N211" s="29">
        <v>51000</v>
      </c>
      <c r="O211" s="29" t="str">
        <v>-</v>
      </c>
      <c r="P211" s="29">
        <v>49200</v>
      </c>
      <c r="Q211" s="29">
        <v>49500</v>
      </c>
      <c r="R211" s="29">
        <v>49000</v>
      </c>
      <c r="S211">
        <v>51300</v>
      </c>
      <c r="T211">
        <v>52200</v>
      </c>
      <c r="U211">
        <v>50300</v>
      </c>
      <c r="V211">
        <v>53200</v>
      </c>
      <c r="W211">
        <v>55900</v>
      </c>
    </row>
    <row r="212" spans="1:23">
      <c r="A212" s="30">
        <v>44496</v>
      </c>
      <c r="B212" s="29">
        <v>53300</v>
      </c>
      <c r="C212" s="29">
        <v>54500</v>
      </c>
      <c r="D212" s="29">
        <v>53700</v>
      </c>
      <c r="E212" s="29">
        <v>49900</v>
      </c>
      <c r="F212" s="29">
        <v>51600</v>
      </c>
      <c r="G212" s="29" t="str">
        <v>-</v>
      </c>
      <c r="H212" s="29">
        <v>51000</v>
      </c>
      <c r="I212" s="29" t="str">
        <v>-</v>
      </c>
      <c r="J212" s="29">
        <v>52100</v>
      </c>
      <c r="K212" s="29" t="str">
        <v>-</v>
      </c>
      <c r="L212" s="29">
        <v>52900</v>
      </c>
      <c r="M212" s="29">
        <v>52400</v>
      </c>
      <c r="N212" s="29">
        <v>51400</v>
      </c>
      <c r="O212" s="29" t="str">
        <v>-</v>
      </c>
      <c r="P212" s="29">
        <v>49500</v>
      </c>
      <c r="Q212" s="29">
        <v>49800</v>
      </c>
      <c r="R212" s="29">
        <v>49000</v>
      </c>
      <c r="S212">
        <v>52300</v>
      </c>
      <c r="T212">
        <v>52200</v>
      </c>
      <c r="U212">
        <v>50300</v>
      </c>
      <c r="V212">
        <v>53200</v>
      </c>
      <c r="W212">
        <v>55600</v>
      </c>
    </row>
    <row r="213" spans="1:23">
      <c r="A213" s="30">
        <v>44497</v>
      </c>
      <c r="B213" s="29">
        <v>53200</v>
      </c>
      <c r="C213" s="29">
        <v>54300</v>
      </c>
      <c r="D213" s="29">
        <v>53400</v>
      </c>
      <c r="E213" s="29">
        <v>49900</v>
      </c>
      <c r="F213" s="29">
        <v>51800</v>
      </c>
      <c r="G213" s="29" t="str">
        <v>-</v>
      </c>
      <c r="H213" s="29">
        <v>51500</v>
      </c>
      <c r="I213" s="29" t="str">
        <v>-</v>
      </c>
      <c r="J213" s="29">
        <v>52200</v>
      </c>
      <c r="K213" s="29" t="str">
        <v>-</v>
      </c>
      <c r="L213" s="29">
        <v>52600</v>
      </c>
      <c r="M213" s="29">
        <v>52400</v>
      </c>
      <c r="N213" s="29">
        <v>51400</v>
      </c>
      <c r="O213" s="29" t="str">
        <v>-</v>
      </c>
      <c r="P213" s="29">
        <v>49500</v>
      </c>
      <c r="Q213" s="29">
        <v>50000</v>
      </c>
      <c r="R213" s="29">
        <v>49500</v>
      </c>
      <c r="S213">
        <v>52300</v>
      </c>
      <c r="T213">
        <v>52500</v>
      </c>
      <c r="U213">
        <v>50800</v>
      </c>
      <c r="V213">
        <v>53200</v>
      </c>
      <c r="W213">
        <v>55600</v>
      </c>
    </row>
    <row r="214" spans="1:23">
      <c r="A214" s="30">
        <v>44498</v>
      </c>
      <c r="B214" s="29">
        <v>53100</v>
      </c>
      <c r="C214" s="29">
        <v>54100</v>
      </c>
      <c r="D214" s="29">
        <v>53400</v>
      </c>
      <c r="E214" s="29">
        <v>50000</v>
      </c>
      <c r="F214" s="29">
        <v>51800</v>
      </c>
      <c r="G214" s="29" t="str">
        <v>-</v>
      </c>
      <c r="H214" s="29">
        <v>51200</v>
      </c>
      <c r="I214" s="29" t="str">
        <v>-</v>
      </c>
      <c r="J214" s="29">
        <v>52200</v>
      </c>
      <c r="K214" s="29" t="str">
        <v>-</v>
      </c>
      <c r="L214" s="29">
        <v>53200</v>
      </c>
      <c r="M214" s="29">
        <v>52400</v>
      </c>
      <c r="N214" s="29">
        <v>51500</v>
      </c>
      <c r="O214" s="29" t="str">
        <v>-</v>
      </c>
      <c r="P214" s="29">
        <v>49500</v>
      </c>
      <c r="Q214" s="29">
        <v>50100</v>
      </c>
      <c r="R214" s="29">
        <v>49500</v>
      </c>
      <c r="S214">
        <v>52400</v>
      </c>
      <c r="T214">
        <v>52700</v>
      </c>
      <c r="U214">
        <v>50800</v>
      </c>
      <c r="V214">
        <v>52900</v>
      </c>
      <c r="W214">
        <v>55600</v>
      </c>
    </row>
    <row r="215" spans="1:23">
      <c r="A215" s="30">
        <v>44499</v>
      </c>
      <c r="B215" s="29">
        <v>53100</v>
      </c>
      <c r="C215" s="29">
        <v>54100</v>
      </c>
      <c r="D215" s="29">
        <v>53200</v>
      </c>
      <c r="E215" s="29">
        <v>50000</v>
      </c>
      <c r="F215" s="29">
        <v>51900</v>
      </c>
      <c r="G215" s="29" t="str">
        <v>-</v>
      </c>
      <c r="H215" s="29">
        <v>51000</v>
      </c>
      <c r="I215" s="29" t="str">
        <v>-</v>
      </c>
      <c r="J215" s="29">
        <v>52600</v>
      </c>
      <c r="K215" s="29" t="str">
        <v>-</v>
      </c>
      <c r="L215" s="29">
        <v>53100</v>
      </c>
      <c r="M215" s="29">
        <v>52800</v>
      </c>
      <c r="N215" s="29">
        <v>51400</v>
      </c>
      <c r="O215" s="29" t="str">
        <v>-</v>
      </c>
      <c r="P215" s="29">
        <v>49400</v>
      </c>
      <c r="Q215" s="29">
        <v>50000</v>
      </c>
      <c r="R215" s="29">
        <v>49300</v>
      </c>
      <c r="S215">
        <v>52400</v>
      </c>
      <c r="T215">
        <v>52700</v>
      </c>
      <c r="U215">
        <v>50800</v>
      </c>
      <c r="V215">
        <v>52900</v>
      </c>
      <c r="W215">
        <v>55600</v>
      </c>
    </row>
    <row r="216" spans="1:23">
      <c r="A216" s="30">
        <v>44500</v>
      </c>
      <c r="B216" s="29" t="str">
        <v>H</v>
      </c>
      <c r="C216" s="29" t="str">
        <v>H</v>
      </c>
      <c r="D216" s="29" t="str">
        <v>H</v>
      </c>
      <c r="E216" s="29" t="str">
        <v>H</v>
      </c>
      <c r="F216" s="29" t="str">
        <v>H</v>
      </c>
      <c r="G216" s="29" t="str">
        <v>H</v>
      </c>
      <c r="H216" s="29" t="str">
        <v>H</v>
      </c>
      <c r="I216" s="29" t="str">
        <v>H</v>
      </c>
      <c r="J216" s="29" t="str">
        <v>H</v>
      </c>
      <c r="K216" s="29" t="str">
        <v>H</v>
      </c>
      <c r="L216" s="29" t="str">
        <v>H</v>
      </c>
      <c r="M216" s="29" t="str">
        <v>H</v>
      </c>
      <c r="N216" s="29" t="str">
        <v>H</v>
      </c>
      <c r="O216" s="29" t="str">
        <v>H</v>
      </c>
      <c r="P216" s="29" t="str">
        <v>H</v>
      </c>
      <c r="Q216" s="29" t="str">
        <v>H</v>
      </c>
      <c r="R216" s="29" t="str">
        <v>H</v>
      </c>
      <c r="S216" t="str">
        <v>H</v>
      </c>
      <c r="T216" t="str">
        <v>H</v>
      </c>
      <c r="U216" t="str">
        <v>H</v>
      </c>
      <c r="V216" t="str">
        <v>H</v>
      </c>
      <c r="W216" t="str">
        <v>H</v>
      </c>
    </row>
    <row r="217" spans="1:23">
      <c r="A217" s="30">
        <v>44501</v>
      </c>
      <c r="B217" s="29">
        <v>52900</v>
      </c>
      <c r="C217" s="29">
        <v>54000</v>
      </c>
      <c r="D217" s="29">
        <v>53500</v>
      </c>
      <c r="E217" s="29">
        <v>49800</v>
      </c>
      <c r="F217" s="29">
        <v>52000</v>
      </c>
      <c r="G217" s="29" t="str">
        <v>-</v>
      </c>
      <c r="H217" s="29">
        <v>51000</v>
      </c>
      <c r="I217" s="29" t="str">
        <v>-</v>
      </c>
      <c r="J217" s="29">
        <v>52600</v>
      </c>
      <c r="K217" s="29" t="str">
        <v>-</v>
      </c>
      <c r="L217" s="29">
        <v>53300</v>
      </c>
      <c r="M217" s="29">
        <v>52800</v>
      </c>
      <c r="N217" s="29">
        <v>51100</v>
      </c>
      <c r="O217" s="29" t="str">
        <v>-</v>
      </c>
      <c r="P217" s="29">
        <v>49400</v>
      </c>
      <c r="Q217" s="29">
        <v>50000</v>
      </c>
      <c r="R217" s="29">
        <v>49200</v>
      </c>
      <c r="S217">
        <v>52000</v>
      </c>
      <c r="T217">
        <v>52700</v>
      </c>
      <c r="U217">
        <v>50800</v>
      </c>
      <c r="V217">
        <v>52400</v>
      </c>
      <c r="W217">
        <v>55200</v>
      </c>
    </row>
    <row r="218" spans="1:23">
      <c r="A218" s="30">
        <v>44502</v>
      </c>
      <c r="B218" s="29">
        <v>52900</v>
      </c>
      <c r="C218" s="29">
        <v>54300</v>
      </c>
      <c r="D218" s="29">
        <v>53500</v>
      </c>
      <c r="E218" s="29">
        <v>49500</v>
      </c>
      <c r="F218" s="29">
        <v>52400</v>
      </c>
      <c r="G218" s="29" t="str">
        <v>-</v>
      </c>
      <c r="H218" s="29">
        <v>51000</v>
      </c>
      <c r="I218" s="29" t="str">
        <v>-</v>
      </c>
      <c r="J218" s="29">
        <v>52600</v>
      </c>
      <c r="K218" s="29" t="str">
        <v>-</v>
      </c>
      <c r="L218" s="29">
        <v>53200</v>
      </c>
      <c r="M218" s="29">
        <v>52800</v>
      </c>
      <c r="N218" s="29">
        <v>51000</v>
      </c>
      <c r="O218" s="29" t="str">
        <v>-</v>
      </c>
      <c r="P218" s="29">
        <v>49400</v>
      </c>
      <c r="Q218" s="29">
        <v>50000</v>
      </c>
      <c r="R218" s="29">
        <v>49300</v>
      </c>
      <c r="S218">
        <v>52000</v>
      </c>
      <c r="T218">
        <v>52700</v>
      </c>
      <c r="U218">
        <v>50800</v>
      </c>
      <c r="V218">
        <v>52100</v>
      </c>
      <c r="W218">
        <v>54800</v>
      </c>
    </row>
    <row r="219" spans="1:23">
      <c r="A219" s="30">
        <v>44503</v>
      </c>
      <c r="B219" s="29">
        <v>53100</v>
      </c>
      <c r="C219" s="29">
        <v>54300</v>
      </c>
      <c r="D219" s="29">
        <v>53300</v>
      </c>
      <c r="E219" s="29">
        <v>49300</v>
      </c>
      <c r="F219" s="29">
        <v>52400</v>
      </c>
      <c r="G219" s="29" t="str">
        <v>-</v>
      </c>
      <c r="H219" s="29">
        <v>50500</v>
      </c>
      <c r="I219" s="29" t="str">
        <v>-</v>
      </c>
      <c r="J219" s="29">
        <v>52600</v>
      </c>
      <c r="K219" s="29" t="str">
        <v>-</v>
      </c>
      <c r="L219" s="29">
        <v>52800</v>
      </c>
      <c r="M219" s="29">
        <v>52700</v>
      </c>
      <c r="N219" s="29">
        <v>50500</v>
      </c>
      <c r="O219" s="29" t="str">
        <v>-</v>
      </c>
      <c r="P219" s="29">
        <v>49100</v>
      </c>
      <c r="Q219" s="29">
        <v>49900</v>
      </c>
      <c r="R219" s="29">
        <v>49300</v>
      </c>
      <c r="S219">
        <v>51800</v>
      </c>
      <c r="T219">
        <v>52700</v>
      </c>
      <c r="U219">
        <v>50600</v>
      </c>
      <c r="V219">
        <v>52100</v>
      </c>
      <c r="W219">
        <v>54800</v>
      </c>
    </row>
    <row r="220" spans="1:23">
      <c r="A220" s="30">
        <v>44504</v>
      </c>
      <c r="B220" s="29" t="str">
        <v>H</v>
      </c>
      <c r="C220" s="29" t="str">
        <v>H</v>
      </c>
      <c r="D220" s="29" t="str">
        <v>H</v>
      </c>
      <c r="E220" s="29" t="str">
        <v>H</v>
      </c>
      <c r="F220" s="29" t="str">
        <v>H</v>
      </c>
      <c r="G220" s="29" t="str">
        <v>H</v>
      </c>
      <c r="H220" s="29" t="str">
        <v>H</v>
      </c>
      <c r="I220" s="29" t="str">
        <v>H</v>
      </c>
      <c r="J220" s="29" t="str">
        <v>H</v>
      </c>
      <c r="K220" s="29" t="str">
        <v>H</v>
      </c>
      <c r="L220" s="29" t="str">
        <v>H</v>
      </c>
      <c r="M220" s="29" t="str">
        <v>H</v>
      </c>
      <c r="N220" s="29" t="str">
        <v>H</v>
      </c>
      <c r="O220" s="29" t="str">
        <v>H</v>
      </c>
      <c r="P220" s="29" t="str">
        <v>H</v>
      </c>
      <c r="Q220" s="29" t="str">
        <v>H</v>
      </c>
      <c r="R220" s="29" t="str">
        <v>H</v>
      </c>
      <c r="S220" t="str">
        <v>H</v>
      </c>
      <c r="T220" t="str">
        <v>H</v>
      </c>
      <c r="U220" t="str">
        <v>H</v>
      </c>
      <c r="V220" t="str">
        <v>H</v>
      </c>
      <c r="W220" t="str">
        <v>H</v>
      </c>
    </row>
    <row r="221" spans="1:23">
      <c r="A221" s="30">
        <v>44505</v>
      </c>
      <c r="B221" s="29" t="str">
        <v>H</v>
      </c>
      <c r="C221" s="29" t="str">
        <v>H</v>
      </c>
      <c r="D221" s="29" t="str">
        <v>H</v>
      </c>
      <c r="E221" s="29" t="str">
        <v>H</v>
      </c>
      <c r="F221" s="29" t="str">
        <v>H</v>
      </c>
      <c r="G221" s="29" t="str">
        <v>H</v>
      </c>
      <c r="H221" s="29" t="str">
        <v>H</v>
      </c>
      <c r="I221" s="29" t="str">
        <v>H</v>
      </c>
      <c r="J221" s="29" t="str">
        <v>H</v>
      </c>
      <c r="K221" s="29" t="str">
        <v>H</v>
      </c>
      <c r="L221" s="29" t="str">
        <v>H</v>
      </c>
      <c r="M221" s="29" t="str">
        <v>H</v>
      </c>
      <c r="N221" s="29" t="str">
        <v>H</v>
      </c>
      <c r="O221" s="29" t="str">
        <v>H</v>
      </c>
      <c r="P221" s="29" t="str">
        <v>H</v>
      </c>
      <c r="Q221" s="29" t="str">
        <v>H</v>
      </c>
      <c r="R221" s="29" t="str">
        <v>H</v>
      </c>
      <c r="S221" t="str">
        <v>H</v>
      </c>
      <c r="T221" t="str">
        <v>H</v>
      </c>
      <c r="U221" t="str">
        <v>H</v>
      </c>
      <c r="V221" t="str">
        <v>H</v>
      </c>
      <c r="W221" t="str">
        <v>H</v>
      </c>
    </row>
    <row r="222" spans="1:23">
      <c r="A222" s="30">
        <v>44506</v>
      </c>
      <c r="B222" s="29" t="str">
        <v>-</v>
      </c>
      <c r="C222" s="29">
        <v>54300</v>
      </c>
      <c r="D222" s="29">
        <v>52400</v>
      </c>
      <c r="E222" s="29">
        <v>49000</v>
      </c>
      <c r="F222" s="29">
        <v>52300</v>
      </c>
      <c r="G222" s="29" t="str">
        <v>-</v>
      </c>
      <c r="H222" s="29">
        <v>51000</v>
      </c>
      <c r="I222" s="29" t="str">
        <v>-</v>
      </c>
      <c r="J222" s="29">
        <v>51700</v>
      </c>
      <c r="K222" s="29" t="str">
        <v>-</v>
      </c>
      <c r="L222" s="29">
        <v>52700</v>
      </c>
      <c r="M222" s="29">
        <v>52600</v>
      </c>
      <c r="N222" s="29">
        <v>50400</v>
      </c>
      <c r="O222" s="29" t="str">
        <v>-</v>
      </c>
      <c r="P222" s="29">
        <v>48700</v>
      </c>
      <c r="Q222" s="29">
        <v>49900</v>
      </c>
      <c r="R222" s="29">
        <v>48900</v>
      </c>
      <c r="S222">
        <v>51500</v>
      </c>
      <c r="T222">
        <v>52700</v>
      </c>
      <c r="U222">
        <v>50300</v>
      </c>
      <c r="V222">
        <v>52400</v>
      </c>
      <c r="W222">
        <v>54800</v>
      </c>
    </row>
    <row r="223" spans="1:23">
      <c r="A223" s="30">
        <v>44507</v>
      </c>
      <c r="B223" s="29" t="str">
        <v>H</v>
      </c>
      <c r="C223" s="29" t="str">
        <v>H</v>
      </c>
      <c r="D223" s="29" t="str">
        <v>H</v>
      </c>
      <c r="E223" s="29" t="str">
        <v>H</v>
      </c>
      <c r="F223" s="29" t="str">
        <v>H</v>
      </c>
      <c r="G223" s="29" t="str">
        <v>H</v>
      </c>
      <c r="H223" s="29" t="str">
        <v>H</v>
      </c>
      <c r="I223" s="29" t="str">
        <v>H</v>
      </c>
      <c r="J223" s="29" t="str">
        <v>H</v>
      </c>
      <c r="K223" s="29" t="str">
        <v>H</v>
      </c>
      <c r="L223" s="29" t="str">
        <v>H</v>
      </c>
      <c r="M223" s="29" t="str">
        <v>H</v>
      </c>
      <c r="N223" s="29" t="str">
        <v>H</v>
      </c>
      <c r="O223" s="29" t="str">
        <v>H</v>
      </c>
      <c r="P223" s="29" t="str">
        <v>H</v>
      </c>
      <c r="Q223" s="29" t="str">
        <v>H</v>
      </c>
      <c r="R223" s="29" t="str">
        <v>H</v>
      </c>
      <c r="S223" t="str">
        <v>H</v>
      </c>
      <c r="T223" t="str">
        <v>H</v>
      </c>
      <c r="U223" t="str">
        <v>H</v>
      </c>
      <c r="V223" t="str">
        <v>H</v>
      </c>
      <c r="W223" t="str">
        <v>H</v>
      </c>
    </row>
    <row r="224" spans="1:23">
      <c r="A224" s="30">
        <v>44508</v>
      </c>
      <c r="B224" s="29" t="str">
        <v>-</v>
      </c>
      <c r="C224" s="29" t="str">
        <v>-</v>
      </c>
      <c r="D224" s="29">
        <v>52000</v>
      </c>
      <c r="E224" s="29">
        <v>48500</v>
      </c>
      <c r="F224" s="29">
        <v>52000</v>
      </c>
      <c r="G224" s="29" t="str">
        <v>-</v>
      </c>
      <c r="H224" s="29">
        <v>50500</v>
      </c>
      <c r="I224" s="29" t="str">
        <v>-</v>
      </c>
      <c r="J224" s="29">
        <v>51200</v>
      </c>
      <c r="K224" s="29" t="str">
        <v>-</v>
      </c>
      <c r="L224" s="29">
        <v>52400</v>
      </c>
      <c r="M224" s="29">
        <v>51600</v>
      </c>
      <c r="N224" s="29">
        <v>49800</v>
      </c>
      <c r="O224" s="29" t="str">
        <v>-</v>
      </c>
      <c r="P224" s="29">
        <v>48600</v>
      </c>
      <c r="Q224" s="29">
        <v>49500</v>
      </c>
      <c r="R224" s="29">
        <v>48600</v>
      </c>
      <c r="S224">
        <v>51000</v>
      </c>
      <c r="T224">
        <v>52700</v>
      </c>
      <c r="U224">
        <v>50000</v>
      </c>
      <c r="V224">
        <v>52400</v>
      </c>
      <c r="W224">
        <v>54800</v>
      </c>
    </row>
    <row r="225" spans="1:23">
      <c r="A225" s="30">
        <v>44509</v>
      </c>
      <c r="B225" s="29">
        <v>53100</v>
      </c>
      <c r="C225" s="29" t="str">
        <v>-</v>
      </c>
      <c r="D225" s="29">
        <v>52000</v>
      </c>
      <c r="E225" s="29">
        <v>47500</v>
      </c>
      <c r="F225" s="29">
        <v>51800</v>
      </c>
      <c r="G225" s="29" t="str">
        <v>-</v>
      </c>
      <c r="H225" s="29">
        <v>49500</v>
      </c>
      <c r="I225" s="29" t="str">
        <v>-</v>
      </c>
      <c r="J225" s="29">
        <v>50800</v>
      </c>
      <c r="K225" s="29" t="str">
        <v>-</v>
      </c>
      <c r="L225" s="29">
        <v>51900</v>
      </c>
      <c r="M225" s="29">
        <v>50900</v>
      </c>
      <c r="N225" s="29">
        <v>48800</v>
      </c>
      <c r="O225" s="29" t="str">
        <v>-</v>
      </c>
      <c r="P225" s="29">
        <v>47800</v>
      </c>
      <c r="Q225" s="29">
        <v>48700</v>
      </c>
      <c r="R225" s="29">
        <v>48100</v>
      </c>
      <c r="S225">
        <v>50200</v>
      </c>
      <c r="T225">
        <v>52400</v>
      </c>
      <c r="U225" t="str">
        <v>-</v>
      </c>
      <c r="V225">
        <v>52200</v>
      </c>
      <c r="W225">
        <v>54400</v>
      </c>
    </row>
    <row r="226" spans="1:23">
      <c r="A226" s="30">
        <v>44510</v>
      </c>
      <c r="B226" s="29">
        <v>52200</v>
      </c>
      <c r="C226" s="29">
        <v>53500</v>
      </c>
      <c r="D226" s="29">
        <v>51000</v>
      </c>
      <c r="E226" s="29">
        <v>47500</v>
      </c>
      <c r="F226" s="29">
        <v>51400</v>
      </c>
      <c r="G226" s="29" t="str">
        <v>-</v>
      </c>
      <c r="H226" s="29">
        <v>49500</v>
      </c>
      <c r="I226" s="29" t="str">
        <v>-</v>
      </c>
      <c r="J226" s="29">
        <v>51100</v>
      </c>
      <c r="K226" s="29" t="str">
        <v>-</v>
      </c>
      <c r="L226" s="29">
        <v>51000</v>
      </c>
      <c r="M226" s="29">
        <v>51200</v>
      </c>
      <c r="N226" s="29">
        <v>48800</v>
      </c>
      <c r="O226" s="29" t="str">
        <v>-</v>
      </c>
      <c r="P226" s="29">
        <v>47300</v>
      </c>
      <c r="Q226" s="29">
        <v>47800</v>
      </c>
      <c r="R226" s="29">
        <v>47700</v>
      </c>
      <c r="S226">
        <v>50200</v>
      </c>
      <c r="T226">
        <v>51900</v>
      </c>
      <c r="U226">
        <v>49000</v>
      </c>
      <c r="V226">
        <v>51700</v>
      </c>
      <c r="W226">
        <v>54400</v>
      </c>
    </row>
    <row r="227" spans="1:23">
      <c r="A227" s="30">
        <v>44511</v>
      </c>
      <c r="B227" s="29">
        <v>51700</v>
      </c>
      <c r="C227" s="29">
        <v>53300</v>
      </c>
      <c r="D227" s="29">
        <v>51000</v>
      </c>
      <c r="E227" s="29">
        <v>46800</v>
      </c>
      <c r="F227" s="29">
        <v>51100</v>
      </c>
      <c r="G227" s="29" t="str">
        <v>-</v>
      </c>
      <c r="H227" s="29">
        <v>49000</v>
      </c>
      <c r="I227" s="29" t="str">
        <v>-</v>
      </c>
      <c r="J227" s="29">
        <v>51100</v>
      </c>
      <c r="K227" s="29" t="str">
        <v>-</v>
      </c>
      <c r="L227" s="29">
        <v>50700</v>
      </c>
      <c r="M227" s="29">
        <v>51200</v>
      </c>
      <c r="N227" s="29">
        <v>48300</v>
      </c>
      <c r="O227" s="29" t="str">
        <v>-</v>
      </c>
      <c r="P227" s="29">
        <v>47000</v>
      </c>
      <c r="Q227" s="29">
        <v>47800</v>
      </c>
      <c r="R227" s="29">
        <v>47500</v>
      </c>
      <c r="S227">
        <v>49500</v>
      </c>
      <c r="T227" t="str">
        <v>-</v>
      </c>
      <c r="U227" t="str">
        <v>-</v>
      </c>
      <c r="V227">
        <v>51300</v>
      </c>
      <c r="W227">
        <v>54200</v>
      </c>
    </row>
    <row r="228" spans="1:23">
      <c r="A228" s="30">
        <v>44512</v>
      </c>
      <c r="B228" s="29">
        <v>51200</v>
      </c>
      <c r="C228" s="29">
        <v>53000</v>
      </c>
      <c r="D228" s="29">
        <v>50300</v>
      </c>
      <c r="E228" s="29">
        <v>47000</v>
      </c>
      <c r="F228" s="29">
        <v>51100</v>
      </c>
      <c r="G228" s="29" t="str">
        <v>-</v>
      </c>
      <c r="H228" s="29">
        <v>49000</v>
      </c>
      <c r="I228" s="29" t="str">
        <v>-</v>
      </c>
      <c r="J228" s="29">
        <v>51100</v>
      </c>
      <c r="K228" s="29" t="str">
        <v>-</v>
      </c>
      <c r="L228" s="29">
        <v>50600</v>
      </c>
      <c r="M228" s="29">
        <v>51200</v>
      </c>
      <c r="N228" s="29">
        <v>48200</v>
      </c>
      <c r="O228" s="29" t="str">
        <v>-</v>
      </c>
      <c r="P228" s="29">
        <v>46700</v>
      </c>
      <c r="Q228" s="29">
        <v>47400</v>
      </c>
      <c r="R228" s="29">
        <v>47300</v>
      </c>
      <c r="S228">
        <v>49700</v>
      </c>
      <c r="T228">
        <v>51900</v>
      </c>
      <c r="U228">
        <v>48500</v>
      </c>
      <c r="V228">
        <v>51100</v>
      </c>
      <c r="W228">
        <v>54000</v>
      </c>
    </row>
    <row r="229" spans="1:23">
      <c r="A229" s="30">
        <v>44513</v>
      </c>
      <c r="B229" s="29">
        <v>51200</v>
      </c>
      <c r="C229" s="29">
        <v>53000</v>
      </c>
      <c r="D229" s="29">
        <v>50300</v>
      </c>
      <c r="E229" s="29">
        <v>46700</v>
      </c>
      <c r="F229" s="29">
        <v>51100</v>
      </c>
      <c r="G229" s="29" t="str">
        <v>-</v>
      </c>
      <c r="H229" s="29">
        <v>48500</v>
      </c>
      <c r="I229" s="29" t="str">
        <v>-</v>
      </c>
      <c r="J229" s="29">
        <v>51100</v>
      </c>
      <c r="K229" s="29" t="str">
        <v>-</v>
      </c>
      <c r="L229" s="29">
        <v>50800</v>
      </c>
      <c r="M229" s="29">
        <v>51200</v>
      </c>
      <c r="N229" s="29">
        <v>47800</v>
      </c>
      <c r="O229" s="29" t="str">
        <v>-</v>
      </c>
      <c r="P229" s="29">
        <v>46300</v>
      </c>
      <c r="Q229" s="29">
        <v>47200</v>
      </c>
      <c r="R229" s="29">
        <v>47200</v>
      </c>
      <c r="S229">
        <v>49300</v>
      </c>
      <c r="T229">
        <v>51200</v>
      </c>
      <c r="U229">
        <v>48400</v>
      </c>
      <c r="V229">
        <v>51100</v>
      </c>
      <c r="W229">
        <v>54000</v>
      </c>
    </row>
    <row r="230" spans="1:23">
      <c r="A230" s="30">
        <v>44514</v>
      </c>
      <c r="B230" s="29" t="str">
        <v>H</v>
      </c>
      <c r="C230" s="29" t="str">
        <v>H</v>
      </c>
      <c r="D230" s="29" t="str">
        <v>H</v>
      </c>
      <c r="E230" s="29" t="str">
        <v>H</v>
      </c>
      <c r="F230" s="29" t="str">
        <v>H</v>
      </c>
      <c r="G230" s="29" t="str">
        <v>H</v>
      </c>
      <c r="H230" s="29" t="str">
        <v>H</v>
      </c>
      <c r="I230" s="29" t="str">
        <v>H</v>
      </c>
      <c r="J230" s="29" t="str">
        <v>H</v>
      </c>
      <c r="K230" s="29" t="str">
        <v>H</v>
      </c>
      <c r="L230" s="29" t="str">
        <v>H</v>
      </c>
      <c r="M230" s="29" t="str">
        <v>H</v>
      </c>
      <c r="N230" s="29" t="str">
        <v>H</v>
      </c>
      <c r="O230" s="29" t="str">
        <v>H</v>
      </c>
      <c r="P230" s="29" t="str">
        <v>H</v>
      </c>
      <c r="Q230" s="29" t="str">
        <v>H</v>
      </c>
      <c r="R230" s="29" t="str">
        <v>H</v>
      </c>
      <c r="S230" t="str">
        <v>H</v>
      </c>
      <c r="T230" t="str">
        <v>H</v>
      </c>
      <c r="U230" t="str">
        <v>H</v>
      </c>
      <c r="V230" t="str">
        <v>H</v>
      </c>
      <c r="W230" t="str">
        <v>H</v>
      </c>
    </row>
    <row r="231" spans="1:23">
      <c r="A231" s="30">
        <v>44515</v>
      </c>
      <c r="B231" s="29">
        <v>50700</v>
      </c>
      <c r="C231" s="29">
        <v>51500</v>
      </c>
      <c r="D231" s="29" t="str">
        <v>-</v>
      </c>
      <c r="E231" s="29">
        <v>45500</v>
      </c>
      <c r="F231" s="29">
        <v>50000</v>
      </c>
      <c r="G231" s="29" t="str">
        <v>-</v>
      </c>
      <c r="H231" s="29">
        <v>48000</v>
      </c>
      <c r="I231" s="29" t="str">
        <v>-</v>
      </c>
      <c r="J231" s="29">
        <v>50100</v>
      </c>
      <c r="K231" s="29" t="str">
        <v>-</v>
      </c>
      <c r="L231" s="29">
        <v>49900</v>
      </c>
      <c r="M231" s="29">
        <v>50200</v>
      </c>
      <c r="N231" s="29">
        <v>46700</v>
      </c>
      <c r="O231" s="29" t="str">
        <v>-</v>
      </c>
      <c r="P231" s="29">
        <v>45200</v>
      </c>
      <c r="Q231" s="29">
        <v>46200</v>
      </c>
      <c r="R231" s="29">
        <v>46600</v>
      </c>
      <c r="S231">
        <v>48200</v>
      </c>
      <c r="T231">
        <v>50500</v>
      </c>
      <c r="U231">
        <v>47800</v>
      </c>
      <c r="V231">
        <v>50700</v>
      </c>
      <c r="W231">
        <v>53000</v>
      </c>
    </row>
    <row r="232" spans="1:23">
      <c r="A232" s="30">
        <v>44516</v>
      </c>
      <c r="B232" s="29">
        <v>50700</v>
      </c>
      <c r="C232" s="29">
        <v>51000</v>
      </c>
      <c r="D232" s="29">
        <v>48200</v>
      </c>
      <c r="E232" s="29">
        <v>45100</v>
      </c>
      <c r="F232" s="29">
        <v>49700</v>
      </c>
      <c r="G232" s="29" t="str">
        <v>-</v>
      </c>
      <c r="H232" s="29">
        <v>47500</v>
      </c>
      <c r="I232" s="29" t="str">
        <v>-</v>
      </c>
      <c r="J232" s="29">
        <v>50100</v>
      </c>
      <c r="K232" s="29" t="str">
        <v>-</v>
      </c>
      <c r="L232" s="29">
        <v>48900</v>
      </c>
      <c r="M232" s="29">
        <v>49700</v>
      </c>
      <c r="N232" s="29">
        <v>46500</v>
      </c>
      <c r="O232" s="29" t="str">
        <v>-</v>
      </c>
      <c r="P232" s="29">
        <v>44700</v>
      </c>
      <c r="Q232" s="29">
        <v>45700</v>
      </c>
      <c r="R232" s="29">
        <v>45400</v>
      </c>
      <c r="S232">
        <v>47800</v>
      </c>
      <c r="T232">
        <v>49500</v>
      </c>
      <c r="U232">
        <v>47500</v>
      </c>
      <c r="V232">
        <v>50300</v>
      </c>
      <c r="W232">
        <v>53000</v>
      </c>
    </row>
    <row r="233" spans="1:23">
      <c r="A233" s="30">
        <v>44517</v>
      </c>
      <c r="B233" s="29">
        <v>50700</v>
      </c>
      <c r="C233" s="29">
        <v>50700</v>
      </c>
      <c r="D233" s="29">
        <v>48200</v>
      </c>
      <c r="E233" s="29">
        <v>45600</v>
      </c>
      <c r="F233" s="29">
        <v>49700</v>
      </c>
      <c r="G233" s="29" t="str">
        <v>-</v>
      </c>
      <c r="H233" s="29">
        <v>47500</v>
      </c>
      <c r="I233" s="29" t="str">
        <v>-</v>
      </c>
      <c r="J233" s="29">
        <v>50100</v>
      </c>
      <c r="K233" s="29" t="str">
        <v>-</v>
      </c>
      <c r="L233" s="29">
        <v>48800</v>
      </c>
      <c r="M233" s="29">
        <v>49700</v>
      </c>
      <c r="N233" s="29">
        <v>46600</v>
      </c>
      <c r="O233" s="29" t="str">
        <v>-</v>
      </c>
      <c r="P233" s="29">
        <v>45300</v>
      </c>
      <c r="Q233" s="29">
        <v>45700</v>
      </c>
      <c r="R233" s="29">
        <v>45500</v>
      </c>
      <c r="S233">
        <v>48300</v>
      </c>
      <c r="T233">
        <v>49500</v>
      </c>
      <c r="U233">
        <v>47500</v>
      </c>
      <c r="V233">
        <v>50300</v>
      </c>
      <c r="W233">
        <v>53000</v>
      </c>
    </row>
    <row r="234" spans="1:23">
      <c r="A234" s="30">
        <v>44518</v>
      </c>
      <c r="B234" s="29">
        <v>51000</v>
      </c>
      <c r="C234" s="29">
        <v>50700</v>
      </c>
      <c r="D234" s="29">
        <v>48000</v>
      </c>
      <c r="E234" s="29">
        <v>45600</v>
      </c>
      <c r="F234" s="29">
        <v>49700</v>
      </c>
      <c r="G234" s="29" t="str">
        <v>-</v>
      </c>
      <c r="H234" s="29">
        <v>48000</v>
      </c>
      <c r="I234" s="29" t="str">
        <v>-</v>
      </c>
      <c r="J234" s="29">
        <v>50600</v>
      </c>
      <c r="K234" s="29" t="str">
        <v>-</v>
      </c>
      <c r="L234" s="29">
        <v>49300</v>
      </c>
      <c r="M234" s="29">
        <v>49900</v>
      </c>
      <c r="N234" s="29">
        <v>46800</v>
      </c>
      <c r="O234" s="29" t="str">
        <v>-</v>
      </c>
      <c r="P234" s="29">
        <v>45500</v>
      </c>
      <c r="Q234" s="29">
        <v>45700</v>
      </c>
      <c r="R234" s="29">
        <v>45700</v>
      </c>
      <c r="S234">
        <v>48300</v>
      </c>
      <c r="T234">
        <v>49200</v>
      </c>
      <c r="U234">
        <v>48100</v>
      </c>
      <c r="V234">
        <v>50000</v>
      </c>
      <c r="W234">
        <v>53000</v>
      </c>
    </row>
    <row r="235" spans="1:23">
      <c r="A235" s="30">
        <v>44519</v>
      </c>
      <c r="B235" s="29">
        <v>51000</v>
      </c>
      <c r="C235" s="29">
        <v>50500</v>
      </c>
      <c r="D235" s="29">
        <v>48500</v>
      </c>
      <c r="E235" s="29">
        <v>45500</v>
      </c>
      <c r="F235" s="29">
        <v>49700</v>
      </c>
      <c r="G235" s="29" t="str">
        <v>-</v>
      </c>
      <c r="H235" s="29">
        <v>47500</v>
      </c>
      <c r="I235" s="29" t="str">
        <v>-</v>
      </c>
      <c r="J235" s="29">
        <v>50600</v>
      </c>
      <c r="K235" s="29" t="str">
        <v>-</v>
      </c>
      <c r="L235" s="29">
        <v>49500</v>
      </c>
      <c r="M235" s="29">
        <v>49900</v>
      </c>
      <c r="N235" s="29">
        <v>46700</v>
      </c>
      <c r="O235" s="29" t="str">
        <v>-</v>
      </c>
      <c r="P235" s="29">
        <v>45500</v>
      </c>
      <c r="Q235" s="29">
        <v>45800</v>
      </c>
      <c r="R235" s="29">
        <v>45700</v>
      </c>
      <c r="S235">
        <v>48300</v>
      </c>
      <c r="T235">
        <v>49200</v>
      </c>
      <c r="U235">
        <v>48100</v>
      </c>
      <c r="V235">
        <v>50000</v>
      </c>
      <c r="W235">
        <v>53000</v>
      </c>
    </row>
    <row r="236" spans="1:23">
      <c r="A236" s="30">
        <v>44520</v>
      </c>
      <c r="B236" s="29">
        <v>51200</v>
      </c>
      <c r="C236" s="29">
        <v>50500</v>
      </c>
      <c r="D236" s="29">
        <v>48700</v>
      </c>
      <c r="E236" s="29">
        <v>45800</v>
      </c>
      <c r="F236" s="29">
        <v>49700</v>
      </c>
      <c r="G236" s="29" t="str">
        <v>-</v>
      </c>
      <c r="H236" s="29">
        <v>48000</v>
      </c>
      <c r="I236" s="29" t="str">
        <v>-</v>
      </c>
      <c r="J236" s="29">
        <v>50600</v>
      </c>
      <c r="K236" s="29" t="str">
        <v>-</v>
      </c>
      <c r="L236" s="29">
        <v>49700</v>
      </c>
      <c r="M236" s="29">
        <v>49900</v>
      </c>
      <c r="N236" s="29">
        <v>47000</v>
      </c>
      <c r="O236" s="29" t="str">
        <v>-</v>
      </c>
      <c r="P236" s="29">
        <v>45900</v>
      </c>
      <c r="Q236" s="29">
        <v>46000</v>
      </c>
      <c r="R236" s="29">
        <v>45700</v>
      </c>
      <c r="S236">
        <v>48500</v>
      </c>
      <c r="T236">
        <v>49300</v>
      </c>
      <c r="U236">
        <v>48100</v>
      </c>
      <c r="V236">
        <v>50000</v>
      </c>
      <c r="W236">
        <v>53000</v>
      </c>
    </row>
    <row r="237" spans="1:23">
      <c r="A237" s="30">
        <v>44521</v>
      </c>
      <c r="B237" s="29" t="str">
        <v>H</v>
      </c>
      <c r="C237" s="29" t="str">
        <v>H</v>
      </c>
      <c r="D237" s="29" t="str">
        <v>H</v>
      </c>
      <c r="E237" s="29" t="str">
        <v>H</v>
      </c>
      <c r="F237" s="29" t="str">
        <v>H</v>
      </c>
      <c r="G237" s="29" t="str">
        <v>H</v>
      </c>
      <c r="H237" s="29" t="str">
        <v>H</v>
      </c>
      <c r="I237" s="29" t="str">
        <v>H</v>
      </c>
      <c r="J237" s="29" t="str">
        <v>H</v>
      </c>
      <c r="K237" s="29" t="str">
        <v>H</v>
      </c>
      <c r="L237" s="29" t="str">
        <v>H</v>
      </c>
      <c r="M237" s="29" t="str">
        <v>H</v>
      </c>
      <c r="N237" s="29" t="str">
        <v>H</v>
      </c>
      <c r="O237" s="29" t="str">
        <v>H</v>
      </c>
      <c r="P237" s="29" t="str">
        <v>H</v>
      </c>
      <c r="Q237" s="29" t="str">
        <v>H</v>
      </c>
      <c r="R237" s="29" t="str">
        <v>H</v>
      </c>
      <c r="S237" t="str">
        <v>H</v>
      </c>
      <c r="T237" t="str">
        <v>H</v>
      </c>
      <c r="U237" t="str">
        <v>H</v>
      </c>
      <c r="V237" t="str">
        <v>H</v>
      </c>
      <c r="W237" t="str">
        <v>H</v>
      </c>
    </row>
    <row r="238" spans="1:23">
      <c r="A238" s="30">
        <v>44522</v>
      </c>
      <c r="B238" s="29">
        <v>51000</v>
      </c>
      <c r="C238" s="29">
        <v>50000</v>
      </c>
      <c r="D238" s="29">
        <v>48200</v>
      </c>
      <c r="E238" s="29">
        <v>45400</v>
      </c>
      <c r="F238" s="29">
        <v>49600</v>
      </c>
      <c r="G238" s="29" t="str">
        <v>-</v>
      </c>
      <c r="H238" s="29">
        <v>47500</v>
      </c>
      <c r="I238" s="29" t="str">
        <v>-</v>
      </c>
      <c r="J238" s="29">
        <v>50500</v>
      </c>
      <c r="K238" s="29" t="str">
        <v>-</v>
      </c>
      <c r="L238" s="29">
        <v>49400</v>
      </c>
      <c r="M238" s="29">
        <v>49900</v>
      </c>
      <c r="N238" s="29">
        <v>46300</v>
      </c>
      <c r="O238" s="29" t="str">
        <v>-</v>
      </c>
      <c r="P238" s="29">
        <v>45000</v>
      </c>
      <c r="Q238" s="29">
        <v>45500</v>
      </c>
      <c r="R238" s="29">
        <v>45500</v>
      </c>
      <c r="S238">
        <v>48100</v>
      </c>
      <c r="T238">
        <v>48300</v>
      </c>
      <c r="U238">
        <v>47800</v>
      </c>
      <c r="V238">
        <v>49500</v>
      </c>
      <c r="W238">
        <v>51700</v>
      </c>
    </row>
    <row r="239" spans="1:23">
      <c r="A239" s="30">
        <v>44523</v>
      </c>
      <c r="B239" s="29">
        <v>50800</v>
      </c>
      <c r="C239" s="29">
        <v>49500</v>
      </c>
      <c r="D239" s="29">
        <v>48000</v>
      </c>
      <c r="E239" s="29">
        <v>45000</v>
      </c>
      <c r="F239" s="29">
        <v>49500</v>
      </c>
      <c r="G239" s="29" t="str">
        <v>-</v>
      </c>
      <c r="H239" s="29">
        <v>47000</v>
      </c>
      <c r="I239" s="29" t="str">
        <v>-</v>
      </c>
      <c r="J239" s="29">
        <v>49200</v>
      </c>
      <c r="K239" s="29" t="str">
        <v>-</v>
      </c>
      <c r="L239" s="29">
        <v>48700</v>
      </c>
      <c r="M239" s="29">
        <v>48900</v>
      </c>
      <c r="N239" s="29">
        <v>45900</v>
      </c>
      <c r="O239" s="29" t="str">
        <v>-</v>
      </c>
      <c r="P239" s="29">
        <v>44200</v>
      </c>
      <c r="Q239" s="29">
        <v>44900</v>
      </c>
      <c r="R239" s="29">
        <v>45000</v>
      </c>
      <c r="S239">
        <v>47700</v>
      </c>
      <c r="T239">
        <v>47300</v>
      </c>
      <c r="U239">
        <v>47300</v>
      </c>
      <c r="V239">
        <v>49200</v>
      </c>
      <c r="W239">
        <v>51500</v>
      </c>
    </row>
    <row r="240" spans="1:23">
      <c r="A240" s="30">
        <v>44524</v>
      </c>
      <c r="B240" s="29">
        <v>50800</v>
      </c>
      <c r="C240" s="29">
        <v>49000</v>
      </c>
      <c r="D240" s="29">
        <v>48000</v>
      </c>
      <c r="E240" s="29">
        <v>45400</v>
      </c>
      <c r="F240" s="29">
        <v>49000</v>
      </c>
      <c r="G240" s="29" t="str">
        <v>-</v>
      </c>
      <c r="H240" s="29">
        <v>47000</v>
      </c>
      <c r="I240" s="29" t="str">
        <v>-</v>
      </c>
      <c r="J240" s="29">
        <v>49200</v>
      </c>
      <c r="K240" s="29" t="str">
        <v>-</v>
      </c>
      <c r="L240" s="29">
        <v>48800</v>
      </c>
      <c r="M240" s="29">
        <v>48900</v>
      </c>
      <c r="N240" s="29">
        <v>46100</v>
      </c>
      <c r="O240" s="29" t="str">
        <v>-</v>
      </c>
      <c r="P240" s="29">
        <v>44600</v>
      </c>
      <c r="Q240" s="29">
        <v>44900</v>
      </c>
      <c r="R240" s="29">
        <v>44700</v>
      </c>
      <c r="S240">
        <v>48200</v>
      </c>
      <c r="T240">
        <v>47300</v>
      </c>
      <c r="U240">
        <v>47300</v>
      </c>
      <c r="V240">
        <v>49000</v>
      </c>
      <c r="W240">
        <v>51400</v>
      </c>
    </row>
    <row r="241" spans="1:23">
      <c r="A241" s="30">
        <v>44525</v>
      </c>
      <c r="B241" s="29">
        <v>50600</v>
      </c>
      <c r="C241" s="29">
        <v>49000</v>
      </c>
      <c r="D241" s="29">
        <v>48000</v>
      </c>
      <c r="E241" s="29">
        <v>45000</v>
      </c>
      <c r="F241" s="29">
        <v>49000</v>
      </c>
      <c r="G241" s="29" t="str">
        <v>-</v>
      </c>
      <c r="H241" s="29">
        <v>46500</v>
      </c>
      <c r="I241" s="29" t="str">
        <v>-</v>
      </c>
      <c r="J241" s="29">
        <v>49200</v>
      </c>
      <c r="K241" s="29" t="str">
        <v>-</v>
      </c>
      <c r="L241" s="29">
        <v>48600</v>
      </c>
      <c r="M241" s="29">
        <v>48900</v>
      </c>
      <c r="N241" s="29">
        <v>45400</v>
      </c>
      <c r="O241" s="29" t="str">
        <v>-</v>
      </c>
      <c r="P241" s="29">
        <v>44000</v>
      </c>
      <c r="Q241" s="29">
        <v>44500</v>
      </c>
      <c r="R241" s="29">
        <v>44700</v>
      </c>
      <c r="S241">
        <v>47700</v>
      </c>
      <c r="T241">
        <v>47300</v>
      </c>
      <c r="U241">
        <v>46800</v>
      </c>
      <c r="V241">
        <v>48600</v>
      </c>
      <c r="W241">
        <v>51000</v>
      </c>
    </row>
    <row r="242" spans="1:23">
      <c r="A242" s="30">
        <v>44526</v>
      </c>
      <c r="B242" s="29">
        <v>50600</v>
      </c>
      <c r="C242" s="29">
        <v>49000</v>
      </c>
      <c r="D242" s="29">
        <v>48200</v>
      </c>
      <c r="E242" s="29">
        <v>45300</v>
      </c>
      <c r="F242" s="29">
        <v>48500</v>
      </c>
      <c r="G242" s="29" t="str">
        <v>-</v>
      </c>
      <c r="H242" s="29">
        <v>47000</v>
      </c>
      <c r="I242" s="29" t="str">
        <v>-</v>
      </c>
      <c r="J242" s="29">
        <v>48700</v>
      </c>
      <c r="K242" s="29" t="str">
        <v>-</v>
      </c>
      <c r="L242" s="29">
        <v>48900</v>
      </c>
      <c r="M242" s="29">
        <v>48800</v>
      </c>
      <c r="N242" s="29">
        <v>45800</v>
      </c>
      <c r="O242" s="29" t="str">
        <v>-</v>
      </c>
      <c r="P242" s="29">
        <v>44600</v>
      </c>
      <c r="Q242" s="29">
        <v>45000</v>
      </c>
      <c r="R242" s="29">
        <v>44700</v>
      </c>
      <c r="S242">
        <v>47700</v>
      </c>
      <c r="T242">
        <v>47400</v>
      </c>
      <c r="U242">
        <v>47300</v>
      </c>
      <c r="V242">
        <v>48600</v>
      </c>
      <c r="W242">
        <v>51000</v>
      </c>
    </row>
    <row r="243" spans="1:23">
      <c r="A243" s="30">
        <v>44527</v>
      </c>
      <c r="B243" s="29">
        <v>50300</v>
      </c>
      <c r="C243" s="29">
        <v>48500</v>
      </c>
      <c r="D243" s="29">
        <v>48200</v>
      </c>
      <c r="E243" s="29">
        <v>45100</v>
      </c>
      <c r="F243" s="29">
        <v>48500</v>
      </c>
      <c r="G243" s="29" t="str">
        <v>-</v>
      </c>
      <c r="H243" s="29">
        <v>47000</v>
      </c>
      <c r="I243" s="29" t="str">
        <v>-</v>
      </c>
      <c r="J243" s="29">
        <v>48700</v>
      </c>
      <c r="K243" s="29" t="str">
        <v>-</v>
      </c>
      <c r="L243" s="29">
        <v>49000</v>
      </c>
      <c r="M243" s="29">
        <v>48900</v>
      </c>
      <c r="N243" s="29">
        <v>45700</v>
      </c>
      <c r="O243" s="29" t="str">
        <v>-</v>
      </c>
      <c r="P243" s="29">
        <v>44500</v>
      </c>
      <c r="Q243" s="29">
        <v>45000</v>
      </c>
      <c r="R243" s="29">
        <v>44600</v>
      </c>
      <c r="S243">
        <v>47500</v>
      </c>
      <c r="T243">
        <v>47400</v>
      </c>
      <c r="U243">
        <v>47000</v>
      </c>
      <c r="V243">
        <v>48600</v>
      </c>
      <c r="W243">
        <v>51000</v>
      </c>
    </row>
    <row r="244" spans="1:23">
      <c r="A244" s="30">
        <v>44528</v>
      </c>
      <c r="B244" s="29" t="str">
        <v>H</v>
      </c>
      <c r="C244" s="29" t="str">
        <v>H</v>
      </c>
      <c r="D244" s="29" t="str">
        <v>H</v>
      </c>
      <c r="E244" s="29" t="str">
        <v>H</v>
      </c>
      <c r="F244" s="29" t="str">
        <v>H</v>
      </c>
      <c r="G244" s="29" t="str">
        <v>H</v>
      </c>
      <c r="H244" s="29" t="str">
        <v>H</v>
      </c>
      <c r="I244" s="29" t="str">
        <v>H</v>
      </c>
      <c r="J244" s="29" t="str">
        <v>H</v>
      </c>
      <c r="K244" s="29" t="str">
        <v>H</v>
      </c>
      <c r="L244" s="29" t="str">
        <v>H</v>
      </c>
      <c r="M244" s="29" t="str">
        <v>H</v>
      </c>
      <c r="N244" s="29" t="str">
        <v>H</v>
      </c>
      <c r="O244" s="29" t="str">
        <v>H</v>
      </c>
      <c r="P244" s="29" t="str">
        <v>H</v>
      </c>
      <c r="Q244" s="29" t="str">
        <v>H</v>
      </c>
      <c r="R244" s="29" t="str">
        <v>H</v>
      </c>
      <c r="S244" t="str">
        <v>H</v>
      </c>
      <c r="T244" t="str">
        <v>H</v>
      </c>
      <c r="U244" t="str">
        <v>H</v>
      </c>
      <c r="V244" t="str">
        <v>H</v>
      </c>
      <c r="W244" t="str">
        <v>H</v>
      </c>
    </row>
    <row r="245" spans="1:23">
      <c r="A245" s="30">
        <v>44529</v>
      </c>
      <c r="B245" s="29">
        <v>50300</v>
      </c>
      <c r="C245" s="29">
        <v>48300</v>
      </c>
      <c r="D245" s="29">
        <v>48300</v>
      </c>
      <c r="E245" s="29">
        <v>45200</v>
      </c>
      <c r="F245" s="29">
        <v>48300</v>
      </c>
      <c r="G245" s="29" t="str">
        <v>-</v>
      </c>
      <c r="H245" s="29">
        <v>47000</v>
      </c>
      <c r="I245" s="29" t="str">
        <v>-</v>
      </c>
      <c r="J245" s="29">
        <v>48700</v>
      </c>
      <c r="K245" s="29" t="str">
        <v>-</v>
      </c>
      <c r="L245" s="29">
        <v>49100</v>
      </c>
      <c r="M245" s="29">
        <v>48900</v>
      </c>
      <c r="N245" s="29">
        <v>46000</v>
      </c>
      <c r="O245" s="29" t="str">
        <v>-</v>
      </c>
      <c r="P245" s="29">
        <v>44400</v>
      </c>
      <c r="Q245" s="29">
        <v>45000</v>
      </c>
      <c r="R245" s="29">
        <v>44700</v>
      </c>
      <c r="S245">
        <v>47700</v>
      </c>
      <c r="T245">
        <v>47400</v>
      </c>
      <c r="U245">
        <v>47200</v>
      </c>
      <c r="V245">
        <v>48300</v>
      </c>
      <c r="W245">
        <v>50300</v>
      </c>
    </row>
    <row r="246" spans="1:23">
      <c r="A246" s="30">
        <v>44530</v>
      </c>
      <c r="B246" s="29">
        <v>50300</v>
      </c>
      <c r="C246" s="29">
        <v>48000</v>
      </c>
      <c r="D246" s="29">
        <v>49200</v>
      </c>
      <c r="E246" s="29">
        <v>45500</v>
      </c>
      <c r="F246" s="29">
        <v>48300</v>
      </c>
      <c r="G246" s="29" t="str">
        <v>-</v>
      </c>
      <c r="H246" s="29">
        <v>47500</v>
      </c>
      <c r="I246" s="29" t="str">
        <v>-</v>
      </c>
      <c r="J246" s="29">
        <v>48700</v>
      </c>
      <c r="K246" s="29" t="str">
        <v>-</v>
      </c>
      <c r="L246" s="29">
        <v>49400</v>
      </c>
      <c r="M246" s="29">
        <v>48900</v>
      </c>
      <c r="N246" s="29">
        <v>46800</v>
      </c>
      <c r="O246" s="29" t="str">
        <v>-</v>
      </c>
      <c r="P246" s="29">
        <v>45000</v>
      </c>
      <c r="Q246" s="29">
        <v>45400</v>
      </c>
      <c r="R246" s="29">
        <v>44700</v>
      </c>
      <c r="S246">
        <v>48000</v>
      </c>
      <c r="T246">
        <v>47500</v>
      </c>
      <c r="U246">
        <v>47200</v>
      </c>
      <c r="V246">
        <v>48300</v>
      </c>
      <c r="W246">
        <v>50300</v>
      </c>
    </row>
    <row r="247" spans="1:23">
      <c r="A247" s="30">
        <v>44531</v>
      </c>
      <c r="B247" s="29">
        <v>50300</v>
      </c>
      <c r="C247" s="29">
        <v>48000</v>
      </c>
      <c r="D247" s="29">
        <v>49200</v>
      </c>
      <c r="E247" s="29">
        <v>45500</v>
      </c>
      <c r="F247" s="29">
        <v>48300</v>
      </c>
      <c r="G247" s="29" t="str">
        <v>-</v>
      </c>
      <c r="H247" s="29">
        <v>47000</v>
      </c>
      <c r="I247" s="29" t="str">
        <v>-</v>
      </c>
      <c r="J247" s="29">
        <v>48700</v>
      </c>
      <c r="K247" s="29" t="str">
        <v>-</v>
      </c>
      <c r="L247" s="29">
        <v>49700</v>
      </c>
      <c r="M247" s="29">
        <v>49100</v>
      </c>
      <c r="N247" s="29">
        <v>46600</v>
      </c>
      <c r="O247" s="29" t="str">
        <v>-</v>
      </c>
      <c r="P247" s="29">
        <v>45000</v>
      </c>
      <c r="Q247" s="29">
        <v>45200</v>
      </c>
      <c r="R247" s="29">
        <v>44600</v>
      </c>
      <c r="S247">
        <v>48000</v>
      </c>
      <c r="T247">
        <v>47500</v>
      </c>
      <c r="U247" t="str">
        <v>-</v>
      </c>
      <c r="V247">
        <v>48100</v>
      </c>
      <c r="W247">
        <v>50300</v>
      </c>
    </row>
    <row r="248" spans="1:23">
      <c r="A248" s="30">
        <v>44532</v>
      </c>
      <c r="B248" s="29">
        <v>50300</v>
      </c>
      <c r="C248" s="29">
        <v>48000</v>
      </c>
      <c r="D248" s="29">
        <v>49200</v>
      </c>
      <c r="E248" s="29">
        <v>45300</v>
      </c>
      <c r="F248" s="29">
        <v>48300</v>
      </c>
      <c r="G248" s="29" t="str">
        <v>-</v>
      </c>
      <c r="H248" s="29">
        <v>47000</v>
      </c>
      <c r="I248" s="29" t="str">
        <v>-</v>
      </c>
      <c r="J248" s="29">
        <v>48700</v>
      </c>
      <c r="K248" s="29" t="str">
        <v>-</v>
      </c>
      <c r="L248" s="29">
        <v>49800</v>
      </c>
      <c r="M248" s="29">
        <v>49100</v>
      </c>
      <c r="N248" s="29">
        <v>46300</v>
      </c>
      <c r="O248" s="29" t="str">
        <v>-</v>
      </c>
      <c r="P248" s="29">
        <v>44500</v>
      </c>
      <c r="Q248" s="29">
        <v>45200</v>
      </c>
      <c r="R248" s="29">
        <v>44500</v>
      </c>
      <c r="S248">
        <v>48000</v>
      </c>
      <c r="T248">
        <v>47600</v>
      </c>
      <c r="U248">
        <v>46800</v>
      </c>
      <c r="V248">
        <v>48100</v>
      </c>
      <c r="W248">
        <v>50300</v>
      </c>
    </row>
    <row r="249" spans="1:23">
      <c r="A249" s="30">
        <v>44533</v>
      </c>
      <c r="B249" s="29">
        <v>50300</v>
      </c>
      <c r="C249" s="29">
        <v>47500</v>
      </c>
      <c r="D249" s="29">
        <v>48500</v>
      </c>
      <c r="E249" s="29">
        <v>45000</v>
      </c>
      <c r="F249" s="29">
        <v>48000</v>
      </c>
      <c r="G249" s="29" t="str">
        <v>-</v>
      </c>
      <c r="H249" s="29">
        <v>47000</v>
      </c>
      <c r="I249" s="29" t="str">
        <v>-</v>
      </c>
      <c r="J249" s="29">
        <v>48100</v>
      </c>
      <c r="K249" s="29" t="str">
        <v>-</v>
      </c>
      <c r="L249" s="29">
        <v>49400</v>
      </c>
      <c r="M249" s="29">
        <v>48600</v>
      </c>
      <c r="N249" s="29">
        <v>45400</v>
      </c>
      <c r="O249" s="29" t="str">
        <v>-</v>
      </c>
      <c r="P249" s="29">
        <v>43800</v>
      </c>
      <c r="Q249" s="29">
        <v>44500</v>
      </c>
      <c r="R249" s="29">
        <v>44300</v>
      </c>
      <c r="S249">
        <v>47700</v>
      </c>
      <c r="T249">
        <v>47100</v>
      </c>
      <c r="U249">
        <v>46600</v>
      </c>
      <c r="V249">
        <v>48100</v>
      </c>
      <c r="W249">
        <v>50300</v>
      </c>
    </row>
    <row r="250" spans="1:23">
      <c r="A250" s="30">
        <v>44534</v>
      </c>
      <c r="B250" s="29">
        <v>49600</v>
      </c>
      <c r="C250" s="29">
        <v>47500</v>
      </c>
      <c r="D250" s="29">
        <v>47800</v>
      </c>
      <c r="E250" s="29">
        <v>44500</v>
      </c>
      <c r="F250" s="29">
        <v>47300</v>
      </c>
      <c r="G250" s="29" t="str">
        <v>-</v>
      </c>
      <c r="H250" s="29">
        <v>46500</v>
      </c>
      <c r="I250" s="29" t="str">
        <v>-</v>
      </c>
      <c r="J250" s="29">
        <v>47000</v>
      </c>
      <c r="K250" s="29" t="str">
        <v>-</v>
      </c>
      <c r="L250" s="29">
        <v>48800</v>
      </c>
      <c r="M250" s="29">
        <v>47900</v>
      </c>
      <c r="N250" s="29">
        <v>45250</v>
      </c>
      <c r="O250" s="29" t="str">
        <v>-</v>
      </c>
      <c r="P250" s="29">
        <v>43400</v>
      </c>
      <c r="Q250" s="29">
        <v>44000</v>
      </c>
      <c r="R250" s="29">
        <v>43800</v>
      </c>
      <c r="S250">
        <v>47200</v>
      </c>
      <c r="T250">
        <v>46400</v>
      </c>
      <c r="U250">
        <v>46300</v>
      </c>
      <c r="V250">
        <v>47700</v>
      </c>
      <c r="W250">
        <v>50100</v>
      </c>
    </row>
    <row r="251" spans="1:23">
      <c r="A251" s="30">
        <v>44535</v>
      </c>
      <c r="B251" s="29" t="str">
        <v>H</v>
      </c>
      <c r="C251" s="29" t="str">
        <v>H</v>
      </c>
      <c r="D251" s="29" t="str">
        <v>H</v>
      </c>
      <c r="E251" s="29" t="str">
        <v>H</v>
      </c>
      <c r="F251" s="29" t="str">
        <v>H</v>
      </c>
      <c r="G251" s="29" t="str">
        <v>H</v>
      </c>
      <c r="H251" s="29" t="str">
        <v>H</v>
      </c>
      <c r="I251" s="29" t="str">
        <v>H</v>
      </c>
      <c r="J251" s="29" t="str">
        <v>H</v>
      </c>
      <c r="K251" s="29" t="str">
        <v>H</v>
      </c>
      <c r="L251" s="29" t="str">
        <v>H</v>
      </c>
      <c r="M251" s="29" t="str">
        <v>H</v>
      </c>
      <c r="N251" s="29" t="str">
        <v>H</v>
      </c>
      <c r="O251" s="29" t="str">
        <v>H</v>
      </c>
      <c r="P251" s="29" t="str">
        <v>H</v>
      </c>
      <c r="Q251" s="29" t="str">
        <v>H</v>
      </c>
      <c r="R251" s="29" t="str">
        <v>H</v>
      </c>
      <c r="S251" t="str">
        <v>H</v>
      </c>
      <c r="T251" t="str">
        <v>H</v>
      </c>
      <c r="U251" t="str">
        <v>H</v>
      </c>
      <c r="V251" t="str">
        <v>H</v>
      </c>
      <c r="W251" t="str">
        <v>H</v>
      </c>
    </row>
    <row r="252" spans="1:23">
      <c r="A252" s="30">
        <v>44536</v>
      </c>
      <c r="B252" s="29">
        <v>49200</v>
      </c>
      <c r="C252" s="29">
        <v>47000</v>
      </c>
      <c r="D252" s="29">
        <v>47400</v>
      </c>
      <c r="E252" s="29">
        <v>44000</v>
      </c>
      <c r="F252" s="29">
        <v>46800</v>
      </c>
      <c r="G252" s="29" t="str">
        <v>-</v>
      </c>
      <c r="H252" s="29">
        <v>46500</v>
      </c>
      <c r="I252" s="29" t="str">
        <v>-</v>
      </c>
      <c r="J252" s="29">
        <v>47000</v>
      </c>
      <c r="K252" s="29" t="str">
        <v>-</v>
      </c>
      <c r="L252" s="29">
        <v>48400</v>
      </c>
      <c r="M252" s="29">
        <v>47900</v>
      </c>
      <c r="N252" s="29">
        <v>44800</v>
      </c>
      <c r="O252" s="29" t="str">
        <v>-</v>
      </c>
      <c r="P252" s="29">
        <v>43100</v>
      </c>
      <c r="Q252" s="29">
        <v>43400</v>
      </c>
      <c r="R252" s="29">
        <v>43500</v>
      </c>
      <c r="S252">
        <v>46600</v>
      </c>
      <c r="T252">
        <v>46100</v>
      </c>
      <c r="U252" t="str">
        <v>-</v>
      </c>
      <c r="V252">
        <v>47300</v>
      </c>
      <c r="W252">
        <v>49600</v>
      </c>
    </row>
    <row r="253" spans="1:23">
      <c r="A253" s="30">
        <v>44537</v>
      </c>
      <c r="B253" s="29">
        <v>48500</v>
      </c>
      <c r="C253" s="29">
        <v>46500</v>
      </c>
      <c r="D253" s="29">
        <v>47400</v>
      </c>
      <c r="E253" s="29">
        <v>44300</v>
      </c>
      <c r="F253" s="29">
        <v>46800</v>
      </c>
      <c r="G253" s="29" t="str">
        <v>-</v>
      </c>
      <c r="H253" s="29">
        <v>46500</v>
      </c>
      <c r="I253" s="29" t="str">
        <v>-</v>
      </c>
      <c r="J253" s="29">
        <v>47000</v>
      </c>
      <c r="K253" s="29" t="str">
        <v>-</v>
      </c>
      <c r="L253" s="29">
        <v>48400</v>
      </c>
      <c r="M253" s="29">
        <v>47900</v>
      </c>
      <c r="N253" s="29">
        <v>45200</v>
      </c>
      <c r="O253" s="29" t="str">
        <v>-</v>
      </c>
      <c r="P253" s="29">
        <v>43400</v>
      </c>
      <c r="Q253" s="29">
        <v>43700</v>
      </c>
      <c r="R253" s="29">
        <v>43750</v>
      </c>
      <c r="S253">
        <v>47000</v>
      </c>
      <c r="T253">
        <v>46100</v>
      </c>
      <c r="U253">
        <v>45800</v>
      </c>
      <c r="V253">
        <v>47300</v>
      </c>
      <c r="W253">
        <v>49600</v>
      </c>
    </row>
    <row r="254" spans="1:23">
      <c r="A254" s="30">
        <v>44538</v>
      </c>
      <c r="B254" s="29">
        <v>48900</v>
      </c>
      <c r="C254" s="29">
        <v>47000</v>
      </c>
      <c r="D254" s="29">
        <v>47400</v>
      </c>
      <c r="E254" s="29">
        <v>44500</v>
      </c>
      <c r="F254" s="29">
        <v>47000</v>
      </c>
      <c r="G254" s="29" t="str">
        <v>-</v>
      </c>
      <c r="H254" s="29">
        <v>47000</v>
      </c>
      <c r="I254" s="29" t="str">
        <v>-</v>
      </c>
      <c r="J254" s="29">
        <v>47200</v>
      </c>
      <c r="K254" s="29" t="str">
        <v>-</v>
      </c>
      <c r="L254" s="29">
        <v>48600</v>
      </c>
      <c r="M254" s="29">
        <v>48300</v>
      </c>
      <c r="N254" s="29">
        <v>45600</v>
      </c>
      <c r="O254" s="29" t="str">
        <v>-</v>
      </c>
      <c r="P254" s="29">
        <v>43900</v>
      </c>
      <c r="Q254" s="29">
        <v>44800</v>
      </c>
      <c r="R254" s="29">
        <v>43700</v>
      </c>
      <c r="S254">
        <v>47300</v>
      </c>
      <c r="T254">
        <v>46400</v>
      </c>
      <c r="U254">
        <v>46000</v>
      </c>
      <c r="V254">
        <v>47300</v>
      </c>
      <c r="W254">
        <v>49600</v>
      </c>
    </row>
    <row r="255" spans="1:23">
      <c r="A255" s="30">
        <v>44539</v>
      </c>
      <c r="B255" s="29">
        <v>49400</v>
      </c>
      <c r="C255" s="29">
        <v>47700</v>
      </c>
      <c r="D255" s="29">
        <v>47700</v>
      </c>
      <c r="E255" s="29">
        <v>45200</v>
      </c>
      <c r="F255" s="29">
        <v>47700</v>
      </c>
      <c r="G255" s="29" t="str">
        <v>-</v>
      </c>
      <c r="H255" s="29">
        <v>47500</v>
      </c>
      <c r="I255" s="29" t="str">
        <v>-</v>
      </c>
      <c r="J255" s="29">
        <v>47800</v>
      </c>
      <c r="K255" s="29" t="str">
        <v>-</v>
      </c>
      <c r="L255" s="29">
        <v>49200</v>
      </c>
      <c r="M255" s="29">
        <v>48900</v>
      </c>
      <c r="N255" s="29">
        <v>46000</v>
      </c>
      <c r="O255" s="29" t="str">
        <v>-</v>
      </c>
      <c r="P255" s="29">
        <v>45000</v>
      </c>
      <c r="Q255" s="29">
        <v>45300</v>
      </c>
      <c r="R255" s="29">
        <v>44400</v>
      </c>
      <c r="S255">
        <v>48000</v>
      </c>
      <c r="T255">
        <v>46900</v>
      </c>
      <c r="U255">
        <v>46600</v>
      </c>
      <c r="V255">
        <v>47500</v>
      </c>
      <c r="W255">
        <v>49600</v>
      </c>
    </row>
    <row r="256" spans="1:23">
      <c r="A256" s="30">
        <v>44540</v>
      </c>
      <c r="B256" s="29">
        <v>49400</v>
      </c>
      <c r="C256" s="29">
        <v>48000</v>
      </c>
      <c r="D256" s="29">
        <v>47700</v>
      </c>
      <c r="E256" s="29">
        <v>44800</v>
      </c>
      <c r="F256" s="29">
        <v>48200</v>
      </c>
      <c r="G256" s="29" t="str">
        <v>-</v>
      </c>
      <c r="H256" s="29">
        <v>47500</v>
      </c>
      <c r="I256" s="29" t="str">
        <v>-</v>
      </c>
      <c r="J256" s="29">
        <v>47900</v>
      </c>
      <c r="K256" s="29" t="str">
        <v>-</v>
      </c>
      <c r="L256" s="29">
        <v>49200</v>
      </c>
      <c r="M256" s="29">
        <v>49300</v>
      </c>
      <c r="N256" s="29">
        <v>45500</v>
      </c>
      <c r="O256" s="29" t="str">
        <v>-</v>
      </c>
      <c r="P256" s="29">
        <v>44300</v>
      </c>
      <c r="Q256" s="29">
        <v>45300</v>
      </c>
      <c r="R256" s="29">
        <v>44100</v>
      </c>
      <c r="S256">
        <v>47600</v>
      </c>
      <c r="T256">
        <v>46900</v>
      </c>
      <c r="U256">
        <v>46600</v>
      </c>
      <c r="V256">
        <v>47900</v>
      </c>
      <c r="W256">
        <v>50000</v>
      </c>
    </row>
    <row r="257" spans="1:23">
      <c r="A257" s="30">
        <v>44541</v>
      </c>
      <c r="B257" s="29">
        <v>49400</v>
      </c>
      <c r="C257" s="29">
        <v>48000</v>
      </c>
      <c r="D257" s="29">
        <v>47700</v>
      </c>
      <c r="E257" s="29">
        <v>45000</v>
      </c>
      <c r="F257" s="29">
        <v>48100</v>
      </c>
      <c r="G257" s="29" t="str">
        <v>-</v>
      </c>
      <c r="H257" s="29">
        <v>47500</v>
      </c>
      <c r="I257" s="29" t="str">
        <v>-</v>
      </c>
      <c r="J257" s="29">
        <v>47900</v>
      </c>
      <c r="K257" s="29" t="str">
        <v>-</v>
      </c>
      <c r="L257" s="29">
        <v>49200</v>
      </c>
      <c r="M257" s="29">
        <v>49300</v>
      </c>
      <c r="N257" s="29">
        <v>45550</v>
      </c>
      <c r="O257" s="29" t="str">
        <v>-</v>
      </c>
      <c r="P257" s="29">
        <v>44700</v>
      </c>
      <c r="Q257" s="29">
        <v>45100</v>
      </c>
      <c r="R257" s="29">
        <v>44300</v>
      </c>
      <c r="S257">
        <v>47800</v>
      </c>
      <c r="T257">
        <v>46900</v>
      </c>
      <c r="U257">
        <v>46600</v>
      </c>
      <c r="V257">
        <v>47900</v>
      </c>
      <c r="W257">
        <v>50000</v>
      </c>
    </row>
    <row r="258" spans="1:23">
      <c r="A258" s="30">
        <v>44542</v>
      </c>
      <c r="B258" s="29" t="str">
        <v>H</v>
      </c>
      <c r="C258" s="29" t="str">
        <v>H</v>
      </c>
      <c r="D258" s="29" t="str">
        <v>H</v>
      </c>
      <c r="E258" s="29" t="str">
        <v>H</v>
      </c>
      <c r="F258" s="29" t="str">
        <v>H</v>
      </c>
      <c r="G258" s="29" t="str">
        <v>H</v>
      </c>
      <c r="H258" s="29" t="str">
        <v>H</v>
      </c>
      <c r="I258" s="29" t="str">
        <v>H</v>
      </c>
      <c r="J258" s="29" t="str">
        <v>H</v>
      </c>
      <c r="K258" s="29" t="str">
        <v>H</v>
      </c>
      <c r="L258" s="29" t="str">
        <v>H</v>
      </c>
      <c r="M258" s="29" t="str">
        <v>H</v>
      </c>
      <c r="N258" s="29" t="str">
        <v>H</v>
      </c>
      <c r="O258" s="29" t="str">
        <v>H</v>
      </c>
      <c r="P258" s="29" t="str">
        <v>H</v>
      </c>
      <c r="Q258" s="29" t="str">
        <v>H</v>
      </c>
      <c r="R258" s="29" t="str">
        <v>H</v>
      </c>
      <c r="S258" t="str">
        <v>H</v>
      </c>
      <c r="T258" t="str">
        <v>H</v>
      </c>
      <c r="U258" t="str">
        <v>H</v>
      </c>
      <c r="V258" t="str">
        <v>H</v>
      </c>
      <c r="W258" t="str">
        <v>H</v>
      </c>
    </row>
    <row r="259" spans="1:23">
      <c r="A259" s="30">
        <v>44543</v>
      </c>
      <c r="B259" s="29">
        <v>50100</v>
      </c>
      <c r="C259" s="29">
        <v>48400</v>
      </c>
      <c r="D259" s="29">
        <v>47800</v>
      </c>
      <c r="E259" s="29">
        <v>45500</v>
      </c>
      <c r="F259" s="29">
        <v>48300</v>
      </c>
      <c r="G259" s="29" t="str">
        <v>-</v>
      </c>
      <c r="H259" s="29">
        <v>48500</v>
      </c>
      <c r="I259" s="29" t="str">
        <v>-</v>
      </c>
      <c r="J259" s="29">
        <v>48600</v>
      </c>
      <c r="K259" s="29" t="str">
        <v>-</v>
      </c>
      <c r="L259" s="29">
        <v>49500</v>
      </c>
      <c r="M259" s="29">
        <v>49500</v>
      </c>
      <c r="N259" s="29">
        <v>46000</v>
      </c>
      <c r="O259" s="29" t="str">
        <v>-</v>
      </c>
      <c r="P259" s="29">
        <v>45800</v>
      </c>
      <c r="Q259" s="29">
        <v>46000</v>
      </c>
      <c r="R259" s="29">
        <v>45700</v>
      </c>
      <c r="S259">
        <v>48500</v>
      </c>
      <c r="T259">
        <v>48000</v>
      </c>
      <c r="U259">
        <v>47200</v>
      </c>
      <c r="V259">
        <v>48300</v>
      </c>
      <c r="W259">
        <v>50500</v>
      </c>
    </row>
    <row r="260" spans="1:23">
      <c r="A260" s="30">
        <v>44544</v>
      </c>
      <c r="B260" s="29">
        <v>50900</v>
      </c>
      <c r="C260" s="29">
        <v>48400</v>
      </c>
      <c r="D260" s="29">
        <v>47800</v>
      </c>
      <c r="E260" s="29">
        <v>46000</v>
      </c>
      <c r="F260" s="29">
        <v>48800</v>
      </c>
      <c r="G260" s="29" t="str">
        <v>-</v>
      </c>
      <c r="H260" s="29">
        <v>48700</v>
      </c>
      <c r="I260" s="29" t="str">
        <v>-</v>
      </c>
      <c r="J260" s="29">
        <v>48800</v>
      </c>
      <c r="K260" s="29" t="str">
        <v>-</v>
      </c>
      <c r="L260" s="29">
        <v>49700</v>
      </c>
      <c r="M260" s="29">
        <v>49900</v>
      </c>
      <c r="N260" s="29">
        <v>46000</v>
      </c>
      <c r="O260" s="29" t="str">
        <v>-</v>
      </c>
      <c r="P260" s="29">
        <v>45500</v>
      </c>
      <c r="Q260" s="29">
        <v>46000</v>
      </c>
      <c r="R260" s="29">
        <v>45600</v>
      </c>
      <c r="S260">
        <v>49000</v>
      </c>
      <c r="T260">
        <v>48300</v>
      </c>
      <c r="U260">
        <v>47300</v>
      </c>
      <c r="V260">
        <v>48500</v>
      </c>
      <c r="W260">
        <v>51000</v>
      </c>
    </row>
    <row r="261" spans="1:23">
      <c r="A261" s="30">
        <v>44545</v>
      </c>
      <c r="B261" s="29">
        <v>50900</v>
      </c>
      <c r="C261" s="29">
        <v>48200</v>
      </c>
      <c r="D261" s="29">
        <v>47600</v>
      </c>
      <c r="E261" s="29">
        <v>46000</v>
      </c>
      <c r="F261" s="29">
        <v>49300</v>
      </c>
      <c r="G261" s="29" t="str">
        <v>-</v>
      </c>
      <c r="H261" s="29">
        <v>49000</v>
      </c>
      <c r="I261" s="29" t="str">
        <v>-</v>
      </c>
      <c r="J261" s="29">
        <v>49100</v>
      </c>
      <c r="K261" s="29" t="str">
        <v>-</v>
      </c>
      <c r="L261" s="29">
        <v>49500</v>
      </c>
      <c r="M261" s="29">
        <v>50200</v>
      </c>
      <c r="N261" s="29">
        <v>46000</v>
      </c>
      <c r="O261" s="29" t="str">
        <v>-</v>
      </c>
      <c r="P261" s="29">
        <v>45400</v>
      </c>
      <c r="Q261" s="29">
        <v>45700</v>
      </c>
      <c r="R261" s="29">
        <v>45200</v>
      </c>
      <c r="S261">
        <v>49000</v>
      </c>
      <c r="T261">
        <v>48300</v>
      </c>
      <c r="U261">
        <v>47000</v>
      </c>
      <c r="V261">
        <v>48500</v>
      </c>
      <c r="W261">
        <v>51000</v>
      </c>
    </row>
    <row r="262" spans="1:23">
      <c r="A262" s="30">
        <v>44546</v>
      </c>
      <c r="B262" s="29">
        <v>50900</v>
      </c>
      <c r="C262" s="29">
        <v>48200</v>
      </c>
      <c r="D262" s="29">
        <v>47600</v>
      </c>
      <c r="E262" s="29">
        <v>46000</v>
      </c>
      <c r="F262" s="29">
        <v>49300</v>
      </c>
      <c r="G262" s="29" t="str">
        <v>-</v>
      </c>
      <c r="H262" s="29">
        <v>48700</v>
      </c>
      <c r="I262" s="29" t="str">
        <v>-</v>
      </c>
      <c r="J262" s="29">
        <v>49100</v>
      </c>
      <c r="K262" s="29" t="str">
        <v>-</v>
      </c>
      <c r="L262" s="29">
        <v>49600</v>
      </c>
      <c r="M262" s="29">
        <v>50300</v>
      </c>
      <c r="N262" s="29">
        <v>46200</v>
      </c>
      <c r="O262" s="29" t="str">
        <v>-</v>
      </c>
      <c r="P262" s="29">
        <v>45300</v>
      </c>
      <c r="Q262" s="29">
        <v>45600</v>
      </c>
      <c r="R262" s="29">
        <v>45200</v>
      </c>
      <c r="S262">
        <v>49000</v>
      </c>
      <c r="T262">
        <v>48300</v>
      </c>
      <c r="U262">
        <v>47600</v>
      </c>
      <c r="V262">
        <v>48500</v>
      </c>
      <c r="W262">
        <v>51000</v>
      </c>
    </row>
    <row r="263" spans="1:23">
      <c r="A263" s="30">
        <v>44547</v>
      </c>
      <c r="B263" s="29">
        <v>50900</v>
      </c>
      <c r="C263" s="29">
        <v>48000</v>
      </c>
      <c r="D263" s="29">
        <v>48200</v>
      </c>
      <c r="E263" s="29">
        <v>45800</v>
      </c>
      <c r="F263" s="29">
        <v>49300</v>
      </c>
      <c r="G263" s="29" t="str">
        <v>-</v>
      </c>
      <c r="H263" s="29">
        <v>49000</v>
      </c>
      <c r="I263" s="29" t="str">
        <v>-</v>
      </c>
      <c r="J263" s="29">
        <v>49000</v>
      </c>
      <c r="K263" s="29" t="str">
        <v>-</v>
      </c>
      <c r="L263" s="29">
        <v>49500</v>
      </c>
      <c r="M263" s="29">
        <v>50300</v>
      </c>
      <c r="N263" s="29">
        <v>45800</v>
      </c>
      <c r="O263" s="29" t="str">
        <v>-</v>
      </c>
      <c r="P263" s="29">
        <v>44700</v>
      </c>
      <c r="Q263" s="29">
        <v>45400</v>
      </c>
      <c r="R263" s="29">
        <v>45000</v>
      </c>
      <c r="S263">
        <v>48800</v>
      </c>
      <c r="T263">
        <v>48000</v>
      </c>
      <c r="U263">
        <v>47600</v>
      </c>
      <c r="V263">
        <v>48500</v>
      </c>
      <c r="W263">
        <v>51000</v>
      </c>
    </row>
    <row r="264" spans="1:23">
      <c r="A264" s="30">
        <v>44548</v>
      </c>
      <c r="B264" s="29">
        <v>50800</v>
      </c>
      <c r="C264" s="29">
        <v>48000</v>
      </c>
      <c r="D264" s="29">
        <v>48000</v>
      </c>
      <c r="E264" s="29">
        <v>45600</v>
      </c>
      <c r="F264" s="29">
        <v>49300</v>
      </c>
      <c r="G264" s="29" t="str">
        <v>-</v>
      </c>
      <c r="H264" s="29">
        <v>49000</v>
      </c>
      <c r="I264" s="29" t="str">
        <v>-</v>
      </c>
      <c r="J264" s="29">
        <v>49000</v>
      </c>
      <c r="K264" s="29" t="str">
        <v>-</v>
      </c>
      <c r="L264" s="29">
        <v>49400</v>
      </c>
      <c r="M264" s="29">
        <v>49900</v>
      </c>
      <c r="N264" s="29">
        <v>45800</v>
      </c>
      <c r="O264" s="29" t="str">
        <v>-</v>
      </c>
      <c r="P264" s="29">
        <v>44700</v>
      </c>
      <c r="Q264" s="29">
        <v>45000</v>
      </c>
      <c r="R264" s="29">
        <v>44900</v>
      </c>
      <c r="S264">
        <v>48500</v>
      </c>
      <c r="T264">
        <v>48000</v>
      </c>
      <c r="U264">
        <v>47600</v>
      </c>
      <c r="V264">
        <v>48500</v>
      </c>
      <c r="W264">
        <v>51000</v>
      </c>
    </row>
    <row r="265" spans="1:23">
      <c r="A265" s="30">
        <v>44549</v>
      </c>
      <c r="B265" s="29" t="str">
        <v>H</v>
      </c>
      <c r="C265" s="29" t="str">
        <v>H</v>
      </c>
      <c r="D265" s="29" t="str">
        <v>H</v>
      </c>
      <c r="E265" s="29" t="str">
        <v>H</v>
      </c>
      <c r="F265" s="29" t="str">
        <v>H</v>
      </c>
      <c r="G265" s="29" t="str">
        <v>H</v>
      </c>
      <c r="H265" s="29" t="str">
        <v>H</v>
      </c>
      <c r="I265" s="29" t="str">
        <v>H</v>
      </c>
      <c r="J265" s="29" t="str">
        <v>H</v>
      </c>
      <c r="K265" s="29" t="str">
        <v>H</v>
      </c>
      <c r="L265" s="29" t="str">
        <v>H</v>
      </c>
      <c r="M265" s="29" t="str">
        <v>H</v>
      </c>
      <c r="N265" s="29" t="str">
        <v>H</v>
      </c>
      <c r="O265" s="29" t="str">
        <v>H</v>
      </c>
      <c r="P265" s="29" t="str">
        <v>H</v>
      </c>
      <c r="Q265" s="29" t="str">
        <v>H</v>
      </c>
      <c r="R265" s="29" t="str">
        <v>H</v>
      </c>
      <c r="S265" t="str">
        <v>H</v>
      </c>
      <c r="T265" t="str">
        <v>H</v>
      </c>
      <c r="U265" t="str">
        <v>H</v>
      </c>
      <c r="V265" t="str">
        <v>H</v>
      </c>
      <c r="W265" t="str">
        <v>H</v>
      </c>
    </row>
    <row r="266" spans="1:23">
      <c r="A266" s="30">
        <v>44550</v>
      </c>
      <c r="B266" s="29">
        <v>50700</v>
      </c>
      <c r="C266" s="29">
        <v>47750</v>
      </c>
      <c r="D266" s="29">
        <v>48000</v>
      </c>
      <c r="E266" s="29">
        <v>45300</v>
      </c>
      <c r="F266" s="29">
        <v>48900</v>
      </c>
      <c r="G266" s="29" t="str">
        <v>-</v>
      </c>
      <c r="H266" s="29">
        <v>48500</v>
      </c>
      <c r="I266" s="29" t="str">
        <v>-</v>
      </c>
      <c r="J266" s="29">
        <v>48900</v>
      </c>
      <c r="K266" s="29" t="str">
        <v>-</v>
      </c>
      <c r="L266" s="29">
        <v>49400</v>
      </c>
      <c r="M266" s="29">
        <v>49700</v>
      </c>
      <c r="N266" s="29">
        <v>45500</v>
      </c>
      <c r="O266" s="29" t="str">
        <v>-</v>
      </c>
      <c r="P266" s="29">
        <v>44500</v>
      </c>
      <c r="Q266" s="29">
        <v>44800</v>
      </c>
      <c r="R266" s="29">
        <v>44300</v>
      </c>
      <c r="S266">
        <v>48100</v>
      </c>
      <c r="T266">
        <v>47400</v>
      </c>
      <c r="U266">
        <v>46800</v>
      </c>
      <c r="V266">
        <v>48200</v>
      </c>
      <c r="W266">
        <v>50600</v>
      </c>
    </row>
    <row r="267" spans="1:23">
      <c r="A267" s="30">
        <v>44551</v>
      </c>
      <c r="B267" s="29">
        <v>50100</v>
      </c>
      <c r="C267" s="29">
        <v>47750</v>
      </c>
      <c r="D267" s="29">
        <v>47700</v>
      </c>
      <c r="E267" s="29">
        <v>45000</v>
      </c>
      <c r="F267" s="29">
        <v>48800</v>
      </c>
      <c r="G267" s="29" t="str">
        <v>-</v>
      </c>
      <c r="H267" s="29">
        <v>48000</v>
      </c>
      <c r="I267" s="29" t="str">
        <v>-</v>
      </c>
      <c r="J267" s="29">
        <v>48700</v>
      </c>
      <c r="K267" s="29" t="str">
        <v>-</v>
      </c>
      <c r="L267" s="29">
        <v>48900</v>
      </c>
      <c r="M267" s="29">
        <v>49500</v>
      </c>
      <c r="N267" s="29">
        <v>45500</v>
      </c>
      <c r="O267" s="29" t="str">
        <v>-</v>
      </c>
      <c r="P267" s="29">
        <v>43800</v>
      </c>
      <c r="Q267" s="29">
        <v>44300</v>
      </c>
      <c r="R267" s="29">
        <v>44000</v>
      </c>
      <c r="S267">
        <v>47800</v>
      </c>
      <c r="T267">
        <v>47400</v>
      </c>
      <c r="U267" t="str">
        <v>-</v>
      </c>
      <c r="V267">
        <v>48200</v>
      </c>
      <c r="W267">
        <v>50600</v>
      </c>
    </row>
    <row r="268" spans="1:23">
      <c r="A268" s="30">
        <v>44552</v>
      </c>
      <c r="B268" s="29">
        <v>49400</v>
      </c>
      <c r="C268" s="29">
        <v>47000</v>
      </c>
      <c r="D268" s="29">
        <v>47700</v>
      </c>
      <c r="E268" s="29">
        <v>45200</v>
      </c>
      <c r="F268" s="29">
        <v>48800</v>
      </c>
      <c r="G268" s="29" t="str">
        <v>-</v>
      </c>
      <c r="H268" s="29">
        <v>48500</v>
      </c>
      <c r="I268" s="29" t="str">
        <v>-</v>
      </c>
      <c r="J268" s="29">
        <v>48500</v>
      </c>
      <c r="K268" s="29" t="str">
        <v>-</v>
      </c>
      <c r="L268" s="29">
        <v>48600</v>
      </c>
      <c r="M268" s="29">
        <v>49300</v>
      </c>
      <c r="N268" s="29">
        <v>45700</v>
      </c>
      <c r="O268" s="29" t="str">
        <v>-</v>
      </c>
      <c r="P268" s="29">
        <v>44400</v>
      </c>
      <c r="Q268" s="29">
        <v>44700</v>
      </c>
      <c r="R268" s="29">
        <v>43800</v>
      </c>
      <c r="S268">
        <v>48000</v>
      </c>
      <c r="T268">
        <v>47300</v>
      </c>
      <c r="U268">
        <v>46800</v>
      </c>
      <c r="V268">
        <v>48200</v>
      </c>
      <c r="W268">
        <v>50300</v>
      </c>
    </row>
    <row r="269" spans="1:23">
      <c r="A269" s="30">
        <v>44553</v>
      </c>
      <c r="B269" s="29">
        <v>49400</v>
      </c>
      <c r="C269" s="29">
        <v>47000</v>
      </c>
      <c r="D269" s="29">
        <v>47700</v>
      </c>
      <c r="E269" s="29">
        <v>45600</v>
      </c>
      <c r="F269" s="29">
        <v>49000</v>
      </c>
      <c r="G269" s="29" t="str">
        <v>-</v>
      </c>
      <c r="H269" s="29">
        <v>48500</v>
      </c>
      <c r="I269" s="29" t="str">
        <v>-</v>
      </c>
      <c r="J269" s="29">
        <v>48500</v>
      </c>
      <c r="K269" s="29" t="str">
        <v>-</v>
      </c>
      <c r="L269" s="29">
        <v>48600</v>
      </c>
      <c r="M269" s="29">
        <v>49500</v>
      </c>
      <c r="N269" s="29">
        <v>45700</v>
      </c>
      <c r="O269" s="29" t="str">
        <v>-</v>
      </c>
      <c r="P269" s="29">
        <v>44400</v>
      </c>
      <c r="Q269" s="29">
        <v>44700</v>
      </c>
      <c r="R269" s="29">
        <v>44100</v>
      </c>
      <c r="S269">
        <v>48500</v>
      </c>
      <c r="T269">
        <v>47600</v>
      </c>
      <c r="U269">
        <v>46900</v>
      </c>
      <c r="V269">
        <v>48200</v>
      </c>
      <c r="W269">
        <v>50300</v>
      </c>
    </row>
    <row r="270" spans="1:23">
      <c r="A270" s="30">
        <v>44554</v>
      </c>
      <c r="B270" s="29">
        <v>49500</v>
      </c>
      <c r="C270" s="29">
        <v>47200</v>
      </c>
      <c r="D270" s="29">
        <v>48300</v>
      </c>
      <c r="E270" s="29">
        <v>46300</v>
      </c>
      <c r="F270" s="29">
        <v>49100</v>
      </c>
      <c r="G270" s="29" t="str">
        <v>-</v>
      </c>
      <c r="H270" s="29">
        <v>49000</v>
      </c>
      <c r="I270" s="29" t="str">
        <v>-</v>
      </c>
      <c r="J270" s="29">
        <v>48900</v>
      </c>
      <c r="K270" s="29" t="str">
        <v>-</v>
      </c>
      <c r="L270" s="29">
        <v>49000</v>
      </c>
      <c r="M270" s="29">
        <v>49700</v>
      </c>
      <c r="N270" s="29">
        <v>46000</v>
      </c>
      <c r="O270" s="29" t="str">
        <v>-</v>
      </c>
      <c r="P270" s="29">
        <v>45500</v>
      </c>
      <c r="Q270" s="29">
        <v>45300</v>
      </c>
      <c r="R270" s="29">
        <v>45300</v>
      </c>
      <c r="S270">
        <v>49000</v>
      </c>
      <c r="T270">
        <v>48200</v>
      </c>
      <c r="U270">
        <v>48300</v>
      </c>
      <c r="V270">
        <v>49000</v>
      </c>
      <c r="W270">
        <v>51100</v>
      </c>
    </row>
    <row r="271" spans="1:23">
      <c r="A271" s="30">
        <v>44555</v>
      </c>
      <c r="B271" s="29" t="str">
        <v>H</v>
      </c>
      <c r="C271" s="29" t="str">
        <v>H</v>
      </c>
      <c r="D271" s="29" t="str">
        <v>H</v>
      </c>
      <c r="E271" s="29" t="str">
        <v>H</v>
      </c>
      <c r="F271" s="29" t="str">
        <v>H</v>
      </c>
      <c r="G271" s="29" t="str">
        <v>H</v>
      </c>
      <c r="H271" s="29" t="str">
        <v>H</v>
      </c>
      <c r="I271" s="29" t="str">
        <v>H</v>
      </c>
      <c r="J271" s="29" t="str">
        <v>H</v>
      </c>
      <c r="K271" s="29" t="str">
        <v>H</v>
      </c>
      <c r="L271" s="29" t="str">
        <v>H</v>
      </c>
      <c r="M271" s="29" t="str">
        <v>H</v>
      </c>
      <c r="N271" s="29" t="str">
        <v>H</v>
      </c>
      <c r="O271" s="29" t="str">
        <v>H</v>
      </c>
      <c r="P271" s="29" t="str">
        <v>H</v>
      </c>
      <c r="Q271" s="29" t="str">
        <v>H</v>
      </c>
      <c r="R271" s="29" t="str">
        <v>H</v>
      </c>
      <c r="S271" t="str">
        <v>H</v>
      </c>
      <c r="T271" t="str">
        <v>H</v>
      </c>
      <c r="U271" t="str">
        <v>H</v>
      </c>
      <c r="V271" t="str">
        <v>H</v>
      </c>
      <c r="W271" t="str">
        <v>H</v>
      </c>
    </row>
    <row r="272" spans="1:23">
      <c r="A272" s="30">
        <v>44556</v>
      </c>
      <c r="B272" s="29" t="str">
        <v>H</v>
      </c>
      <c r="C272" s="29" t="str">
        <v>H</v>
      </c>
      <c r="D272" s="29" t="str">
        <v>H</v>
      </c>
      <c r="E272" s="29" t="str">
        <v>H</v>
      </c>
      <c r="F272" s="29" t="str">
        <v>H</v>
      </c>
      <c r="G272" s="29" t="str">
        <v>H</v>
      </c>
      <c r="H272" s="29" t="str">
        <v>H</v>
      </c>
      <c r="I272" s="29" t="str">
        <v>H</v>
      </c>
      <c r="J272" s="29" t="str">
        <v>H</v>
      </c>
      <c r="K272" s="29" t="str">
        <v>H</v>
      </c>
      <c r="L272" s="29" t="str">
        <v>H</v>
      </c>
      <c r="M272" s="29" t="str">
        <v>H</v>
      </c>
      <c r="N272" s="29" t="str">
        <v>H</v>
      </c>
      <c r="O272" s="29" t="str">
        <v>H</v>
      </c>
      <c r="P272" s="29" t="str">
        <v>H</v>
      </c>
      <c r="Q272" s="29" t="str">
        <v>H</v>
      </c>
      <c r="R272" s="29" t="str">
        <v>H</v>
      </c>
      <c r="S272" t="str">
        <v>H</v>
      </c>
      <c r="T272" t="str">
        <v>H</v>
      </c>
      <c r="U272" t="str">
        <v>H</v>
      </c>
      <c r="V272" t="str">
        <v>H</v>
      </c>
      <c r="W272" t="str">
        <v>H</v>
      </c>
    </row>
    <row r="273" spans="1:23">
      <c r="A273" s="30">
        <v>44557</v>
      </c>
      <c r="B273" s="29">
        <v>49900</v>
      </c>
      <c r="C273" s="29">
        <v>48000</v>
      </c>
      <c r="D273" s="29">
        <v>49700</v>
      </c>
      <c r="E273" s="29">
        <v>47200</v>
      </c>
      <c r="F273" s="29">
        <v>49800</v>
      </c>
      <c r="G273" s="29" t="str">
        <v>-</v>
      </c>
      <c r="H273" s="29">
        <v>50000</v>
      </c>
      <c r="I273" s="29" t="str">
        <v>-</v>
      </c>
      <c r="J273" s="29">
        <v>49600</v>
      </c>
      <c r="K273" s="29" t="str">
        <v>-</v>
      </c>
      <c r="L273" s="29">
        <v>49700</v>
      </c>
      <c r="M273" s="29">
        <v>50300</v>
      </c>
      <c r="N273" s="29">
        <v>47000</v>
      </c>
      <c r="O273" s="29" t="str">
        <v>-</v>
      </c>
      <c r="P273" s="29">
        <v>46800</v>
      </c>
      <c r="Q273" s="29">
        <v>46800</v>
      </c>
      <c r="R273" s="29">
        <v>46600</v>
      </c>
      <c r="S273">
        <v>50000</v>
      </c>
      <c r="T273">
        <v>49200</v>
      </c>
      <c r="U273">
        <v>49300</v>
      </c>
      <c r="V273">
        <v>49500</v>
      </c>
      <c r="W273">
        <v>51700</v>
      </c>
    </row>
    <row r="274" spans="1:23">
      <c r="A274" s="30">
        <v>44558</v>
      </c>
      <c r="B274" s="29">
        <v>50400</v>
      </c>
      <c r="C274" s="29">
        <v>48500</v>
      </c>
      <c r="D274" s="29">
        <v>49700</v>
      </c>
      <c r="E274" s="29">
        <v>47200</v>
      </c>
      <c r="F274" s="29">
        <v>50200</v>
      </c>
      <c r="G274" s="29" t="str">
        <v>-</v>
      </c>
      <c r="H274" s="29">
        <v>50000</v>
      </c>
      <c r="I274" s="29" t="str">
        <v>-</v>
      </c>
      <c r="J274" s="29">
        <v>49600</v>
      </c>
      <c r="K274" s="29" t="str">
        <v>-</v>
      </c>
      <c r="L274" s="29">
        <v>50000</v>
      </c>
      <c r="M274" s="29">
        <v>50600</v>
      </c>
      <c r="N274" s="29">
        <v>47300</v>
      </c>
      <c r="O274" s="29" t="str">
        <v>-</v>
      </c>
      <c r="P274" s="29">
        <v>46200</v>
      </c>
      <c r="Q274" s="29">
        <v>46200</v>
      </c>
      <c r="R274" s="29">
        <v>46400</v>
      </c>
      <c r="S274">
        <v>50000</v>
      </c>
      <c r="T274">
        <v>49200</v>
      </c>
      <c r="U274">
        <v>49300</v>
      </c>
      <c r="V274">
        <v>50000</v>
      </c>
      <c r="W274">
        <v>52300</v>
      </c>
    </row>
    <row r="275" spans="1:23">
      <c r="A275" s="30">
        <v>44559</v>
      </c>
      <c r="B275" s="29">
        <v>50400</v>
      </c>
      <c r="C275" s="29">
        <v>48250</v>
      </c>
      <c r="D275" s="29">
        <v>50000</v>
      </c>
      <c r="E275" s="29">
        <v>47000</v>
      </c>
      <c r="F275" s="29">
        <v>50200</v>
      </c>
      <c r="G275" s="29" t="str">
        <v>-</v>
      </c>
      <c r="H275" s="29">
        <v>49500</v>
      </c>
      <c r="I275" s="29" t="str">
        <v>-</v>
      </c>
      <c r="J275" s="29">
        <v>49600</v>
      </c>
      <c r="K275" s="29" t="str">
        <v>-</v>
      </c>
      <c r="L275" s="29">
        <v>49900</v>
      </c>
      <c r="M275" s="29">
        <v>50600</v>
      </c>
      <c r="N275" s="29">
        <v>47100</v>
      </c>
      <c r="O275" s="29" t="str">
        <v>-</v>
      </c>
      <c r="P275" s="29">
        <v>45700</v>
      </c>
      <c r="Q275" s="29">
        <v>46000</v>
      </c>
      <c r="R275" s="29">
        <v>46000</v>
      </c>
      <c r="S275">
        <v>49800</v>
      </c>
      <c r="T275">
        <v>49000</v>
      </c>
      <c r="U275">
        <v>48300</v>
      </c>
      <c r="V275">
        <v>50000</v>
      </c>
      <c r="W275">
        <v>52300</v>
      </c>
    </row>
    <row r="276" spans="1:23">
      <c r="A276" s="30">
        <v>44560</v>
      </c>
      <c r="B276" s="29">
        <v>50400</v>
      </c>
      <c r="C276" s="29">
        <v>48250</v>
      </c>
      <c r="D276" s="29">
        <v>50200</v>
      </c>
      <c r="E276" s="29">
        <v>47000</v>
      </c>
      <c r="F276" s="29">
        <v>50200</v>
      </c>
      <c r="G276" s="29" t="str">
        <v>-</v>
      </c>
      <c r="H276" s="29">
        <v>49500</v>
      </c>
      <c r="I276" s="29" t="str">
        <v>-</v>
      </c>
      <c r="J276" s="29">
        <v>49600</v>
      </c>
      <c r="K276" s="29" t="str">
        <v>-</v>
      </c>
      <c r="L276" s="29">
        <v>50000</v>
      </c>
      <c r="M276" s="29">
        <v>50600</v>
      </c>
      <c r="N276" s="29">
        <v>47500</v>
      </c>
      <c r="O276" s="29" t="str">
        <v>-</v>
      </c>
      <c r="P276" s="29">
        <v>46000</v>
      </c>
      <c r="Q276" s="29">
        <v>46000</v>
      </c>
      <c r="R276" s="29">
        <v>45800</v>
      </c>
      <c r="S276">
        <v>50000</v>
      </c>
      <c r="T276">
        <v>49000</v>
      </c>
      <c r="U276">
        <v>48300</v>
      </c>
      <c r="V276">
        <v>50000</v>
      </c>
      <c r="W276">
        <v>52300</v>
      </c>
    </row>
    <row r="277" spans="1:23">
      <c r="A277" s="30">
        <v>44561</v>
      </c>
      <c r="B277" s="29">
        <v>50400</v>
      </c>
      <c r="C277" s="29">
        <v>48250</v>
      </c>
      <c r="D277" s="29">
        <v>51000</v>
      </c>
      <c r="E277" s="29">
        <v>47500</v>
      </c>
      <c r="F277" s="29">
        <v>50200</v>
      </c>
      <c r="G277" s="29" t="str">
        <v>-</v>
      </c>
      <c r="H277" s="29">
        <v>50000</v>
      </c>
      <c r="I277" s="29" t="str">
        <v>-</v>
      </c>
      <c r="J277" s="29">
        <v>49800</v>
      </c>
      <c r="K277" s="29" t="str">
        <v>-</v>
      </c>
      <c r="L277" s="29">
        <v>50500</v>
      </c>
      <c r="M277" s="29">
        <v>50600</v>
      </c>
      <c r="N277" s="29">
        <v>47800</v>
      </c>
      <c r="O277" s="29" t="str">
        <v>-</v>
      </c>
      <c r="P277" s="29">
        <v>46400</v>
      </c>
      <c r="Q277" s="29">
        <v>46500</v>
      </c>
      <c r="R277" s="29">
        <v>46400</v>
      </c>
      <c r="S277">
        <v>50500</v>
      </c>
      <c r="T277">
        <v>49300</v>
      </c>
      <c r="U277">
        <v>48800</v>
      </c>
      <c r="V277">
        <v>50000</v>
      </c>
      <c r="W277">
        <v>52300</v>
      </c>
    </row>
    <row r="278" spans="1:23">
      <c r="A278" s="30">
        <v>44562</v>
      </c>
      <c r="B278" s="29">
        <v>50300</v>
      </c>
      <c r="C278" s="29">
        <v>48250</v>
      </c>
      <c r="D278" s="29">
        <v>51000</v>
      </c>
      <c r="E278" s="29">
        <v>47500</v>
      </c>
      <c r="F278" s="29">
        <v>50600</v>
      </c>
      <c r="G278" s="29" t="str">
        <v>-</v>
      </c>
      <c r="H278" s="29">
        <v>50000</v>
      </c>
      <c r="I278" s="29">
        <v>49400</v>
      </c>
      <c r="J278" s="29">
        <v>49800</v>
      </c>
      <c r="K278" s="29" t="str">
        <v>-</v>
      </c>
      <c r="L278" s="29">
        <v>50400</v>
      </c>
      <c r="M278" s="29">
        <v>50600</v>
      </c>
      <c r="N278" s="29">
        <v>47800</v>
      </c>
      <c r="O278" s="29" t="str">
        <v>-</v>
      </c>
      <c r="P278" s="29">
        <v>46300</v>
      </c>
      <c r="Q278" s="29">
        <v>46400</v>
      </c>
      <c r="R278" s="29">
        <v>46300</v>
      </c>
      <c r="S278">
        <v>50500</v>
      </c>
      <c r="T278">
        <v>49300</v>
      </c>
      <c r="U278">
        <v>48800</v>
      </c>
      <c r="V278">
        <v>50000</v>
      </c>
      <c r="W278">
        <v>52300</v>
      </c>
    </row>
    <row r="279" spans="1:23">
      <c r="A279" s="30">
        <v>44563</v>
      </c>
      <c r="B279" s="29" t="str">
        <v>H</v>
      </c>
      <c r="C279" s="29" t="str">
        <v>H</v>
      </c>
      <c r="D279" s="29" t="str">
        <v>H</v>
      </c>
      <c r="E279" s="29" t="str">
        <v>H</v>
      </c>
      <c r="F279" s="29" t="str">
        <v>H</v>
      </c>
      <c r="G279" s="29" t="str">
        <v>H</v>
      </c>
      <c r="H279" s="29" t="str">
        <v>H</v>
      </c>
      <c r="I279" s="29" t="str">
        <v>H</v>
      </c>
      <c r="J279" s="29" t="str">
        <v>H</v>
      </c>
      <c r="K279" s="29" t="str">
        <v>H</v>
      </c>
      <c r="L279" s="29" t="str">
        <v>H</v>
      </c>
      <c r="M279" s="29" t="str">
        <v>H</v>
      </c>
      <c r="N279" s="29" t="str">
        <v>H</v>
      </c>
      <c r="O279" s="29" t="str">
        <v>H</v>
      </c>
      <c r="P279" s="29" t="str">
        <v>H</v>
      </c>
      <c r="Q279" s="29" t="str">
        <v>H</v>
      </c>
      <c r="R279" s="29" t="str">
        <v>H</v>
      </c>
      <c r="S279" t="str">
        <v>H</v>
      </c>
      <c r="T279" t="str">
        <v>H</v>
      </c>
      <c r="U279" t="str">
        <v>H</v>
      </c>
      <c r="V279" t="str">
        <v>H</v>
      </c>
      <c r="W279" t="str">
        <v>H</v>
      </c>
    </row>
    <row r="280" spans="1:23">
      <c r="A280" s="30">
        <v>44564</v>
      </c>
      <c r="B280" s="29">
        <v>50800</v>
      </c>
      <c r="C280" s="29">
        <v>48500</v>
      </c>
      <c r="D280" s="29">
        <v>51200</v>
      </c>
      <c r="E280" s="29">
        <v>48000</v>
      </c>
      <c r="F280" s="29">
        <v>50700</v>
      </c>
      <c r="G280" s="29" t="str">
        <v>-</v>
      </c>
      <c r="H280" s="29">
        <v>50000</v>
      </c>
      <c r="I280" s="29">
        <v>49400</v>
      </c>
      <c r="J280" s="29">
        <v>50200</v>
      </c>
      <c r="K280" s="29" t="str">
        <v>-</v>
      </c>
      <c r="L280" s="29">
        <v>50600</v>
      </c>
      <c r="M280" s="29">
        <v>50600</v>
      </c>
      <c r="N280" s="29">
        <v>48000</v>
      </c>
      <c r="O280" s="29" t="str">
        <v>-</v>
      </c>
      <c r="P280" s="29">
        <v>46500</v>
      </c>
      <c r="Q280" s="29">
        <v>46600</v>
      </c>
      <c r="R280" s="29">
        <v>46500</v>
      </c>
      <c r="S280">
        <v>50800</v>
      </c>
      <c r="T280">
        <v>49500</v>
      </c>
      <c r="U280">
        <v>49100</v>
      </c>
      <c r="V280">
        <v>50200</v>
      </c>
      <c r="W280">
        <v>52500</v>
      </c>
    </row>
    <row r="281" spans="1:23">
      <c r="A281" s="30">
        <v>44565</v>
      </c>
      <c r="B281" s="29">
        <v>50800</v>
      </c>
      <c r="C281" s="29">
        <v>48500</v>
      </c>
      <c r="D281" s="29">
        <v>51000</v>
      </c>
      <c r="E281" s="29">
        <v>47700</v>
      </c>
      <c r="F281" s="29">
        <v>50800</v>
      </c>
      <c r="G281" s="29" t="str">
        <v>-</v>
      </c>
      <c r="H281" s="29">
        <v>50000</v>
      </c>
      <c r="I281" s="29">
        <v>49300</v>
      </c>
      <c r="J281" s="29">
        <v>50500</v>
      </c>
      <c r="K281" s="29" t="str">
        <v>-</v>
      </c>
      <c r="L281" s="29">
        <v>50500</v>
      </c>
      <c r="M281" s="29">
        <v>50800</v>
      </c>
      <c r="N281" s="29">
        <v>48000</v>
      </c>
      <c r="O281" s="29" t="str">
        <v>-</v>
      </c>
      <c r="P281" s="29">
        <v>46500</v>
      </c>
      <c r="Q281" s="29">
        <v>46600</v>
      </c>
      <c r="R281" s="29">
        <v>46500</v>
      </c>
      <c r="S281">
        <v>50500</v>
      </c>
      <c r="T281">
        <v>49500</v>
      </c>
      <c r="U281">
        <v>49100</v>
      </c>
      <c r="V281">
        <v>50200</v>
      </c>
      <c r="W281">
        <v>52500</v>
      </c>
    </row>
    <row r="282" spans="1:23">
      <c r="A282" s="30">
        <v>44566</v>
      </c>
      <c r="B282" s="29">
        <v>50300</v>
      </c>
      <c r="C282" s="29">
        <v>48500</v>
      </c>
      <c r="D282" s="29">
        <v>50200</v>
      </c>
      <c r="E282" s="29">
        <v>47000</v>
      </c>
      <c r="F282" s="29">
        <v>50800</v>
      </c>
      <c r="G282" s="29" t="str">
        <v>-</v>
      </c>
      <c r="H282" s="29">
        <v>49500</v>
      </c>
      <c r="I282" s="29">
        <v>49200</v>
      </c>
      <c r="J282" s="29">
        <v>50500</v>
      </c>
      <c r="K282" s="29" t="str">
        <v>-</v>
      </c>
      <c r="L282" s="29">
        <v>50300</v>
      </c>
      <c r="M282" s="29">
        <v>50800</v>
      </c>
      <c r="N282" s="29">
        <v>47500</v>
      </c>
      <c r="O282" s="29" t="str">
        <v>-</v>
      </c>
      <c r="P282" s="29">
        <v>45600</v>
      </c>
      <c r="Q282" s="29">
        <v>45800</v>
      </c>
      <c r="R282" s="29">
        <v>46200</v>
      </c>
      <c r="S282">
        <v>50000</v>
      </c>
      <c r="T282">
        <v>49500</v>
      </c>
      <c r="U282">
        <v>49100</v>
      </c>
      <c r="V282">
        <v>50200</v>
      </c>
      <c r="W282">
        <v>52500</v>
      </c>
    </row>
    <row r="283" spans="1:23">
      <c r="A283" s="30">
        <v>44567</v>
      </c>
      <c r="B283" s="29">
        <v>50300</v>
      </c>
      <c r="C283" s="29">
        <v>48500</v>
      </c>
      <c r="D283" s="29">
        <v>49700</v>
      </c>
      <c r="E283" s="29">
        <v>46800</v>
      </c>
      <c r="F283" s="29">
        <v>50800</v>
      </c>
      <c r="G283" s="29" t="str">
        <v>-</v>
      </c>
      <c r="H283" s="29">
        <v>49500</v>
      </c>
      <c r="I283" s="29">
        <v>48700</v>
      </c>
      <c r="J283" s="29">
        <v>50500</v>
      </c>
      <c r="K283" s="29" t="str">
        <v>-</v>
      </c>
      <c r="L283" s="29">
        <v>49900</v>
      </c>
      <c r="M283" s="29">
        <v>50800</v>
      </c>
      <c r="N283" s="29">
        <v>47400</v>
      </c>
      <c r="O283" s="29" t="str">
        <v>-</v>
      </c>
      <c r="P283" s="29">
        <v>46000</v>
      </c>
      <c r="Q283" s="29">
        <v>46000</v>
      </c>
      <c r="R283" s="29">
        <v>46000</v>
      </c>
      <c r="S283">
        <v>49800</v>
      </c>
      <c r="T283">
        <v>49000</v>
      </c>
      <c r="U283">
        <v>48800</v>
      </c>
      <c r="V283">
        <v>50200</v>
      </c>
      <c r="W283">
        <v>52500</v>
      </c>
    </row>
    <row r="284" spans="1:23">
      <c r="A284" s="30">
        <v>44568</v>
      </c>
      <c r="B284" s="29">
        <v>51000</v>
      </c>
      <c r="C284" s="29">
        <v>48700</v>
      </c>
      <c r="D284" s="29">
        <v>50200</v>
      </c>
      <c r="E284" s="29">
        <v>47300</v>
      </c>
      <c r="F284" s="29">
        <v>50800</v>
      </c>
      <c r="G284" s="29" t="str">
        <v>-</v>
      </c>
      <c r="H284" s="29">
        <v>50000</v>
      </c>
      <c r="I284" s="29">
        <v>49100</v>
      </c>
      <c r="J284" s="29">
        <v>50500</v>
      </c>
      <c r="K284" s="29" t="str">
        <v>-</v>
      </c>
      <c r="L284" s="29">
        <v>49900</v>
      </c>
      <c r="M284" s="29">
        <v>50800</v>
      </c>
      <c r="N284" s="29">
        <v>47600</v>
      </c>
      <c r="O284" s="29" t="str">
        <v>-</v>
      </c>
      <c r="P284" s="29">
        <v>46800</v>
      </c>
      <c r="Q284" s="29">
        <v>46800</v>
      </c>
      <c r="R284" s="29">
        <v>46400</v>
      </c>
      <c r="S284">
        <v>50300</v>
      </c>
      <c r="T284">
        <v>49600</v>
      </c>
      <c r="U284">
        <v>48800</v>
      </c>
      <c r="V284">
        <v>50200</v>
      </c>
      <c r="W284">
        <v>52500</v>
      </c>
    </row>
    <row r="285" spans="1:23">
      <c r="A285" s="30">
        <v>44569</v>
      </c>
      <c r="B285" s="29">
        <v>51300</v>
      </c>
      <c r="C285" s="29">
        <v>49000</v>
      </c>
      <c r="D285" s="29">
        <v>50700</v>
      </c>
      <c r="E285" s="29">
        <v>48000</v>
      </c>
      <c r="F285" s="29">
        <v>51100</v>
      </c>
      <c r="G285" s="29" t="str">
        <v>-</v>
      </c>
      <c r="H285" s="29">
        <v>50000</v>
      </c>
      <c r="I285" s="29">
        <v>49500</v>
      </c>
      <c r="J285" s="29">
        <v>50900</v>
      </c>
      <c r="K285" s="29" t="str">
        <v>-</v>
      </c>
      <c r="L285" s="29">
        <v>50200</v>
      </c>
      <c r="M285" s="29">
        <v>51200</v>
      </c>
      <c r="N285" s="29">
        <v>48000</v>
      </c>
      <c r="O285" s="29" t="str">
        <v>-</v>
      </c>
      <c r="P285" s="29">
        <v>46800</v>
      </c>
      <c r="Q285" s="29">
        <v>46900</v>
      </c>
      <c r="R285" s="29">
        <v>46700</v>
      </c>
      <c r="S285">
        <v>50800</v>
      </c>
      <c r="T285">
        <v>49600</v>
      </c>
      <c r="U285">
        <v>49100</v>
      </c>
      <c r="V285">
        <v>50500</v>
      </c>
      <c r="W285">
        <v>52900</v>
      </c>
    </row>
    <row r="286" spans="1:23">
      <c r="A286" s="30">
        <v>44570</v>
      </c>
      <c r="B286" s="29" t="str">
        <v>H</v>
      </c>
      <c r="C286" s="29" t="str">
        <v>H</v>
      </c>
      <c r="D286" s="29" t="str">
        <v>H</v>
      </c>
      <c r="E286" s="29" t="str">
        <v>H</v>
      </c>
      <c r="F286" s="29" t="str">
        <v>H</v>
      </c>
      <c r="G286" s="29" t="str">
        <v>H</v>
      </c>
      <c r="H286" s="29" t="str">
        <v>H</v>
      </c>
      <c r="I286" s="29" t="str">
        <v>H</v>
      </c>
      <c r="J286" s="29" t="str">
        <v>H</v>
      </c>
      <c r="K286" s="29" t="str">
        <v>H</v>
      </c>
      <c r="L286" s="29" t="str">
        <v>H</v>
      </c>
      <c r="M286" s="29" t="str">
        <v>H</v>
      </c>
      <c r="N286" s="29" t="str">
        <v>H</v>
      </c>
      <c r="O286" s="29" t="str">
        <v>H</v>
      </c>
      <c r="P286" s="29" t="str">
        <v>H</v>
      </c>
      <c r="Q286" s="29" t="str">
        <v>H</v>
      </c>
      <c r="R286" s="29" t="str">
        <v>H</v>
      </c>
      <c r="S286" t="str">
        <v>H</v>
      </c>
      <c r="T286" t="str">
        <v>H</v>
      </c>
      <c r="U286" t="str">
        <v>H</v>
      </c>
      <c r="V286" t="str">
        <v>H</v>
      </c>
      <c r="W286" t="str">
        <v>H</v>
      </c>
    </row>
    <row r="287" spans="1:23">
      <c r="A287" s="30">
        <v>44571</v>
      </c>
      <c r="B287" s="29">
        <v>51300</v>
      </c>
      <c r="C287" s="29">
        <v>49000</v>
      </c>
      <c r="D287" s="29">
        <v>50700</v>
      </c>
      <c r="E287" s="29">
        <v>48000</v>
      </c>
      <c r="F287" s="29">
        <v>51300</v>
      </c>
      <c r="G287" s="29" t="str">
        <v>-</v>
      </c>
      <c r="H287" s="29">
        <v>50000</v>
      </c>
      <c r="I287" s="29">
        <v>49500</v>
      </c>
      <c r="J287" s="29">
        <v>50900</v>
      </c>
      <c r="K287" s="29" t="str">
        <v>-</v>
      </c>
      <c r="L287" s="29">
        <v>50300</v>
      </c>
      <c r="M287" s="29">
        <v>51200</v>
      </c>
      <c r="N287" s="29">
        <v>47700</v>
      </c>
      <c r="O287" s="29" t="str">
        <v>-</v>
      </c>
      <c r="P287" s="29">
        <v>46800</v>
      </c>
      <c r="Q287" s="29">
        <v>47100</v>
      </c>
      <c r="R287" s="29">
        <v>46500</v>
      </c>
      <c r="S287">
        <v>50800</v>
      </c>
      <c r="T287">
        <v>49800</v>
      </c>
      <c r="U287">
        <v>49100</v>
      </c>
      <c r="V287">
        <v>50900</v>
      </c>
      <c r="W287">
        <v>53200</v>
      </c>
    </row>
    <row r="288" spans="1:23">
      <c r="A288" s="30">
        <v>44572</v>
      </c>
      <c r="B288" s="29">
        <v>51700</v>
      </c>
      <c r="C288" s="29">
        <v>49000</v>
      </c>
      <c r="D288" s="29">
        <v>50800</v>
      </c>
      <c r="E288" s="29">
        <v>48500</v>
      </c>
      <c r="F288" s="29">
        <v>51400</v>
      </c>
      <c r="G288" s="29" t="str">
        <v>-</v>
      </c>
      <c r="H288" s="29">
        <v>50500</v>
      </c>
      <c r="I288" s="29">
        <v>50200</v>
      </c>
      <c r="J288" s="29">
        <v>51300</v>
      </c>
      <c r="K288" s="29" t="str">
        <v>-</v>
      </c>
      <c r="L288" s="29">
        <v>50700</v>
      </c>
      <c r="M288" s="29">
        <v>51400</v>
      </c>
      <c r="N288" s="29">
        <v>47800</v>
      </c>
      <c r="O288" s="29" t="str">
        <v>-</v>
      </c>
      <c r="P288" s="29">
        <v>47200</v>
      </c>
      <c r="Q288" s="29">
        <v>47600</v>
      </c>
      <c r="R288" s="29">
        <v>47400</v>
      </c>
      <c r="S288">
        <v>51300</v>
      </c>
      <c r="T288">
        <v>50500</v>
      </c>
      <c r="U288">
        <v>49600</v>
      </c>
      <c r="V288">
        <v>51100</v>
      </c>
      <c r="W288">
        <v>53500</v>
      </c>
    </row>
    <row r="289" spans="1:23">
      <c r="A289" s="30">
        <v>44573</v>
      </c>
      <c r="B289" s="29">
        <v>51700</v>
      </c>
      <c r="C289" s="29">
        <v>49200</v>
      </c>
      <c r="D289" s="29">
        <v>50800</v>
      </c>
      <c r="E289" s="29">
        <v>49000</v>
      </c>
      <c r="F289" s="29">
        <v>51800</v>
      </c>
      <c r="G289" s="29" t="str">
        <v>-</v>
      </c>
      <c r="H289" s="29">
        <v>50700</v>
      </c>
      <c r="I289" s="29">
        <v>50200</v>
      </c>
      <c r="J289" s="29">
        <v>51500</v>
      </c>
      <c r="K289" s="29" t="str">
        <v>-</v>
      </c>
      <c r="L289" s="29">
        <v>50700</v>
      </c>
      <c r="M289" s="29">
        <v>51600</v>
      </c>
      <c r="N289" s="29">
        <v>48000</v>
      </c>
      <c r="O289" s="29" t="str">
        <v>-</v>
      </c>
      <c r="P289" s="29">
        <v>47400</v>
      </c>
      <c r="Q289" s="29">
        <v>47700</v>
      </c>
      <c r="R289" s="29">
        <v>48000</v>
      </c>
      <c r="S289">
        <v>51800</v>
      </c>
      <c r="T289">
        <v>50700</v>
      </c>
      <c r="U289">
        <v>49600</v>
      </c>
      <c r="V289">
        <v>51200</v>
      </c>
      <c r="W289">
        <v>53600</v>
      </c>
    </row>
    <row r="290" spans="1:23">
      <c r="A290" s="30">
        <v>44574</v>
      </c>
      <c r="B290" s="29">
        <v>52100</v>
      </c>
      <c r="C290" s="29">
        <v>49200</v>
      </c>
      <c r="D290" s="29">
        <v>51000</v>
      </c>
      <c r="E290" s="29">
        <v>49300</v>
      </c>
      <c r="F290" s="29">
        <v>51900</v>
      </c>
      <c r="G290" s="29" t="str">
        <v>-</v>
      </c>
      <c r="H290" s="29">
        <v>51500</v>
      </c>
      <c r="I290" s="29">
        <v>50300</v>
      </c>
      <c r="J290" s="29">
        <v>51600</v>
      </c>
      <c r="K290" s="29" t="str">
        <v>-</v>
      </c>
      <c r="L290" s="29">
        <v>51100</v>
      </c>
      <c r="M290" s="29">
        <v>51800</v>
      </c>
      <c r="N290" s="29">
        <v>48500</v>
      </c>
      <c r="O290" s="29" t="str">
        <v>-</v>
      </c>
      <c r="P290" s="29">
        <v>48000</v>
      </c>
      <c r="Q290" s="29">
        <v>48300</v>
      </c>
      <c r="R290" s="29">
        <v>48400</v>
      </c>
      <c r="S290">
        <v>52200</v>
      </c>
      <c r="T290">
        <v>51000</v>
      </c>
      <c r="U290">
        <v>50300</v>
      </c>
      <c r="V290">
        <v>51500</v>
      </c>
      <c r="W290">
        <v>53900</v>
      </c>
    </row>
    <row r="291" spans="1:23">
      <c r="A291" s="30">
        <v>44575</v>
      </c>
      <c r="B291" s="29" t="str">
        <v>-</v>
      </c>
      <c r="C291" s="29" t="str">
        <v>-</v>
      </c>
      <c r="D291" s="29">
        <v>51000</v>
      </c>
      <c r="E291" s="29">
        <v>49500</v>
      </c>
      <c r="F291" s="29">
        <v>51900</v>
      </c>
      <c r="G291" s="29" t="str">
        <v>-</v>
      </c>
      <c r="H291" s="29">
        <v>51500</v>
      </c>
      <c r="I291" s="29" t="str">
        <v>-</v>
      </c>
      <c r="J291" s="29">
        <v>51800</v>
      </c>
      <c r="K291" s="29" t="str">
        <v>-</v>
      </c>
      <c r="L291" s="29">
        <v>51100</v>
      </c>
      <c r="M291" s="29">
        <v>52200</v>
      </c>
      <c r="N291" s="29">
        <v>48500</v>
      </c>
      <c r="O291" s="29" t="str">
        <v>-</v>
      </c>
      <c r="P291" s="29">
        <v>47800</v>
      </c>
      <c r="Q291" s="29">
        <v>48300</v>
      </c>
      <c r="R291" s="29">
        <v>48300</v>
      </c>
      <c r="S291">
        <v>52500</v>
      </c>
      <c r="T291">
        <v>51200</v>
      </c>
      <c r="U291">
        <v>50300</v>
      </c>
      <c r="V291">
        <v>51700</v>
      </c>
      <c r="W291">
        <v>54100</v>
      </c>
    </row>
    <row r="292" spans="1:23">
      <c r="A292" s="30">
        <v>44576</v>
      </c>
      <c r="B292" s="29">
        <v>52100</v>
      </c>
      <c r="C292" s="29" t="str">
        <v>-</v>
      </c>
      <c r="D292" s="29">
        <v>51200</v>
      </c>
      <c r="E292" s="29">
        <v>49300</v>
      </c>
      <c r="F292" s="29">
        <v>51900</v>
      </c>
      <c r="G292" s="29" t="str">
        <v>-</v>
      </c>
      <c r="H292" s="29">
        <v>51500</v>
      </c>
      <c r="I292" s="29">
        <v>50300</v>
      </c>
      <c r="J292" s="29">
        <v>51800</v>
      </c>
      <c r="K292" s="29" t="str">
        <v>-</v>
      </c>
      <c r="L292" s="29">
        <v>51100</v>
      </c>
      <c r="M292" s="29">
        <v>52200</v>
      </c>
      <c r="N292" s="29">
        <v>48000</v>
      </c>
      <c r="O292" s="29" t="str">
        <v>-</v>
      </c>
      <c r="P292" s="29">
        <v>47400</v>
      </c>
      <c r="Q292" s="29">
        <v>48200</v>
      </c>
      <c r="R292" s="29">
        <v>48000</v>
      </c>
      <c r="S292">
        <v>52200</v>
      </c>
      <c r="T292">
        <v>51200</v>
      </c>
      <c r="U292">
        <v>50300</v>
      </c>
      <c r="V292">
        <v>51700</v>
      </c>
      <c r="W292">
        <v>54100</v>
      </c>
    </row>
    <row r="293" spans="1:23">
      <c r="A293" s="30">
        <v>44577</v>
      </c>
      <c r="B293" s="29" t="str">
        <v>H</v>
      </c>
      <c r="C293" s="29" t="str">
        <v>H</v>
      </c>
      <c r="D293" s="29" t="str">
        <v>H</v>
      </c>
      <c r="E293" s="29" t="str">
        <v>H</v>
      </c>
      <c r="F293" s="29" t="str">
        <v>H</v>
      </c>
      <c r="G293" s="29" t="str">
        <v>H</v>
      </c>
      <c r="H293" s="29" t="str">
        <v>H</v>
      </c>
      <c r="I293" s="29" t="str">
        <v>H</v>
      </c>
      <c r="J293" s="29" t="str">
        <v>H</v>
      </c>
      <c r="K293" s="29" t="str">
        <v>H</v>
      </c>
      <c r="L293" s="29" t="str">
        <v>H</v>
      </c>
      <c r="M293" s="29" t="str">
        <v>H</v>
      </c>
      <c r="N293" s="29" t="str">
        <v>H</v>
      </c>
      <c r="O293" s="29" t="str">
        <v>H</v>
      </c>
      <c r="P293" s="29" t="str">
        <v>H</v>
      </c>
      <c r="Q293" s="29" t="str">
        <v>H</v>
      </c>
      <c r="R293" s="29" t="str">
        <v>H</v>
      </c>
      <c r="S293" t="str">
        <v>H</v>
      </c>
      <c r="T293" t="str">
        <v>H</v>
      </c>
      <c r="U293" t="str">
        <v>H</v>
      </c>
      <c r="V293" t="str">
        <v>H</v>
      </c>
      <c r="W293" t="str">
        <v>H</v>
      </c>
    </row>
    <row r="294" spans="1:23">
      <c r="A294" s="30">
        <v>44578</v>
      </c>
      <c r="B294" s="29">
        <v>53100</v>
      </c>
      <c r="C294" s="29">
        <v>50000</v>
      </c>
      <c r="D294" s="29">
        <v>51200</v>
      </c>
      <c r="E294" s="29">
        <v>50500</v>
      </c>
      <c r="F294" s="29">
        <v>51900</v>
      </c>
      <c r="G294" s="29" t="str">
        <v>-</v>
      </c>
      <c r="H294" s="29">
        <v>52000</v>
      </c>
      <c r="I294" s="29">
        <v>50700</v>
      </c>
      <c r="J294" s="29">
        <v>52200</v>
      </c>
      <c r="K294" s="29" t="str">
        <v>-</v>
      </c>
      <c r="L294" s="29">
        <v>51400</v>
      </c>
      <c r="M294" s="29">
        <v>52600</v>
      </c>
      <c r="N294" s="29">
        <v>48500</v>
      </c>
      <c r="O294" s="29" t="str">
        <v>-</v>
      </c>
      <c r="P294" s="29">
        <v>48300</v>
      </c>
      <c r="Q294" s="29">
        <v>48600</v>
      </c>
      <c r="R294" s="29">
        <v>48500</v>
      </c>
      <c r="S294">
        <v>53300</v>
      </c>
      <c r="T294">
        <v>51600</v>
      </c>
      <c r="U294">
        <v>50800</v>
      </c>
      <c r="V294">
        <v>52200</v>
      </c>
      <c r="W294">
        <v>54600</v>
      </c>
    </row>
    <row r="295" spans="1:23">
      <c r="A295" s="30">
        <v>44579</v>
      </c>
      <c r="B295" s="29">
        <v>53400</v>
      </c>
      <c r="C295" s="29">
        <v>50500</v>
      </c>
      <c r="D295" s="29">
        <v>51000</v>
      </c>
      <c r="E295" s="29">
        <v>50500</v>
      </c>
      <c r="F295" s="29">
        <v>52700</v>
      </c>
      <c r="G295" s="29" t="str">
        <v>-</v>
      </c>
      <c r="H295" s="29">
        <v>52000</v>
      </c>
      <c r="I295" s="29">
        <v>50600</v>
      </c>
      <c r="J295" s="29">
        <v>52400</v>
      </c>
      <c r="K295" s="29" t="str">
        <v>-</v>
      </c>
      <c r="L295" s="29">
        <v>51400</v>
      </c>
      <c r="M295" s="29">
        <v>52700</v>
      </c>
      <c r="N295" s="29">
        <v>48500</v>
      </c>
      <c r="O295" s="29" t="str">
        <v>-</v>
      </c>
      <c r="P295" s="29">
        <v>48000</v>
      </c>
      <c r="Q295" s="29">
        <v>48500</v>
      </c>
      <c r="R295" s="29">
        <v>48800</v>
      </c>
      <c r="S295">
        <v>53300</v>
      </c>
      <c r="T295">
        <v>51800</v>
      </c>
      <c r="U295">
        <v>50800</v>
      </c>
      <c r="V295">
        <v>52200</v>
      </c>
      <c r="W295">
        <v>54600</v>
      </c>
    </row>
    <row r="296" spans="1:23">
      <c r="A296" s="30">
        <v>44580</v>
      </c>
      <c r="B296" s="29">
        <v>53100</v>
      </c>
      <c r="C296" s="29">
        <v>50500</v>
      </c>
      <c r="D296" s="29">
        <v>51500</v>
      </c>
      <c r="E296" s="29">
        <v>50200</v>
      </c>
      <c r="F296" s="29">
        <v>52700</v>
      </c>
      <c r="G296" s="29" t="str">
        <v>-</v>
      </c>
      <c r="H296" s="29">
        <v>51500</v>
      </c>
      <c r="I296" s="29">
        <v>50600</v>
      </c>
      <c r="J296" s="29">
        <v>52400</v>
      </c>
      <c r="K296" s="29" t="str">
        <v>-</v>
      </c>
      <c r="L296" s="29">
        <v>51600</v>
      </c>
      <c r="M296" s="29">
        <v>52700</v>
      </c>
      <c r="N296" s="29">
        <v>48300</v>
      </c>
      <c r="O296" s="29" t="str">
        <v>-</v>
      </c>
      <c r="P296" s="29">
        <v>48100</v>
      </c>
      <c r="Q296" s="29">
        <v>48200</v>
      </c>
      <c r="R296" s="29">
        <v>48500</v>
      </c>
      <c r="S296">
        <v>53000</v>
      </c>
      <c r="T296">
        <v>51800</v>
      </c>
      <c r="U296">
        <v>50800</v>
      </c>
      <c r="V296">
        <v>52200</v>
      </c>
      <c r="W296">
        <v>54600</v>
      </c>
    </row>
    <row r="297" spans="1:23">
      <c r="A297" s="30">
        <v>44581</v>
      </c>
      <c r="B297" s="29">
        <v>53600</v>
      </c>
      <c r="C297" s="29">
        <v>50700</v>
      </c>
      <c r="D297" s="29">
        <v>51500</v>
      </c>
      <c r="E297" s="29">
        <v>50500</v>
      </c>
      <c r="F297" s="29">
        <v>52900</v>
      </c>
      <c r="G297" s="29" t="str">
        <v>-</v>
      </c>
      <c r="H297" s="29">
        <v>52000</v>
      </c>
      <c r="I297" s="29">
        <v>51200</v>
      </c>
      <c r="J297" s="29">
        <v>52600</v>
      </c>
      <c r="K297" s="29" t="str">
        <v>-</v>
      </c>
      <c r="L297" s="29">
        <v>51900</v>
      </c>
      <c r="M297" s="29">
        <v>52900</v>
      </c>
      <c r="N297" s="29">
        <v>48800</v>
      </c>
      <c r="O297" s="29" t="str">
        <v>-</v>
      </c>
      <c r="P297" s="29">
        <v>48400</v>
      </c>
      <c r="Q297" s="29">
        <v>48800</v>
      </c>
      <c r="R297" s="29">
        <v>49000</v>
      </c>
      <c r="S297">
        <v>53300</v>
      </c>
      <c r="T297">
        <v>51800</v>
      </c>
      <c r="U297">
        <v>50800</v>
      </c>
      <c r="V297">
        <v>52200</v>
      </c>
      <c r="W297">
        <v>54600</v>
      </c>
    </row>
    <row r="298" spans="1:23">
      <c r="A298" s="30">
        <v>44582</v>
      </c>
      <c r="B298" s="29">
        <v>53600</v>
      </c>
      <c r="C298" s="29">
        <v>50700</v>
      </c>
      <c r="D298" s="29">
        <v>51500</v>
      </c>
      <c r="E298" s="29">
        <v>50500</v>
      </c>
      <c r="F298" s="29">
        <v>53000</v>
      </c>
      <c r="G298" s="29" t="str">
        <v>-</v>
      </c>
      <c r="H298" s="29">
        <v>52000</v>
      </c>
      <c r="I298" s="29">
        <v>51200</v>
      </c>
      <c r="J298" s="29">
        <v>52600</v>
      </c>
      <c r="K298" s="29" t="str">
        <v>-</v>
      </c>
      <c r="L298" s="29">
        <v>51900</v>
      </c>
      <c r="M298" s="29">
        <v>53000</v>
      </c>
      <c r="N298" s="29">
        <v>49000</v>
      </c>
      <c r="O298" s="29" t="str">
        <v>-</v>
      </c>
      <c r="P298" s="29">
        <v>48400</v>
      </c>
      <c r="Q298" s="29">
        <v>48800</v>
      </c>
      <c r="R298" s="29">
        <v>48800</v>
      </c>
      <c r="S298">
        <v>53300</v>
      </c>
      <c r="T298">
        <v>51600</v>
      </c>
      <c r="U298">
        <v>51600</v>
      </c>
      <c r="V298">
        <v>52200</v>
      </c>
      <c r="W298">
        <v>54600</v>
      </c>
    </row>
    <row r="299" spans="1:23">
      <c r="A299" s="30">
        <v>44583</v>
      </c>
      <c r="B299" s="29">
        <v>53600</v>
      </c>
      <c r="C299" s="29">
        <v>50500</v>
      </c>
      <c r="D299" s="29">
        <v>51500</v>
      </c>
      <c r="E299" s="29">
        <v>50700</v>
      </c>
      <c r="F299" s="29">
        <v>53000</v>
      </c>
      <c r="G299" s="29" t="str">
        <v>-</v>
      </c>
      <c r="H299" s="29">
        <v>52000</v>
      </c>
      <c r="I299" s="29">
        <v>51100</v>
      </c>
      <c r="J299" s="29">
        <v>52600</v>
      </c>
      <c r="K299" s="29" t="str">
        <v>-</v>
      </c>
      <c r="L299" s="29">
        <v>51900</v>
      </c>
      <c r="M299" s="29">
        <v>53000</v>
      </c>
      <c r="N299" s="29">
        <v>49000</v>
      </c>
      <c r="O299" s="29" t="str">
        <v>-</v>
      </c>
      <c r="P299" s="29">
        <v>48300</v>
      </c>
      <c r="Q299" s="29">
        <v>48600</v>
      </c>
      <c r="R299" s="29">
        <v>48500</v>
      </c>
      <c r="S299">
        <v>53500</v>
      </c>
      <c r="T299">
        <v>51600</v>
      </c>
      <c r="U299">
        <v>51100</v>
      </c>
      <c r="V299">
        <v>52200</v>
      </c>
      <c r="W299">
        <v>54600</v>
      </c>
    </row>
    <row r="300" spans="1:23">
      <c r="A300" s="30">
        <v>44584</v>
      </c>
      <c r="B300" s="29" t="str">
        <v>H</v>
      </c>
      <c r="C300" s="29" t="str">
        <v>H</v>
      </c>
      <c r="D300" s="29" t="str">
        <v>H</v>
      </c>
      <c r="E300" s="29" t="str">
        <v>H</v>
      </c>
      <c r="F300" s="29" t="str">
        <v>H</v>
      </c>
      <c r="G300" s="29" t="str">
        <v>H</v>
      </c>
      <c r="H300" s="29" t="str">
        <v>H</v>
      </c>
      <c r="I300" s="29" t="str">
        <v>H</v>
      </c>
      <c r="J300" s="29" t="str">
        <v>H</v>
      </c>
      <c r="K300" s="29" t="str">
        <v>H</v>
      </c>
      <c r="L300" s="29" t="str">
        <v>H</v>
      </c>
      <c r="M300" s="29" t="str">
        <v>H</v>
      </c>
      <c r="N300" s="29" t="str">
        <v>H</v>
      </c>
      <c r="O300" s="29" t="str">
        <v>H</v>
      </c>
      <c r="P300" s="29" t="str">
        <v>H</v>
      </c>
      <c r="Q300" s="29" t="str">
        <v>H</v>
      </c>
      <c r="R300" s="29" t="str">
        <v>H</v>
      </c>
      <c r="S300" t="str">
        <v>H</v>
      </c>
      <c r="T300" t="str">
        <v>H</v>
      </c>
      <c r="U300" t="str">
        <v>H</v>
      </c>
      <c r="V300" t="str">
        <v>H</v>
      </c>
      <c r="W300" t="str">
        <v>H</v>
      </c>
    </row>
    <row r="301" spans="1:23">
      <c r="A301" s="30">
        <v>44585</v>
      </c>
      <c r="B301" s="29">
        <v>53900</v>
      </c>
      <c r="C301" s="29">
        <v>51000</v>
      </c>
      <c r="D301" s="29">
        <v>51700</v>
      </c>
      <c r="E301" s="29">
        <v>50700</v>
      </c>
      <c r="F301" s="29">
        <v>53100</v>
      </c>
      <c r="G301" s="29" t="str">
        <v>-</v>
      </c>
      <c r="H301" s="29">
        <v>52000</v>
      </c>
      <c r="I301" s="29">
        <v>51400</v>
      </c>
      <c r="J301" s="29">
        <v>52800</v>
      </c>
      <c r="K301" s="29" t="str">
        <v>-</v>
      </c>
      <c r="L301" s="29">
        <v>52000</v>
      </c>
      <c r="M301" s="29">
        <v>53200</v>
      </c>
      <c r="N301" s="29">
        <v>49400</v>
      </c>
      <c r="O301" s="29" t="str">
        <v>-</v>
      </c>
      <c r="P301" s="29">
        <v>49100</v>
      </c>
      <c r="Q301" s="29">
        <v>49500</v>
      </c>
      <c r="R301" s="29">
        <v>49100</v>
      </c>
      <c r="S301">
        <v>53500</v>
      </c>
      <c r="T301">
        <v>52400</v>
      </c>
      <c r="U301">
        <v>51600</v>
      </c>
      <c r="V301">
        <v>52200</v>
      </c>
      <c r="W301">
        <v>54600</v>
      </c>
    </row>
    <row r="302" spans="1:23">
      <c r="A302" s="30">
        <v>44586</v>
      </c>
      <c r="B302" s="29">
        <v>54200</v>
      </c>
      <c r="C302" s="29">
        <v>51000</v>
      </c>
      <c r="D302" s="29">
        <v>52200</v>
      </c>
      <c r="E302" s="29">
        <v>51000</v>
      </c>
      <c r="F302" s="29">
        <v>53400</v>
      </c>
      <c r="G302" s="29" t="str">
        <v>-</v>
      </c>
      <c r="H302" s="29">
        <v>52500</v>
      </c>
      <c r="I302" s="29">
        <v>51900</v>
      </c>
      <c r="J302" s="29">
        <v>53200</v>
      </c>
      <c r="K302" s="29" t="str">
        <v>-</v>
      </c>
      <c r="L302" s="29">
        <v>52300</v>
      </c>
      <c r="M302" s="29">
        <v>53600</v>
      </c>
      <c r="N302" s="29">
        <v>50000</v>
      </c>
      <c r="O302" s="29" t="str">
        <v>-</v>
      </c>
      <c r="P302" s="29">
        <v>49400</v>
      </c>
      <c r="Q302" s="29">
        <v>49800</v>
      </c>
      <c r="R302" s="29">
        <v>49500</v>
      </c>
      <c r="S302">
        <v>53800</v>
      </c>
      <c r="T302">
        <v>52600</v>
      </c>
      <c r="U302">
        <v>52100</v>
      </c>
      <c r="V302">
        <v>52400</v>
      </c>
      <c r="W302">
        <v>54600</v>
      </c>
    </row>
    <row r="303" spans="1:23">
      <c r="A303" s="30">
        <v>44587</v>
      </c>
      <c r="B303" s="29" t="str">
        <v>H</v>
      </c>
      <c r="C303" s="29" t="str">
        <v>H</v>
      </c>
      <c r="D303" s="29" t="str">
        <v>H</v>
      </c>
      <c r="E303" s="29" t="str">
        <v>H</v>
      </c>
      <c r="F303" s="29" t="str">
        <v>H</v>
      </c>
      <c r="G303" s="29" t="str">
        <v>H</v>
      </c>
      <c r="H303" s="29" t="str">
        <v>H</v>
      </c>
      <c r="I303" s="29" t="str">
        <v>H</v>
      </c>
      <c r="J303" s="29" t="str">
        <v>H</v>
      </c>
      <c r="K303" s="29" t="str">
        <v>H</v>
      </c>
      <c r="L303" s="29" t="str">
        <v>H</v>
      </c>
      <c r="M303" s="29" t="str">
        <v>H</v>
      </c>
      <c r="N303" s="29" t="str">
        <v>H</v>
      </c>
      <c r="O303" s="29" t="str">
        <v>H</v>
      </c>
      <c r="P303" s="29" t="str">
        <v>H</v>
      </c>
      <c r="Q303" s="29" t="str">
        <v>H</v>
      </c>
      <c r="R303" s="29" t="str">
        <v>H</v>
      </c>
      <c r="S303" t="str">
        <v>H</v>
      </c>
      <c r="T303" t="str">
        <v>H</v>
      </c>
      <c r="U303" t="str">
        <v>H</v>
      </c>
      <c r="V303" t="str">
        <v>H</v>
      </c>
      <c r="W303" t="str">
        <v>H</v>
      </c>
    </row>
    <row r="304" spans="1:23">
      <c r="A304" s="30">
        <v>44588</v>
      </c>
      <c r="B304" s="29">
        <v>55200</v>
      </c>
      <c r="C304" s="29">
        <v>51700</v>
      </c>
      <c r="D304" s="29">
        <v>52600</v>
      </c>
      <c r="E304" s="29">
        <v>51500</v>
      </c>
      <c r="F304" s="29">
        <v>53700</v>
      </c>
      <c r="G304" s="29" t="str">
        <v>-</v>
      </c>
      <c r="H304" s="29">
        <v>53500</v>
      </c>
      <c r="I304" s="29">
        <v>52700</v>
      </c>
      <c r="J304" s="29">
        <v>53800</v>
      </c>
      <c r="K304" s="29" t="str">
        <v>-</v>
      </c>
      <c r="L304" s="29">
        <v>53300</v>
      </c>
      <c r="M304" s="29">
        <v>54200</v>
      </c>
      <c r="N304" s="29">
        <v>51000</v>
      </c>
      <c r="O304" s="29" t="str">
        <v>-</v>
      </c>
      <c r="P304" s="29">
        <v>50300</v>
      </c>
      <c r="Q304" s="29">
        <v>50800</v>
      </c>
      <c r="R304" s="29">
        <v>50400</v>
      </c>
      <c r="S304">
        <v>54300</v>
      </c>
      <c r="T304">
        <v>53600</v>
      </c>
      <c r="U304">
        <v>52800</v>
      </c>
      <c r="V304">
        <v>53500</v>
      </c>
      <c r="W304">
        <v>55600</v>
      </c>
    </row>
    <row r="305" spans="1:23">
      <c r="A305" s="30">
        <v>44589</v>
      </c>
      <c r="B305" s="29">
        <v>55400</v>
      </c>
      <c r="C305" s="29">
        <v>52300</v>
      </c>
      <c r="D305" s="29">
        <v>52600</v>
      </c>
      <c r="E305" s="29">
        <v>51500</v>
      </c>
      <c r="F305" s="29">
        <v>53700</v>
      </c>
      <c r="G305" s="29" t="str">
        <v>-</v>
      </c>
      <c r="H305" s="29">
        <v>53500</v>
      </c>
      <c r="I305" s="29">
        <v>52700</v>
      </c>
      <c r="J305" s="29">
        <v>53800</v>
      </c>
      <c r="K305" s="29" t="str">
        <v>-</v>
      </c>
      <c r="L305" s="29">
        <v>53300</v>
      </c>
      <c r="M305" s="29">
        <v>54600</v>
      </c>
      <c r="N305" s="29">
        <v>51000</v>
      </c>
      <c r="O305" s="29" t="str">
        <v>-</v>
      </c>
      <c r="P305" s="29">
        <v>50200</v>
      </c>
      <c r="Q305" s="29">
        <v>50800</v>
      </c>
      <c r="R305" s="29">
        <v>50400</v>
      </c>
      <c r="S305">
        <v>54300</v>
      </c>
      <c r="T305">
        <v>53600</v>
      </c>
      <c r="U305">
        <v>52800</v>
      </c>
      <c r="V305">
        <v>53800</v>
      </c>
      <c r="W305">
        <v>56100</v>
      </c>
    </row>
    <row r="306" spans="1:23">
      <c r="A306" s="30">
        <v>44590</v>
      </c>
      <c r="B306" s="29">
        <v>56000</v>
      </c>
      <c r="C306" s="29">
        <v>53300</v>
      </c>
      <c r="D306" s="29">
        <v>53500</v>
      </c>
      <c r="E306" s="29">
        <v>52000</v>
      </c>
      <c r="F306" s="29">
        <v>54300</v>
      </c>
      <c r="G306" s="29" t="str">
        <v>-</v>
      </c>
      <c r="H306" s="29">
        <v>54500</v>
      </c>
      <c r="I306" s="29">
        <v>53400</v>
      </c>
      <c r="J306" s="29">
        <v>55200</v>
      </c>
      <c r="K306" s="29" t="str">
        <v>-</v>
      </c>
      <c r="L306" s="29">
        <v>53900</v>
      </c>
      <c r="M306" s="29">
        <v>55300</v>
      </c>
      <c r="N306" s="29">
        <v>51500</v>
      </c>
      <c r="O306" s="29" t="str">
        <v>-</v>
      </c>
      <c r="P306" s="29">
        <v>51400</v>
      </c>
      <c r="Q306" s="29">
        <v>51900</v>
      </c>
      <c r="R306" s="29">
        <v>51700</v>
      </c>
      <c r="S306">
        <v>54800</v>
      </c>
      <c r="T306">
        <v>54800</v>
      </c>
      <c r="U306">
        <v>53300</v>
      </c>
      <c r="V306">
        <v>54700</v>
      </c>
      <c r="W306">
        <v>56800</v>
      </c>
    </row>
    <row r="307" spans="1:23">
      <c r="A307" s="30">
        <v>44591</v>
      </c>
      <c r="B307" s="29" t="str">
        <v>H</v>
      </c>
      <c r="C307" s="29" t="str">
        <v>H</v>
      </c>
      <c r="D307" s="29" t="str">
        <v>H</v>
      </c>
      <c r="E307" s="29" t="str">
        <v>H</v>
      </c>
      <c r="F307" s="29" t="str">
        <v>H</v>
      </c>
      <c r="G307" s="29" t="str">
        <v>H</v>
      </c>
      <c r="H307" s="29" t="str">
        <v>H</v>
      </c>
      <c r="I307" s="29" t="str">
        <v>H</v>
      </c>
      <c r="J307" s="29" t="str">
        <v>H</v>
      </c>
      <c r="K307" s="29" t="str">
        <v>H</v>
      </c>
      <c r="L307" s="29" t="str">
        <v>H</v>
      </c>
      <c r="M307" s="29" t="str">
        <v>H</v>
      </c>
      <c r="N307" s="29" t="str">
        <v>H</v>
      </c>
      <c r="O307" s="29" t="str">
        <v>H</v>
      </c>
      <c r="P307" s="29" t="str">
        <v>H</v>
      </c>
      <c r="Q307" s="29" t="str">
        <v>H</v>
      </c>
      <c r="R307" s="29" t="str">
        <v>H</v>
      </c>
      <c r="S307" t="str">
        <v>H</v>
      </c>
      <c r="T307" t="str">
        <v>H</v>
      </c>
      <c r="U307" t="str">
        <v>H</v>
      </c>
      <c r="V307" t="str">
        <v>H</v>
      </c>
      <c r="W307" t="str">
        <v>H</v>
      </c>
    </row>
    <row r="308" spans="1:23">
      <c r="A308" s="30">
        <v>44592</v>
      </c>
      <c r="B308" s="29">
        <v>56000</v>
      </c>
      <c r="C308" s="29">
        <v>53500</v>
      </c>
      <c r="D308" s="29">
        <v>54000</v>
      </c>
      <c r="E308" s="29">
        <v>51800</v>
      </c>
      <c r="F308" s="29">
        <v>54300</v>
      </c>
      <c r="G308" s="29" t="str">
        <v>-</v>
      </c>
      <c r="H308" s="29">
        <v>55000</v>
      </c>
      <c r="I308" s="29">
        <v>53200</v>
      </c>
      <c r="J308" s="29">
        <v>55200</v>
      </c>
      <c r="K308" s="29" t="str">
        <v>-</v>
      </c>
      <c r="L308" s="29">
        <v>53800</v>
      </c>
      <c r="M308" s="29">
        <v>55800</v>
      </c>
      <c r="N308" s="29">
        <v>51800</v>
      </c>
      <c r="O308" s="29" t="str">
        <v>-</v>
      </c>
      <c r="P308" s="29">
        <v>51200</v>
      </c>
      <c r="Q308" s="29">
        <v>51800</v>
      </c>
      <c r="R308" s="29">
        <v>51700</v>
      </c>
      <c r="S308">
        <v>54600</v>
      </c>
      <c r="T308">
        <v>54800</v>
      </c>
      <c r="U308">
        <v>53300</v>
      </c>
      <c r="V308">
        <v>54900</v>
      </c>
      <c r="W308">
        <v>57100</v>
      </c>
    </row>
    <row r="309" spans="1:23">
      <c r="A309" s="30">
        <v>44593</v>
      </c>
      <c r="B309" s="29">
        <v>56100</v>
      </c>
      <c r="C309" s="29">
        <v>54000</v>
      </c>
      <c r="D309" s="29">
        <v>54200</v>
      </c>
      <c r="E309" s="29">
        <v>52100</v>
      </c>
      <c r="F309" s="29">
        <v>55100</v>
      </c>
      <c r="G309" s="29" t="str">
        <v>-</v>
      </c>
      <c r="H309" s="29">
        <v>54500</v>
      </c>
      <c r="I309" s="29">
        <v>53200</v>
      </c>
      <c r="J309" s="29">
        <v>55200</v>
      </c>
      <c r="K309" s="29" t="str">
        <v>-</v>
      </c>
      <c r="L309" s="29">
        <v>53600</v>
      </c>
      <c r="M309" s="29">
        <v>55900</v>
      </c>
      <c r="N309" s="29">
        <v>52000</v>
      </c>
      <c r="O309" s="29" t="str">
        <v>-</v>
      </c>
      <c r="P309" s="29">
        <v>50800</v>
      </c>
      <c r="Q309" s="29">
        <v>51200</v>
      </c>
      <c r="R309" s="29">
        <v>51200</v>
      </c>
      <c r="S309">
        <v>54900</v>
      </c>
      <c r="T309">
        <v>54300</v>
      </c>
      <c r="U309">
        <v>53300</v>
      </c>
      <c r="V309">
        <v>54900</v>
      </c>
      <c r="W309">
        <v>57100</v>
      </c>
    </row>
    <row r="310" spans="1:23">
      <c r="A310" s="30">
        <v>44594</v>
      </c>
      <c r="B310" s="29">
        <v>56600</v>
      </c>
      <c r="C310" s="29">
        <v>54000</v>
      </c>
      <c r="D310" s="29">
        <v>54500</v>
      </c>
      <c r="E310" s="29">
        <v>52500</v>
      </c>
      <c r="F310" s="29">
        <v>55100</v>
      </c>
      <c r="G310" s="29" t="str">
        <v>-</v>
      </c>
      <c r="H310" s="29">
        <v>55000</v>
      </c>
      <c r="I310" s="29">
        <v>53300</v>
      </c>
      <c r="J310" s="29">
        <v>55200</v>
      </c>
      <c r="K310" s="29" t="str">
        <v>-</v>
      </c>
      <c r="L310" s="29">
        <v>54100</v>
      </c>
      <c r="M310" s="29">
        <v>55900</v>
      </c>
      <c r="N310" s="29">
        <v>52300</v>
      </c>
      <c r="O310" s="29" t="str">
        <v>-</v>
      </c>
      <c r="P310" s="29">
        <v>51200</v>
      </c>
      <c r="Q310" s="29">
        <v>51500</v>
      </c>
      <c r="R310" s="29">
        <v>51600</v>
      </c>
      <c r="S310">
        <v>55300</v>
      </c>
      <c r="T310">
        <v>54500</v>
      </c>
      <c r="U310">
        <v>53500</v>
      </c>
      <c r="V310">
        <v>54900</v>
      </c>
      <c r="W310">
        <v>57100</v>
      </c>
    </row>
    <row r="311" spans="1:23">
      <c r="A311" s="30">
        <v>44595</v>
      </c>
      <c r="B311" s="29">
        <v>56600</v>
      </c>
      <c r="C311" s="29">
        <v>54000</v>
      </c>
      <c r="D311" s="29">
        <v>54700</v>
      </c>
      <c r="E311" s="29">
        <v>52500</v>
      </c>
      <c r="F311" s="29">
        <v>55000</v>
      </c>
      <c r="G311" s="29" t="str">
        <v>-</v>
      </c>
      <c r="H311" s="29">
        <v>54500</v>
      </c>
      <c r="I311" s="29">
        <v>53300</v>
      </c>
      <c r="J311" s="29">
        <v>55400</v>
      </c>
      <c r="K311" s="29" t="str">
        <v>-</v>
      </c>
      <c r="L311" s="29">
        <v>54000</v>
      </c>
      <c r="M311" s="29">
        <v>56100</v>
      </c>
      <c r="N311" s="29">
        <v>52300</v>
      </c>
      <c r="O311" s="29" t="str">
        <v>-</v>
      </c>
      <c r="P311" s="29">
        <v>51000</v>
      </c>
      <c r="Q311" s="29">
        <v>51300</v>
      </c>
      <c r="R311" s="29">
        <v>51300</v>
      </c>
      <c r="S311">
        <v>55300</v>
      </c>
      <c r="T311">
        <v>54500</v>
      </c>
      <c r="U311">
        <v>53800</v>
      </c>
      <c r="V311">
        <v>54900</v>
      </c>
      <c r="W311">
        <v>57100</v>
      </c>
    </row>
    <row r="312" spans="1:23">
      <c r="A312" s="30">
        <v>44596</v>
      </c>
      <c r="B312" s="29">
        <v>56700</v>
      </c>
      <c r="C312" s="29">
        <v>54000</v>
      </c>
      <c r="D312" s="29">
        <v>54700</v>
      </c>
      <c r="E312" s="29">
        <v>52500</v>
      </c>
      <c r="F312" s="29">
        <v>54900</v>
      </c>
      <c r="G312" s="29" t="str">
        <v>-</v>
      </c>
      <c r="H312" s="29">
        <v>54500</v>
      </c>
      <c r="I312" s="29">
        <v>53900</v>
      </c>
      <c r="J312" s="29">
        <v>55400</v>
      </c>
      <c r="K312" s="29" t="str">
        <v>-</v>
      </c>
      <c r="L312" s="29">
        <v>54400</v>
      </c>
      <c r="M312" s="29">
        <v>56400</v>
      </c>
      <c r="N312" s="29">
        <v>52500</v>
      </c>
      <c r="O312" s="29" t="str">
        <v>-</v>
      </c>
      <c r="P312" s="29">
        <v>51400</v>
      </c>
      <c r="Q312" s="29">
        <v>51800</v>
      </c>
      <c r="R312" s="29">
        <v>51700</v>
      </c>
      <c r="S312">
        <v>55300</v>
      </c>
      <c r="T312">
        <v>54700</v>
      </c>
      <c r="U312">
        <v>53800</v>
      </c>
      <c r="V312">
        <v>54900</v>
      </c>
      <c r="W312">
        <v>57100</v>
      </c>
    </row>
    <row r="313" spans="1:23">
      <c r="A313" s="30">
        <v>44597</v>
      </c>
      <c r="B313" s="29">
        <v>57100</v>
      </c>
      <c r="C313" s="29">
        <v>54000</v>
      </c>
      <c r="D313" s="29">
        <v>55200</v>
      </c>
      <c r="E313" s="29">
        <v>52800</v>
      </c>
      <c r="F313" s="29">
        <v>54900</v>
      </c>
      <c r="G313" s="29" t="str">
        <v>-</v>
      </c>
      <c r="H313" s="29">
        <v>54500</v>
      </c>
      <c r="I313" s="29">
        <v>54400</v>
      </c>
      <c r="J313" s="29">
        <v>55400</v>
      </c>
      <c r="K313" s="29" t="str">
        <v>-</v>
      </c>
      <c r="L313" s="29">
        <v>54500</v>
      </c>
      <c r="M313" s="29">
        <v>56500</v>
      </c>
      <c r="N313" s="29">
        <v>52800</v>
      </c>
      <c r="O313" s="29" t="str">
        <v>-</v>
      </c>
      <c r="P313" s="29">
        <v>51200</v>
      </c>
      <c r="Q313" s="29">
        <v>51800</v>
      </c>
      <c r="R313" s="29">
        <v>51700</v>
      </c>
      <c r="S313">
        <v>55600</v>
      </c>
      <c r="T313">
        <v>54700</v>
      </c>
      <c r="U313">
        <v>53800</v>
      </c>
      <c r="V313">
        <v>54900</v>
      </c>
      <c r="W313">
        <v>57100</v>
      </c>
    </row>
    <row r="314" spans="1:23">
      <c r="A314" s="30">
        <v>44598</v>
      </c>
      <c r="B314" s="29" t="str">
        <v>H</v>
      </c>
      <c r="C314" s="29" t="str">
        <v>H</v>
      </c>
      <c r="D314" s="29" t="str">
        <v>H</v>
      </c>
      <c r="E314" s="29" t="str">
        <v>H</v>
      </c>
      <c r="F314" s="29" t="str">
        <v>H</v>
      </c>
      <c r="G314" s="29" t="str">
        <v>H</v>
      </c>
      <c r="H314" s="29" t="str">
        <v>H</v>
      </c>
      <c r="I314" s="29" t="str">
        <v>H</v>
      </c>
      <c r="J314" s="29" t="str">
        <v>H</v>
      </c>
      <c r="K314" s="29" t="str">
        <v>H</v>
      </c>
      <c r="L314" s="29" t="str">
        <v>H</v>
      </c>
      <c r="M314" s="29" t="str">
        <v>H</v>
      </c>
      <c r="N314" s="29" t="str">
        <v>H</v>
      </c>
      <c r="O314" s="29" t="str">
        <v>H</v>
      </c>
      <c r="P314" s="29" t="str">
        <v>H</v>
      </c>
      <c r="Q314" s="29" t="str">
        <v>H</v>
      </c>
      <c r="R314" s="29" t="str">
        <v>H</v>
      </c>
      <c r="S314" t="str">
        <v>H</v>
      </c>
      <c r="T314" t="str">
        <v>H</v>
      </c>
      <c r="U314" t="str">
        <v>H</v>
      </c>
      <c r="V314" t="str">
        <v>H</v>
      </c>
      <c r="W314" t="str">
        <v>H</v>
      </c>
    </row>
    <row r="315" spans="1:23">
      <c r="A315" s="30">
        <v>44599</v>
      </c>
      <c r="B315" s="29">
        <v>56700</v>
      </c>
      <c r="C315" s="29">
        <v>54200</v>
      </c>
      <c r="D315" s="29">
        <v>55200</v>
      </c>
      <c r="E315" s="29">
        <v>52800</v>
      </c>
      <c r="F315" s="29">
        <v>54800</v>
      </c>
      <c r="G315" s="29" t="str">
        <v>-</v>
      </c>
      <c r="H315" s="29">
        <v>54500</v>
      </c>
      <c r="I315" s="29">
        <v>54400</v>
      </c>
      <c r="J315" s="29">
        <v>55400</v>
      </c>
      <c r="K315" s="29" t="str">
        <v>-</v>
      </c>
      <c r="L315" s="29">
        <v>54900</v>
      </c>
      <c r="M315" s="29">
        <v>56500</v>
      </c>
      <c r="N315" s="29">
        <v>52600</v>
      </c>
      <c r="O315" s="29" t="str">
        <v>-</v>
      </c>
      <c r="P315" s="29">
        <v>51200</v>
      </c>
      <c r="Q315" s="29">
        <v>51700</v>
      </c>
      <c r="R315" s="29">
        <v>51400</v>
      </c>
      <c r="S315">
        <v>55600</v>
      </c>
      <c r="T315">
        <v>54700</v>
      </c>
      <c r="U315">
        <v>53600</v>
      </c>
      <c r="V315">
        <v>54900</v>
      </c>
      <c r="W315">
        <v>57100</v>
      </c>
    </row>
    <row r="316" spans="1:23">
      <c r="A316" s="30">
        <v>44600</v>
      </c>
      <c r="B316" s="29">
        <v>56500</v>
      </c>
      <c r="C316" s="29">
        <v>54000</v>
      </c>
      <c r="D316" s="29">
        <v>55500</v>
      </c>
      <c r="E316" s="29">
        <v>52500</v>
      </c>
      <c r="F316" s="29">
        <v>54600</v>
      </c>
      <c r="G316" s="29" t="str">
        <v>-</v>
      </c>
      <c r="H316" s="29">
        <v>54500</v>
      </c>
      <c r="I316" s="29">
        <v>54500</v>
      </c>
      <c r="J316" s="29">
        <v>55400</v>
      </c>
      <c r="K316" s="29" t="str">
        <v>-</v>
      </c>
      <c r="L316" s="29">
        <v>55000</v>
      </c>
      <c r="M316" s="29">
        <v>56500</v>
      </c>
      <c r="N316" s="29">
        <v>52400</v>
      </c>
      <c r="O316" s="29" t="str">
        <v>-</v>
      </c>
      <c r="P316" s="29">
        <v>51400</v>
      </c>
      <c r="Q316" s="29">
        <v>52000</v>
      </c>
      <c r="R316" s="29">
        <v>51400</v>
      </c>
      <c r="S316">
        <v>55300</v>
      </c>
      <c r="T316">
        <v>54800</v>
      </c>
      <c r="U316">
        <v>53600</v>
      </c>
      <c r="V316">
        <v>54800</v>
      </c>
      <c r="W316">
        <v>56900</v>
      </c>
    </row>
    <row r="317" spans="1:23">
      <c r="A317" s="30">
        <v>44601</v>
      </c>
      <c r="B317" s="29">
        <v>56500</v>
      </c>
      <c r="C317" s="29">
        <v>54000</v>
      </c>
      <c r="D317" s="29">
        <v>55200</v>
      </c>
      <c r="E317" s="29">
        <v>52200</v>
      </c>
      <c r="F317" s="29">
        <v>54400</v>
      </c>
      <c r="G317" s="29" t="str">
        <v>-</v>
      </c>
      <c r="H317" s="29">
        <v>54500</v>
      </c>
      <c r="I317" s="29">
        <v>54200</v>
      </c>
      <c r="J317" s="29">
        <v>55400</v>
      </c>
      <c r="K317" s="29" t="str">
        <v>-</v>
      </c>
      <c r="L317" s="29">
        <v>54500</v>
      </c>
      <c r="M317" s="29">
        <v>56500</v>
      </c>
      <c r="N317" s="29">
        <v>52600</v>
      </c>
      <c r="O317" s="29" t="str">
        <v>-</v>
      </c>
      <c r="P317" s="29">
        <v>50800</v>
      </c>
      <c r="Q317" s="29">
        <v>51900</v>
      </c>
      <c r="R317" s="29">
        <v>51200</v>
      </c>
      <c r="S317">
        <v>55100</v>
      </c>
      <c r="T317">
        <v>54800</v>
      </c>
      <c r="U317">
        <v>53500</v>
      </c>
      <c r="V317">
        <v>54600</v>
      </c>
      <c r="W317">
        <v>56900</v>
      </c>
    </row>
    <row r="318" spans="1:23">
      <c r="A318" s="30">
        <v>44602</v>
      </c>
      <c r="B318" s="29">
        <v>56000</v>
      </c>
      <c r="C318" s="29">
        <v>54000</v>
      </c>
      <c r="D318" s="29">
        <v>55000</v>
      </c>
      <c r="E318" s="29">
        <v>51800</v>
      </c>
      <c r="F318" s="29">
        <v>54400</v>
      </c>
      <c r="G318" s="29" t="str">
        <v>-</v>
      </c>
      <c r="H318" s="29">
        <v>54000</v>
      </c>
      <c r="I318" s="29">
        <v>53900</v>
      </c>
      <c r="J318" s="29">
        <v>55300</v>
      </c>
      <c r="K318" s="29" t="str">
        <v>-</v>
      </c>
      <c r="L318" s="29">
        <v>54300</v>
      </c>
      <c r="M318" s="29">
        <v>56500</v>
      </c>
      <c r="N318" s="29">
        <v>52200</v>
      </c>
      <c r="O318" s="29" t="str">
        <v>-</v>
      </c>
      <c r="P318" s="29">
        <v>51000</v>
      </c>
      <c r="Q318" s="29">
        <v>51600</v>
      </c>
      <c r="R318" s="29">
        <v>51100</v>
      </c>
      <c r="S318">
        <v>54700</v>
      </c>
      <c r="T318">
        <v>54400</v>
      </c>
      <c r="U318">
        <v>53800</v>
      </c>
      <c r="V318">
        <v>54600</v>
      </c>
      <c r="W318">
        <v>56900</v>
      </c>
    </row>
    <row r="319" spans="1:23">
      <c r="A319" s="30">
        <v>44603</v>
      </c>
      <c r="B319" s="29">
        <v>55600</v>
      </c>
      <c r="C319" s="29">
        <v>53800</v>
      </c>
      <c r="D319" s="29">
        <v>54500</v>
      </c>
      <c r="E319" s="29">
        <v>51500</v>
      </c>
      <c r="F319" s="29">
        <v>54200</v>
      </c>
      <c r="G319" s="29" t="str">
        <v>-</v>
      </c>
      <c r="H319" s="29">
        <v>54000</v>
      </c>
      <c r="I319" s="29">
        <v>53500</v>
      </c>
      <c r="J319" s="29">
        <v>55200</v>
      </c>
      <c r="K319" s="29" t="str">
        <v>-</v>
      </c>
      <c r="L319" s="29">
        <v>53900</v>
      </c>
      <c r="M319" s="29">
        <v>56400</v>
      </c>
      <c r="N319" s="29">
        <v>51700</v>
      </c>
      <c r="O319" s="29" t="str">
        <v>-</v>
      </c>
      <c r="P319" s="29">
        <v>50600</v>
      </c>
      <c r="Q319" s="29">
        <v>51300</v>
      </c>
      <c r="R319" s="29">
        <v>51000</v>
      </c>
      <c r="S319">
        <v>54400</v>
      </c>
      <c r="T319">
        <v>53800</v>
      </c>
      <c r="U319">
        <v>53800</v>
      </c>
      <c r="V319">
        <v>54100</v>
      </c>
      <c r="W319">
        <v>56500</v>
      </c>
    </row>
    <row r="320" spans="1:23">
      <c r="A320" s="30">
        <v>44604</v>
      </c>
      <c r="B320" s="29">
        <v>55400</v>
      </c>
      <c r="C320" s="29">
        <v>53500</v>
      </c>
      <c r="D320" s="29">
        <v>54200</v>
      </c>
      <c r="E320" s="29">
        <v>51200</v>
      </c>
      <c r="F320" s="29">
        <v>54200</v>
      </c>
      <c r="G320" s="29" t="str">
        <v>-</v>
      </c>
      <c r="H320" s="29">
        <v>53500</v>
      </c>
      <c r="I320" s="29">
        <v>53300</v>
      </c>
      <c r="J320" s="29">
        <v>55200</v>
      </c>
      <c r="K320" s="29" t="str">
        <v>-</v>
      </c>
      <c r="L320" s="29">
        <v>53800</v>
      </c>
      <c r="M320" s="29">
        <v>56100</v>
      </c>
      <c r="N320" s="29">
        <v>51500</v>
      </c>
      <c r="O320" s="29" t="str">
        <v>-</v>
      </c>
      <c r="P320" s="29">
        <v>50300</v>
      </c>
      <c r="Q320" s="29">
        <v>51200</v>
      </c>
      <c r="R320" s="29">
        <v>50800</v>
      </c>
      <c r="S320">
        <v>54100</v>
      </c>
      <c r="T320">
        <v>53800</v>
      </c>
      <c r="U320">
        <v>53800</v>
      </c>
      <c r="V320">
        <v>53900</v>
      </c>
      <c r="W320">
        <v>56100</v>
      </c>
    </row>
    <row r="321" spans="1:23">
      <c r="A321" s="30">
        <v>44605</v>
      </c>
      <c r="B321" s="29" t="str">
        <v>H</v>
      </c>
      <c r="C321" s="29" t="str">
        <v>H</v>
      </c>
      <c r="D321" s="29" t="str">
        <v>H</v>
      </c>
      <c r="E321" s="29" t="str">
        <v>H</v>
      </c>
      <c r="F321" s="29" t="str">
        <v>H</v>
      </c>
      <c r="G321" s="29" t="str">
        <v>H</v>
      </c>
      <c r="H321" s="29" t="str">
        <v>H</v>
      </c>
      <c r="I321" s="29" t="str">
        <v>H</v>
      </c>
      <c r="J321" s="29" t="str">
        <v>H</v>
      </c>
      <c r="K321" s="29" t="str">
        <v>H</v>
      </c>
      <c r="L321" s="29" t="str">
        <v>H</v>
      </c>
      <c r="M321" s="29" t="str">
        <v>H</v>
      </c>
      <c r="N321" s="29" t="str">
        <v>H</v>
      </c>
      <c r="O321" s="29" t="str">
        <v>H</v>
      </c>
      <c r="P321" s="29" t="str">
        <v>H</v>
      </c>
      <c r="Q321" s="29" t="str">
        <v>H</v>
      </c>
      <c r="R321" s="29" t="str">
        <v>H</v>
      </c>
      <c r="S321" t="str">
        <v>H</v>
      </c>
      <c r="T321" t="str">
        <v>H</v>
      </c>
      <c r="U321" t="str">
        <v>H</v>
      </c>
      <c r="V321" t="str">
        <v>H</v>
      </c>
      <c r="W321" t="str">
        <v>H</v>
      </c>
    </row>
    <row r="322" spans="1:23">
      <c r="A322" s="30">
        <v>44606</v>
      </c>
      <c r="B322" s="29">
        <v>55400</v>
      </c>
      <c r="C322" s="29">
        <v>53500</v>
      </c>
      <c r="D322" s="29">
        <v>53800</v>
      </c>
      <c r="E322" s="29">
        <v>51200</v>
      </c>
      <c r="F322" s="29">
        <v>53800</v>
      </c>
      <c r="G322" s="29" t="str">
        <v>-</v>
      </c>
      <c r="H322" s="29">
        <v>54000</v>
      </c>
      <c r="I322" s="29">
        <v>53000</v>
      </c>
      <c r="J322" s="29">
        <v>55200</v>
      </c>
      <c r="K322" s="29" t="str">
        <v>-</v>
      </c>
      <c r="L322" s="29">
        <v>53800</v>
      </c>
      <c r="M322" s="29">
        <v>55900</v>
      </c>
      <c r="N322" s="29">
        <v>51700</v>
      </c>
      <c r="O322" s="29" t="str">
        <v>-</v>
      </c>
      <c r="P322" s="29">
        <v>50800</v>
      </c>
      <c r="Q322" s="29">
        <v>51300</v>
      </c>
      <c r="R322" s="29">
        <v>51000</v>
      </c>
      <c r="S322">
        <v>54100</v>
      </c>
      <c r="T322">
        <v>53900</v>
      </c>
      <c r="U322">
        <v>53800</v>
      </c>
      <c r="V322">
        <v>53400</v>
      </c>
      <c r="W322">
        <v>55600</v>
      </c>
    </row>
    <row r="323" spans="1:23">
      <c r="A323" s="30">
        <v>44607</v>
      </c>
      <c r="B323" s="29">
        <v>55500</v>
      </c>
      <c r="C323" s="29">
        <v>53300</v>
      </c>
      <c r="D323" s="29">
        <v>53600</v>
      </c>
      <c r="E323" s="29">
        <v>51100</v>
      </c>
      <c r="F323" s="29">
        <v>53700</v>
      </c>
      <c r="G323" s="29" t="str">
        <v>-</v>
      </c>
      <c r="H323" s="29">
        <v>54000</v>
      </c>
      <c r="I323" s="29">
        <v>52900</v>
      </c>
      <c r="J323" s="29">
        <v>55200</v>
      </c>
      <c r="K323" s="29" t="str">
        <v>-</v>
      </c>
      <c r="L323" s="29">
        <v>53400</v>
      </c>
      <c r="M323" s="29">
        <v>55900</v>
      </c>
      <c r="N323" s="29">
        <v>51000</v>
      </c>
      <c r="O323" s="29" t="str">
        <v>-</v>
      </c>
      <c r="P323" s="29">
        <v>50800</v>
      </c>
      <c r="Q323" s="29">
        <v>51400</v>
      </c>
      <c r="R323" s="29">
        <v>50800</v>
      </c>
      <c r="S323">
        <v>54100</v>
      </c>
      <c r="T323">
        <v>53900</v>
      </c>
      <c r="U323">
        <v>53300</v>
      </c>
      <c r="V323">
        <v>53400</v>
      </c>
      <c r="W323">
        <v>55600</v>
      </c>
    </row>
    <row r="324" spans="1:23">
      <c r="A324" s="30">
        <v>44608</v>
      </c>
      <c r="B324" s="29">
        <v>55900</v>
      </c>
      <c r="C324" s="29">
        <v>53200</v>
      </c>
      <c r="D324" s="29">
        <v>54000</v>
      </c>
      <c r="E324" s="29">
        <v>51300</v>
      </c>
      <c r="F324" s="29">
        <v>54200</v>
      </c>
      <c r="G324" s="29" t="str">
        <v>-</v>
      </c>
      <c r="H324" s="29">
        <v>55000</v>
      </c>
      <c r="I324" s="29">
        <v>53100</v>
      </c>
      <c r="J324" s="29">
        <v>55500</v>
      </c>
      <c r="K324" s="29" t="str">
        <v>-</v>
      </c>
      <c r="L324" s="29">
        <v>53600</v>
      </c>
      <c r="M324" s="29">
        <v>56100</v>
      </c>
      <c r="N324" s="29">
        <v>51500</v>
      </c>
      <c r="O324" s="29" t="str">
        <v>-</v>
      </c>
      <c r="P324" s="29">
        <v>51700</v>
      </c>
      <c r="Q324" s="29">
        <v>52500</v>
      </c>
      <c r="R324" s="29">
        <v>51700</v>
      </c>
      <c r="S324">
        <v>54100</v>
      </c>
      <c r="T324">
        <v>54600</v>
      </c>
      <c r="U324">
        <v>53300</v>
      </c>
      <c r="V324">
        <v>53400</v>
      </c>
      <c r="W324">
        <v>55600</v>
      </c>
    </row>
    <row r="325" spans="1:23">
      <c r="A325" s="30">
        <v>44609</v>
      </c>
      <c r="B325" s="29">
        <v>56200</v>
      </c>
      <c r="C325" s="29">
        <v>54000</v>
      </c>
      <c r="D325" s="29">
        <v>54500</v>
      </c>
      <c r="E325" s="29">
        <v>52000</v>
      </c>
      <c r="F325" s="29">
        <v>55000</v>
      </c>
      <c r="G325" s="29" t="str">
        <v>-</v>
      </c>
      <c r="H325" s="29">
        <v>55000</v>
      </c>
      <c r="I325" s="29">
        <v>53800</v>
      </c>
      <c r="J325" s="29">
        <v>56300</v>
      </c>
      <c r="K325" s="29" t="str">
        <v>-</v>
      </c>
      <c r="L325" s="29">
        <v>54100</v>
      </c>
      <c r="M325" s="29">
        <v>56500</v>
      </c>
      <c r="N325" s="29">
        <v>52400</v>
      </c>
      <c r="O325" s="29" t="str">
        <v>-</v>
      </c>
      <c r="P325" s="29">
        <v>52000</v>
      </c>
      <c r="Q325" s="29">
        <v>52800</v>
      </c>
      <c r="R325" s="29">
        <v>52200</v>
      </c>
      <c r="S325">
        <v>54800</v>
      </c>
      <c r="T325">
        <v>55200</v>
      </c>
      <c r="U325">
        <v>53800</v>
      </c>
      <c r="V325">
        <v>54600</v>
      </c>
      <c r="W325">
        <v>56700</v>
      </c>
    </row>
    <row r="326" spans="1:23">
      <c r="A326" s="30">
        <v>44610</v>
      </c>
      <c r="B326" s="29">
        <v>56200</v>
      </c>
      <c r="C326" s="29">
        <v>54000</v>
      </c>
      <c r="D326" s="29">
        <v>54500</v>
      </c>
      <c r="E326" s="29">
        <v>52500</v>
      </c>
      <c r="F326" s="29">
        <v>55100</v>
      </c>
      <c r="G326" s="29" t="str">
        <v>-</v>
      </c>
      <c r="H326" s="29">
        <v>55000</v>
      </c>
      <c r="I326" s="29">
        <v>53700</v>
      </c>
      <c r="J326" s="29">
        <v>56300</v>
      </c>
      <c r="K326" s="29" t="str">
        <v>-</v>
      </c>
      <c r="L326" s="29">
        <v>54100</v>
      </c>
      <c r="M326" s="29">
        <v>56500</v>
      </c>
      <c r="N326" s="29">
        <v>52000</v>
      </c>
      <c r="O326" s="29" t="str">
        <v>-</v>
      </c>
      <c r="P326" s="29">
        <v>52000</v>
      </c>
      <c r="Q326" s="29">
        <v>52800</v>
      </c>
      <c r="R326" s="29">
        <v>52300</v>
      </c>
      <c r="S326">
        <v>55300</v>
      </c>
      <c r="T326">
        <v>55200</v>
      </c>
      <c r="U326">
        <v>53800</v>
      </c>
      <c r="V326">
        <v>54600</v>
      </c>
      <c r="W326">
        <v>56900</v>
      </c>
    </row>
    <row r="327" spans="1:23">
      <c r="A327" s="30">
        <v>44611</v>
      </c>
      <c r="B327" s="29">
        <v>56500</v>
      </c>
      <c r="C327" s="29">
        <v>54000</v>
      </c>
      <c r="D327" s="29">
        <v>54500</v>
      </c>
      <c r="E327" s="29">
        <v>53200</v>
      </c>
      <c r="F327" s="29">
        <v>55100</v>
      </c>
      <c r="G327" s="29" t="str">
        <v>-</v>
      </c>
      <c r="H327" s="29">
        <v>55500</v>
      </c>
      <c r="I327" s="29">
        <v>54500</v>
      </c>
      <c r="J327" s="29">
        <v>56300</v>
      </c>
      <c r="K327" s="29" t="str">
        <v>-</v>
      </c>
      <c r="L327" s="29">
        <v>54700</v>
      </c>
      <c r="M327" s="29">
        <v>56500</v>
      </c>
      <c r="N327" s="29">
        <v>52400</v>
      </c>
      <c r="O327" s="29" t="str">
        <v>-</v>
      </c>
      <c r="P327" s="29">
        <v>52500</v>
      </c>
      <c r="Q327" s="29">
        <v>53100</v>
      </c>
      <c r="R327" s="29">
        <v>52700</v>
      </c>
      <c r="S327">
        <v>55500</v>
      </c>
      <c r="T327">
        <v>55400</v>
      </c>
      <c r="U327">
        <v>54100</v>
      </c>
      <c r="V327">
        <v>54700</v>
      </c>
      <c r="W327">
        <v>56900</v>
      </c>
    </row>
    <row r="328" spans="1:23">
      <c r="A328" s="30">
        <v>44612</v>
      </c>
      <c r="B328" s="29" t="str">
        <v>H</v>
      </c>
      <c r="C328" s="29" t="str">
        <v>H</v>
      </c>
      <c r="D328" s="29" t="str">
        <v>H</v>
      </c>
      <c r="E328" s="29" t="str">
        <v>H</v>
      </c>
      <c r="F328" s="29" t="str">
        <v>H</v>
      </c>
      <c r="G328" s="29" t="str">
        <v>H</v>
      </c>
      <c r="H328" s="29" t="str">
        <v>H</v>
      </c>
      <c r="I328" s="29" t="str">
        <v>H</v>
      </c>
      <c r="J328" s="29" t="str">
        <v>H</v>
      </c>
      <c r="K328" s="29" t="str">
        <v>H</v>
      </c>
      <c r="L328" s="29" t="str">
        <v>H</v>
      </c>
      <c r="M328" s="29" t="str">
        <v>H</v>
      </c>
      <c r="N328" s="29" t="str">
        <v>H</v>
      </c>
      <c r="O328" s="29" t="str">
        <v>H</v>
      </c>
      <c r="P328" s="29" t="str">
        <v>H</v>
      </c>
      <c r="Q328" s="29" t="str">
        <v>H</v>
      </c>
      <c r="R328" s="29" t="str">
        <v>H</v>
      </c>
      <c r="S328" t="str">
        <v>H</v>
      </c>
      <c r="T328" t="str">
        <v>H</v>
      </c>
      <c r="U328" t="str">
        <v>H</v>
      </c>
      <c r="V328" t="str">
        <v>H</v>
      </c>
      <c r="W328" t="str">
        <v>H</v>
      </c>
    </row>
    <row r="329" spans="1:23">
      <c r="A329" s="30">
        <v>44613</v>
      </c>
      <c r="B329" s="29">
        <v>56800</v>
      </c>
      <c r="C329" s="29">
        <v>54500</v>
      </c>
      <c r="D329" s="29">
        <v>54700</v>
      </c>
      <c r="E329" s="29">
        <v>53500</v>
      </c>
      <c r="F329" s="29">
        <v>55100</v>
      </c>
      <c r="G329" s="29" t="str">
        <v>-</v>
      </c>
      <c r="H329" s="29">
        <v>55500</v>
      </c>
      <c r="I329" s="29">
        <v>54500</v>
      </c>
      <c r="J329" s="29">
        <v>56300</v>
      </c>
      <c r="K329" s="29" t="str">
        <v>-</v>
      </c>
      <c r="L329" s="29">
        <v>55000</v>
      </c>
      <c r="M329" s="29">
        <v>56500</v>
      </c>
      <c r="N329" s="29">
        <v>53000</v>
      </c>
      <c r="O329" s="29" t="str">
        <v>-</v>
      </c>
      <c r="P329" s="29">
        <v>52300</v>
      </c>
      <c r="Q329" s="29">
        <v>53000</v>
      </c>
      <c r="R329" s="29">
        <v>52700</v>
      </c>
      <c r="S329">
        <v>55800</v>
      </c>
      <c r="T329">
        <v>55400</v>
      </c>
      <c r="U329">
        <v>54300</v>
      </c>
      <c r="V329">
        <v>54800</v>
      </c>
      <c r="W329">
        <v>56900</v>
      </c>
    </row>
    <row r="330" spans="1:23">
      <c r="A330" s="30">
        <v>44614</v>
      </c>
      <c r="B330" s="29">
        <v>57000</v>
      </c>
      <c r="C330" s="29">
        <v>54800</v>
      </c>
      <c r="D330" s="29">
        <v>55700</v>
      </c>
      <c r="E330" s="29">
        <v>53100</v>
      </c>
      <c r="F330" s="29">
        <v>55100</v>
      </c>
      <c r="G330" s="29" t="str">
        <v>-</v>
      </c>
      <c r="H330" s="29">
        <v>55500</v>
      </c>
      <c r="I330" s="29">
        <v>54900</v>
      </c>
      <c r="J330" s="29">
        <v>56700</v>
      </c>
      <c r="K330" s="29" t="str">
        <v>-</v>
      </c>
      <c r="L330" s="29">
        <v>55200</v>
      </c>
      <c r="M330" s="29">
        <v>56900</v>
      </c>
      <c r="N330" s="29">
        <v>53500</v>
      </c>
      <c r="O330" s="29" t="str">
        <v>-</v>
      </c>
      <c r="P330" s="29">
        <v>52500</v>
      </c>
      <c r="Q330" s="29">
        <v>52900</v>
      </c>
      <c r="R330" s="29">
        <v>53000</v>
      </c>
      <c r="S330">
        <v>55800</v>
      </c>
      <c r="T330">
        <v>55400</v>
      </c>
      <c r="U330">
        <v>54300</v>
      </c>
      <c r="V330">
        <v>55100</v>
      </c>
      <c r="W330">
        <v>57200</v>
      </c>
    </row>
    <row r="331" spans="1:23">
      <c r="A331" s="30">
        <v>44615</v>
      </c>
      <c r="B331" s="29">
        <v>57700</v>
      </c>
      <c r="C331" s="29">
        <v>55000</v>
      </c>
      <c r="D331" s="29">
        <v>56200</v>
      </c>
      <c r="E331" s="29">
        <v>53000</v>
      </c>
      <c r="F331" s="29">
        <v>55500</v>
      </c>
      <c r="G331" s="29" t="str">
        <v>-</v>
      </c>
      <c r="H331" s="29">
        <v>55500</v>
      </c>
      <c r="I331" s="29">
        <v>54900</v>
      </c>
      <c r="J331" s="29">
        <v>57300</v>
      </c>
      <c r="K331" s="29" t="str">
        <v>-</v>
      </c>
      <c r="L331" s="29">
        <v>55300</v>
      </c>
      <c r="M331" s="29">
        <v>57100</v>
      </c>
      <c r="N331" s="29">
        <v>54000</v>
      </c>
      <c r="O331" s="29" t="str">
        <v>-</v>
      </c>
      <c r="P331" s="29">
        <v>52500</v>
      </c>
      <c r="Q331" s="29">
        <v>53000</v>
      </c>
      <c r="R331" s="29">
        <v>53000</v>
      </c>
      <c r="S331">
        <v>55700</v>
      </c>
      <c r="T331">
        <v>55500</v>
      </c>
      <c r="U331">
        <v>54300</v>
      </c>
      <c r="V331">
        <v>55400</v>
      </c>
      <c r="W331">
        <v>57400</v>
      </c>
    </row>
    <row r="332" spans="1:23">
      <c r="A332" s="30">
        <v>44616</v>
      </c>
      <c r="B332" s="29">
        <v>58200</v>
      </c>
      <c r="C332" s="29">
        <v>55500</v>
      </c>
      <c r="D332" s="29">
        <v>56400</v>
      </c>
      <c r="E332" s="29">
        <v>53500</v>
      </c>
      <c r="F332" s="29">
        <v>56300</v>
      </c>
      <c r="G332" s="29" t="str">
        <v>-</v>
      </c>
      <c r="H332" s="29">
        <v>57000</v>
      </c>
      <c r="I332" s="29">
        <v>55300</v>
      </c>
      <c r="J332" s="29">
        <v>58700</v>
      </c>
      <c r="K332" s="29" t="str">
        <v>-</v>
      </c>
      <c r="L332" s="29">
        <v>55500</v>
      </c>
      <c r="M332" s="29">
        <v>57900</v>
      </c>
      <c r="N332" s="29">
        <v>54800</v>
      </c>
      <c r="O332" s="29" t="str">
        <v>-</v>
      </c>
      <c r="P332" s="29">
        <v>53500</v>
      </c>
      <c r="Q332" s="29">
        <v>53800</v>
      </c>
      <c r="R332" s="29">
        <v>53300</v>
      </c>
      <c r="S332">
        <v>56200</v>
      </c>
      <c r="T332">
        <v>56100</v>
      </c>
      <c r="U332">
        <v>54800</v>
      </c>
      <c r="V332">
        <v>55800</v>
      </c>
      <c r="W332">
        <v>57900</v>
      </c>
    </row>
    <row r="333" spans="1:23">
      <c r="A333" s="30">
        <v>44617</v>
      </c>
      <c r="B333" s="29">
        <v>58400</v>
      </c>
      <c r="C333" s="29">
        <v>56000</v>
      </c>
      <c r="D333" s="29">
        <v>56400</v>
      </c>
      <c r="E333" s="29">
        <v>53800</v>
      </c>
      <c r="F333" s="29">
        <v>57800</v>
      </c>
      <c r="G333" s="29" t="str">
        <v>-</v>
      </c>
      <c r="H333" s="29">
        <v>58000</v>
      </c>
      <c r="I333" s="29">
        <v>55800</v>
      </c>
      <c r="J333" s="29">
        <v>59300</v>
      </c>
      <c r="K333" s="29" t="str">
        <v>-</v>
      </c>
      <c r="L333" s="29">
        <v>55700</v>
      </c>
      <c r="M333" s="29">
        <v>58300</v>
      </c>
      <c r="N333" s="29">
        <v>54800</v>
      </c>
      <c r="O333" s="29" t="str">
        <v>-</v>
      </c>
      <c r="P333" s="29">
        <v>54500</v>
      </c>
      <c r="Q333" s="29">
        <v>54700</v>
      </c>
      <c r="R333" s="29">
        <v>54300</v>
      </c>
      <c r="S333">
        <v>56500</v>
      </c>
      <c r="T333">
        <v>57100</v>
      </c>
      <c r="U333">
        <v>55800</v>
      </c>
      <c r="V333">
        <v>56400</v>
      </c>
      <c r="W333">
        <v>58900</v>
      </c>
    </row>
    <row r="334" spans="1:23">
      <c r="A334" s="30">
        <v>44618</v>
      </c>
      <c r="B334" s="29">
        <v>58600</v>
      </c>
      <c r="C334" s="29">
        <v>56800</v>
      </c>
      <c r="D334" s="29">
        <v>56900</v>
      </c>
      <c r="E334" s="29">
        <v>54500</v>
      </c>
      <c r="F334" s="29">
        <v>57800</v>
      </c>
      <c r="G334" s="29" t="str">
        <v>-</v>
      </c>
      <c r="H334" s="29">
        <v>57500</v>
      </c>
      <c r="I334" s="29">
        <v>55800</v>
      </c>
      <c r="J334" s="29">
        <v>59300</v>
      </c>
      <c r="K334" s="29" t="str">
        <v>-</v>
      </c>
      <c r="L334" s="29">
        <v>56100</v>
      </c>
      <c r="M334" s="29">
        <v>58600</v>
      </c>
      <c r="N334" s="29">
        <v>54600</v>
      </c>
      <c r="O334" s="29" t="str">
        <v>-</v>
      </c>
      <c r="P334" s="29">
        <v>54600</v>
      </c>
      <c r="Q334" s="29">
        <v>54700</v>
      </c>
      <c r="R334" s="29">
        <v>54800</v>
      </c>
      <c r="S334">
        <v>57300</v>
      </c>
      <c r="T334">
        <v>57100</v>
      </c>
      <c r="U334">
        <v>55800</v>
      </c>
      <c r="V334">
        <v>56400</v>
      </c>
      <c r="W334">
        <v>59100</v>
      </c>
    </row>
    <row r="335" spans="1:23">
      <c r="A335" s="30">
        <v>44619</v>
      </c>
      <c r="B335" s="29" t="str">
        <v>H</v>
      </c>
      <c r="C335" s="29" t="str">
        <v>H</v>
      </c>
      <c r="D335" s="29" t="str">
        <v>H</v>
      </c>
      <c r="E335" s="29" t="str">
        <v>H</v>
      </c>
      <c r="F335" s="29" t="str">
        <v>H</v>
      </c>
      <c r="G335" s="29" t="str">
        <v>H</v>
      </c>
      <c r="H335" s="29" t="str">
        <v>H</v>
      </c>
      <c r="I335" s="29" t="str">
        <v>H</v>
      </c>
      <c r="J335" s="29" t="str">
        <v>H</v>
      </c>
      <c r="K335" s="29" t="str">
        <v>H</v>
      </c>
      <c r="L335" s="29" t="str">
        <v>H</v>
      </c>
      <c r="M335" s="29" t="str">
        <v>H</v>
      </c>
      <c r="N335" s="29" t="str">
        <v>H</v>
      </c>
      <c r="O335" s="29" t="str">
        <v>H</v>
      </c>
      <c r="P335" s="29" t="str">
        <v>H</v>
      </c>
      <c r="Q335" s="29" t="str">
        <v>H</v>
      </c>
      <c r="R335" s="29" t="str">
        <v>H</v>
      </c>
      <c r="S335" t="str">
        <v>H</v>
      </c>
      <c r="T335" t="str">
        <v>H</v>
      </c>
      <c r="U335" t="str">
        <v>H</v>
      </c>
      <c r="V335" t="str">
        <v>H</v>
      </c>
      <c r="W335" t="str">
        <v>H</v>
      </c>
    </row>
    <row r="336" spans="1:23">
      <c r="A336" s="30">
        <v>44620</v>
      </c>
      <c r="B336" s="29">
        <v>59900</v>
      </c>
      <c r="C336" s="29">
        <v>57500</v>
      </c>
      <c r="D336" s="29">
        <v>58500</v>
      </c>
      <c r="E336" s="29">
        <v>56000</v>
      </c>
      <c r="F336" s="29">
        <v>59800</v>
      </c>
      <c r="G336" s="29" t="str">
        <v>-</v>
      </c>
      <c r="H336" s="29">
        <v>60000</v>
      </c>
      <c r="I336" s="29">
        <v>58000</v>
      </c>
      <c r="J336" s="29">
        <v>61500</v>
      </c>
      <c r="K336" s="29" t="str">
        <v>-</v>
      </c>
      <c r="L336" s="29">
        <v>57400</v>
      </c>
      <c r="M336" s="29">
        <v>59900</v>
      </c>
      <c r="N336" s="29">
        <v>56500</v>
      </c>
      <c r="O336" s="29" t="str">
        <v>-</v>
      </c>
      <c r="P336" s="29">
        <v>57400</v>
      </c>
      <c r="Q336" s="29">
        <v>57300</v>
      </c>
      <c r="R336" s="29">
        <v>57000</v>
      </c>
      <c r="S336">
        <v>58800</v>
      </c>
      <c r="T336">
        <v>59700</v>
      </c>
      <c r="U336">
        <v>58800</v>
      </c>
      <c r="V336">
        <v>58500</v>
      </c>
      <c r="W336">
        <v>60600</v>
      </c>
    </row>
    <row r="337" spans="1:23">
      <c r="A337" s="30">
        <v>44621</v>
      </c>
      <c r="B337" s="29">
        <v>61500</v>
      </c>
      <c r="C337" s="29">
        <v>58000</v>
      </c>
      <c r="D337" s="29">
        <v>59200</v>
      </c>
      <c r="E337" s="29">
        <v>56500</v>
      </c>
      <c r="F337" s="29">
        <v>62800</v>
      </c>
      <c r="G337" s="29" t="str">
        <v>-</v>
      </c>
      <c r="H337" s="29">
        <v>60500</v>
      </c>
      <c r="I337" s="29">
        <v>58600</v>
      </c>
      <c r="J337" s="29">
        <v>63200</v>
      </c>
      <c r="K337" s="29" t="str">
        <v>-</v>
      </c>
      <c r="L337" s="29">
        <v>58300</v>
      </c>
      <c r="M337" s="29">
        <v>62500</v>
      </c>
      <c r="N337" s="29">
        <v>57000</v>
      </c>
      <c r="O337" s="29" t="str">
        <v>-</v>
      </c>
      <c r="P337" s="29">
        <v>57700</v>
      </c>
      <c r="Q337" s="29">
        <v>58000</v>
      </c>
      <c r="R337" s="29">
        <v>57800</v>
      </c>
      <c r="S337">
        <v>59300</v>
      </c>
      <c r="T337">
        <v>60300</v>
      </c>
      <c r="U337">
        <v>59300</v>
      </c>
      <c r="V337">
        <v>60000</v>
      </c>
      <c r="W337">
        <v>62100</v>
      </c>
    </row>
    <row r="338" spans="1:23">
      <c r="A338" s="30">
        <v>44622</v>
      </c>
      <c r="B338" s="29">
        <v>62000</v>
      </c>
      <c r="C338" s="29">
        <v>58500</v>
      </c>
      <c r="D338" s="29">
        <v>59500</v>
      </c>
      <c r="E338" s="29">
        <v>57000</v>
      </c>
      <c r="F338" s="29">
        <v>63800</v>
      </c>
      <c r="G338" s="29" t="str">
        <v>-</v>
      </c>
      <c r="H338" s="29">
        <v>61000</v>
      </c>
      <c r="I338" s="29">
        <v>59000</v>
      </c>
      <c r="J338" s="29">
        <v>64200</v>
      </c>
      <c r="K338" s="29" t="str">
        <v>-</v>
      </c>
      <c r="L338" s="29">
        <v>59100</v>
      </c>
      <c r="M338" s="29">
        <v>62600</v>
      </c>
      <c r="N338" s="29">
        <v>57800</v>
      </c>
      <c r="O338" s="29" t="str">
        <v>-</v>
      </c>
      <c r="P338" s="29">
        <v>58000</v>
      </c>
      <c r="Q338" s="29">
        <v>58700</v>
      </c>
      <c r="R338" s="29">
        <v>58100</v>
      </c>
      <c r="S338">
        <v>59800</v>
      </c>
      <c r="T338">
        <v>60800</v>
      </c>
      <c r="U338">
        <v>60300</v>
      </c>
      <c r="V338">
        <v>60700</v>
      </c>
      <c r="W338">
        <v>63100</v>
      </c>
    </row>
    <row r="339" spans="1:23">
      <c r="A339" s="30">
        <v>44623</v>
      </c>
      <c r="B339" s="29">
        <v>64600</v>
      </c>
      <c r="C339" s="29">
        <v>60500</v>
      </c>
      <c r="D339" s="29">
        <v>61500</v>
      </c>
      <c r="E339" s="29">
        <v>59000</v>
      </c>
      <c r="F339" s="29">
        <v>65500</v>
      </c>
      <c r="G339" s="29" t="str">
        <v>-</v>
      </c>
      <c r="H339" s="29">
        <v>63000</v>
      </c>
      <c r="I339" s="29">
        <v>59900</v>
      </c>
      <c r="J339" s="29">
        <v>65800</v>
      </c>
      <c r="K339" s="29" t="str">
        <v>-</v>
      </c>
      <c r="L339" s="29">
        <v>60000</v>
      </c>
      <c r="M339" s="29">
        <v>64600</v>
      </c>
      <c r="N339" s="29">
        <v>59000</v>
      </c>
      <c r="O339" s="29" t="str">
        <v>-</v>
      </c>
      <c r="P339" s="29">
        <v>60000</v>
      </c>
      <c r="Q339" s="29">
        <v>60000</v>
      </c>
      <c r="R339" s="29">
        <v>60000</v>
      </c>
      <c r="S339">
        <v>61800</v>
      </c>
      <c r="T339">
        <v>62600</v>
      </c>
      <c r="U339">
        <v>64300</v>
      </c>
      <c r="V339">
        <v>63200</v>
      </c>
      <c r="W339">
        <v>65300</v>
      </c>
    </row>
    <row r="340" spans="1:23">
      <c r="A340" s="30">
        <v>44624</v>
      </c>
      <c r="B340" s="29">
        <v>66100</v>
      </c>
      <c r="C340" s="29">
        <v>61500</v>
      </c>
      <c r="D340" s="29">
        <v>62100</v>
      </c>
      <c r="E340" s="29">
        <v>60000</v>
      </c>
      <c r="F340" s="29">
        <v>66000</v>
      </c>
      <c r="G340" s="29" t="str">
        <v>-</v>
      </c>
      <c r="H340" s="29">
        <v>63000</v>
      </c>
      <c r="I340" s="29">
        <v>62400</v>
      </c>
      <c r="J340" s="29">
        <v>67300</v>
      </c>
      <c r="K340" s="29" t="str">
        <v>-</v>
      </c>
      <c r="L340" s="29">
        <v>61500</v>
      </c>
      <c r="M340" s="29">
        <v>67500</v>
      </c>
      <c r="N340" s="29">
        <v>61000</v>
      </c>
      <c r="O340" s="29" t="str">
        <v>-</v>
      </c>
      <c r="P340" s="29">
        <v>61000</v>
      </c>
      <c r="Q340" s="29">
        <v>62000</v>
      </c>
      <c r="R340" s="29">
        <v>61200</v>
      </c>
      <c r="S340">
        <v>62800</v>
      </c>
      <c r="T340">
        <v>64000</v>
      </c>
      <c r="U340">
        <v>65300</v>
      </c>
      <c r="V340">
        <v>64400</v>
      </c>
      <c r="W340">
        <v>66400</v>
      </c>
    </row>
    <row r="341" spans="1:23">
      <c r="A341" s="30">
        <v>44625</v>
      </c>
      <c r="B341" s="29">
        <v>66600</v>
      </c>
      <c r="C341" s="29">
        <v>62000</v>
      </c>
      <c r="D341" s="29">
        <v>62500</v>
      </c>
      <c r="E341" s="29">
        <v>61500</v>
      </c>
      <c r="F341" s="29">
        <v>66500</v>
      </c>
      <c r="G341" s="29" t="str">
        <v>-</v>
      </c>
      <c r="H341" s="29">
        <v>64500</v>
      </c>
      <c r="I341" s="29">
        <v>64200</v>
      </c>
      <c r="J341" s="29">
        <v>70100</v>
      </c>
      <c r="K341" s="29" t="str">
        <v>-</v>
      </c>
      <c r="L341" s="29">
        <v>63800</v>
      </c>
      <c r="M341" s="29" t="str">
        <v>-</v>
      </c>
      <c r="N341" s="29">
        <v>62800</v>
      </c>
      <c r="O341" s="29" t="str">
        <v>-</v>
      </c>
      <c r="P341" s="29">
        <v>62500</v>
      </c>
      <c r="Q341" s="29">
        <v>63000</v>
      </c>
      <c r="R341" s="29">
        <v>62300</v>
      </c>
      <c r="S341">
        <v>64300</v>
      </c>
      <c r="T341">
        <v>65300</v>
      </c>
      <c r="U341">
        <v>65300</v>
      </c>
      <c r="V341">
        <v>65000</v>
      </c>
      <c r="W341">
        <v>67400</v>
      </c>
    </row>
    <row r="342" spans="1:23">
      <c r="A342" s="30">
        <v>44626</v>
      </c>
      <c r="B342" s="29" t="str">
        <v>H</v>
      </c>
      <c r="C342" s="29" t="str">
        <v>H</v>
      </c>
      <c r="D342" s="29" t="str">
        <v>H</v>
      </c>
      <c r="E342" s="29" t="str">
        <v>H</v>
      </c>
      <c r="F342" s="29" t="str">
        <v>H</v>
      </c>
      <c r="G342" s="29" t="str">
        <v>H</v>
      </c>
      <c r="H342" s="29" t="str">
        <v>H</v>
      </c>
      <c r="I342" s="29" t="str">
        <v>H</v>
      </c>
      <c r="J342" s="29" t="str">
        <v>H</v>
      </c>
      <c r="K342" s="29" t="str">
        <v>H</v>
      </c>
      <c r="L342" s="29" t="str">
        <v>H</v>
      </c>
      <c r="M342" s="29" t="str">
        <v>H</v>
      </c>
      <c r="N342" s="29" t="str">
        <v>H</v>
      </c>
      <c r="O342" s="29" t="str">
        <v>H</v>
      </c>
      <c r="P342" s="29" t="str">
        <v>H</v>
      </c>
      <c r="Q342" s="29" t="str">
        <v>H</v>
      </c>
      <c r="R342" s="29" t="str">
        <v>H</v>
      </c>
      <c r="S342" t="str">
        <v>H</v>
      </c>
      <c r="T342" t="str">
        <v>H</v>
      </c>
      <c r="U342" t="str">
        <v>H</v>
      </c>
      <c r="V342" t="str">
        <v>H</v>
      </c>
      <c r="W342" t="str">
        <v>H</v>
      </c>
    </row>
    <row r="343" spans="1:23">
      <c r="A343" s="30">
        <v>44627</v>
      </c>
      <c r="B343" s="29">
        <v>67900</v>
      </c>
      <c r="C343" s="29">
        <v>64500</v>
      </c>
      <c r="D343" s="29">
        <v>64000</v>
      </c>
      <c r="E343" s="29">
        <v>64000</v>
      </c>
      <c r="F343" s="29">
        <v>70500</v>
      </c>
      <c r="G343" s="29" t="str">
        <v>-</v>
      </c>
      <c r="H343" s="29">
        <v>68500</v>
      </c>
      <c r="I343" s="29">
        <v>66900</v>
      </c>
      <c r="J343" s="29">
        <v>71600</v>
      </c>
      <c r="K343" s="29" t="str">
        <v>-</v>
      </c>
      <c r="L343" s="29">
        <v>66200</v>
      </c>
      <c r="M343" s="29">
        <v>70700</v>
      </c>
      <c r="N343" s="29">
        <v>66700</v>
      </c>
      <c r="O343" s="29" t="str">
        <v>-</v>
      </c>
      <c r="P343" s="29">
        <v>64900</v>
      </c>
      <c r="Q343" s="29">
        <v>65200</v>
      </c>
      <c r="R343" s="29">
        <v>65000</v>
      </c>
      <c r="S343">
        <v>66700</v>
      </c>
      <c r="T343">
        <v>67600</v>
      </c>
      <c r="U343">
        <v>68300</v>
      </c>
      <c r="V343">
        <v>68500</v>
      </c>
      <c r="W343">
        <v>70600</v>
      </c>
    </row>
    <row r="344" spans="1:23">
      <c r="A344" s="30">
        <v>44628</v>
      </c>
      <c r="B344" s="29">
        <v>68800</v>
      </c>
      <c r="C344" s="29">
        <v>65000</v>
      </c>
      <c r="D344" s="29">
        <v>68500</v>
      </c>
      <c r="E344" s="29">
        <v>64000</v>
      </c>
      <c r="F344" s="29">
        <v>72000</v>
      </c>
      <c r="G344" s="29" t="str">
        <v>-</v>
      </c>
      <c r="H344" s="29">
        <v>68500</v>
      </c>
      <c r="I344" s="29">
        <v>67900</v>
      </c>
      <c r="J344" s="29">
        <v>71700</v>
      </c>
      <c r="K344" s="29" t="str">
        <v>-</v>
      </c>
      <c r="L344" s="29">
        <v>66200</v>
      </c>
      <c r="M344" s="29">
        <v>72100</v>
      </c>
      <c r="N344" s="29">
        <v>66500</v>
      </c>
      <c r="O344" s="29" t="str">
        <v>-</v>
      </c>
      <c r="P344" s="29">
        <v>64500</v>
      </c>
      <c r="Q344" s="29">
        <v>65000</v>
      </c>
      <c r="R344" s="29">
        <v>64800</v>
      </c>
      <c r="S344">
        <v>66800</v>
      </c>
      <c r="T344">
        <v>67600</v>
      </c>
      <c r="U344">
        <v>67800</v>
      </c>
      <c r="V344">
        <v>68900</v>
      </c>
      <c r="W344">
        <v>71000</v>
      </c>
    </row>
    <row r="345" spans="1:23">
      <c r="A345" s="30">
        <v>44629</v>
      </c>
      <c r="B345" s="29">
        <v>69100</v>
      </c>
      <c r="C345" s="29">
        <v>66200</v>
      </c>
      <c r="D345" s="29">
        <v>71200</v>
      </c>
      <c r="E345" s="29">
        <v>66500</v>
      </c>
      <c r="F345" s="29">
        <v>72300</v>
      </c>
      <c r="G345" s="29" t="str">
        <v>-</v>
      </c>
      <c r="H345" s="29">
        <v>69500</v>
      </c>
      <c r="I345" s="29">
        <v>69300</v>
      </c>
      <c r="J345" s="29">
        <v>71700</v>
      </c>
      <c r="K345" s="29" t="str">
        <v>-</v>
      </c>
      <c r="L345" s="29">
        <v>67900</v>
      </c>
      <c r="M345" s="29">
        <v>72100</v>
      </c>
      <c r="N345" s="29">
        <v>68000</v>
      </c>
      <c r="O345" s="29" t="str">
        <v>-</v>
      </c>
      <c r="P345" s="29">
        <v>66000</v>
      </c>
      <c r="Q345" s="29">
        <v>65800</v>
      </c>
      <c r="R345" s="29">
        <v>66500</v>
      </c>
      <c r="S345">
        <v>69300</v>
      </c>
      <c r="T345">
        <v>68600</v>
      </c>
      <c r="U345">
        <v>68800</v>
      </c>
      <c r="V345">
        <v>69300</v>
      </c>
      <c r="W345">
        <v>71400</v>
      </c>
    </row>
    <row r="346" spans="1:23">
      <c r="A346" s="30">
        <v>44630</v>
      </c>
      <c r="B346" s="29">
        <v>69100</v>
      </c>
      <c r="C346" s="29">
        <v>66500</v>
      </c>
      <c r="D346" s="29">
        <v>72000</v>
      </c>
      <c r="E346" s="29">
        <v>66500</v>
      </c>
      <c r="F346" s="29">
        <v>72300</v>
      </c>
      <c r="G346" s="29" t="str">
        <v>-</v>
      </c>
      <c r="H346" s="29">
        <v>70500</v>
      </c>
      <c r="I346" s="29">
        <v>71000</v>
      </c>
      <c r="J346" s="29">
        <v>71700</v>
      </c>
      <c r="K346" s="29" t="str">
        <v>-</v>
      </c>
      <c r="L346" s="29">
        <v>68500</v>
      </c>
      <c r="M346" s="29">
        <v>72100</v>
      </c>
      <c r="N346" s="29" t="str">
        <v>-</v>
      </c>
      <c r="O346" s="29" t="str">
        <v>-</v>
      </c>
      <c r="P346" s="29">
        <v>65500</v>
      </c>
      <c r="Q346" s="29">
        <v>66100</v>
      </c>
      <c r="R346" s="29">
        <v>66100</v>
      </c>
      <c r="S346">
        <v>69300</v>
      </c>
      <c r="T346">
        <v>68600</v>
      </c>
      <c r="U346">
        <v>68800</v>
      </c>
      <c r="V346">
        <v>69400</v>
      </c>
      <c r="W346">
        <v>71500</v>
      </c>
    </row>
    <row r="347" spans="1:23">
      <c r="A347" s="30">
        <v>44631</v>
      </c>
      <c r="B347" s="29">
        <v>68000</v>
      </c>
      <c r="C347" s="29">
        <v>66500</v>
      </c>
      <c r="D347" s="29">
        <v>72300</v>
      </c>
      <c r="E347" s="29">
        <v>66000</v>
      </c>
      <c r="F347" s="29">
        <v>72300</v>
      </c>
      <c r="G347" s="29" t="str">
        <v>-</v>
      </c>
      <c r="H347" s="29">
        <v>69500</v>
      </c>
      <c r="I347" s="29">
        <v>71000</v>
      </c>
      <c r="J347" s="29">
        <v>71700</v>
      </c>
      <c r="K347" s="29" t="str">
        <v>-</v>
      </c>
      <c r="L347" s="29">
        <v>68500</v>
      </c>
      <c r="M347" s="29">
        <v>72000</v>
      </c>
      <c r="N347" s="29">
        <v>69000</v>
      </c>
      <c r="O347" s="29" t="str">
        <v>-</v>
      </c>
      <c r="P347" s="29">
        <v>65300</v>
      </c>
      <c r="Q347" s="29">
        <v>66100</v>
      </c>
      <c r="R347" s="29">
        <v>65700</v>
      </c>
      <c r="S347">
        <v>68800</v>
      </c>
      <c r="T347">
        <v>68500</v>
      </c>
      <c r="U347">
        <v>68800</v>
      </c>
      <c r="V347">
        <v>69400</v>
      </c>
      <c r="W347">
        <v>71500</v>
      </c>
    </row>
    <row r="348" spans="1:23">
      <c r="A348" s="30">
        <v>44632</v>
      </c>
      <c r="B348" s="29">
        <v>67100</v>
      </c>
      <c r="C348" s="29">
        <v>66300</v>
      </c>
      <c r="D348" s="29">
        <v>72000</v>
      </c>
      <c r="E348" s="29">
        <v>65000</v>
      </c>
      <c r="F348" s="29">
        <v>71600</v>
      </c>
      <c r="G348" s="29" t="str">
        <v>-</v>
      </c>
      <c r="H348" s="29">
        <v>68500</v>
      </c>
      <c r="I348" s="29">
        <v>70600</v>
      </c>
      <c r="J348" s="29">
        <v>71000</v>
      </c>
      <c r="K348" s="29" t="str">
        <v>-</v>
      </c>
      <c r="L348" s="29">
        <v>67500</v>
      </c>
      <c r="M348" s="29">
        <v>72000</v>
      </c>
      <c r="N348" s="29">
        <v>67500</v>
      </c>
      <c r="O348" s="29" t="str">
        <v>-</v>
      </c>
      <c r="P348" s="29">
        <v>63500</v>
      </c>
      <c r="Q348" s="29">
        <v>65000</v>
      </c>
      <c r="R348" s="29">
        <v>64600</v>
      </c>
      <c r="S348">
        <v>67800</v>
      </c>
      <c r="T348">
        <v>68000</v>
      </c>
      <c r="U348">
        <v>67800</v>
      </c>
      <c r="V348">
        <v>69400</v>
      </c>
      <c r="W348">
        <v>71500</v>
      </c>
    </row>
    <row r="349" spans="1:23">
      <c r="A349" s="30">
        <v>44633</v>
      </c>
      <c r="B349" s="29" t="str">
        <v>H</v>
      </c>
      <c r="C349" s="29" t="str">
        <v>H</v>
      </c>
      <c r="D349" s="29" t="str">
        <v>H</v>
      </c>
      <c r="E349" s="29" t="str">
        <v>H</v>
      </c>
      <c r="F349" s="29" t="str">
        <v>H</v>
      </c>
      <c r="G349" s="29" t="str">
        <v>H</v>
      </c>
      <c r="H349" s="29" t="str">
        <v>H</v>
      </c>
      <c r="I349" s="29" t="str">
        <v>H</v>
      </c>
      <c r="J349" s="29" t="str">
        <v>H</v>
      </c>
      <c r="K349" s="29" t="str">
        <v>H</v>
      </c>
      <c r="L349" s="29" t="str">
        <v>H</v>
      </c>
      <c r="M349" s="29" t="str">
        <v>H</v>
      </c>
      <c r="N349" s="29" t="str">
        <v>H</v>
      </c>
      <c r="O349" s="29" t="str">
        <v>H</v>
      </c>
      <c r="P349" s="29" t="str">
        <v>H</v>
      </c>
      <c r="Q349" s="29" t="str">
        <v>H</v>
      </c>
      <c r="R349" s="29" t="str">
        <v>H</v>
      </c>
      <c r="S349" t="str">
        <v>H</v>
      </c>
      <c r="T349" t="str">
        <v>H</v>
      </c>
      <c r="U349" t="str">
        <v>H</v>
      </c>
      <c r="V349" t="str">
        <v>H</v>
      </c>
      <c r="W349" t="str">
        <v>H</v>
      </c>
    </row>
    <row r="350" spans="1:23">
      <c r="A350" s="30">
        <v>44634</v>
      </c>
      <c r="B350" s="29">
        <v>65400</v>
      </c>
      <c r="C350" s="29">
        <v>66000</v>
      </c>
      <c r="D350" s="29">
        <v>71500</v>
      </c>
      <c r="E350" s="29">
        <v>62500</v>
      </c>
      <c r="F350" s="29">
        <v>70000</v>
      </c>
      <c r="G350" s="29" t="str">
        <v>-</v>
      </c>
      <c r="H350" s="29">
        <v>66500</v>
      </c>
      <c r="I350" s="29">
        <v>68000</v>
      </c>
      <c r="J350" s="29">
        <v>70100</v>
      </c>
      <c r="K350" s="29" t="str">
        <v>-</v>
      </c>
      <c r="L350" s="29">
        <v>65000</v>
      </c>
      <c r="M350" s="29">
        <v>69100</v>
      </c>
      <c r="N350" s="29">
        <v>66000</v>
      </c>
      <c r="O350" s="29" t="str">
        <v>-</v>
      </c>
      <c r="P350" s="29">
        <v>62000</v>
      </c>
      <c r="Q350" s="29">
        <v>64000</v>
      </c>
      <c r="R350" s="29">
        <v>64000</v>
      </c>
      <c r="S350">
        <v>65300</v>
      </c>
      <c r="T350">
        <v>66500</v>
      </c>
      <c r="U350" t="str">
        <v>-</v>
      </c>
      <c r="V350">
        <v>68000</v>
      </c>
      <c r="W350">
        <v>70200</v>
      </c>
    </row>
    <row r="351" spans="1:23">
      <c r="A351" s="30">
        <v>44635</v>
      </c>
      <c r="B351" s="29">
        <v>63600</v>
      </c>
      <c r="C351" s="29">
        <v>65000</v>
      </c>
      <c r="D351" s="29">
        <v>71000</v>
      </c>
      <c r="E351" s="29">
        <v>61000</v>
      </c>
      <c r="F351" s="29">
        <v>67800</v>
      </c>
      <c r="G351" s="29" t="str">
        <v>-</v>
      </c>
      <c r="H351" s="29">
        <v>66000</v>
      </c>
      <c r="I351" s="29">
        <v>66000</v>
      </c>
      <c r="J351" s="29">
        <v>68100</v>
      </c>
      <c r="K351" s="29" t="str">
        <v>-</v>
      </c>
      <c r="L351" s="29">
        <v>61700</v>
      </c>
      <c r="M351" s="29">
        <v>67100</v>
      </c>
      <c r="N351" s="29">
        <v>62000</v>
      </c>
      <c r="O351" s="29" t="str">
        <v>-</v>
      </c>
      <c r="P351" s="29">
        <v>60500</v>
      </c>
      <c r="Q351" s="29">
        <v>62000</v>
      </c>
      <c r="R351" s="29">
        <v>62200</v>
      </c>
      <c r="S351">
        <v>63800</v>
      </c>
      <c r="T351">
        <v>65000</v>
      </c>
      <c r="U351">
        <v>65300</v>
      </c>
      <c r="V351">
        <v>66000</v>
      </c>
      <c r="W351">
        <v>68300</v>
      </c>
    </row>
    <row r="352" spans="1:23">
      <c r="A352" s="30">
        <v>44636</v>
      </c>
      <c r="B352" s="29">
        <v>64600</v>
      </c>
      <c r="C352" s="29">
        <v>65000</v>
      </c>
      <c r="D352" s="29" t="str">
        <v>-</v>
      </c>
      <c r="E352" s="29">
        <v>63000</v>
      </c>
      <c r="F352" s="29">
        <v>67300</v>
      </c>
      <c r="G352" s="29" t="str">
        <v>-</v>
      </c>
      <c r="H352" s="29">
        <v>66000</v>
      </c>
      <c r="I352" s="29">
        <v>66000</v>
      </c>
      <c r="J352" s="29">
        <v>68100</v>
      </c>
      <c r="K352" s="29" t="str">
        <v>-</v>
      </c>
      <c r="L352" s="29">
        <v>62500</v>
      </c>
      <c r="M352" s="29">
        <v>67600</v>
      </c>
      <c r="N352" s="29">
        <v>63500</v>
      </c>
      <c r="O352" s="29" t="str">
        <v>-</v>
      </c>
      <c r="P352" s="29">
        <v>62500</v>
      </c>
      <c r="Q352" s="29">
        <v>62500</v>
      </c>
      <c r="R352" s="29">
        <v>62300</v>
      </c>
      <c r="S352">
        <v>65800</v>
      </c>
      <c r="T352">
        <v>65200</v>
      </c>
      <c r="U352">
        <v>65300</v>
      </c>
      <c r="V352">
        <v>66300</v>
      </c>
      <c r="W352">
        <v>68600</v>
      </c>
    </row>
    <row r="353" spans="1:23">
      <c r="A353" s="30">
        <v>44637</v>
      </c>
      <c r="B353" s="29">
        <v>64600</v>
      </c>
      <c r="C353" s="29">
        <v>65000</v>
      </c>
      <c r="D353" s="29">
        <v>70000</v>
      </c>
      <c r="E353" s="29">
        <v>62500</v>
      </c>
      <c r="F353" s="29">
        <v>68200</v>
      </c>
      <c r="G353" s="29" t="str">
        <v>-</v>
      </c>
      <c r="H353" s="29">
        <v>66000</v>
      </c>
      <c r="I353" s="29">
        <v>66500</v>
      </c>
      <c r="J353" s="29">
        <v>68100</v>
      </c>
      <c r="K353" s="29" t="str">
        <v>-</v>
      </c>
      <c r="L353" s="29">
        <v>63000</v>
      </c>
      <c r="M353" s="29">
        <v>67600</v>
      </c>
      <c r="N353" s="29">
        <v>63500</v>
      </c>
      <c r="O353" s="29" t="str">
        <v>-</v>
      </c>
      <c r="P353" s="29">
        <v>61500</v>
      </c>
      <c r="Q353" s="29">
        <v>62800</v>
      </c>
      <c r="R353" s="29">
        <v>62300</v>
      </c>
      <c r="S353">
        <v>65300</v>
      </c>
      <c r="T353">
        <v>65200</v>
      </c>
      <c r="U353">
        <v>65300</v>
      </c>
      <c r="V353">
        <v>66700</v>
      </c>
      <c r="W353">
        <v>69000</v>
      </c>
    </row>
    <row r="354" spans="1:23">
      <c r="A354" s="30">
        <v>44638</v>
      </c>
      <c r="B354" s="29" t="str">
        <v>H</v>
      </c>
      <c r="C354" s="29" t="str">
        <v>H</v>
      </c>
      <c r="D354" s="29" t="str">
        <v>H</v>
      </c>
      <c r="E354" s="29" t="str">
        <v>H</v>
      </c>
      <c r="F354" s="29" t="str">
        <v>H</v>
      </c>
      <c r="G354" s="29" t="str">
        <v>H</v>
      </c>
      <c r="H354" s="29" t="str">
        <v>H</v>
      </c>
      <c r="I354" s="29" t="str">
        <v>H</v>
      </c>
      <c r="J354" s="29" t="str">
        <v>H</v>
      </c>
      <c r="K354" s="29" t="str">
        <v>H</v>
      </c>
      <c r="L354" s="29" t="str">
        <v>H</v>
      </c>
      <c r="M354" s="29" t="str">
        <v>H</v>
      </c>
      <c r="N354" s="29" t="str">
        <v>H</v>
      </c>
      <c r="O354" s="29" t="str">
        <v>H</v>
      </c>
      <c r="P354" s="29" t="str">
        <v>H</v>
      </c>
      <c r="Q354" s="29" t="str">
        <v>H</v>
      </c>
      <c r="R354" s="29" t="str">
        <v>H</v>
      </c>
      <c r="S354" t="str">
        <v>H</v>
      </c>
      <c r="T354" t="str">
        <v>H</v>
      </c>
      <c r="U354" t="str">
        <v>H</v>
      </c>
      <c r="V354" t="str">
        <v>H</v>
      </c>
      <c r="W354" t="str">
        <v>H</v>
      </c>
    </row>
    <row r="355" spans="1:23">
      <c r="A355" s="30">
        <v>44639</v>
      </c>
      <c r="B355" s="29" t="str">
        <v>H</v>
      </c>
      <c r="C355" s="29" t="str">
        <v>H</v>
      </c>
      <c r="D355" s="29" t="str">
        <v>H</v>
      </c>
      <c r="E355" s="29" t="str">
        <v>H</v>
      </c>
      <c r="F355" s="29" t="str">
        <v>H</v>
      </c>
      <c r="G355" s="29" t="str">
        <v>H</v>
      </c>
      <c r="H355" s="29" t="str">
        <v>H</v>
      </c>
      <c r="I355" s="29" t="str">
        <v>H</v>
      </c>
      <c r="J355" s="29" t="str">
        <v>H</v>
      </c>
      <c r="K355" s="29" t="str">
        <v>H</v>
      </c>
      <c r="L355" s="29" t="str">
        <v>H</v>
      </c>
      <c r="M355" s="29" t="str">
        <v>H</v>
      </c>
      <c r="N355" s="29" t="str">
        <v>H</v>
      </c>
      <c r="O355" s="29" t="str">
        <v>H</v>
      </c>
      <c r="P355" s="29" t="str">
        <v>H</v>
      </c>
      <c r="Q355" s="29" t="str">
        <v>H</v>
      </c>
      <c r="R355" s="29" t="str">
        <v>H</v>
      </c>
      <c r="S355" t="str">
        <v>H</v>
      </c>
      <c r="T355" t="str">
        <v>H</v>
      </c>
      <c r="U355" t="str">
        <v>H</v>
      </c>
      <c r="V355" t="str">
        <v>H</v>
      </c>
      <c r="W355" t="str">
        <v>H</v>
      </c>
    </row>
    <row r="356" spans="1:23">
      <c r="A356" s="30">
        <v>44640</v>
      </c>
      <c r="B356" s="29" t="str">
        <v>H</v>
      </c>
      <c r="C356" s="29" t="str">
        <v>H</v>
      </c>
      <c r="D356" s="29" t="str">
        <v>H</v>
      </c>
      <c r="E356" s="29" t="str">
        <v>H</v>
      </c>
      <c r="F356" s="29" t="str">
        <v>H</v>
      </c>
      <c r="G356" s="29" t="str">
        <v>H</v>
      </c>
      <c r="H356" s="29" t="str">
        <v>H</v>
      </c>
      <c r="I356" s="29" t="str">
        <v>H</v>
      </c>
      <c r="J356" s="29" t="str">
        <v>H</v>
      </c>
      <c r="K356" s="29" t="str">
        <v>H</v>
      </c>
      <c r="L356" s="29" t="str">
        <v>H</v>
      </c>
      <c r="M356" s="29" t="str">
        <v>H</v>
      </c>
      <c r="N356" s="29" t="str">
        <v>H</v>
      </c>
      <c r="O356" s="29" t="str">
        <v>H</v>
      </c>
      <c r="P356" s="29" t="str">
        <v>H</v>
      </c>
      <c r="Q356" s="29" t="str">
        <v>H</v>
      </c>
      <c r="R356" s="29" t="str">
        <v>H</v>
      </c>
      <c r="S356" t="str">
        <v>H</v>
      </c>
      <c r="T356" t="str">
        <v>H</v>
      </c>
      <c r="U356" t="str">
        <v>H</v>
      </c>
      <c r="V356" t="str">
        <v>H</v>
      </c>
      <c r="W356" t="str">
        <v>H</v>
      </c>
    </row>
    <row r="357" spans="1:23">
      <c r="A357" s="30">
        <v>44641</v>
      </c>
      <c r="B357" s="29">
        <v>65400</v>
      </c>
      <c r="C357" s="29">
        <v>66000</v>
      </c>
      <c r="D357" s="29">
        <v>70000</v>
      </c>
      <c r="E357" s="29">
        <v>65000</v>
      </c>
      <c r="F357" s="29">
        <v>69700</v>
      </c>
      <c r="G357" s="29" t="str">
        <v>-</v>
      </c>
      <c r="H357" s="29">
        <v>67000</v>
      </c>
      <c r="I357" s="29">
        <v>68000</v>
      </c>
      <c r="J357" s="29">
        <v>69700</v>
      </c>
      <c r="K357" s="29" t="str">
        <v>-</v>
      </c>
      <c r="L357" s="29">
        <v>65500</v>
      </c>
      <c r="M357" s="29">
        <v>69000</v>
      </c>
      <c r="N357" s="29">
        <v>66000</v>
      </c>
      <c r="O357" s="29" t="str">
        <v>-</v>
      </c>
      <c r="P357" s="29">
        <v>63700</v>
      </c>
      <c r="Q357" s="29">
        <v>64300</v>
      </c>
      <c r="R357" s="29">
        <v>64000</v>
      </c>
      <c r="S357">
        <v>67800</v>
      </c>
      <c r="T357">
        <v>66800</v>
      </c>
      <c r="U357">
        <v>68300</v>
      </c>
      <c r="V357">
        <v>67600</v>
      </c>
      <c r="W357">
        <v>70100</v>
      </c>
    </row>
    <row r="358" spans="1:23">
      <c r="A358" s="30">
        <v>44642</v>
      </c>
      <c r="B358" s="29">
        <v>65400</v>
      </c>
      <c r="C358" s="29">
        <v>67000</v>
      </c>
      <c r="D358" s="29">
        <v>71000</v>
      </c>
      <c r="E358" s="29">
        <v>65200</v>
      </c>
      <c r="F358" s="29">
        <v>69700</v>
      </c>
      <c r="G358" s="29" t="str">
        <v>-</v>
      </c>
      <c r="H358" s="29">
        <v>67500</v>
      </c>
      <c r="I358" s="29">
        <v>68200</v>
      </c>
      <c r="J358" s="29">
        <v>69700</v>
      </c>
      <c r="K358" s="29" t="str">
        <v>-</v>
      </c>
      <c r="L358" s="29">
        <v>66300</v>
      </c>
      <c r="M358" s="29">
        <v>69100</v>
      </c>
      <c r="N358" s="29">
        <v>66500</v>
      </c>
      <c r="O358" s="29" t="str">
        <v>-</v>
      </c>
      <c r="P358" s="29">
        <v>64000</v>
      </c>
      <c r="Q358" s="29">
        <v>64600</v>
      </c>
      <c r="R358" s="29">
        <v>64500</v>
      </c>
      <c r="S358">
        <v>68000</v>
      </c>
      <c r="T358">
        <v>67200</v>
      </c>
      <c r="U358">
        <v>68300</v>
      </c>
      <c r="V358">
        <v>67600</v>
      </c>
      <c r="W358">
        <v>70100</v>
      </c>
    </row>
    <row r="359" spans="1:23">
      <c r="A359" s="30">
        <v>44643</v>
      </c>
      <c r="B359" s="29">
        <v>65400</v>
      </c>
      <c r="C359" s="29">
        <v>66500</v>
      </c>
      <c r="D359" s="29">
        <v>71000</v>
      </c>
      <c r="E359" s="29">
        <v>64700</v>
      </c>
      <c r="F359" s="29">
        <v>69800</v>
      </c>
      <c r="G359" s="29" t="str">
        <v>-</v>
      </c>
      <c r="H359" s="29">
        <v>67000</v>
      </c>
      <c r="I359" s="29">
        <v>67800</v>
      </c>
      <c r="J359" s="29">
        <v>69300</v>
      </c>
      <c r="K359" s="29" t="str">
        <v>-</v>
      </c>
      <c r="L359" s="29">
        <v>66000</v>
      </c>
      <c r="M359" s="29">
        <v>69100</v>
      </c>
      <c r="N359" s="29">
        <v>66500</v>
      </c>
      <c r="O359" s="29" t="str">
        <v>-</v>
      </c>
      <c r="P359" s="29">
        <v>63700</v>
      </c>
      <c r="Q359" s="29">
        <v>64500</v>
      </c>
      <c r="R359" s="29">
        <v>64200</v>
      </c>
      <c r="S359">
        <v>67500</v>
      </c>
      <c r="T359">
        <v>67200</v>
      </c>
      <c r="U359">
        <v>67300</v>
      </c>
      <c r="V359">
        <v>68400</v>
      </c>
      <c r="W359">
        <v>70700</v>
      </c>
    </row>
    <row r="360" spans="1:23">
      <c r="A360" s="30">
        <v>44644</v>
      </c>
      <c r="B360" s="29">
        <v>65400</v>
      </c>
      <c r="C360" s="29">
        <v>66500</v>
      </c>
      <c r="D360" s="29">
        <v>69700</v>
      </c>
      <c r="E360" s="29">
        <v>64800</v>
      </c>
      <c r="F360" s="29">
        <v>69400</v>
      </c>
      <c r="G360" s="29" t="str">
        <v>-</v>
      </c>
      <c r="H360" s="29">
        <v>66500</v>
      </c>
      <c r="I360" s="29">
        <v>67500</v>
      </c>
      <c r="J360" s="29">
        <v>69300</v>
      </c>
      <c r="K360" s="29" t="str">
        <v>-</v>
      </c>
      <c r="L360" s="29">
        <v>66300</v>
      </c>
      <c r="M360" s="29">
        <v>69100</v>
      </c>
      <c r="N360" s="29">
        <v>66500</v>
      </c>
      <c r="O360" s="29" t="str">
        <v>-</v>
      </c>
      <c r="P360" s="29">
        <v>63200</v>
      </c>
      <c r="Q360" s="29">
        <v>64500</v>
      </c>
      <c r="R360" s="29">
        <v>64000</v>
      </c>
      <c r="S360">
        <v>67600</v>
      </c>
      <c r="T360">
        <v>67200</v>
      </c>
      <c r="U360">
        <v>66800</v>
      </c>
      <c r="V360">
        <v>68400</v>
      </c>
      <c r="W360">
        <v>70700</v>
      </c>
    </row>
    <row r="361" spans="1:23">
      <c r="A361" s="30">
        <v>44645</v>
      </c>
      <c r="B361" s="29">
        <v>65200</v>
      </c>
      <c r="C361" s="29">
        <v>66500</v>
      </c>
      <c r="D361" s="29">
        <v>69700</v>
      </c>
      <c r="E361" s="29">
        <v>63200</v>
      </c>
      <c r="F361" s="29">
        <v>68500</v>
      </c>
      <c r="G361" s="29" t="str">
        <v>-</v>
      </c>
      <c r="H361" s="29">
        <v>66500</v>
      </c>
      <c r="I361" s="29">
        <v>67200</v>
      </c>
      <c r="J361" s="29">
        <v>69000</v>
      </c>
      <c r="K361" s="29" t="str">
        <v>-</v>
      </c>
      <c r="L361" s="29">
        <v>65500</v>
      </c>
      <c r="M361" s="29">
        <v>68300</v>
      </c>
      <c r="N361" s="29">
        <v>65200</v>
      </c>
      <c r="O361" s="29" t="str">
        <v>-</v>
      </c>
      <c r="P361" s="29">
        <v>62500</v>
      </c>
      <c r="Q361" s="29">
        <v>63700</v>
      </c>
      <c r="R361" s="29">
        <v>63000</v>
      </c>
      <c r="S361">
        <v>66000</v>
      </c>
      <c r="T361">
        <v>66200</v>
      </c>
      <c r="U361">
        <v>66800</v>
      </c>
      <c r="V361">
        <v>67600</v>
      </c>
      <c r="W361">
        <v>69800</v>
      </c>
    </row>
    <row r="362" spans="1:23">
      <c r="A362" s="30">
        <v>44646</v>
      </c>
      <c r="B362" s="29">
        <v>65200</v>
      </c>
      <c r="C362" s="29">
        <v>66500</v>
      </c>
      <c r="D362" s="29">
        <v>68200</v>
      </c>
      <c r="E362" s="29">
        <v>63200</v>
      </c>
      <c r="F362" s="29">
        <v>67400</v>
      </c>
      <c r="G362" s="29" t="str">
        <v>-</v>
      </c>
      <c r="H362" s="29">
        <v>66500</v>
      </c>
      <c r="I362" s="29">
        <v>66700</v>
      </c>
      <c r="J362" s="29">
        <v>68200</v>
      </c>
      <c r="K362" s="29" t="str">
        <v>-</v>
      </c>
      <c r="L362" s="29">
        <v>65200</v>
      </c>
      <c r="M362" s="29">
        <v>67800</v>
      </c>
      <c r="N362" s="29">
        <v>65200</v>
      </c>
      <c r="O362" s="29" t="str">
        <v>-</v>
      </c>
      <c r="P362" s="29">
        <v>61800</v>
      </c>
      <c r="Q362" s="29">
        <v>62900</v>
      </c>
      <c r="R362" s="29">
        <v>62200</v>
      </c>
      <c r="S362">
        <v>66000</v>
      </c>
      <c r="T362">
        <v>66000</v>
      </c>
      <c r="U362" t="str">
        <v>-</v>
      </c>
      <c r="V362">
        <v>67600</v>
      </c>
      <c r="W362">
        <v>69800</v>
      </c>
    </row>
    <row r="363" spans="1:23">
      <c r="A363" s="30">
        <v>44647</v>
      </c>
      <c r="B363" s="29" t="str">
        <v>H</v>
      </c>
      <c r="C363" s="29" t="str">
        <v>H</v>
      </c>
      <c r="D363" s="29" t="str">
        <v>H</v>
      </c>
      <c r="E363" s="29" t="str">
        <v>H</v>
      </c>
      <c r="F363" s="29" t="str">
        <v>H</v>
      </c>
      <c r="G363" s="29" t="str">
        <v>H</v>
      </c>
      <c r="H363" s="29" t="str">
        <v>H</v>
      </c>
      <c r="I363" s="29" t="str">
        <v>H</v>
      </c>
      <c r="J363" s="29" t="str">
        <v>H</v>
      </c>
      <c r="K363" s="29" t="str">
        <v>H</v>
      </c>
      <c r="L363" s="29" t="str">
        <v>H</v>
      </c>
      <c r="M363" s="29" t="str">
        <v>H</v>
      </c>
      <c r="N363" s="29" t="str">
        <v>H</v>
      </c>
      <c r="O363" s="29" t="str">
        <v>H</v>
      </c>
      <c r="P363" s="29" t="str">
        <v>H</v>
      </c>
      <c r="Q363" s="29" t="str">
        <v>H</v>
      </c>
      <c r="R363" s="29" t="str">
        <v>H</v>
      </c>
      <c r="S363" t="str">
        <v>H</v>
      </c>
      <c r="T363" t="str">
        <v>H</v>
      </c>
      <c r="U363" t="str">
        <v>H</v>
      </c>
      <c r="V363" t="str">
        <v>H</v>
      </c>
      <c r="W363" t="str">
        <v>H</v>
      </c>
    </row>
    <row r="364" spans="1:23">
      <c r="A364" s="30">
        <v>44648</v>
      </c>
      <c r="B364" s="29">
        <v>65200</v>
      </c>
      <c r="C364" s="29">
        <v>66500</v>
      </c>
      <c r="D364" s="29">
        <v>68500</v>
      </c>
      <c r="E364" s="29">
        <v>62500</v>
      </c>
      <c r="F364" s="29">
        <v>66400</v>
      </c>
      <c r="G364" s="29" t="str">
        <v>-</v>
      </c>
      <c r="H364" s="29">
        <v>66000</v>
      </c>
      <c r="I364" s="29">
        <v>66700</v>
      </c>
      <c r="J364" s="29">
        <v>68200</v>
      </c>
      <c r="K364" s="29" t="str">
        <v>-</v>
      </c>
      <c r="L364" s="29">
        <v>65200</v>
      </c>
      <c r="M364" s="29">
        <v>67800</v>
      </c>
      <c r="N364" s="29">
        <v>64500</v>
      </c>
      <c r="O364" s="29" t="str">
        <v>-</v>
      </c>
      <c r="P364" s="29">
        <v>61500</v>
      </c>
      <c r="Q364" s="29">
        <v>62000</v>
      </c>
      <c r="R364" s="29">
        <v>62000</v>
      </c>
      <c r="S364">
        <v>65300</v>
      </c>
      <c r="T364">
        <v>65800</v>
      </c>
      <c r="U364">
        <v>66800</v>
      </c>
      <c r="V364">
        <v>67600</v>
      </c>
      <c r="W364">
        <v>69800</v>
      </c>
    </row>
    <row r="365" spans="1:23">
      <c r="A365" s="30">
        <v>44649</v>
      </c>
      <c r="B365" s="29">
        <v>65200</v>
      </c>
      <c r="C365" s="29">
        <v>66000</v>
      </c>
      <c r="D365" s="29">
        <v>68500</v>
      </c>
      <c r="E365" s="29">
        <v>62000</v>
      </c>
      <c r="F365" s="29">
        <v>66300</v>
      </c>
      <c r="G365" s="29" t="str">
        <v>-</v>
      </c>
      <c r="H365" s="29">
        <v>66000</v>
      </c>
      <c r="I365" s="29">
        <v>66000</v>
      </c>
      <c r="J365" s="29">
        <v>66300</v>
      </c>
      <c r="K365" s="29" t="str">
        <v>-</v>
      </c>
      <c r="L365" s="29">
        <v>64700</v>
      </c>
      <c r="M365" s="29">
        <v>67700</v>
      </c>
      <c r="N365" s="29">
        <v>64500</v>
      </c>
      <c r="O365" s="29" t="str">
        <v>-</v>
      </c>
      <c r="P365" s="29">
        <v>61000</v>
      </c>
      <c r="Q365" s="29">
        <v>61800</v>
      </c>
      <c r="R365" s="29">
        <v>62000</v>
      </c>
      <c r="S365">
        <v>64800</v>
      </c>
      <c r="T365">
        <v>64800</v>
      </c>
      <c r="U365">
        <v>66300</v>
      </c>
      <c r="V365">
        <v>67100</v>
      </c>
      <c r="W365">
        <v>69300</v>
      </c>
    </row>
    <row r="366" spans="1:23">
      <c r="A366" s="30">
        <v>44650</v>
      </c>
      <c r="B366" s="29">
        <v>65100</v>
      </c>
      <c r="C366" s="29">
        <v>66000</v>
      </c>
      <c r="D366" s="29">
        <v>67700</v>
      </c>
      <c r="E366" s="29">
        <v>61500</v>
      </c>
      <c r="F366" s="29">
        <v>65900</v>
      </c>
      <c r="G366" s="29" t="str">
        <v>-</v>
      </c>
      <c r="H366" s="29">
        <v>65500</v>
      </c>
      <c r="I366" s="29">
        <v>65600</v>
      </c>
      <c r="J366" s="29">
        <v>66300</v>
      </c>
      <c r="K366" s="29" t="str">
        <v>-</v>
      </c>
      <c r="L366" s="29">
        <v>64700</v>
      </c>
      <c r="M366" s="29">
        <v>67700</v>
      </c>
      <c r="N366" s="29">
        <v>63800</v>
      </c>
      <c r="O366" s="29" t="str">
        <v>-</v>
      </c>
      <c r="P366" s="29">
        <v>61000</v>
      </c>
      <c r="Q366" s="29">
        <v>61700</v>
      </c>
      <c r="R366" s="29">
        <v>61800</v>
      </c>
      <c r="S366">
        <v>64300</v>
      </c>
      <c r="T366">
        <v>64500</v>
      </c>
      <c r="U366">
        <v>66300</v>
      </c>
      <c r="V366">
        <v>66800</v>
      </c>
      <c r="W366">
        <v>69000</v>
      </c>
    </row>
    <row r="367" spans="1:23">
      <c r="A367" s="30">
        <v>44651</v>
      </c>
      <c r="B367" s="29">
        <v>65000</v>
      </c>
      <c r="C367" s="29">
        <v>65500</v>
      </c>
      <c r="D367" s="29">
        <v>66700</v>
      </c>
      <c r="E367" s="29">
        <v>61300</v>
      </c>
      <c r="F367" s="29">
        <v>65600</v>
      </c>
      <c r="G367" s="29" t="str">
        <v>-</v>
      </c>
      <c r="H367" s="29">
        <v>65000</v>
      </c>
      <c r="I367" s="29">
        <v>64600</v>
      </c>
      <c r="J367" s="29">
        <v>66000</v>
      </c>
      <c r="K367" s="29" t="str">
        <v>-</v>
      </c>
      <c r="L367" s="29">
        <v>64100</v>
      </c>
      <c r="M367" s="29">
        <v>66800</v>
      </c>
      <c r="N367" s="29">
        <v>63500</v>
      </c>
      <c r="O367" s="29" t="str">
        <v>-</v>
      </c>
      <c r="P367" s="29">
        <v>60000</v>
      </c>
      <c r="Q367" s="29">
        <v>61000</v>
      </c>
      <c r="R367" s="29">
        <v>61000</v>
      </c>
      <c r="S367">
        <v>64100</v>
      </c>
      <c r="T367">
        <v>63000</v>
      </c>
      <c r="U367">
        <v>65300</v>
      </c>
      <c r="V367">
        <v>66800</v>
      </c>
      <c r="W367">
        <v>69000</v>
      </c>
    </row>
    <row r="368" spans="1:23">
      <c r="A368" s="30">
        <v>44652</v>
      </c>
      <c r="B368" s="29">
        <v>65600</v>
      </c>
      <c r="C368" s="29">
        <v>65500</v>
      </c>
      <c r="D368" s="29">
        <v>66700</v>
      </c>
      <c r="E368" s="29">
        <v>62000</v>
      </c>
      <c r="F368" s="29">
        <v>66500</v>
      </c>
      <c r="G368" s="29" t="str">
        <v>-</v>
      </c>
      <c r="H368" s="29">
        <v>65000</v>
      </c>
      <c r="I368" s="29">
        <v>64700</v>
      </c>
      <c r="J368" s="29">
        <v>66300</v>
      </c>
      <c r="K368" s="29" t="str">
        <v>-</v>
      </c>
      <c r="L368" s="29">
        <v>64100</v>
      </c>
      <c r="M368" s="29">
        <v>66800</v>
      </c>
      <c r="N368" s="29">
        <v>64000</v>
      </c>
      <c r="O368" s="29" t="str">
        <v>-</v>
      </c>
      <c r="P368" s="29">
        <v>61500</v>
      </c>
      <c r="Q368" s="29">
        <v>61200</v>
      </c>
      <c r="R368" s="29">
        <v>62000</v>
      </c>
      <c r="S368">
        <v>64800</v>
      </c>
      <c r="T368">
        <v>63500</v>
      </c>
      <c r="U368">
        <v>65800</v>
      </c>
      <c r="V368">
        <v>66800</v>
      </c>
      <c r="W368">
        <v>69000</v>
      </c>
    </row>
    <row r="369" spans="1:23">
      <c r="A369" s="30">
        <v>44653</v>
      </c>
      <c r="B369" s="29">
        <v>65600</v>
      </c>
      <c r="C369" s="29">
        <v>66200</v>
      </c>
      <c r="D369" s="29">
        <v>66400</v>
      </c>
      <c r="E369" s="29">
        <v>62300</v>
      </c>
      <c r="F369" s="29">
        <v>67300</v>
      </c>
      <c r="G369" s="29" t="str">
        <v>-</v>
      </c>
      <c r="H369" s="29">
        <v>65000</v>
      </c>
      <c r="I369" s="29">
        <v>64500</v>
      </c>
      <c r="J369" s="29">
        <v>66300</v>
      </c>
      <c r="K369" s="29" t="str">
        <v>-</v>
      </c>
      <c r="L369" s="29">
        <v>63800</v>
      </c>
      <c r="M369" s="29">
        <v>66800</v>
      </c>
      <c r="N369" s="29">
        <v>63500</v>
      </c>
      <c r="O369" s="29" t="str">
        <v>-</v>
      </c>
      <c r="P369" s="29">
        <v>61000</v>
      </c>
      <c r="Q369" s="29">
        <v>61300</v>
      </c>
      <c r="R369" s="29">
        <v>61600</v>
      </c>
      <c r="S369">
        <v>65100</v>
      </c>
      <c r="T369">
        <v>63600</v>
      </c>
      <c r="U369">
        <v>65800</v>
      </c>
      <c r="V369">
        <v>66800</v>
      </c>
      <c r="W369">
        <v>69000</v>
      </c>
    </row>
    <row r="370" spans="1:23">
      <c r="A370" s="30">
        <v>44654</v>
      </c>
      <c r="B370" s="29" t="str">
        <v>H</v>
      </c>
      <c r="C370" s="29" t="str">
        <v>H</v>
      </c>
      <c r="D370" s="29" t="str">
        <v>H</v>
      </c>
      <c r="E370" s="29" t="str">
        <v>H</v>
      </c>
      <c r="F370" s="29" t="str">
        <v>H</v>
      </c>
      <c r="G370" s="29" t="str">
        <v>H</v>
      </c>
      <c r="H370" s="29" t="str">
        <v>H</v>
      </c>
      <c r="I370" s="29" t="str">
        <v>H</v>
      </c>
      <c r="J370" s="29" t="str">
        <v>H</v>
      </c>
      <c r="K370" s="29" t="str">
        <v>H</v>
      </c>
      <c r="L370" s="29" t="str">
        <v>H</v>
      </c>
      <c r="M370" s="29" t="str">
        <v>H</v>
      </c>
      <c r="N370" s="29" t="str">
        <v>H</v>
      </c>
      <c r="O370" s="29" t="str">
        <v>H</v>
      </c>
      <c r="P370" s="29" t="str">
        <v>H</v>
      </c>
      <c r="Q370" s="29" t="str">
        <v>H</v>
      </c>
      <c r="R370" s="29" t="str">
        <v>H</v>
      </c>
      <c r="S370" t="str">
        <v>H</v>
      </c>
      <c r="T370" t="str">
        <v>H</v>
      </c>
      <c r="U370" t="str">
        <v>H</v>
      </c>
      <c r="V370" t="str">
        <v>H</v>
      </c>
      <c r="W370" t="str">
        <v>H</v>
      </c>
    </row>
    <row r="371" spans="1:23">
      <c r="A371" s="30">
        <v>44655</v>
      </c>
      <c r="B371" s="29">
        <v>65600</v>
      </c>
      <c r="C371" s="29">
        <v>67000</v>
      </c>
      <c r="D371" s="29">
        <v>66400</v>
      </c>
      <c r="E371" s="29">
        <v>61800</v>
      </c>
      <c r="F371" s="29">
        <v>67400</v>
      </c>
      <c r="G371" s="29" t="str">
        <v>-</v>
      </c>
      <c r="H371" s="29">
        <v>64500</v>
      </c>
      <c r="I371" s="29">
        <v>63900</v>
      </c>
      <c r="J371" s="29">
        <v>66300</v>
      </c>
      <c r="K371" s="29" t="str">
        <v>-</v>
      </c>
      <c r="L371" s="29">
        <v>63600</v>
      </c>
      <c r="M371" s="29">
        <v>66800</v>
      </c>
      <c r="N371" s="29">
        <v>63500</v>
      </c>
      <c r="O371" s="29" t="str">
        <v>-</v>
      </c>
      <c r="P371" s="29">
        <v>61000</v>
      </c>
      <c r="Q371" s="29">
        <v>61300</v>
      </c>
      <c r="R371" s="29">
        <v>61200</v>
      </c>
      <c r="S371">
        <v>64600</v>
      </c>
      <c r="T371">
        <v>63700</v>
      </c>
      <c r="U371">
        <v>65800</v>
      </c>
      <c r="V371">
        <v>66800</v>
      </c>
      <c r="W371">
        <v>69000</v>
      </c>
    </row>
    <row r="372" spans="1:23">
      <c r="A372" s="30">
        <v>44656</v>
      </c>
      <c r="B372" s="29">
        <v>65300</v>
      </c>
      <c r="C372" s="29">
        <v>67000</v>
      </c>
      <c r="D372" s="29">
        <v>65200</v>
      </c>
      <c r="E372" s="29">
        <v>61000</v>
      </c>
      <c r="F372" s="29">
        <v>66700</v>
      </c>
      <c r="G372" s="29" t="str">
        <v>-</v>
      </c>
      <c r="H372" s="29">
        <v>64500</v>
      </c>
      <c r="I372" s="29">
        <v>63700</v>
      </c>
      <c r="J372" s="29">
        <v>65200</v>
      </c>
      <c r="K372" s="29" t="str">
        <v>-</v>
      </c>
      <c r="L372" s="29">
        <v>63600</v>
      </c>
      <c r="M372" s="29">
        <v>66800</v>
      </c>
      <c r="N372" s="29">
        <v>62700</v>
      </c>
      <c r="O372" s="29" t="str">
        <v>-</v>
      </c>
      <c r="P372" s="29">
        <v>60000</v>
      </c>
      <c r="Q372" s="29">
        <v>60500</v>
      </c>
      <c r="R372" s="29">
        <v>60800</v>
      </c>
      <c r="S372">
        <v>63800</v>
      </c>
      <c r="T372">
        <v>63000</v>
      </c>
      <c r="U372">
        <v>65300</v>
      </c>
      <c r="V372">
        <v>66400</v>
      </c>
      <c r="W372">
        <v>68800</v>
      </c>
    </row>
    <row r="373" spans="1:23">
      <c r="A373" s="30">
        <v>44657</v>
      </c>
      <c r="B373" s="29">
        <v>65200</v>
      </c>
      <c r="C373" s="29">
        <v>66500</v>
      </c>
      <c r="D373" s="29">
        <v>64200</v>
      </c>
      <c r="E373" s="29">
        <v>60000</v>
      </c>
      <c r="F373" s="29">
        <v>65400</v>
      </c>
      <c r="G373" s="29" t="str">
        <v>-</v>
      </c>
      <c r="H373" s="29">
        <v>64000</v>
      </c>
      <c r="I373" s="29">
        <v>63100</v>
      </c>
      <c r="J373" s="29">
        <v>64200</v>
      </c>
      <c r="K373" s="29" t="str">
        <v>-</v>
      </c>
      <c r="L373" s="29">
        <v>63000</v>
      </c>
      <c r="M373" s="29">
        <v>65800</v>
      </c>
      <c r="N373" s="29">
        <v>60600</v>
      </c>
      <c r="O373" s="29" t="str">
        <v>-</v>
      </c>
      <c r="P373" s="29">
        <v>59500</v>
      </c>
      <c r="Q373" s="29">
        <v>59700</v>
      </c>
      <c r="R373" s="29">
        <v>59600</v>
      </c>
      <c r="S373">
        <v>62800</v>
      </c>
      <c r="T373">
        <v>63000</v>
      </c>
      <c r="U373">
        <v>64800</v>
      </c>
      <c r="V373">
        <v>65700</v>
      </c>
      <c r="W373">
        <v>68200</v>
      </c>
    </row>
    <row r="374" spans="1:23">
      <c r="A374" s="30">
        <v>44658</v>
      </c>
      <c r="B374" s="29">
        <v>64900</v>
      </c>
      <c r="C374" s="29">
        <v>66500</v>
      </c>
      <c r="D374" s="29">
        <v>64200</v>
      </c>
      <c r="E374" s="29">
        <v>60500</v>
      </c>
      <c r="F374" s="29">
        <v>64300</v>
      </c>
      <c r="G374" s="29" t="str">
        <v>-</v>
      </c>
      <c r="H374" s="29">
        <v>64000</v>
      </c>
      <c r="I374" s="29">
        <v>62700</v>
      </c>
      <c r="J374" s="29">
        <v>63300</v>
      </c>
      <c r="K374" s="29" t="str">
        <v>-</v>
      </c>
      <c r="L374" s="29">
        <v>62600</v>
      </c>
      <c r="M374" s="29">
        <v>64800</v>
      </c>
      <c r="N374" s="29">
        <v>60600</v>
      </c>
      <c r="O374" s="29" t="str">
        <v>-</v>
      </c>
      <c r="P374" s="29">
        <v>59700</v>
      </c>
      <c r="Q374" s="29">
        <v>59700</v>
      </c>
      <c r="R374" s="29">
        <v>58900</v>
      </c>
      <c r="S374">
        <v>63300</v>
      </c>
      <c r="T374">
        <v>62800</v>
      </c>
      <c r="U374" t="str">
        <v>-</v>
      </c>
      <c r="V374">
        <v>65700</v>
      </c>
      <c r="W374">
        <v>68200</v>
      </c>
    </row>
    <row r="375" spans="1:23">
      <c r="A375" s="30">
        <v>44659</v>
      </c>
      <c r="B375" s="29">
        <v>64900</v>
      </c>
      <c r="C375" s="29">
        <v>66000</v>
      </c>
      <c r="D375" s="29">
        <v>63800</v>
      </c>
      <c r="E375" s="29">
        <v>60000</v>
      </c>
      <c r="F375" s="29">
        <v>64100</v>
      </c>
      <c r="G375" s="29" t="str">
        <v>-</v>
      </c>
      <c r="H375" s="29">
        <v>63500</v>
      </c>
      <c r="I375" s="29">
        <v>62100</v>
      </c>
      <c r="J375" s="29">
        <v>63300</v>
      </c>
      <c r="K375" s="29" t="str">
        <v>-</v>
      </c>
      <c r="L375" s="29">
        <v>62000</v>
      </c>
      <c r="M375" s="29">
        <v>64800</v>
      </c>
      <c r="N375" s="29">
        <v>60200</v>
      </c>
      <c r="O375" s="29" t="str">
        <v>-</v>
      </c>
      <c r="P375" s="29">
        <v>59200</v>
      </c>
      <c r="Q375" s="29">
        <v>59100</v>
      </c>
      <c r="R375" s="29">
        <v>58800</v>
      </c>
      <c r="S375">
        <v>62800</v>
      </c>
      <c r="T375">
        <v>61800</v>
      </c>
      <c r="U375">
        <v>63800</v>
      </c>
      <c r="V375">
        <v>65700</v>
      </c>
      <c r="W375">
        <v>68200</v>
      </c>
    </row>
    <row r="376" spans="1:23">
      <c r="A376" s="30">
        <v>44660</v>
      </c>
      <c r="B376" s="29">
        <v>64600</v>
      </c>
      <c r="C376" s="29">
        <v>65000</v>
      </c>
      <c r="D376" s="29">
        <v>62700</v>
      </c>
      <c r="E376" s="29">
        <v>59700</v>
      </c>
      <c r="F376" s="29">
        <v>64100</v>
      </c>
      <c r="G376" s="29" t="str">
        <v>-</v>
      </c>
      <c r="H376" s="29">
        <v>63000</v>
      </c>
      <c r="I376" s="29">
        <v>61900</v>
      </c>
      <c r="J376" s="29">
        <v>63300</v>
      </c>
      <c r="K376" s="29" t="str">
        <v>-</v>
      </c>
      <c r="L376" s="29">
        <v>62000</v>
      </c>
      <c r="M376" s="29">
        <v>64800</v>
      </c>
      <c r="N376" s="29">
        <v>60400</v>
      </c>
      <c r="O376" s="29" t="str">
        <v>-</v>
      </c>
      <c r="P376" s="29">
        <v>58800</v>
      </c>
      <c r="Q376" s="29">
        <v>59100</v>
      </c>
      <c r="R376" s="29">
        <v>58600</v>
      </c>
      <c r="S376">
        <v>62500</v>
      </c>
      <c r="T376">
        <v>61800</v>
      </c>
      <c r="U376">
        <v>63800</v>
      </c>
      <c r="V376">
        <v>65700</v>
      </c>
      <c r="W376">
        <v>68200</v>
      </c>
    </row>
    <row r="377" spans="1:23">
      <c r="A377" s="30">
        <v>44661</v>
      </c>
      <c r="B377" s="29" t="str">
        <v>H</v>
      </c>
      <c r="C377" s="29" t="str">
        <v>H</v>
      </c>
      <c r="D377" s="29" t="str">
        <v>H</v>
      </c>
      <c r="E377" s="29" t="str">
        <v>H</v>
      </c>
      <c r="F377" s="29" t="str">
        <v>H</v>
      </c>
      <c r="G377" s="29" t="str">
        <v>H</v>
      </c>
      <c r="H377" s="29" t="str">
        <v>H</v>
      </c>
      <c r="I377" s="29" t="str">
        <v>H</v>
      </c>
      <c r="J377" s="29" t="str">
        <v>H</v>
      </c>
      <c r="K377" s="29" t="str">
        <v>H</v>
      </c>
      <c r="L377" s="29" t="str">
        <v>H</v>
      </c>
      <c r="M377" s="29" t="str">
        <v>H</v>
      </c>
      <c r="N377" s="29" t="str">
        <v>H</v>
      </c>
      <c r="O377" s="29" t="str">
        <v>H</v>
      </c>
      <c r="P377" s="29" t="str">
        <v>H</v>
      </c>
      <c r="Q377" s="29" t="str">
        <v>H</v>
      </c>
      <c r="R377" s="29" t="str">
        <v>H</v>
      </c>
      <c r="S377" t="str">
        <v>H</v>
      </c>
      <c r="T377" t="str">
        <v>H</v>
      </c>
      <c r="U377" t="str">
        <v>H</v>
      </c>
      <c r="V377" t="str">
        <v>H</v>
      </c>
      <c r="W377" t="str">
        <v>H</v>
      </c>
    </row>
    <row r="378" spans="1:23">
      <c r="A378" s="30">
        <v>44662</v>
      </c>
      <c r="B378" s="29">
        <v>64300</v>
      </c>
      <c r="C378" s="29">
        <v>64800</v>
      </c>
      <c r="D378" s="29">
        <v>61200</v>
      </c>
      <c r="E378" s="29">
        <v>58700</v>
      </c>
      <c r="F378" s="29">
        <v>63700</v>
      </c>
      <c r="G378" s="29" t="str">
        <v>-</v>
      </c>
      <c r="H378" s="29">
        <v>62000</v>
      </c>
      <c r="I378" s="29">
        <v>60800</v>
      </c>
      <c r="J378" s="29">
        <v>62200</v>
      </c>
      <c r="K378" s="29" t="str">
        <v>-</v>
      </c>
      <c r="L378" s="29">
        <v>61100</v>
      </c>
      <c r="M378" s="29">
        <v>63800</v>
      </c>
      <c r="N378" s="29">
        <v>58700</v>
      </c>
      <c r="O378" s="29" t="str">
        <v>-</v>
      </c>
      <c r="P378" s="29">
        <v>57500</v>
      </c>
      <c r="Q378" s="29">
        <v>58000</v>
      </c>
      <c r="R378" s="29">
        <v>57800</v>
      </c>
      <c r="S378">
        <v>61500</v>
      </c>
      <c r="T378">
        <v>61000</v>
      </c>
      <c r="U378">
        <v>63000</v>
      </c>
      <c r="V378">
        <v>65200</v>
      </c>
      <c r="W378">
        <v>67700</v>
      </c>
    </row>
    <row r="379" spans="1:23">
      <c r="A379" s="30">
        <v>44663</v>
      </c>
      <c r="B379" s="29">
        <v>64100</v>
      </c>
      <c r="C379" s="29">
        <v>64000</v>
      </c>
      <c r="D379" s="29">
        <v>60500</v>
      </c>
      <c r="E379" s="29">
        <v>58300</v>
      </c>
      <c r="F379" s="29">
        <v>62300</v>
      </c>
      <c r="G379" s="29" t="str">
        <v>-</v>
      </c>
      <c r="H379" s="29">
        <v>61500</v>
      </c>
      <c r="I379" s="29">
        <v>59800</v>
      </c>
      <c r="J379" s="29">
        <v>60500</v>
      </c>
      <c r="K379" s="29" t="str">
        <v>-</v>
      </c>
      <c r="L379" s="29">
        <v>60000</v>
      </c>
      <c r="M379" s="29">
        <v>62300</v>
      </c>
      <c r="N379" s="29">
        <v>58000</v>
      </c>
      <c r="O379" s="29" t="str">
        <v>-</v>
      </c>
      <c r="P379" s="29">
        <v>57000</v>
      </c>
      <c r="Q379" s="29">
        <v>58400</v>
      </c>
      <c r="R379" s="29">
        <v>57300</v>
      </c>
      <c r="S379">
        <v>61100</v>
      </c>
      <c r="T379">
        <v>60800</v>
      </c>
      <c r="U379">
        <v>62300</v>
      </c>
      <c r="V379">
        <v>64800</v>
      </c>
      <c r="W379">
        <v>67200</v>
      </c>
    </row>
    <row r="380" spans="1:23">
      <c r="A380" s="30">
        <v>44664</v>
      </c>
      <c r="B380" s="29">
        <v>64600</v>
      </c>
      <c r="C380" s="29">
        <v>64500</v>
      </c>
      <c r="D380" s="29">
        <v>61500</v>
      </c>
      <c r="E380" s="29">
        <v>59700</v>
      </c>
      <c r="F380" s="29">
        <v>62600</v>
      </c>
      <c r="G380" s="29" t="str">
        <v>-</v>
      </c>
      <c r="H380" s="29">
        <v>62000</v>
      </c>
      <c r="I380" s="29">
        <v>60800</v>
      </c>
      <c r="J380" s="29">
        <v>61700</v>
      </c>
      <c r="K380" s="29" t="str">
        <v>-</v>
      </c>
      <c r="L380" s="29">
        <v>61000</v>
      </c>
      <c r="M380" s="29">
        <v>63100</v>
      </c>
      <c r="N380" s="29">
        <v>60000</v>
      </c>
      <c r="O380" s="29" t="str">
        <v>-</v>
      </c>
      <c r="P380" s="29">
        <v>59000</v>
      </c>
      <c r="Q380" s="29">
        <v>59100</v>
      </c>
      <c r="R380" s="29">
        <v>58500</v>
      </c>
      <c r="S380">
        <v>62500</v>
      </c>
      <c r="T380">
        <v>61700</v>
      </c>
      <c r="U380">
        <v>62800</v>
      </c>
      <c r="V380">
        <v>64800</v>
      </c>
      <c r="W380">
        <v>67200</v>
      </c>
    </row>
    <row r="381" spans="1:23">
      <c r="A381" s="30">
        <v>44665</v>
      </c>
      <c r="B381" s="29">
        <v>64900</v>
      </c>
      <c r="C381" s="29">
        <v>65000</v>
      </c>
      <c r="D381" s="29">
        <v>61500</v>
      </c>
      <c r="E381" s="29">
        <v>59700</v>
      </c>
      <c r="F381" s="29">
        <v>63000</v>
      </c>
      <c r="G381" s="29" t="str">
        <v>-</v>
      </c>
      <c r="H381" s="29">
        <v>62000</v>
      </c>
      <c r="I381" s="29">
        <v>61400</v>
      </c>
      <c r="J381" s="29">
        <v>61700</v>
      </c>
      <c r="K381" s="29" t="str">
        <v>-</v>
      </c>
      <c r="L381" s="29">
        <v>61500</v>
      </c>
      <c r="M381" s="29">
        <v>63400</v>
      </c>
      <c r="N381" s="29">
        <v>60000</v>
      </c>
      <c r="O381" s="29" t="str">
        <v>-</v>
      </c>
      <c r="P381" s="29">
        <v>59200</v>
      </c>
      <c r="Q381" s="29">
        <v>59500</v>
      </c>
      <c r="R381" s="29">
        <v>59000</v>
      </c>
      <c r="S381">
        <v>62500</v>
      </c>
      <c r="T381">
        <v>62000</v>
      </c>
      <c r="U381">
        <v>62800</v>
      </c>
      <c r="V381">
        <v>64500</v>
      </c>
      <c r="W381">
        <v>67000</v>
      </c>
    </row>
    <row r="382" spans="1:23">
      <c r="A382" s="30">
        <v>44666</v>
      </c>
      <c r="B382" s="29">
        <v>65500</v>
      </c>
      <c r="C382" s="29">
        <v>66000</v>
      </c>
      <c r="D382" s="29">
        <v>62000</v>
      </c>
      <c r="E382" s="29">
        <v>61500</v>
      </c>
      <c r="F382" s="29">
        <v>63400</v>
      </c>
      <c r="G382" s="29" t="str">
        <v>-</v>
      </c>
      <c r="H382" s="29">
        <v>63500</v>
      </c>
      <c r="I382" s="29">
        <v>62500</v>
      </c>
      <c r="J382" s="29">
        <v>63200</v>
      </c>
      <c r="K382" s="29" t="str">
        <v>-</v>
      </c>
      <c r="L382" s="29">
        <v>63000</v>
      </c>
      <c r="M382" s="29">
        <v>64400</v>
      </c>
      <c r="N382" s="29">
        <v>62500</v>
      </c>
      <c r="O382" s="29" t="str">
        <v>-</v>
      </c>
      <c r="P382" s="29">
        <v>61000</v>
      </c>
      <c r="Q382" s="29">
        <v>60600</v>
      </c>
      <c r="R382" s="29">
        <v>60500</v>
      </c>
      <c r="S382">
        <v>64500</v>
      </c>
      <c r="T382">
        <v>62800</v>
      </c>
      <c r="U382">
        <v>63800</v>
      </c>
      <c r="V382">
        <v>64800</v>
      </c>
      <c r="W382">
        <v>67400</v>
      </c>
    </row>
    <row r="383" spans="1:23">
      <c r="A383" s="30">
        <v>44667</v>
      </c>
      <c r="B383" s="29">
        <v>65500</v>
      </c>
      <c r="C383" s="29">
        <v>66000</v>
      </c>
      <c r="D383" s="29">
        <v>64700</v>
      </c>
      <c r="E383" s="29">
        <v>61500</v>
      </c>
      <c r="F383" s="29">
        <v>64100</v>
      </c>
      <c r="G383" s="29" t="str">
        <v>-</v>
      </c>
      <c r="H383" s="29">
        <v>64500</v>
      </c>
      <c r="I383" s="29">
        <v>64000</v>
      </c>
      <c r="J383" s="29">
        <v>63200</v>
      </c>
      <c r="K383" s="29" t="str">
        <v>-</v>
      </c>
      <c r="L383" s="29">
        <v>64500</v>
      </c>
      <c r="M383" s="29">
        <v>64400</v>
      </c>
      <c r="N383" s="29">
        <v>63000</v>
      </c>
      <c r="O383" s="29" t="str">
        <v>-</v>
      </c>
      <c r="P383" s="29">
        <v>60500</v>
      </c>
      <c r="Q383" s="29">
        <v>60800</v>
      </c>
      <c r="R383" s="29">
        <v>61500</v>
      </c>
      <c r="S383">
        <v>64500</v>
      </c>
      <c r="T383">
        <v>63400</v>
      </c>
      <c r="U383">
        <v>64800</v>
      </c>
      <c r="V383">
        <v>65200</v>
      </c>
      <c r="W383">
        <v>67800</v>
      </c>
    </row>
    <row r="384" spans="1:23">
      <c r="A384" s="30">
        <v>44668</v>
      </c>
      <c r="B384" s="29" t="str">
        <v>H</v>
      </c>
      <c r="C384" s="29" t="str">
        <v>H</v>
      </c>
      <c r="D384" s="29" t="str">
        <v>H</v>
      </c>
      <c r="E384" s="29" t="str">
        <v>H</v>
      </c>
      <c r="F384" s="29" t="str">
        <v>H</v>
      </c>
      <c r="G384" s="29" t="str">
        <v>H</v>
      </c>
      <c r="H384" s="29" t="str">
        <v>H</v>
      </c>
      <c r="I384" s="29" t="str">
        <v>H</v>
      </c>
      <c r="J384" s="29" t="str">
        <v>H</v>
      </c>
      <c r="K384" s="29" t="str">
        <v>H</v>
      </c>
      <c r="L384" s="29" t="str">
        <v>H</v>
      </c>
      <c r="M384" s="29" t="str">
        <v>H</v>
      </c>
      <c r="N384" s="29" t="str">
        <v>H</v>
      </c>
      <c r="O384" s="29" t="str">
        <v>H</v>
      </c>
      <c r="P384" s="29" t="str">
        <v>H</v>
      </c>
      <c r="Q384" s="29" t="str">
        <v>H</v>
      </c>
      <c r="R384" s="29" t="str">
        <v>H</v>
      </c>
      <c r="S384" t="str">
        <v>H</v>
      </c>
      <c r="T384" t="str">
        <v>H</v>
      </c>
      <c r="U384" t="str">
        <v>H</v>
      </c>
      <c r="V384" t="str">
        <v>H</v>
      </c>
      <c r="W384" t="str">
        <v>H</v>
      </c>
    </row>
    <row r="385" spans="1:23">
      <c r="A385" s="30">
        <v>44669</v>
      </c>
      <c r="B385" s="29">
        <v>66700</v>
      </c>
      <c r="C385" s="29">
        <v>67000</v>
      </c>
      <c r="D385" s="29">
        <v>66800</v>
      </c>
      <c r="E385" s="29">
        <v>63300</v>
      </c>
      <c r="F385" s="29">
        <v>66700</v>
      </c>
      <c r="G385" s="29" t="str">
        <v>-</v>
      </c>
      <c r="H385" s="29">
        <v>65000</v>
      </c>
      <c r="I385" s="29">
        <v>65900</v>
      </c>
      <c r="J385" s="29">
        <v>65200</v>
      </c>
      <c r="K385" s="29" t="str">
        <v>-</v>
      </c>
      <c r="L385" s="29">
        <v>65600</v>
      </c>
      <c r="M385" s="29">
        <v>66100</v>
      </c>
      <c r="N385" s="29">
        <v>65500</v>
      </c>
      <c r="O385" s="29" t="str">
        <v>-</v>
      </c>
      <c r="P385" s="29">
        <v>62500</v>
      </c>
      <c r="Q385" s="29">
        <v>63200</v>
      </c>
      <c r="R385" s="29">
        <v>63000</v>
      </c>
      <c r="S385">
        <v>66000</v>
      </c>
      <c r="T385">
        <v>66000</v>
      </c>
      <c r="U385">
        <v>66300</v>
      </c>
      <c r="V385">
        <v>66300</v>
      </c>
      <c r="W385">
        <v>68900</v>
      </c>
    </row>
    <row r="386" spans="1:23">
      <c r="A386" s="30">
        <v>44670</v>
      </c>
      <c r="B386" s="29">
        <v>66700</v>
      </c>
      <c r="C386" s="29">
        <v>67000</v>
      </c>
      <c r="D386" s="29">
        <v>66800</v>
      </c>
      <c r="E386" s="29">
        <v>62800</v>
      </c>
      <c r="F386" s="29">
        <v>66700</v>
      </c>
      <c r="G386" s="29" t="str">
        <v>-</v>
      </c>
      <c r="H386" s="29">
        <v>64500</v>
      </c>
      <c r="I386" s="29">
        <v>66500</v>
      </c>
      <c r="J386" s="29">
        <v>65200</v>
      </c>
      <c r="K386" s="29" t="str">
        <v>-</v>
      </c>
      <c r="L386" s="29">
        <v>66400</v>
      </c>
      <c r="M386" s="29">
        <v>66300</v>
      </c>
      <c r="N386" s="29">
        <v>64800</v>
      </c>
      <c r="O386" s="29" t="str">
        <v>-</v>
      </c>
      <c r="P386" s="29">
        <v>62500</v>
      </c>
      <c r="Q386" s="29">
        <v>63200</v>
      </c>
      <c r="R386" s="29">
        <v>62900</v>
      </c>
      <c r="S386">
        <v>65600</v>
      </c>
      <c r="T386">
        <v>66000</v>
      </c>
      <c r="U386">
        <v>66300</v>
      </c>
      <c r="V386">
        <v>66300</v>
      </c>
      <c r="W386">
        <v>68900</v>
      </c>
    </row>
    <row r="387" spans="1:23">
      <c r="A387" s="30">
        <v>44671</v>
      </c>
      <c r="B387" s="29">
        <v>66000</v>
      </c>
      <c r="C387" s="29">
        <v>66000</v>
      </c>
      <c r="D387" s="29">
        <v>66700</v>
      </c>
      <c r="E387" s="29">
        <v>62300</v>
      </c>
      <c r="F387" s="29">
        <v>66300</v>
      </c>
      <c r="G387" s="29" t="str">
        <v>-</v>
      </c>
      <c r="H387" s="29">
        <v>64500</v>
      </c>
      <c r="I387" s="29">
        <v>66300</v>
      </c>
      <c r="J387" s="29">
        <v>65200</v>
      </c>
      <c r="K387" s="29" t="str">
        <v>-</v>
      </c>
      <c r="L387" s="29">
        <v>66000</v>
      </c>
      <c r="M387" s="29">
        <v>66300</v>
      </c>
      <c r="N387" s="29">
        <v>64300</v>
      </c>
      <c r="O387" s="29" t="str">
        <v>-</v>
      </c>
      <c r="P387" s="29">
        <v>61500</v>
      </c>
      <c r="Q387" s="29">
        <v>63200</v>
      </c>
      <c r="R387" s="29">
        <v>62200</v>
      </c>
      <c r="S387">
        <v>65000</v>
      </c>
      <c r="T387">
        <v>66000</v>
      </c>
      <c r="U387">
        <v>65800</v>
      </c>
      <c r="V387">
        <v>66300</v>
      </c>
      <c r="W387">
        <v>68900</v>
      </c>
    </row>
    <row r="388" spans="1:23">
      <c r="A388" s="30">
        <v>44672</v>
      </c>
      <c r="B388" s="29">
        <v>66000</v>
      </c>
      <c r="C388" s="29">
        <v>66000</v>
      </c>
      <c r="D388" s="29">
        <v>66700</v>
      </c>
      <c r="E388" s="29">
        <v>61800</v>
      </c>
      <c r="F388" s="29">
        <v>66300</v>
      </c>
      <c r="G388" s="29" t="str">
        <v>-</v>
      </c>
      <c r="H388" s="29">
        <v>64500</v>
      </c>
      <c r="I388" s="29">
        <v>66300</v>
      </c>
      <c r="J388" s="29">
        <v>65200</v>
      </c>
      <c r="K388" s="29" t="str">
        <v>-</v>
      </c>
      <c r="L388" s="29">
        <v>66000</v>
      </c>
      <c r="M388" s="29">
        <v>66300</v>
      </c>
      <c r="N388" s="29">
        <v>64300</v>
      </c>
      <c r="O388" s="29" t="str">
        <v>-</v>
      </c>
      <c r="P388" s="29">
        <v>61800</v>
      </c>
      <c r="Q388" s="29">
        <v>63000</v>
      </c>
      <c r="R388" s="29">
        <v>62400</v>
      </c>
      <c r="S388">
        <v>64800</v>
      </c>
      <c r="T388">
        <v>65300</v>
      </c>
      <c r="U388">
        <v>65800</v>
      </c>
      <c r="V388">
        <v>66300</v>
      </c>
      <c r="W388">
        <v>68900</v>
      </c>
    </row>
    <row r="389" spans="1:23">
      <c r="A389" s="30">
        <v>44673</v>
      </c>
      <c r="B389" s="29">
        <v>65300</v>
      </c>
      <c r="C389" s="29">
        <v>65500</v>
      </c>
      <c r="D389" s="29">
        <v>66700</v>
      </c>
      <c r="E389" s="29">
        <v>60500</v>
      </c>
      <c r="F389" s="29">
        <v>66200</v>
      </c>
      <c r="G389" s="29" t="str">
        <v>-</v>
      </c>
      <c r="H389" s="29">
        <v>64000</v>
      </c>
      <c r="I389" s="29">
        <v>65500</v>
      </c>
      <c r="J389" s="29">
        <v>64900</v>
      </c>
      <c r="K389" s="29" t="str">
        <v>-</v>
      </c>
      <c r="L389" s="29">
        <v>65400</v>
      </c>
      <c r="M389" s="29">
        <v>65800</v>
      </c>
      <c r="N389" s="29">
        <v>63500</v>
      </c>
      <c r="O389" s="29" t="str">
        <v>-</v>
      </c>
      <c r="P389" s="29">
        <v>60500</v>
      </c>
      <c r="Q389" s="29">
        <v>62000</v>
      </c>
      <c r="R389" s="29">
        <v>61500</v>
      </c>
      <c r="S389">
        <v>63500</v>
      </c>
      <c r="T389">
        <v>64500</v>
      </c>
      <c r="U389">
        <v>63800</v>
      </c>
      <c r="V389">
        <v>66000</v>
      </c>
      <c r="W389">
        <v>68700</v>
      </c>
    </row>
    <row r="390" spans="1:23">
      <c r="A390" s="30">
        <v>44674</v>
      </c>
      <c r="B390" s="29">
        <v>64500</v>
      </c>
      <c r="C390" s="29">
        <v>65500</v>
      </c>
      <c r="D390" s="29">
        <v>65200</v>
      </c>
      <c r="E390" s="29">
        <v>60500</v>
      </c>
      <c r="F390" s="29">
        <v>66000</v>
      </c>
      <c r="G390" s="29" t="str">
        <v>-</v>
      </c>
      <c r="H390" s="29">
        <v>63500</v>
      </c>
      <c r="I390" s="29">
        <v>64300</v>
      </c>
      <c r="J390" s="29">
        <v>64100</v>
      </c>
      <c r="K390" s="29" t="str">
        <v>-</v>
      </c>
      <c r="L390" s="29">
        <v>63800</v>
      </c>
      <c r="M390" s="29">
        <v>64800</v>
      </c>
      <c r="N390" s="29">
        <v>62100</v>
      </c>
      <c r="O390" s="29" t="str">
        <v>-</v>
      </c>
      <c r="P390" s="29">
        <v>60000</v>
      </c>
      <c r="Q390" s="29">
        <v>61200</v>
      </c>
      <c r="R390" s="29">
        <v>60700</v>
      </c>
      <c r="S390">
        <v>63500</v>
      </c>
      <c r="T390">
        <v>64000</v>
      </c>
      <c r="U390">
        <v>63800</v>
      </c>
      <c r="V390">
        <v>66000</v>
      </c>
      <c r="W390">
        <v>68500</v>
      </c>
    </row>
    <row r="391" spans="1:23">
      <c r="A391" s="30">
        <v>44675</v>
      </c>
      <c r="B391" s="29" t="str">
        <v>H</v>
      </c>
      <c r="C391" s="29" t="str">
        <v>H</v>
      </c>
      <c r="D391" s="29" t="str">
        <v>H</v>
      </c>
      <c r="E391" s="29" t="str">
        <v>H</v>
      </c>
      <c r="F391" s="29" t="str">
        <v>H</v>
      </c>
      <c r="G391" s="29" t="str">
        <v>H</v>
      </c>
      <c r="H391" s="29" t="str">
        <v>H</v>
      </c>
      <c r="I391" s="29" t="str">
        <v>H</v>
      </c>
      <c r="J391" s="29" t="str">
        <v>H</v>
      </c>
      <c r="K391" s="29" t="str">
        <v>H</v>
      </c>
      <c r="L391" s="29" t="str">
        <v>H</v>
      </c>
      <c r="M391" s="29" t="str">
        <v>H</v>
      </c>
      <c r="N391" s="29" t="str">
        <v>H</v>
      </c>
      <c r="O391" s="29" t="str">
        <v>H</v>
      </c>
      <c r="P391" s="29" t="str">
        <v>H</v>
      </c>
      <c r="Q391" s="29" t="str">
        <v>H</v>
      </c>
      <c r="R391" s="29" t="str">
        <v>H</v>
      </c>
      <c r="S391" t="str">
        <v>H</v>
      </c>
      <c r="T391" t="str">
        <v>H</v>
      </c>
      <c r="U391" t="str">
        <v>H</v>
      </c>
      <c r="V391" t="str">
        <v>H</v>
      </c>
      <c r="W391" t="str">
        <v>H</v>
      </c>
    </row>
    <row r="392" spans="1:23">
      <c r="A392" s="30">
        <v>44676</v>
      </c>
      <c r="B392" s="29">
        <v>64300</v>
      </c>
      <c r="C392" s="29">
        <v>64800</v>
      </c>
      <c r="D392" s="29">
        <v>63700</v>
      </c>
      <c r="E392" s="29">
        <v>59500</v>
      </c>
      <c r="F392" s="29">
        <v>64800</v>
      </c>
      <c r="G392" s="29" t="str">
        <v>-</v>
      </c>
      <c r="H392" s="29">
        <v>63000</v>
      </c>
      <c r="I392" s="29">
        <v>62600</v>
      </c>
      <c r="J392" s="29">
        <v>63700</v>
      </c>
      <c r="K392" s="29" t="str">
        <v>-</v>
      </c>
      <c r="L392" s="29">
        <v>62700</v>
      </c>
      <c r="M392" s="29">
        <v>64300</v>
      </c>
      <c r="N392" s="29">
        <v>61200</v>
      </c>
      <c r="O392" s="29" t="str">
        <v>-</v>
      </c>
      <c r="P392" s="29">
        <v>58500</v>
      </c>
      <c r="Q392" s="29">
        <v>60000</v>
      </c>
      <c r="R392" s="29">
        <v>60300</v>
      </c>
      <c r="S392">
        <v>62300</v>
      </c>
      <c r="T392">
        <v>63700</v>
      </c>
      <c r="U392">
        <v>62800</v>
      </c>
      <c r="V392">
        <v>65200</v>
      </c>
      <c r="W392">
        <v>67600</v>
      </c>
    </row>
    <row r="393" spans="1:23">
      <c r="A393" s="30">
        <v>44677</v>
      </c>
      <c r="B393" s="29">
        <v>63600</v>
      </c>
      <c r="C393" s="29">
        <v>64800</v>
      </c>
      <c r="D393" s="29">
        <v>62500</v>
      </c>
      <c r="E393" s="29">
        <v>59000</v>
      </c>
      <c r="F393" s="29">
        <v>63900</v>
      </c>
      <c r="G393" s="29" t="str">
        <v>-</v>
      </c>
      <c r="H393" s="29">
        <v>63000</v>
      </c>
      <c r="I393" s="29">
        <v>62200</v>
      </c>
      <c r="J393" s="29">
        <v>63100</v>
      </c>
      <c r="K393" s="29" t="str">
        <v>-</v>
      </c>
      <c r="L393" s="29">
        <v>62000</v>
      </c>
      <c r="M393" s="29">
        <v>63400</v>
      </c>
      <c r="N393" s="29">
        <v>60000</v>
      </c>
      <c r="O393" s="29" t="str">
        <v>-</v>
      </c>
      <c r="P393" s="29">
        <v>58000</v>
      </c>
      <c r="Q393" s="29">
        <v>60000</v>
      </c>
      <c r="R393" s="29">
        <v>59500</v>
      </c>
      <c r="S393">
        <v>61800</v>
      </c>
      <c r="T393">
        <v>63000</v>
      </c>
      <c r="U393">
        <v>62800</v>
      </c>
      <c r="V393">
        <v>65200</v>
      </c>
      <c r="W393">
        <v>67600</v>
      </c>
    </row>
    <row r="394" spans="1:23">
      <c r="A394" s="30">
        <v>44678</v>
      </c>
      <c r="B394" s="29">
        <v>63500</v>
      </c>
      <c r="C394" s="29">
        <v>64500</v>
      </c>
      <c r="D394" s="29">
        <v>62000</v>
      </c>
      <c r="E394" s="29">
        <v>58500</v>
      </c>
      <c r="F394" s="29">
        <v>64200</v>
      </c>
      <c r="G394" s="29" t="str">
        <v>-</v>
      </c>
      <c r="H394" s="29">
        <v>62500</v>
      </c>
      <c r="I394" s="29">
        <v>61500</v>
      </c>
      <c r="J394" s="29">
        <v>62700</v>
      </c>
      <c r="K394" s="29" t="str">
        <v>-</v>
      </c>
      <c r="L394" s="29">
        <v>61000</v>
      </c>
      <c r="M394" s="29">
        <v>63400</v>
      </c>
      <c r="N394" s="29">
        <v>59000</v>
      </c>
      <c r="O394" s="29" t="str">
        <v>-</v>
      </c>
      <c r="P394" s="29">
        <v>58000</v>
      </c>
      <c r="Q394" s="29">
        <v>60200</v>
      </c>
      <c r="R394" s="29">
        <v>58700</v>
      </c>
      <c r="S394">
        <v>61300</v>
      </c>
      <c r="T394">
        <v>62500</v>
      </c>
      <c r="U394">
        <v>62800</v>
      </c>
      <c r="V394">
        <v>65200</v>
      </c>
      <c r="W394">
        <v>67600</v>
      </c>
    </row>
    <row r="395" spans="1:23">
      <c r="A395" s="30">
        <v>44679</v>
      </c>
      <c r="B395" s="29">
        <v>63800</v>
      </c>
      <c r="C395" s="29">
        <v>64700</v>
      </c>
      <c r="D395" s="29">
        <v>62500</v>
      </c>
      <c r="E395" s="29">
        <v>60000</v>
      </c>
      <c r="F395" s="29">
        <v>64200</v>
      </c>
      <c r="G395" s="29" t="str">
        <v>-</v>
      </c>
      <c r="H395" s="29">
        <v>63000</v>
      </c>
      <c r="I395" s="29">
        <v>62000</v>
      </c>
      <c r="J395" s="29">
        <v>63000</v>
      </c>
      <c r="K395" s="29" t="str">
        <v>-</v>
      </c>
      <c r="L395" s="29">
        <v>62300</v>
      </c>
      <c r="M395" s="29">
        <v>63800</v>
      </c>
      <c r="N395" s="29">
        <v>60500</v>
      </c>
      <c r="O395" s="29" t="str">
        <v>-</v>
      </c>
      <c r="P395" s="29">
        <v>59500</v>
      </c>
      <c r="Q395" s="29">
        <v>60400</v>
      </c>
      <c r="R395" s="29">
        <v>59700</v>
      </c>
      <c r="S395">
        <v>62800</v>
      </c>
      <c r="T395">
        <v>62800</v>
      </c>
      <c r="U395">
        <v>63800</v>
      </c>
      <c r="V395">
        <v>65500</v>
      </c>
      <c r="W395">
        <v>67900</v>
      </c>
    </row>
    <row r="396" spans="1:23">
      <c r="A396" s="30">
        <v>44680</v>
      </c>
      <c r="B396" s="29">
        <v>64500</v>
      </c>
      <c r="C396" s="29">
        <v>65200</v>
      </c>
      <c r="D396" s="29">
        <v>65000</v>
      </c>
      <c r="E396" s="29">
        <v>61000</v>
      </c>
      <c r="F396" s="29">
        <v>64800</v>
      </c>
      <c r="G396" s="29" t="str">
        <v>-</v>
      </c>
      <c r="H396" s="29">
        <v>63500</v>
      </c>
      <c r="I396" s="29">
        <v>63800</v>
      </c>
      <c r="J396" s="29">
        <v>63300</v>
      </c>
      <c r="K396" s="29" t="str">
        <v>-</v>
      </c>
      <c r="L396" s="29">
        <v>65000</v>
      </c>
      <c r="M396" s="29">
        <v>64200</v>
      </c>
      <c r="N396" s="29">
        <v>62500</v>
      </c>
      <c r="O396" s="29" t="str">
        <v>-</v>
      </c>
      <c r="P396" s="29">
        <v>60500</v>
      </c>
      <c r="Q396" s="29">
        <v>60900</v>
      </c>
      <c r="R396" s="29">
        <v>60800</v>
      </c>
      <c r="S396">
        <v>63800</v>
      </c>
      <c r="T396">
        <v>63500</v>
      </c>
      <c r="U396">
        <v>64800</v>
      </c>
      <c r="V396">
        <v>65700</v>
      </c>
      <c r="W396">
        <v>68000</v>
      </c>
    </row>
    <row r="397" spans="1:23">
      <c r="A397" s="30">
        <v>44681</v>
      </c>
      <c r="B397" s="29">
        <v>64100</v>
      </c>
      <c r="C397" s="29">
        <v>65500</v>
      </c>
      <c r="D397" s="29">
        <v>65000</v>
      </c>
      <c r="E397" s="29">
        <v>60500</v>
      </c>
      <c r="F397" s="29">
        <v>64800</v>
      </c>
      <c r="G397" s="29" t="str">
        <v>-</v>
      </c>
      <c r="H397" s="29">
        <v>63500</v>
      </c>
      <c r="I397" s="29">
        <v>63500</v>
      </c>
      <c r="J397" s="29">
        <v>63300</v>
      </c>
      <c r="K397" s="29" t="str">
        <v>-</v>
      </c>
      <c r="L397" s="29">
        <v>64600</v>
      </c>
      <c r="M397" s="29">
        <v>64700</v>
      </c>
      <c r="N397" s="29">
        <v>62500</v>
      </c>
      <c r="O397" s="29" t="str">
        <v>-</v>
      </c>
      <c r="P397" s="29">
        <v>60000</v>
      </c>
      <c r="Q397" s="29">
        <v>60700</v>
      </c>
      <c r="R397" s="29">
        <v>60200</v>
      </c>
      <c r="S397">
        <v>63300</v>
      </c>
      <c r="T397">
        <v>63300</v>
      </c>
      <c r="U397" t="str">
        <v>-</v>
      </c>
      <c r="V397">
        <v>65700</v>
      </c>
      <c r="W397">
        <v>68000</v>
      </c>
    </row>
    <row r="398" spans="1:23">
      <c r="A398" s="30">
        <v>44682</v>
      </c>
      <c r="B398" s="29" t="str">
        <v>H</v>
      </c>
      <c r="C398" s="29" t="str">
        <v>H</v>
      </c>
      <c r="D398" s="29" t="str">
        <v>H</v>
      </c>
      <c r="E398" s="29" t="str">
        <v>H</v>
      </c>
      <c r="F398" s="29" t="str">
        <v>H</v>
      </c>
      <c r="G398" s="29" t="str">
        <v>H</v>
      </c>
      <c r="H398" s="29" t="str">
        <v>H</v>
      </c>
      <c r="I398" s="29" t="str">
        <v>H</v>
      </c>
      <c r="J398" s="29" t="str">
        <v>H</v>
      </c>
      <c r="K398" s="29" t="str">
        <v>H</v>
      </c>
      <c r="L398" s="29" t="str">
        <v>H</v>
      </c>
      <c r="M398" s="29" t="str">
        <v>H</v>
      </c>
      <c r="N398" s="29" t="str">
        <v>H</v>
      </c>
      <c r="O398" s="29" t="str">
        <v>H</v>
      </c>
      <c r="P398" s="29" t="str">
        <v>H</v>
      </c>
      <c r="Q398" s="29" t="str">
        <v>H</v>
      </c>
      <c r="R398" s="29" t="str">
        <v>H</v>
      </c>
      <c r="S398" t="str">
        <v>H</v>
      </c>
      <c r="T398" t="str">
        <v>H</v>
      </c>
      <c r="U398" t="str">
        <v>H</v>
      </c>
      <c r="V398" t="str">
        <v>H</v>
      </c>
      <c r="W398" t="str">
        <v>H</v>
      </c>
    </row>
    <row r="399" spans="1:23">
      <c r="A399" s="30">
        <v>44683</v>
      </c>
      <c r="B399" s="29">
        <v>62900</v>
      </c>
      <c r="C399" s="29">
        <v>65000</v>
      </c>
      <c r="D399" s="29">
        <v>65200</v>
      </c>
      <c r="E399" s="29">
        <v>60500</v>
      </c>
      <c r="F399" s="29">
        <v>64800</v>
      </c>
      <c r="G399" s="29" t="str">
        <v>-</v>
      </c>
      <c r="H399" s="29">
        <v>63000</v>
      </c>
      <c r="I399" s="29">
        <v>63500</v>
      </c>
      <c r="J399" s="29">
        <v>63300</v>
      </c>
      <c r="K399" s="29" t="str">
        <v>-</v>
      </c>
      <c r="L399" s="29">
        <v>64300</v>
      </c>
      <c r="M399" s="29">
        <v>64700</v>
      </c>
      <c r="N399" s="29">
        <v>62500</v>
      </c>
      <c r="O399" s="29" t="str">
        <v>-</v>
      </c>
      <c r="P399" s="29">
        <v>60000</v>
      </c>
      <c r="Q399" s="29">
        <v>60600</v>
      </c>
      <c r="R399" s="29">
        <v>60000</v>
      </c>
      <c r="S399">
        <v>63300</v>
      </c>
      <c r="T399">
        <v>63000</v>
      </c>
      <c r="U399">
        <v>64500</v>
      </c>
      <c r="V399">
        <v>65700</v>
      </c>
      <c r="W399">
        <v>68000</v>
      </c>
    </row>
    <row r="400" spans="1:23">
      <c r="A400" s="30">
        <v>44684</v>
      </c>
      <c r="B400" s="29">
        <v>62900</v>
      </c>
      <c r="C400" s="29">
        <v>65000</v>
      </c>
      <c r="D400" s="29">
        <v>65000</v>
      </c>
      <c r="E400" s="29">
        <v>60000</v>
      </c>
      <c r="F400" s="29">
        <v>64600</v>
      </c>
      <c r="G400" s="29" t="str">
        <v>-</v>
      </c>
      <c r="H400" s="29">
        <v>63000</v>
      </c>
      <c r="I400" s="29">
        <v>63200</v>
      </c>
      <c r="J400" s="29">
        <v>63000</v>
      </c>
      <c r="K400" s="29" t="str">
        <v>-</v>
      </c>
      <c r="L400" s="29">
        <v>64000</v>
      </c>
      <c r="M400" s="29">
        <v>64700</v>
      </c>
      <c r="N400" s="29">
        <v>62000</v>
      </c>
      <c r="O400" s="29" t="str">
        <v>-</v>
      </c>
      <c r="P400" s="29">
        <v>59500</v>
      </c>
      <c r="Q400" s="29">
        <v>60200</v>
      </c>
      <c r="R400" s="29">
        <v>59700</v>
      </c>
      <c r="S400">
        <v>62800</v>
      </c>
      <c r="T400">
        <v>62800</v>
      </c>
      <c r="U400">
        <v>63800</v>
      </c>
      <c r="V400">
        <v>65700</v>
      </c>
      <c r="W400">
        <v>68000</v>
      </c>
    </row>
    <row r="401" spans="1:23">
      <c r="A401" s="30">
        <v>44685</v>
      </c>
      <c r="B401" s="29">
        <v>62000</v>
      </c>
      <c r="C401" s="29">
        <v>64500</v>
      </c>
      <c r="D401" s="29">
        <v>64000</v>
      </c>
      <c r="E401" s="29">
        <v>59000</v>
      </c>
      <c r="F401" s="29">
        <v>64100</v>
      </c>
      <c r="G401" s="29" t="str">
        <v>-</v>
      </c>
      <c r="H401" s="29">
        <v>63000</v>
      </c>
      <c r="I401" s="29">
        <v>62500</v>
      </c>
      <c r="J401" s="29">
        <v>62900</v>
      </c>
      <c r="K401" s="29" t="str">
        <v>-</v>
      </c>
      <c r="L401" s="29">
        <v>63200</v>
      </c>
      <c r="M401" s="29">
        <v>64200</v>
      </c>
      <c r="N401" s="29">
        <v>60500</v>
      </c>
      <c r="O401" s="29" t="str">
        <v>-</v>
      </c>
      <c r="P401" s="29">
        <v>58600</v>
      </c>
      <c r="Q401" s="29">
        <v>59500</v>
      </c>
      <c r="R401" s="29">
        <v>59000</v>
      </c>
      <c r="S401">
        <v>61800</v>
      </c>
      <c r="T401">
        <v>62000</v>
      </c>
      <c r="U401">
        <v>63300</v>
      </c>
      <c r="V401">
        <v>65000</v>
      </c>
      <c r="W401">
        <v>67500</v>
      </c>
    </row>
    <row r="402" spans="1:23">
      <c r="A402" s="30">
        <v>44686</v>
      </c>
      <c r="B402" s="29">
        <v>61800</v>
      </c>
      <c r="C402" s="29">
        <v>64000</v>
      </c>
      <c r="D402" s="29">
        <v>63500</v>
      </c>
      <c r="E402" s="29">
        <v>58500</v>
      </c>
      <c r="F402" s="29">
        <v>63300</v>
      </c>
      <c r="G402" s="29" t="str">
        <v>-</v>
      </c>
      <c r="H402" s="29">
        <v>62500</v>
      </c>
      <c r="I402" s="29">
        <v>62000</v>
      </c>
      <c r="J402" s="29">
        <v>62000</v>
      </c>
      <c r="K402" s="29" t="str">
        <v>-</v>
      </c>
      <c r="L402" s="29">
        <v>62200</v>
      </c>
      <c r="M402" s="29">
        <v>63000</v>
      </c>
      <c r="N402" s="29">
        <v>60200</v>
      </c>
      <c r="O402" s="29" t="str">
        <v>-</v>
      </c>
      <c r="P402" s="29">
        <v>58000</v>
      </c>
      <c r="Q402" s="29">
        <v>59000</v>
      </c>
      <c r="R402" s="29">
        <v>58300</v>
      </c>
      <c r="S402">
        <v>61300</v>
      </c>
      <c r="T402">
        <v>61500</v>
      </c>
      <c r="U402">
        <v>63000</v>
      </c>
      <c r="V402">
        <v>64400</v>
      </c>
      <c r="W402">
        <v>66900</v>
      </c>
    </row>
    <row r="403" spans="1:23">
      <c r="A403" s="30">
        <v>44687</v>
      </c>
      <c r="B403" s="29">
        <v>62300</v>
      </c>
      <c r="C403" s="29">
        <v>64500</v>
      </c>
      <c r="D403" s="29">
        <v>63500</v>
      </c>
      <c r="E403" s="29">
        <v>59000</v>
      </c>
      <c r="F403" s="29">
        <v>63500</v>
      </c>
      <c r="G403" s="29" t="str">
        <v>-</v>
      </c>
      <c r="H403" s="29">
        <v>62500</v>
      </c>
      <c r="I403" s="29">
        <v>62000</v>
      </c>
      <c r="J403" s="29">
        <v>62300</v>
      </c>
      <c r="K403" s="29" t="str">
        <v>-</v>
      </c>
      <c r="L403" s="29">
        <v>62200</v>
      </c>
      <c r="M403" s="29">
        <v>63300</v>
      </c>
      <c r="N403" s="29">
        <v>61200</v>
      </c>
      <c r="O403" s="29" t="str">
        <v>-</v>
      </c>
      <c r="P403" s="29">
        <v>58500</v>
      </c>
      <c r="Q403" s="29">
        <v>59000</v>
      </c>
      <c r="R403" s="29">
        <v>58700</v>
      </c>
      <c r="S403">
        <v>61800</v>
      </c>
      <c r="T403">
        <v>61500</v>
      </c>
      <c r="U403">
        <v>62800</v>
      </c>
      <c r="V403">
        <v>64400</v>
      </c>
      <c r="W403">
        <v>66600</v>
      </c>
    </row>
    <row r="404" spans="1:23">
      <c r="A404" s="30">
        <v>44688</v>
      </c>
      <c r="B404" s="29">
        <v>61500</v>
      </c>
      <c r="C404" s="29">
        <v>64300</v>
      </c>
      <c r="D404" s="29">
        <v>64200</v>
      </c>
      <c r="E404" s="29">
        <v>59700</v>
      </c>
      <c r="F404" s="29">
        <v>63700</v>
      </c>
      <c r="G404" s="29" t="str">
        <v>-</v>
      </c>
      <c r="H404" s="29">
        <v>62500</v>
      </c>
      <c r="I404" s="29">
        <v>61500</v>
      </c>
      <c r="J404" s="29">
        <v>62300</v>
      </c>
      <c r="K404" s="29" t="str">
        <v>-</v>
      </c>
      <c r="L404" s="29">
        <v>62200</v>
      </c>
      <c r="M404" s="29">
        <v>63300</v>
      </c>
      <c r="N404" s="29">
        <v>61000</v>
      </c>
      <c r="O404" s="29" t="str">
        <v>-</v>
      </c>
      <c r="P404" s="29">
        <v>58500</v>
      </c>
      <c r="Q404" s="29">
        <v>59200</v>
      </c>
      <c r="R404" s="29">
        <v>58800</v>
      </c>
      <c r="S404">
        <v>62500</v>
      </c>
      <c r="T404">
        <v>61800</v>
      </c>
      <c r="U404">
        <v>62800</v>
      </c>
      <c r="V404">
        <v>64400</v>
      </c>
      <c r="W404">
        <v>66600</v>
      </c>
    </row>
    <row r="405" spans="1:23">
      <c r="A405" s="30">
        <v>44689</v>
      </c>
      <c r="B405" s="29" t="str">
        <v>H</v>
      </c>
      <c r="C405" s="29" t="str">
        <v>H</v>
      </c>
      <c r="D405" s="29" t="str">
        <v>H</v>
      </c>
      <c r="E405" s="29" t="str">
        <v>H</v>
      </c>
      <c r="F405" s="29" t="str">
        <v>H</v>
      </c>
      <c r="G405" s="29" t="str">
        <v>H</v>
      </c>
      <c r="H405" s="29" t="str">
        <v>H</v>
      </c>
      <c r="I405" s="29" t="str">
        <v>H</v>
      </c>
      <c r="J405" s="29" t="str">
        <v>H</v>
      </c>
      <c r="K405" s="29" t="str">
        <v>H</v>
      </c>
      <c r="L405" s="29" t="str">
        <v>H</v>
      </c>
      <c r="M405" s="29" t="str">
        <v>H</v>
      </c>
      <c r="N405" s="29" t="str">
        <v>H</v>
      </c>
      <c r="O405" s="29" t="str">
        <v>H</v>
      </c>
      <c r="P405" s="29" t="str">
        <v>H</v>
      </c>
      <c r="Q405" s="29" t="str">
        <v>H</v>
      </c>
      <c r="R405" s="29" t="str">
        <v>H</v>
      </c>
      <c r="S405" t="str">
        <v>H</v>
      </c>
      <c r="T405" t="str">
        <v>H</v>
      </c>
      <c r="U405" t="str">
        <v>H</v>
      </c>
      <c r="V405" t="str">
        <v>H</v>
      </c>
      <c r="W405" t="str">
        <v>H</v>
      </c>
    </row>
    <row r="406" spans="1:23">
      <c r="A406" s="30">
        <v>44690</v>
      </c>
      <c r="B406" s="29">
        <v>61500</v>
      </c>
      <c r="C406" s="29">
        <v>64200</v>
      </c>
      <c r="D406" s="29">
        <v>65000</v>
      </c>
      <c r="E406" s="29">
        <v>59000</v>
      </c>
      <c r="F406" s="29">
        <v>63500</v>
      </c>
      <c r="G406" s="29" t="str">
        <v>-</v>
      </c>
      <c r="H406" s="29">
        <v>62500</v>
      </c>
      <c r="I406" s="29">
        <v>61500</v>
      </c>
      <c r="J406" s="29">
        <v>61900</v>
      </c>
      <c r="K406" s="29" t="str">
        <v>-</v>
      </c>
      <c r="L406" s="29">
        <v>62500</v>
      </c>
      <c r="M406" s="29">
        <v>62800</v>
      </c>
      <c r="N406" s="29">
        <v>60000</v>
      </c>
      <c r="O406" s="29" t="str">
        <v>-</v>
      </c>
      <c r="P406" s="29">
        <v>58000</v>
      </c>
      <c r="Q406" s="29">
        <v>59000</v>
      </c>
      <c r="R406" s="29">
        <v>58700</v>
      </c>
      <c r="S406">
        <v>61800</v>
      </c>
      <c r="T406">
        <v>61300</v>
      </c>
      <c r="U406">
        <v>62800</v>
      </c>
      <c r="V406">
        <v>64000</v>
      </c>
      <c r="W406">
        <v>66300</v>
      </c>
    </row>
    <row r="407" spans="1:23">
      <c r="A407" s="30">
        <v>44691</v>
      </c>
      <c r="B407" s="29">
        <v>60700</v>
      </c>
      <c r="C407" s="29">
        <v>64000</v>
      </c>
      <c r="D407" s="29">
        <v>63500</v>
      </c>
      <c r="E407" s="29">
        <v>58000</v>
      </c>
      <c r="F407" s="29">
        <v>63200</v>
      </c>
      <c r="G407" s="29" t="str">
        <v>-</v>
      </c>
      <c r="H407" s="29">
        <v>62000</v>
      </c>
      <c r="I407" s="29">
        <v>60600</v>
      </c>
      <c r="J407" s="29">
        <v>61200</v>
      </c>
      <c r="K407" s="29" t="str">
        <v>-</v>
      </c>
      <c r="L407" s="29">
        <v>62000</v>
      </c>
      <c r="M407" s="29">
        <v>62300</v>
      </c>
      <c r="N407" s="29">
        <v>59500</v>
      </c>
      <c r="O407" s="29" t="str">
        <v>-</v>
      </c>
      <c r="P407" s="29">
        <v>56900</v>
      </c>
      <c r="Q407" s="29">
        <v>58500</v>
      </c>
      <c r="R407" s="29">
        <v>57900</v>
      </c>
      <c r="S407">
        <v>60800</v>
      </c>
      <c r="T407">
        <v>60700</v>
      </c>
      <c r="U407">
        <v>62800</v>
      </c>
      <c r="V407">
        <v>63800</v>
      </c>
      <c r="W407">
        <v>66100</v>
      </c>
    </row>
    <row r="408" spans="1:23">
      <c r="A408" s="30">
        <v>44692</v>
      </c>
      <c r="B408" s="29">
        <v>60700</v>
      </c>
      <c r="C408" s="29">
        <v>63500</v>
      </c>
      <c r="D408" s="29">
        <v>61700</v>
      </c>
      <c r="E408" s="29">
        <v>57000</v>
      </c>
      <c r="F408" s="29">
        <v>63000</v>
      </c>
      <c r="G408" s="29" t="str">
        <v>-</v>
      </c>
      <c r="H408" s="29">
        <v>61500</v>
      </c>
      <c r="I408" s="29">
        <v>60300</v>
      </c>
      <c r="J408" s="29">
        <v>59900</v>
      </c>
      <c r="K408" s="29" t="str">
        <v>-</v>
      </c>
      <c r="L408" s="29">
        <v>61000</v>
      </c>
      <c r="M408" s="29">
        <v>61300</v>
      </c>
      <c r="N408" s="29">
        <v>59000</v>
      </c>
      <c r="O408" s="29" t="str">
        <v>-</v>
      </c>
      <c r="P408" s="29">
        <v>56900</v>
      </c>
      <c r="Q408" s="29">
        <v>58200</v>
      </c>
      <c r="R408" s="29">
        <v>57500</v>
      </c>
      <c r="S408">
        <v>59800</v>
      </c>
      <c r="T408">
        <v>60200</v>
      </c>
      <c r="U408">
        <v>61300</v>
      </c>
      <c r="V408">
        <v>63400</v>
      </c>
      <c r="W408">
        <v>65800</v>
      </c>
    </row>
    <row r="409" spans="1:23">
      <c r="A409" s="30">
        <v>44693</v>
      </c>
      <c r="B409" s="29">
        <v>60200</v>
      </c>
      <c r="C409" s="29">
        <v>63000</v>
      </c>
      <c r="D409" s="29">
        <v>62000</v>
      </c>
      <c r="E409" s="29">
        <v>57500</v>
      </c>
      <c r="F409" s="29">
        <v>61700</v>
      </c>
      <c r="G409" s="29" t="str">
        <v>-</v>
      </c>
      <c r="H409" s="29">
        <v>61500</v>
      </c>
      <c r="I409" s="29">
        <v>59400</v>
      </c>
      <c r="J409" s="29">
        <v>59300</v>
      </c>
      <c r="K409" s="29" t="str">
        <v>-</v>
      </c>
      <c r="L409" s="29">
        <v>61000</v>
      </c>
      <c r="M409" s="29">
        <v>60600</v>
      </c>
      <c r="N409" s="29">
        <v>59000</v>
      </c>
      <c r="O409" s="29" t="str">
        <v>-</v>
      </c>
      <c r="P409" s="29">
        <v>57000</v>
      </c>
      <c r="Q409" s="29">
        <v>57700</v>
      </c>
      <c r="R409" s="29">
        <v>57500</v>
      </c>
      <c r="S409">
        <v>60300</v>
      </c>
      <c r="T409">
        <v>60000</v>
      </c>
      <c r="U409">
        <v>61300</v>
      </c>
      <c r="V409">
        <v>63300</v>
      </c>
      <c r="W409">
        <v>65800</v>
      </c>
    </row>
    <row r="410" spans="1:23">
      <c r="A410" s="30">
        <v>44694</v>
      </c>
      <c r="B410" s="29">
        <v>60200</v>
      </c>
      <c r="C410" s="29">
        <v>63000</v>
      </c>
      <c r="D410" s="29">
        <v>62000</v>
      </c>
      <c r="E410" s="29">
        <v>57000</v>
      </c>
      <c r="F410" s="29">
        <v>61700</v>
      </c>
      <c r="G410" s="29" t="str">
        <v>-</v>
      </c>
      <c r="H410" s="29">
        <v>61500</v>
      </c>
      <c r="I410" s="29">
        <v>59400</v>
      </c>
      <c r="J410" s="29">
        <v>59300</v>
      </c>
      <c r="K410" s="29" t="str">
        <v>-</v>
      </c>
      <c r="L410" s="29">
        <v>61000</v>
      </c>
      <c r="M410" s="29">
        <v>60600</v>
      </c>
      <c r="N410" s="29">
        <v>59000</v>
      </c>
      <c r="O410" s="29" t="str">
        <v>-</v>
      </c>
      <c r="P410" s="29">
        <v>57000</v>
      </c>
      <c r="Q410" s="29">
        <v>57700</v>
      </c>
      <c r="R410" s="29">
        <v>57500</v>
      </c>
      <c r="S410">
        <v>59800</v>
      </c>
      <c r="T410">
        <v>60000</v>
      </c>
      <c r="U410">
        <v>61300</v>
      </c>
      <c r="V410">
        <v>62800</v>
      </c>
      <c r="W410">
        <v>65400</v>
      </c>
    </row>
    <row r="411" spans="1:23">
      <c r="A411" s="30">
        <v>44695</v>
      </c>
      <c r="B411" s="29">
        <v>60200</v>
      </c>
      <c r="C411" s="29">
        <v>63000</v>
      </c>
      <c r="D411" s="29">
        <v>62000</v>
      </c>
      <c r="E411" s="29">
        <v>57000</v>
      </c>
      <c r="F411" s="29">
        <v>61700</v>
      </c>
      <c r="G411" s="29" t="str">
        <v>-</v>
      </c>
      <c r="H411" s="29">
        <v>61000</v>
      </c>
      <c r="I411" s="29">
        <v>59400</v>
      </c>
      <c r="J411" s="29">
        <v>59300</v>
      </c>
      <c r="K411" s="29" t="str">
        <v>-</v>
      </c>
      <c r="L411" s="29">
        <v>61000</v>
      </c>
      <c r="M411" s="29">
        <v>60600</v>
      </c>
      <c r="N411" s="29">
        <v>59000</v>
      </c>
      <c r="O411" s="29" t="str">
        <v>-</v>
      </c>
      <c r="P411" s="29">
        <v>56900</v>
      </c>
      <c r="Q411" s="29">
        <v>57700</v>
      </c>
      <c r="R411" s="29">
        <v>57200</v>
      </c>
      <c r="S411">
        <v>59800</v>
      </c>
      <c r="T411">
        <v>60000</v>
      </c>
      <c r="U411">
        <v>61300</v>
      </c>
      <c r="V411">
        <v>62800</v>
      </c>
      <c r="W411">
        <v>65400</v>
      </c>
    </row>
    <row r="412" spans="1:23">
      <c r="A412" s="30">
        <v>44696</v>
      </c>
      <c r="B412" s="29" t="str">
        <v>H</v>
      </c>
      <c r="C412" s="29" t="str">
        <v>H</v>
      </c>
      <c r="D412" s="29" t="str">
        <v>H</v>
      </c>
      <c r="E412" s="29" t="str">
        <v>H</v>
      </c>
      <c r="F412" s="29" t="str">
        <v>H</v>
      </c>
      <c r="G412" s="29" t="str">
        <v>H</v>
      </c>
      <c r="H412" s="29" t="str">
        <v>H</v>
      </c>
      <c r="I412" s="29" t="str">
        <v>H</v>
      </c>
      <c r="J412" s="29" t="str">
        <v>H</v>
      </c>
      <c r="K412" s="29" t="str">
        <v>H</v>
      </c>
      <c r="L412" s="29" t="str">
        <v>H</v>
      </c>
      <c r="M412" s="29" t="str">
        <v>H</v>
      </c>
      <c r="N412" s="29" t="str">
        <v>H</v>
      </c>
      <c r="O412" s="29" t="str">
        <v>H</v>
      </c>
      <c r="P412" s="29" t="str">
        <v>H</v>
      </c>
      <c r="Q412" s="29" t="str">
        <v>H</v>
      </c>
      <c r="R412" s="29" t="str">
        <v>H</v>
      </c>
      <c r="S412" t="str">
        <v>H</v>
      </c>
      <c r="T412" t="str">
        <v>H</v>
      </c>
      <c r="U412" t="str">
        <v>H</v>
      </c>
      <c r="V412" t="str">
        <v>H</v>
      </c>
      <c r="W412" t="str">
        <v>H</v>
      </c>
    </row>
    <row r="413" spans="1:23">
      <c r="A413" s="30">
        <v>44697</v>
      </c>
      <c r="B413" s="29">
        <v>60000</v>
      </c>
      <c r="C413" s="29">
        <v>62500</v>
      </c>
      <c r="D413" s="29">
        <v>60700</v>
      </c>
      <c r="E413" s="29">
        <v>56500</v>
      </c>
      <c r="F413" s="29">
        <v>61500</v>
      </c>
      <c r="G413" s="29" t="str">
        <v>-</v>
      </c>
      <c r="H413" s="29">
        <v>60500</v>
      </c>
      <c r="I413" s="29">
        <v>58800</v>
      </c>
      <c r="J413" s="29">
        <v>59200</v>
      </c>
      <c r="K413" s="29" t="str">
        <v>-</v>
      </c>
      <c r="L413" s="29">
        <v>60500</v>
      </c>
      <c r="M413" s="29">
        <v>60600</v>
      </c>
      <c r="N413" s="29">
        <v>57800</v>
      </c>
      <c r="O413" s="29" t="str">
        <v>-</v>
      </c>
      <c r="P413" s="29">
        <v>56000</v>
      </c>
      <c r="Q413" s="29">
        <v>57400</v>
      </c>
      <c r="R413" s="29">
        <v>56600</v>
      </c>
      <c r="S413">
        <v>59300</v>
      </c>
      <c r="T413">
        <v>59500</v>
      </c>
      <c r="U413">
        <v>60800</v>
      </c>
      <c r="V413">
        <v>62000</v>
      </c>
      <c r="W413">
        <v>64500</v>
      </c>
    </row>
    <row r="414" spans="1:23">
      <c r="A414" s="30">
        <v>44698</v>
      </c>
      <c r="B414" s="29">
        <v>59700</v>
      </c>
      <c r="C414" s="29">
        <v>62000</v>
      </c>
      <c r="D414" s="29">
        <v>59600</v>
      </c>
      <c r="E414" s="29">
        <v>55500</v>
      </c>
      <c r="F414" s="29">
        <v>60200</v>
      </c>
      <c r="G414" s="29" t="str">
        <v>-</v>
      </c>
      <c r="H414" s="29">
        <v>60000</v>
      </c>
      <c r="I414" s="29">
        <v>57800</v>
      </c>
      <c r="J414" s="29">
        <v>58400</v>
      </c>
      <c r="K414" s="29" t="str">
        <v>-</v>
      </c>
      <c r="L414" s="29">
        <v>59600</v>
      </c>
      <c r="M414" s="29">
        <v>59400</v>
      </c>
      <c r="N414" s="29">
        <v>57200</v>
      </c>
      <c r="O414" s="29" t="str">
        <v>-</v>
      </c>
      <c r="P414" s="29">
        <v>55000</v>
      </c>
      <c r="Q414" s="29">
        <v>56500</v>
      </c>
      <c r="R414" s="29">
        <v>55800</v>
      </c>
      <c r="S414">
        <v>58300</v>
      </c>
      <c r="T414">
        <v>58800</v>
      </c>
      <c r="U414">
        <v>59800</v>
      </c>
      <c r="V414">
        <v>61500</v>
      </c>
      <c r="W414">
        <v>64000</v>
      </c>
    </row>
    <row r="415" spans="1:23">
      <c r="A415" s="30">
        <v>44699</v>
      </c>
      <c r="B415" s="29">
        <v>59700</v>
      </c>
      <c r="C415" s="29">
        <v>61500</v>
      </c>
      <c r="D415" s="29">
        <v>59600</v>
      </c>
      <c r="E415" s="29">
        <v>55000</v>
      </c>
      <c r="F415" s="29">
        <v>60200</v>
      </c>
      <c r="G415" s="29" t="str">
        <v>-</v>
      </c>
      <c r="H415" s="29">
        <v>59300</v>
      </c>
      <c r="I415" s="29">
        <v>57500</v>
      </c>
      <c r="J415" s="29">
        <v>58100</v>
      </c>
      <c r="K415" s="29" t="str">
        <v>-</v>
      </c>
      <c r="L415" s="29">
        <v>59500</v>
      </c>
      <c r="M415" s="29">
        <v>59000</v>
      </c>
      <c r="N415" s="29">
        <v>56500</v>
      </c>
      <c r="O415" s="29" t="str">
        <v>-</v>
      </c>
      <c r="P415" s="29">
        <v>54500</v>
      </c>
      <c r="Q415" s="29">
        <v>56300</v>
      </c>
      <c r="R415" s="29">
        <v>55300</v>
      </c>
      <c r="S415">
        <v>57800</v>
      </c>
      <c r="T415">
        <v>58800</v>
      </c>
      <c r="U415">
        <v>59800</v>
      </c>
      <c r="V415">
        <v>61500</v>
      </c>
      <c r="W415">
        <v>64000</v>
      </c>
    </row>
    <row r="416" spans="1:23">
      <c r="A416" s="30">
        <v>44700</v>
      </c>
      <c r="B416" s="29">
        <v>59200</v>
      </c>
      <c r="C416" s="29">
        <v>61500</v>
      </c>
      <c r="D416" s="29">
        <v>60000</v>
      </c>
      <c r="E416" s="29">
        <v>55000</v>
      </c>
      <c r="F416" s="29">
        <v>60200</v>
      </c>
      <c r="G416" s="29" t="str">
        <v>-</v>
      </c>
      <c r="H416" s="29">
        <v>59000</v>
      </c>
      <c r="I416" s="29">
        <v>57500</v>
      </c>
      <c r="J416" s="29">
        <v>57000</v>
      </c>
      <c r="K416" s="29" t="str">
        <v>-</v>
      </c>
      <c r="L416" s="29">
        <v>59500</v>
      </c>
      <c r="M416" s="29">
        <v>58700</v>
      </c>
      <c r="N416" s="29">
        <v>56700</v>
      </c>
      <c r="O416" s="29" t="str">
        <v>-</v>
      </c>
      <c r="P416" s="29">
        <v>54900</v>
      </c>
      <c r="Q416" s="29">
        <v>56000</v>
      </c>
      <c r="R416" s="29">
        <v>55000</v>
      </c>
      <c r="S416">
        <v>57800</v>
      </c>
      <c r="T416">
        <v>58000</v>
      </c>
      <c r="U416">
        <v>59800</v>
      </c>
      <c r="V416">
        <v>60600</v>
      </c>
      <c r="W416">
        <v>63100</v>
      </c>
    </row>
    <row r="417" spans="1:23">
      <c r="A417" s="30">
        <v>44701</v>
      </c>
      <c r="B417" s="29">
        <v>59600</v>
      </c>
      <c r="C417" s="29">
        <v>61500</v>
      </c>
      <c r="D417" s="29">
        <v>60000</v>
      </c>
      <c r="E417" s="29">
        <v>55500</v>
      </c>
      <c r="F417" s="29">
        <v>60200</v>
      </c>
      <c r="G417" s="29" t="str">
        <v>-</v>
      </c>
      <c r="H417" s="29">
        <v>59000</v>
      </c>
      <c r="I417" s="29">
        <v>57900</v>
      </c>
      <c r="J417" s="29">
        <v>57000</v>
      </c>
      <c r="K417" s="29" t="str">
        <v>-</v>
      </c>
      <c r="L417" s="29">
        <v>60000</v>
      </c>
      <c r="M417" s="29">
        <v>58500</v>
      </c>
      <c r="N417" s="29">
        <v>57500</v>
      </c>
      <c r="O417" s="29" t="str">
        <v>-</v>
      </c>
      <c r="P417" s="29">
        <v>54900</v>
      </c>
      <c r="Q417" s="29">
        <v>56000</v>
      </c>
      <c r="R417" s="29">
        <v>55300</v>
      </c>
      <c r="S417">
        <v>58300</v>
      </c>
      <c r="T417">
        <v>58000</v>
      </c>
      <c r="U417">
        <v>59800</v>
      </c>
      <c r="V417">
        <v>60600</v>
      </c>
      <c r="W417">
        <v>63100</v>
      </c>
    </row>
    <row r="418" spans="1:23">
      <c r="A418" s="30">
        <v>44702</v>
      </c>
      <c r="B418" s="29">
        <v>59600</v>
      </c>
      <c r="C418" s="29">
        <v>61500</v>
      </c>
      <c r="D418" s="29">
        <v>60200</v>
      </c>
      <c r="E418" s="29">
        <v>55500</v>
      </c>
      <c r="F418" s="29">
        <v>60000</v>
      </c>
      <c r="G418" s="29" t="str">
        <v>-</v>
      </c>
      <c r="H418" s="29">
        <v>58500</v>
      </c>
      <c r="I418" s="29">
        <v>57600</v>
      </c>
      <c r="J418" s="29">
        <v>57000</v>
      </c>
      <c r="K418" s="29" t="str">
        <v>-</v>
      </c>
      <c r="L418" s="29">
        <v>59500</v>
      </c>
      <c r="M418" s="29">
        <v>58500</v>
      </c>
      <c r="N418" s="29">
        <v>57000</v>
      </c>
      <c r="O418" s="29" t="str">
        <v>-</v>
      </c>
      <c r="P418" s="29">
        <v>54500</v>
      </c>
      <c r="Q418" s="29">
        <v>55500</v>
      </c>
      <c r="R418" s="29">
        <v>55300</v>
      </c>
      <c r="S418">
        <v>58300</v>
      </c>
      <c r="T418">
        <v>58000</v>
      </c>
      <c r="U418">
        <v>59800</v>
      </c>
      <c r="V418">
        <v>60600</v>
      </c>
      <c r="W418">
        <v>63100</v>
      </c>
    </row>
    <row r="419" spans="1:23">
      <c r="A419" s="30">
        <v>44703</v>
      </c>
      <c r="B419" s="29" t="str">
        <v>H</v>
      </c>
      <c r="C419" s="29" t="str">
        <v>H</v>
      </c>
      <c r="D419" s="29" t="str">
        <v>H</v>
      </c>
      <c r="E419" s="29" t="str">
        <v>H</v>
      </c>
      <c r="F419" s="29" t="str">
        <v>H</v>
      </c>
      <c r="G419" s="29" t="str">
        <v>H</v>
      </c>
      <c r="H419" s="29" t="str">
        <v>H</v>
      </c>
      <c r="I419" s="29" t="str">
        <v>H</v>
      </c>
      <c r="J419" s="29" t="str">
        <v>H</v>
      </c>
      <c r="K419" s="29" t="str">
        <v>H</v>
      </c>
      <c r="L419" s="29" t="str">
        <v>H</v>
      </c>
      <c r="M419" s="29" t="str">
        <v>H</v>
      </c>
      <c r="N419" s="29" t="str">
        <v>H</v>
      </c>
      <c r="O419" s="29" t="str">
        <v>H</v>
      </c>
      <c r="P419" s="29" t="str">
        <v>H</v>
      </c>
      <c r="Q419" s="29" t="str">
        <v>H</v>
      </c>
      <c r="R419" s="29" t="str">
        <v>H</v>
      </c>
      <c r="S419" t="str">
        <v>H</v>
      </c>
      <c r="T419" t="str">
        <v>H</v>
      </c>
      <c r="U419" t="str">
        <v>H</v>
      </c>
      <c r="V419" t="str">
        <v>H</v>
      </c>
      <c r="W419" t="str">
        <v>H</v>
      </c>
    </row>
    <row r="420" spans="1:23">
      <c r="A420" s="30">
        <v>44704</v>
      </c>
      <c r="B420" s="29">
        <v>58700</v>
      </c>
      <c r="C420" s="29">
        <v>60000</v>
      </c>
      <c r="D420" s="29">
        <v>58200</v>
      </c>
      <c r="E420" s="29">
        <v>52000</v>
      </c>
      <c r="F420" s="29">
        <v>55500</v>
      </c>
      <c r="G420" s="29" t="str">
        <v>-</v>
      </c>
      <c r="H420" s="29">
        <v>55500</v>
      </c>
      <c r="I420" s="29">
        <v>56500</v>
      </c>
      <c r="J420" s="29">
        <v>53200</v>
      </c>
      <c r="K420" s="29" t="str">
        <v>-</v>
      </c>
      <c r="L420" s="29">
        <v>57300</v>
      </c>
      <c r="M420" s="29">
        <v>55900</v>
      </c>
      <c r="N420" s="29">
        <v>55000</v>
      </c>
      <c r="O420" s="29" t="str">
        <v>-</v>
      </c>
      <c r="P420" s="29">
        <v>51500</v>
      </c>
      <c r="Q420" s="29">
        <v>53500</v>
      </c>
      <c r="R420" s="29">
        <v>51800</v>
      </c>
      <c r="S420">
        <v>54700</v>
      </c>
      <c r="T420">
        <v>56000</v>
      </c>
      <c r="U420">
        <v>57800</v>
      </c>
      <c r="V420">
        <v>59700</v>
      </c>
      <c r="W420">
        <v>61800</v>
      </c>
    </row>
    <row r="421" spans="1:23">
      <c r="A421" s="30">
        <v>44705</v>
      </c>
      <c r="B421" s="29">
        <v>55500</v>
      </c>
      <c r="C421" s="29">
        <v>59500</v>
      </c>
      <c r="D421" s="29">
        <v>57000</v>
      </c>
      <c r="E421" s="29">
        <v>52000</v>
      </c>
      <c r="F421" s="29">
        <v>55400</v>
      </c>
      <c r="G421" s="29" t="str">
        <v>-</v>
      </c>
      <c r="H421" s="29">
        <v>55500</v>
      </c>
      <c r="I421" s="29">
        <v>55200</v>
      </c>
      <c r="J421" s="29">
        <v>53200</v>
      </c>
      <c r="K421" s="29" t="str">
        <v>-</v>
      </c>
      <c r="L421" s="29">
        <v>56000</v>
      </c>
      <c r="M421" s="29">
        <v>55900</v>
      </c>
      <c r="N421" s="29">
        <v>54000</v>
      </c>
      <c r="O421" s="29" t="str">
        <v>-</v>
      </c>
      <c r="P421" s="29">
        <v>51200</v>
      </c>
      <c r="Q421" s="29">
        <v>53000</v>
      </c>
      <c r="R421" s="29">
        <v>51800</v>
      </c>
      <c r="S421">
        <v>54700</v>
      </c>
      <c r="T421">
        <v>55500</v>
      </c>
      <c r="U421">
        <v>56800</v>
      </c>
      <c r="V421">
        <v>57100</v>
      </c>
      <c r="W421">
        <v>59500</v>
      </c>
    </row>
    <row r="422" spans="1:23">
      <c r="A422" s="30">
        <v>44706</v>
      </c>
      <c r="B422" s="29">
        <v>53700</v>
      </c>
      <c r="C422" s="29">
        <v>59000</v>
      </c>
      <c r="D422" s="29">
        <v>54700</v>
      </c>
      <c r="E422" s="29">
        <v>51000</v>
      </c>
      <c r="F422" s="29">
        <v>55300</v>
      </c>
      <c r="G422" s="29" t="str">
        <v>-</v>
      </c>
      <c r="H422" s="29">
        <v>55000</v>
      </c>
      <c r="I422" s="29">
        <v>53200</v>
      </c>
      <c r="J422" s="29">
        <v>53000</v>
      </c>
      <c r="K422" s="29" t="str">
        <v>-</v>
      </c>
      <c r="L422" s="29">
        <v>54500</v>
      </c>
      <c r="M422" s="29">
        <v>55000</v>
      </c>
      <c r="N422" s="29">
        <v>51700</v>
      </c>
      <c r="O422" s="29" t="str">
        <v>-</v>
      </c>
      <c r="P422" s="29">
        <v>51200</v>
      </c>
      <c r="Q422" s="29">
        <v>51800</v>
      </c>
      <c r="R422" s="29">
        <v>51500</v>
      </c>
      <c r="S422">
        <v>53800</v>
      </c>
      <c r="T422">
        <v>54200</v>
      </c>
      <c r="U422">
        <v>56800</v>
      </c>
      <c r="V422">
        <v>56800</v>
      </c>
      <c r="W422">
        <v>59300</v>
      </c>
    </row>
    <row r="423" spans="1:23">
      <c r="A423" s="30">
        <v>44707</v>
      </c>
      <c r="B423" s="29">
        <v>53700</v>
      </c>
      <c r="C423" s="29">
        <v>59000</v>
      </c>
      <c r="D423" s="29">
        <v>53700</v>
      </c>
      <c r="E423" s="29">
        <v>50000</v>
      </c>
      <c r="F423" s="29">
        <v>54600</v>
      </c>
      <c r="G423" s="29" t="str">
        <v>-</v>
      </c>
      <c r="H423" s="29">
        <v>54500</v>
      </c>
      <c r="I423" s="29">
        <v>52600</v>
      </c>
      <c r="J423" s="29">
        <v>53000</v>
      </c>
      <c r="K423" s="29" t="str">
        <v>-</v>
      </c>
      <c r="L423" s="29">
        <v>54000</v>
      </c>
      <c r="M423" s="29">
        <v>55000</v>
      </c>
      <c r="N423" s="29">
        <v>50600</v>
      </c>
      <c r="O423" s="29" t="str">
        <v>-</v>
      </c>
      <c r="P423" s="29">
        <v>49100</v>
      </c>
      <c r="Q423" s="29">
        <v>50800</v>
      </c>
      <c r="R423" s="29">
        <v>50000</v>
      </c>
      <c r="S423">
        <v>52800</v>
      </c>
      <c r="T423">
        <v>53400</v>
      </c>
      <c r="U423">
        <v>54800</v>
      </c>
      <c r="V423">
        <v>56300</v>
      </c>
      <c r="W423">
        <v>58800</v>
      </c>
    </row>
    <row r="424" spans="1:23">
      <c r="A424" s="30">
        <v>44708</v>
      </c>
      <c r="B424" s="29">
        <v>53300</v>
      </c>
      <c r="C424" s="29">
        <v>58000</v>
      </c>
      <c r="D424" s="29">
        <v>53700</v>
      </c>
      <c r="E424" s="29">
        <v>49500</v>
      </c>
      <c r="F424" s="29">
        <v>54600</v>
      </c>
      <c r="G424" s="29" t="str">
        <v>-</v>
      </c>
      <c r="H424" s="29">
        <v>54000</v>
      </c>
      <c r="I424" s="29">
        <v>51500</v>
      </c>
      <c r="J424" s="29">
        <v>53000</v>
      </c>
      <c r="K424" s="29" t="str">
        <v>-</v>
      </c>
      <c r="L424" s="29">
        <v>53500</v>
      </c>
      <c r="M424" s="29">
        <v>55000</v>
      </c>
      <c r="N424" s="29">
        <v>50600</v>
      </c>
      <c r="O424" s="29" t="str">
        <v>-</v>
      </c>
      <c r="P424" s="29">
        <v>48500</v>
      </c>
      <c r="Q424" s="29">
        <v>49500</v>
      </c>
      <c r="R424" s="29">
        <v>49500</v>
      </c>
      <c r="S424">
        <v>52300</v>
      </c>
      <c r="T424">
        <v>52600</v>
      </c>
      <c r="U424">
        <v>54800</v>
      </c>
      <c r="V424">
        <v>56300</v>
      </c>
      <c r="W424">
        <v>58500</v>
      </c>
    </row>
    <row r="425" spans="1:23">
      <c r="A425" s="30">
        <v>44709</v>
      </c>
      <c r="B425" s="29">
        <v>53500</v>
      </c>
      <c r="C425" s="29">
        <v>57000</v>
      </c>
      <c r="D425" s="29">
        <v>53700</v>
      </c>
      <c r="E425" s="29">
        <v>49500</v>
      </c>
      <c r="F425" s="29">
        <v>54600</v>
      </c>
      <c r="G425" s="29" t="str">
        <v>-</v>
      </c>
      <c r="H425" s="29">
        <v>53000</v>
      </c>
      <c r="I425" s="29">
        <v>51500</v>
      </c>
      <c r="J425" s="29">
        <v>53200</v>
      </c>
      <c r="K425" s="29" t="str">
        <v>-</v>
      </c>
      <c r="L425" s="29">
        <v>53300</v>
      </c>
      <c r="M425" s="29">
        <v>55000</v>
      </c>
      <c r="N425" s="29">
        <v>51200</v>
      </c>
      <c r="O425" s="29" t="str">
        <v>-</v>
      </c>
      <c r="P425" s="29">
        <v>49300</v>
      </c>
      <c r="Q425" s="29">
        <v>49700</v>
      </c>
      <c r="R425" s="29">
        <v>49500</v>
      </c>
      <c r="S425">
        <v>52300</v>
      </c>
      <c r="T425">
        <v>52800</v>
      </c>
      <c r="U425">
        <v>54800</v>
      </c>
      <c r="V425">
        <v>55800</v>
      </c>
      <c r="W425">
        <v>58200</v>
      </c>
    </row>
    <row r="426" spans="1:23">
      <c r="A426" s="30">
        <v>44710</v>
      </c>
      <c r="B426" s="29" t="str">
        <v>H</v>
      </c>
      <c r="C426" s="29" t="str">
        <v>H</v>
      </c>
      <c r="D426" s="29" t="str">
        <v>H</v>
      </c>
      <c r="E426" s="29" t="str">
        <v>H</v>
      </c>
      <c r="F426" s="29" t="str">
        <v>H</v>
      </c>
      <c r="G426" s="29" t="str">
        <v>H</v>
      </c>
      <c r="H426" s="29" t="str">
        <v>H</v>
      </c>
      <c r="I426" s="29" t="str">
        <v>H</v>
      </c>
      <c r="J426" s="29" t="str">
        <v>H</v>
      </c>
      <c r="K426" s="29" t="str">
        <v>H</v>
      </c>
      <c r="L426" s="29" t="str">
        <v>H</v>
      </c>
      <c r="M426" s="29" t="str">
        <v>H</v>
      </c>
      <c r="N426" s="29" t="str">
        <v>H</v>
      </c>
      <c r="O426" s="29" t="str">
        <v>H</v>
      </c>
      <c r="P426" s="29" t="str">
        <v>H</v>
      </c>
      <c r="Q426" s="29" t="str">
        <v>H</v>
      </c>
      <c r="R426" s="29" t="str">
        <v>H</v>
      </c>
      <c r="S426" t="str">
        <v>H</v>
      </c>
      <c r="T426" t="str">
        <v>H</v>
      </c>
      <c r="U426" t="str">
        <v>H</v>
      </c>
      <c r="V426" t="str">
        <v>H</v>
      </c>
      <c r="W426" t="str">
        <v>H</v>
      </c>
    </row>
    <row r="427" spans="1:23">
      <c r="A427" s="30">
        <v>44711</v>
      </c>
      <c r="B427" s="29">
        <v>53900</v>
      </c>
      <c r="C427" s="29">
        <v>56500</v>
      </c>
      <c r="D427" s="29">
        <v>55000</v>
      </c>
      <c r="E427" s="29">
        <v>50500</v>
      </c>
      <c r="F427" s="29">
        <v>54600</v>
      </c>
      <c r="G427" s="29" t="str">
        <v>-</v>
      </c>
      <c r="H427" s="29">
        <v>53000</v>
      </c>
      <c r="I427" s="29">
        <v>52400</v>
      </c>
      <c r="J427" s="29">
        <v>53800</v>
      </c>
      <c r="K427" s="29" t="str">
        <v>-</v>
      </c>
      <c r="L427" s="29">
        <v>54500</v>
      </c>
      <c r="M427" s="29">
        <v>55300</v>
      </c>
      <c r="N427" s="29">
        <v>52500</v>
      </c>
      <c r="O427" s="29" t="str">
        <v>-</v>
      </c>
      <c r="P427" s="29">
        <v>50500</v>
      </c>
      <c r="Q427" s="29">
        <v>50700</v>
      </c>
      <c r="R427" s="29">
        <v>50200</v>
      </c>
      <c r="S427">
        <v>53300</v>
      </c>
      <c r="T427">
        <v>53300</v>
      </c>
      <c r="U427">
        <v>54800</v>
      </c>
      <c r="V427">
        <v>55800</v>
      </c>
      <c r="W427">
        <v>58200</v>
      </c>
    </row>
    <row r="428" spans="1:23">
      <c r="A428" s="30">
        <v>44712</v>
      </c>
      <c r="B428" s="29">
        <v>54000</v>
      </c>
      <c r="C428" s="29">
        <v>56000</v>
      </c>
      <c r="D428" s="29">
        <v>54500</v>
      </c>
      <c r="E428" s="29">
        <v>50000</v>
      </c>
      <c r="F428" s="29">
        <v>54800</v>
      </c>
      <c r="G428" s="29" t="str">
        <v>-</v>
      </c>
      <c r="H428" s="29">
        <v>53000</v>
      </c>
      <c r="I428" s="29">
        <v>52200</v>
      </c>
      <c r="J428" s="29">
        <v>54000</v>
      </c>
      <c r="K428" s="29" t="str">
        <v>-</v>
      </c>
      <c r="L428" s="29">
        <v>54300</v>
      </c>
      <c r="M428" s="29">
        <v>55700</v>
      </c>
      <c r="N428" s="29">
        <v>52000</v>
      </c>
      <c r="O428" s="29" t="str">
        <v>-</v>
      </c>
      <c r="P428" s="29">
        <v>49500</v>
      </c>
      <c r="Q428" s="29">
        <v>50000</v>
      </c>
      <c r="R428" s="29">
        <v>50000</v>
      </c>
      <c r="S428">
        <v>52800</v>
      </c>
      <c r="T428">
        <v>53300</v>
      </c>
      <c r="U428">
        <v>54800</v>
      </c>
      <c r="V428">
        <v>55800</v>
      </c>
      <c r="W428">
        <v>58200</v>
      </c>
    </row>
    <row r="429" spans="1:23">
      <c r="A429" s="30">
        <v>44713</v>
      </c>
      <c r="B429" s="29">
        <v>54000</v>
      </c>
      <c r="C429" s="29">
        <v>55500</v>
      </c>
      <c r="D429" s="29">
        <v>54000</v>
      </c>
      <c r="E429" s="29">
        <v>48500</v>
      </c>
      <c r="F429" s="29">
        <v>54800</v>
      </c>
      <c r="G429" s="29" t="str">
        <v>-</v>
      </c>
      <c r="H429" s="29">
        <v>52500</v>
      </c>
      <c r="I429" s="29">
        <v>51200</v>
      </c>
      <c r="J429" s="29">
        <v>54000</v>
      </c>
      <c r="K429" s="29" t="str">
        <v>-</v>
      </c>
      <c r="L429" s="29">
        <v>53200</v>
      </c>
      <c r="M429" s="29">
        <v>55700</v>
      </c>
      <c r="N429" s="29">
        <v>51000</v>
      </c>
      <c r="O429" s="29" t="str">
        <v>-</v>
      </c>
      <c r="P429" s="29">
        <v>49000</v>
      </c>
      <c r="Q429" s="29">
        <v>49400</v>
      </c>
      <c r="R429" s="29">
        <v>49200</v>
      </c>
      <c r="S429">
        <v>51300</v>
      </c>
      <c r="T429">
        <v>52500</v>
      </c>
      <c r="U429">
        <v>52800</v>
      </c>
      <c r="V429">
        <v>55800</v>
      </c>
      <c r="W429">
        <v>58200</v>
      </c>
    </row>
    <row r="430" spans="1:23">
      <c r="A430" s="30">
        <v>44714</v>
      </c>
      <c r="B430" s="29">
        <v>54000</v>
      </c>
      <c r="C430" s="29">
        <v>55000</v>
      </c>
      <c r="D430" s="29">
        <v>54000</v>
      </c>
      <c r="E430" s="29">
        <v>49000</v>
      </c>
      <c r="F430" s="29">
        <v>54200</v>
      </c>
      <c r="G430" s="29" t="str">
        <v>-</v>
      </c>
      <c r="H430" s="29">
        <v>52000</v>
      </c>
      <c r="I430" s="29">
        <v>51200</v>
      </c>
      <c r="J430" s="29">
        <v>54000</v>
      </c>
      <c r="K430" s="29" t="str">
        <v>-</v>
      </c>
      <c r="L430" s="29">
        <v>53200</v>
      </c>
      <c r="M430" s="29">
        <v>55700</v>
      </c>
      <c r="N430" s="29">
        <v>51000</v>
      </c>
      <c r="O430" s="29" t="str">
        <v>-</v>
      </c>
      <c r="P430" s="29">
        <v>49100</v>
      </c>
      <c r="Q430" s="29">
        <v>49400</v>
      </c>
      <c r="R430" s="29">
        <v>49200</v>
      </c>
      <c r="S430">
        <v>51800</v>
      </c>
      <c r="T430">
        <v>52500</v>
      </c>
      <c r="U430">
        <v>52800</v>
      </c>
      <c r="V430">
        <v>55000</v>
      </c>
      <c r="W430">
        <v>57400</v>
      </c>
    </row>
    <row r="431" spans="1:23">
      <c r="A431" s="30">
        <v>44715</v>
      </c>
      <c r="B431" s="29">
        <v>54000</v>
      </c>
      <c r="C431" s="29">
        <v>55000</v>
      </c>
      <c r="D431" s="29">
        <v>55000</v>
      </c>
      <c r="E431" s="29">
        <v>50000</v>
      </c>
      <c r="F431" s="29">
        <v>54300</v>
      </c>
      <c r="G431" s="29" t="str">
        <v>-</v>
      </c>
      <c r="H431" s="29">
        <v>52500</v>
      </c>
      <c r="I431" s="29">
        <v>52200</v>
      </c>
      <c r="J431" s="29">
        <v>54000</v>
      </c>
      <c r="K431" s="29" t="str">
        <v>-</v>
      </c>
      <c r="L431" s="29">
        <v>54300</v>
      </c>
      <c r="M431" s="29">
        <v>55400</v>
      </c>
      <c r="N431" s="29">
        <v>53000</v>
      </c>
      <c r="O431" s="29" t="str">
        <v>-</v>
      </c>
      <c r="P431" s="29">
        <v>49200</v>
      </c>
      <c r="Q431" s="29">
        <v>49800</v>
      </c>
      <c r="R431" s="29">
        <v>49600</v>
      </c>
      <c r="S431">
        <v>52800</v>
      </c>
      <c r="T431">
        <v>52800</v>
      </c>
      <c r="U431">
        <v>52800</v>
      </c>
      <c r="V431">
        <v>55000</v>
      </c>
      <c r="W431">
        <v>57400</v>
      </c>
    </row>
    <row r="432" spans="1:23">
      <c r="A432" s="30">
        <v>44716</v>
      </c>
      <c r="B432" s="29">
        <v>54000</v>
      </c>
      <c r="C432" s="29">
        <v>55000</v>
      </c>
      <c r="D432" s="29">
        <v>55000</v>
      </c>
      <c r="E432" s="29">
        <v>49500</v>
      </c>
      <c r="F432" s="29">
        <v>54300</v>
      </c>
      <c r="G432" s="29" t="str">
        <v>-</v>
      </c>
      <c r="H432" s="29">
        <v>52000</v>
      </c>
      <c r="I432" s="29">
        <v>52300</v>
      </c>
      <c r="J432" s="29">
        <v>54000</v>
      </c>
      <c r="K432" s="29" t="str">
        <v>-</v>
      </c>
      <c r="L432" s="29">
        <v>54300</v>
      </c>
      <c r="M432" s="29">
        <v>55200</v>
      </c>
      <c r="N432" s="29">
        <v>52300</v>
      </c>
      <c r="O432" s="29" t="str">
        <v>-</v>
      </c>
      <c r="P432" s="29">
        <v>49400</v>
      </c>
      <c r="Q432" s="29">
        <v>50000</v>
      </c>
      <c r="R432" s="29">
        <v>49500</v>
      </c>
      <c r="S432">
        <v>52300</v>
      </c>
      <c r="T432">
        <v>52800</v>
      </c>
      <c r="U432">
        <v>52800</v>
      </c>
      <c r="V432">
        <v>55000</v>
      </c>
      <c r="W432">
        <v>57400</v>
      </c>
    </row>
    <row r="433" spans="1:23">
      <c r="A433" s="30">
        <v>44717</v>
      </c>
      <c r="B433" s="29" t="str">
        <v>H</v>
      </c>
      <c r="C433" s="29" t="str">
        <v>H</v>
      </c>
      <c r="D433" s="29" t="str">
        <v>H</v>
      </c>
      <c r="E433" s="29" t="str">
        <v>H</v>
      </c>
      <c r="F433" s="29" t="str">
        <v>H</v>
      </c>
      <c r="G433" s="29" t="str">
        <v>H</v>
      </c>
      <c r="H433" s="29" t="str">
        <v>H</v>
      </c>
      <c r="I433" s="29" t="str">
        <v>H</v>
      </c>
      <c r="J433" s="29" t="str">
        <v>H</v>
      </c>
      <c r="K433" s="29" t="str">
        <v>H</v>
      </c>
      <c r="L433" s="29" t="str">
        <v>H</v>
      </c>
      <c r="M433" s="29" t="str">
        <v>H</v>
      </c>
      <c r="N433" s="29" t="str">
        <v>H</v>
      </c>
      <c r="O433" s="29" t="str">
        <v>H</v>
      </c>
      <c r="P433" s="29" t="str">
        <v>H</v>
      </c>
      <c r="Q433" s="29" t="str">
        <v>H</v>
      </c>
      <c r="R433" s="29" t="str">
        <v>H</v>
      </c>
      <c r="S433" t="str">
        <v>H</v>
      </c>
      <c r="T433" t="str">
        <v>H</v>
      </c>
      <c r="U433" t="str">
        <v>H</v>
      </c>
      <c r="V433" t="str">
        <v>H</v>
      </c>
      <c r="W433" t="str">
        <v>H</v>
      </c>
    </row>
    <row r="434" spans="1:23">
      <c r="A434" s="30">
        <v>44718</v>
      </c>
      <c r="B434" s="29">
        <v>54000</v>
      </c>
      <c r="C434" s="29">
        <v>54700</v>
      </c>
      <c r="D434" s="29">
        <v>55700</v>
      </c>
      <c r="E434" s="29">
        <v>49500</v>
      </c>
      <c r="F434" s="29">
        <v>54300</v>
      </c>
      <c r="G434" s="29" t="str">
        <v>-</v>
      </c>
      <c r="H434" s="29">
        <v>52500</v>
      </c>
      <c r="I434" s="29">
        <v>53000</v>
      </c>
      <c r="J434" s="29">
        <v>54000</v>
      </c>
      <c r="K434" s="29" t="str">
        <v>-</v>
      </c>
      <c r="L434" s="29">
        <v>54300</v>
      </c>
      <c r="M434" s="29">
        <v>54900</v>
      </c>
      <c r="N434" s="29">
        <v>52700</v>
      </c>
      <c r="O434" s="29" t="str">
        <v>-</v>
      </c>
      <c r="P434" s="29">
        <v>49200</v>
      </c>
      <c r="Q434" s="29">
        <v>50000</v>
      </c>
      <c r="R434" s="29">
        <v>49600</v>
      </c>
      <c r="S434">
        <v>52300</v>
      </c>
      <c r="T434">
        <v>52800</v>
      </c>
      <c r="U434">
        <v>52800</v>
      </c>
      <c r="V434">
        <v>55000</v>
      </c>
      <c r="W434">
        <v>57400</v>
      </c>
    </row>
    <row r="435" spans="1:23">
      <c r="A435" s="30">
        <v>44719</v>
      </c>
      <c r="B435" s="29">
        <v>54000</v>
      </c>
      <c r="C435" s="29">
        <v>54500</v>
      </c>
      <c r="D435" s="29">
        <v>55700</v>
      </c>
      <c r="E435" s="29">
        <v>49500</v>
      </c>
      <c r="F435" s="29">
        <v>54300</v>
      </c>
      <c r="G435" s="29" t="str">
        <v>-</v>
      </c>
      <c r="H435" s="29">
        <v>52000</v>
      </c>
      <c r="I435" s="29">
        <v>53000</v>
      </c>
      <c r="J435" s="29">
        <v>54000</v>
      </c>
      <c r="K435" s="29" t="str">
        <v>-</v>
      </c>
      <c r="L435" s="29">
        <v>54300</v>
      </c>
      <c r="M435" s="29">
        <v>54700</v>
      </c>
      <c r="N435" s="29">
        <v>52700</v>
      </c>
      <c r="O435" s="29" t="str">
        <v>-</v>
      </c>
      <c r="P435" s="29">
        <v>48850</v>
      </c>
      <c r="Q435" s="29">
        <v>49900</v>
      </c>
      <c r="R435" s="29">
        <v>49000</v>
      </c>
      <c r="S435">
        <v>52300</v>
      </c>
      <c r="T435">
        <v>52800</v>
      </c>
      <c r="U435">
        <v>52800</v>
      </c>
      <c r="V435">
        <v>54500</v>
      </c>
      <c r="W435">
        <v>57000</v>
      </c>
    </row>
    <row r="436" spans="1:23">
      <c r="A436" s="30">
        <v>44720</v>
      </c>
      <c r="B436" s="29">
        <v>53800</v>
      </c>
      <c r="C436" s="29">
        <v>54500</v>
      </c>
      <c r="D436" s="29">
        <v>55500</v>
      </c>
      <c r="E436" s="29">
        <v>49000</v>
      </c>
      <c r="F436" s="29">
        <v>54300</v>
      </c>
      <c r="G436" s="29" t="str">
        <v>-</v>
      </c>
      <c r="H436" s="29">
        <v>52000</v>
      </c>
      <c r="I436" s="29">
        <v>52700</v>
      </c>
      <c r="J436" s="29">
        <v>54000</v>
      </c>
      <c r="K436" s="29" t="str">
        <v>-</v>
      </c>
      <c r="L436" s="29">
        <v>53800</v>
      </c>
      <c r="M436" s="29">
        <v>54400</v>
      </c>
      <c r="N436" s="29">
        <v>52300</v>
      </c>
      <c r="O436" s="29" t="str">
        <v>-</v>
      </c>
      <c r="P436" s="29">
        <v>48500</v>
      </c>
      <c r="Q436" s="29">
        <v>49900</v>
      </c>
      <c r="R436" s="29">
        <v>48800</v>
      </c>
      <c r="S436">
        <v>51800</v>
      </c>
      <c r="T436">
        <v>52800</v>
      </c>
      <c r="U436">
        <v>52800</v>
      </c>
      <c r="V436">
        <v>54300</v>
      </c>
      <c r="W436">
        <v>56800</v>
      </c>
    </row>
    <row r="437" spans="1:23">
      <c r="A437" s="30">
        <v>44721</v>
      </c>
      <c r="B437" s="29">
        <v>53700</v>
      </c>
      <c r="C437" s="29">
        <v>54000</v>
      </c>
      <c r="D437" s="29">
        <v>54700</v>
      </c>
      <c r="E437" s="29">
        <v>49000</v>
      </c>
      <c r="F437" s="29">
        <v>54000</v>
      </c>
      <c r="G437" s="29" t="str">
        <v>-</v>
      </c>
      <c r="H437" s="29">
        <v>52000</v>
      </c>
      <c r="I437" s="29">
        <v>52700</v>
      </c>
      <c r="J437" s="29">
        <v>53800</v>
      </c>
      <c r="K437" s="29" t="str">
        <v>-</v>
      </c>
      <c r="L437" s="29">
        <v>53800</v>
      </c>
      <c r="M437" s="29">
        <v>54100</v>
      </c>
      <c r="N437" s="29">
        <v>52000</v>
      </c>
      <c r="O437" s="29" t="str">
        <v>-</v>
      </c>
      <c r="P437" s="29">
        <v>48500</v>
      </c>
      <c r="Q437" s="29">
        <v>49500</v>
      </c>
      <c r="R437" s="29">
        <v>48600</v>
      </c>
      <c r="S437">
        <v>51800</v>
      </c>
      <c r="T437">
        <v>52300</v>
      </c>
      <c r="U437">
        <v>52300</v>
      </c>
      <c r="V437">
        <v>54300</v>
      </c>
      <c r="W437">
        <v>56800</v>
      </c>
    </row>
    <row r="438" spans="1:23">
      <c r="A438" s="30">
        <v>44722</v>
      </c>
      <c r="B438" s="29">
        <v>53700</v>
      </c>
      <c r="C438" s="29">
        <v>53500</v>
      </c>
      <c r="D438" s="29">
        <v>55000</v>
      </c>
      <c r="E438" s="29">
        <v>48500</v>
      </c>
      <c r="F438" s="29">
        <v>53800</v>
      </c>
      <c r="G438" s="29" t="str">
        <v>-</v>
      </c>
      <c r="H438" s="29">
        <v>52000</v>
      </c>
      <c r="I438" s="29">
        <v>53000</v>
      </c>
      <c r="J438" s="29">
        <v>53800</v>
      </c>
      <c r="K438" s="29" t="str">
        <v>-</v>
      </c>
      <c r="L438" s="29">
        <v>53900</v>
      </c>
      <c r="M438" s="29">
        <v>53900</v>
      </c>
      <c r="N438" s="29">
        <v>52200</v>
      </c>
      <c r="O438" s="29" t="str">
        <v>-</v>
      </c>
      <c r="P438" s="29">
        <v>48700</v>
      </c>
      <c r="Q438" s="29">
        <v>49600</v>
      </c>
      <c r="R438" s="29">
        <v>48600</v>
      </c>
      <c r="S438">
        <v>51250</v>
      </c>
      <c r="T438">
        <v>52300</v>
      </c>
      <c r="U438">
        <v>52300</v>
      </c>
      <c r="V438">
        <v>54300</v>
      </c>
      <c r="W438">
        <v>56800</v>
      </c>
    </row>
    <row r="439" spans="1:23">
      <c r="A439" s="30">
        <v>44723</v>
      </c>
      <c r="B439" s="29">
        <v>53700</v>
      </c>
      <c r="C439" s="29">
        <v>53000</v>
      </c>
      <c r="D439" s="29">
        <v>55000</v>
      </c>
      <c r="E439" s="29">
        <v>48700</v>
      </c>
      <c r="F439" s="29">
        <v>53800</v>
      </c>
      <c r="G439" s="29" t="str">
        <v>-</v>
      </c>
      <c r="H439" s="29">
        <v>52000</v>
      </c>
      <c r="I439" s="29">
        <v>53300</v>
      </c>
      <c r="J439" s="29">
        <v>53800</v>
      </c>
      <c r="K439" s="29" t="str">
        <v>-</v>
      </c>
      <c r="L439" s="29">
        <v>54000</v>
      </c>
      <c r="M439" s="29">
        <v>53400</v>
      </c>
      <c r="N439" s="29">
        <v>52800</v>
      </c>
      <c r="O439" s="29" t="str">
        <v>-</v>
      </c>
      <c r="P439" s="29">
        <v>48700</v>
      </c>
      <c r="Q439" s="29">
        <v>49900</v>
      </c>
      <c r="R439" s="29">
        <v>48500</v>
      </c>
      <c r="S439">
        <v>51500</v>
      </c>
      <c r="T439">
        <v>52600</v>
      </c>
      <c r="U439">
        <v>52200</v>
      </c>
      <c r="V439">
        <v>54300</v>
      </c>
      <c r="W439">
        <v>56800</v>
      </c>
    </row>
    <row r="440" spans="1:23">
      <c r="A440" s="30">
        <v>44724</v>
      </c>
      <c r="B440" s="29" t="str">
        <v>H</v>
      </c>
      <c r="C440" s="29" t="str">
        <v>H</v>
      </c>
      <c r="D440" s="29" t="str">
        <v>H</v>
      </c>
      <c r="E440" s="29" t="str">
        <v>H</v>
      </c>
      <c r="F440" s="29" t="str">
        <v>H</v>
      </c>
      <c r="G440" s="29" t="str">
        <v>H</v>
      </c>
      <c r="H440" s="29" t="str">
        <v>H</v>
      </c>
      <c r="I440" s="29" t="str">
        <v>H</v>
      </c>
      <c r="J440" s="29" t="str">
        <v>H</v>
      </c>
      <c r="K440" s="29" t="str">
        <v>H</v>
      </c>
      <c r="L440" s="29" t="str">
        <v>H</v>
      </c>
      <c r="M440" s="29" t="str">
        <v>H</v>
      </c>
      <c r="N440" s="29" t="str">
        <v>H</v>
      </c>
      <c r="O440" s="29" t="str">
        <v>H</v>
      </c>
      <c r="P440" s="29" t="str">
        <v>H</v>
      </c>
      <c r="Q440" s="29" t="str">
        <v>H</v>
      </c>
      <c r="R440" s="29" t="str">
        <v>H</v>
      </c>
      <c r="S440" t="str">
        <v>H</v>
      </c>
      <c r="T440" t="str">
        <v>H</v>
      </c>
      <c r="U440" t="str">
        <v>H</v>
      </c>
      <c r="V440" t="str">
        <v>H</v>
      </c>
      <c r="W440" t="str">
        <v>H</v>
      </c>
    </row>
    <row r="441" spans="1:23">
      <c r="A441" s="30">
        <v>44725</v>
      </c>
      <c r="B441" s="29">
        <v>54000</v>
      </c>
      <c r="C441" s="29">
        <v>53000</v>
      </c>
      <c r="D441" s="29">
        <v>56200</v>
      </c>
      <c r="E441" s="29">
        <v>49500</v>
      </c>
      <c r="F441" s="29">
        <v>53800</v>
      </c>
      <c r="G441" s="29" t="str">
        <v>-</v>
      </c>
      <c r="H441" s="29">
        <v>52500</v>
      </c>
      <c r="I441" s="29">
        <v>53600</v>
      </c>
      <c r="J441" s="29">
        <v>53800</v>
      </c>
      <c r="K441" s="29" t="str">
        <v>-</v>
      </c>
      <c r="L441" s="29">
        <v>54400</v>
      </c>
      <c r="M441" s="29">
        <v>52900</v>
      </c>
      <c r="N441" s="29">
        <v>54000</v>
      </c>
      <c r="O441" s="29" t="str">
        <v>-</v>
      </c>
      <c r="P441" s="29">
        <v>49500</v>
      </c>
      <c r="Q441" s="29">
        <v>50100</v>
      </c>
      <c r="R441" s="29">
        <v>49300</v>
      </c>
      <c r="S441">
        <v>52300</v>
      </c>
      <c r="T441">
        <v>52900</v>
      </c>
      <c r="U441">
        <v>52300</v>
      </c>
      <c r="V441">
        <v>54300</v>
      </c>
      <c r="W441">
        <v>56800</v>
      </c>
    </row>
    <row r="442" spans="1:23">
      <c r="A442" s="30">
        <v>44726</v>
      </c>
      <c r="B442" s="29">
        <v>54000</v>
      </c>
      <c r="C442" s="29">
        <v>53000</v>
      </c>
      <c r="D442" s="29">
        <v>56200</v>
      </c>
      <c r="E442" s="29">
        <v>49500</v>
      </c>
      <c r="F442" s="29">
        <v>53700</v>
      </c>
      <c r="G442" s="29" t="str">
        <v>-</v>
      </c>
      <c r="H442" s="29">
        <v>53000</v>
      </c>
      <c r="I442" s="29">
        <v>53800</v>
      </c>
      <c r="J442" s="29">
        <v>53800</v>
      </c>
      <c r="K442" s="29" t="str">
        <v>-</v>
      </c>
      <c r="L442" s="29">
        <v>54400</v>
      </c>
      <c r="M442" s="29">
        <v>52600</v>
      </c>
      <c r="N442" s="29">
        <v>53600</v>
      </c>
      <c r="O442" s="29" t="str">
        <v>-</v>
      </c>
      <c r="P442" s="29">
        <v>49500</v>
      </c>
      <c r="Q442" s="29">
        <v>50100</v>
      </c>
      <c r="R442" s="29">
        <v>49300</v>
      </c>
      <c r="S442">
        <v>52300</v>
      </c>
      <c r="T442">
        <v>53100</v>
      </c>
      <c r="U442">
        <v>52300</v>
      </c>
      <c r="V442">
        <v>54500</v>
      </c>
      <c r="W442">
        <v>56800</v>
      </c>
    </row>
    <row r="443" spans="1:23">
      <c r="A443" s="30">
        <v>44727</v>
      </c>
      <c r="B443" s="29">
        <v>54000</v>
      </c>
      <c r="C443" s="29">
        <v>53000</v>
      </c>
      <c r="D443" s="29">
        <v>56200</v>
      </c>
      <c r="E443" s="29">
        <v>49500</v>
      </c>
      <c r="F443" s="29">
        <v>54200</v>
      </c>
      <c r="G443" s="29" t="str">
        <v>-</v>
      </c>
      <c r="H443" s="29">
        <v>52500</v>
      </c>
      <c r="I443" s="29">
        <v>53800</v>
      </c>
      <c r="J443" s="29">
        <v>53800</v>
      </c>
      <c r="K443" s="29" t="str">
        <v>-</v>
      </c>
      <c r="L443" s="29">
        <v>54400</v>
      </c>
      <c r="M443" s="29">
        <v>52600</v>
      </c>
      <c r="N443" s="29">
        <v>53500</v>
      </c>
      <c r="O443" s="29" t="str">
        <v>-</v>
      </c>
      <c r="P443" s="29">
        <v>49800</v>
      </c>
      <c r="Q443" s="29">
        <v>50400</v>
      </c>
      <c r="R443" s="29">
        <v>49500</v>
      </c>
      <c r="S443">
        <v>52300</v>
      </c>
      <c r="T443">
        <v>53100</v>
      </c>
      <c r="U443">
        <v>52300</v>
      </c>
      <c r="V443">
        <v>54500</v>
      </c>
      <c r="W443">
        <v>56800</v>
      </c>
    </row>
    <row r="444" spans="1:23">
      <c r="A444" s="30">
        <v>44728</v>
      </c>
      <c r="B444" s="29">
        <v>54000</v>
      </c>
      <c r="C444" s="29">
        <v>53000</v>
      </c>
      <c r="D444" s="29">
        <v>56600</v>
      </c>
      <c r="E444" s="29">
        <v>50000</v>
      </c>
      <c r="F444" s="29">
        <v>54200</v>
      </c>
      <c r="G444" s="29" t="str">
        <v>-</v>
      </c>
      <c r="H444" s="29">
        <v>53000</v>
      </c>
      <c r="I444" s="29">
        <v>54100</v>
      </c>
      <c r="J444" s="29">
        <v>53800</v>
      </c>
      <c r="K444" s="29" t="str">
        <v>-</v>
      </c>
      <c r="L444" s="29">
        <v>54600</v>
      </c>
      <c r="M444" s="29">
        <v>52400</v>
      </c>
      <c r="N444" s="29">
        <v>53800</v>
      </c>
      <c r="O444" s="29" t="str">
        <v>-</v>
      </c>
      <c r="P444" s="29">
        <v>50500</v>
      </c>
      <c r="Q444" s="29">
        <v>51000</v>
      </c>
      <c r="R444" s="29">
        <v>50200</v>
      </c>
      <c r="S444">
        <v>52800</v>
      </c>
      <c r="T444">
        <v>53700</v>
      </c>
      <c r="U444">
        <v>53800</v>
      </c>
      <c r="V444">
        <v>54500</v>
      </c>
      <c r="W444">
        <v>56800</v>
      </c>
    </row>
    <row r="445" spans="1:23">
      <c r="A445" s="30">
        <v>44729</v>
      </c>
      <c r="B445" s="29">
        <v>54000</v>
      </c>
      <c r="C445" s="29">
        <v>54000</v>
      </c>
      <c r="D445" s="29">
        <v>56700</v>
      </c>
      <c r="E445" s="29">
        <v>50500</v>
      </c>
      <c r="F445" s="29">
        <v>55000</v>
      </c>
      <c r="G445" s="29" t="str">
        <v>-</v>
      </c>
      <c r="H445" s="29">
        <v>53500</v>
      </c>
      <c r="I445" s="29">
        <v>54200</v>
      </c>
      <c r="J445" s="29">
        <v>53800</v>
      </c>
      <c r="K445" s="29" t="str">
        <v>-</v>
      </c>
      <c r="L445" s="29">
        <v>55000</v>
      </c>
      <c r="M445" s="29">
        <v>52400</v>
      </c>
      <c r="N445" s="29">
        <v>54300</v>
      </c>
      <c r="O445" s="29" t="str">
        <v>-</v>
      </c>
      <c r="P445" s="29">
        <v>50600</v>
      </c>
      <c r="Q445" s="29">
        <v>51200</v>
      </c>
      <c r="R445" s="29">
        <v>50700</v>
      </c>
      <c r="S445">
        <v>53300</v>
      </c>
      <c r="T445">
        <v>53900</v>
      </c>
      <c r="U445">
        <v>54300</v>
      </c>
      <c r="V445">
        <v>54800</v>
      </c>
      <c r="W445">
        <v>57300</v>
      </c>
    </row>
    <row r="446" spans="1:23">
      <c r="A446" s="30">
        <v>44730</v>
      </c>
      <c r="B446" s="29">
        <v>54000</v>
      </c>
      <c r="C446" s="29">
        <v>54500</v>
      </c>
      <c r="D446" s="29">
        <v>57000</v>
      </c>
      <c r="E446" s="29">
        <v>50500</v>
      </c>
      <c r="F446" s="29">
        <v>55700</v>
      </c>
      <c r="G446" s="29" t="str">
        <v>-</v>
      </c>
      <c r="H446" s="29">
        <v>54000</v>
      </c>
      <c r="I446" s="29">
        <v>55000</v>
      </c>
      <c r="J446" s="29">
        <v>53800</v>
      </c>
      <c r="K446" s="29" t="str">
        <v>-</v>
      </c>
      <c r="L446" s="29">
        <v>55300</v>
      </c>
      <c r="M446" s="29">
        <v>52600</v>
      </c>
      <c r="N446" s="29">
        <v>54500</v>
      </c>
      <c r="O446" s="29" t="str">
        <v>-</v>
      </c>
      <c r="P446" s="29">
        <v>50300</v>
      </c>
      <c r="Q446" s="29">
        <v>51400</v>
      </c>
      <c r="R446" s="29">
        <v>50700</v>
      </c>
      <c r="S446">
        <v>53300</v>
      </c>
      <c r="T446">
        <v>54200</v>
      </c>
      <c r="U446">
        <v>54200</v>
      </c>
      <c r="V446">
        <v>54800</v>
      </c>
      <c r="W446">
        <v>57300</v>
      </c>
    </row>
    <row r="447" spans="1:23">
      <c r="A447" s="30">
        <v>44731</v>
      </c>
      <c r="B447" s="29" t="str">
        <v>H</v>
      </c>
      <c r="C447" s="29" t="str">
        <v>H</v>
      </c>
      <c r="D447" s="29" t="str">
        <v>H</v>
      </c>
      <c r="E447" s="29" t="str">
        <v>H</v>
      </c>
      <c r="F447" s="29" t="str">
        <v>H</v>
      </c>
      <c r="G447" s="29" t="str">
        <v>H</v>
      </c>
      <c r="H447" s="29" t="str">
        <v>H</v>
      </c>
      <c r="I447" s="29" t="str">
        <v>H</v>
      </c>
      <c r="J447" s="29" t="str">
        <v>H</v>
      </c>
      <c r="K447" s="29" t="str">
        <v>H</v>
      </c>
      <c r="L447" s="29" t="str">
        <v>H</v>
      </c>
      <c r="M447" s="29" t="str">
        <v>H</v>
      </c>
      <c r="N447" s="29" t="str">
        <v>H</v>
      </c>
      <c r="O447" s="29" t="str">
        <v>H</v>
      </c>
      <c r="P447" s="29" t="str">
        <v>H</v>
      </c>
      <c r="Q447" s="29" t="str">
        <v>H</v>
      </c>
      <c r="R447" s="29" t="str">
        <v>H</v>
      </c>
      <c r="S447" t="str">
        <v>H</v>
      </c>
      <c r="T447" t="str">
        <v>H</v>
      </c>
      <c r="U447" t="str">
        <v>H</v>
      </c>
      <c r="V447" t="str">
        <v>H</v>
      </c>
      <c r="W447" t="str">
        <v>H</v>
      </c>
    </row>
    <row r="448" spans="1:23">
      <c r="A448" s="30">
        <v>44732</v>
      </c>
      <c r="B448" s="29">
        <v>54000</v>
      </c>
      <c r="C448" s="29">
        <v>54500</v>
      </c>
      <c r="D448" s="29">
        <v>56500</v>
      </c>
      <c r="E448" s="29">
        <v>50500</v>
      </c>
      <c r="F448" s="29">
        <v>56200</v>
      </c>
      <c r="G448" s="29" t="str">
        <v>-</v>
      </c>
      <c r="H448" s="29">
        <v>53500</v>
      </c>
      <c r="I448" s="29">
        <v>54900</v>
      </c>
      <c r="J448" s="29">
        <v>53800</v>
      </c>
      <c r="K448" s="29" t="str">
        <v>-</v>
      </c>
      <c r="L448" s="29">
        <v>55300</v>
      </c>
      <c r="M448" s="29">
        <v>52600</v>
      </c>
      <c r="N448" s="29">
        <v>54000</v>
      </c>
      <c r="O448" s="29" t="str">
        <v>-</v>
      </c>
      <c r="P448" s="29">
        <v>49900</v>
      </c>
      <c r="Q448" s="29">
        <v>51000</v>
      </c>
      <c r="R448" s="29">
        <v>50500</v>
      </c>
      <c r="S448">
        <v>53300</v>
      </c>
      <c r="T448">
        <v>53700</v>
      </c>
      <c r="U448">
        <v>54200</v>
      </c>
      <c r="V448">
        <v>54500</v>
      </c>
      <c r="W448">
        <v>57100</v>
      </c>
    </row>
    <row r="449" spans="1:23">
      <c r="A449" s="30">
        <v>44733</v>
      </c>
      <c r="B449" s="29">
        <v>53700</v>
      </c>
      <c r="C449" s="29">
        <v>54500</v>
      </c>
      <c r="D449" s="29">
        <v>55200</v>
      </c>
      <c r="E449" s="29">
        <v>50000</v>
      </c>
      <c r="F449" s="29">
        <v>56200</v>
      </c>
      <c r="G449" s="29" t="str">
        <v>-</v>
      </c>
      <c r="H449" s="29">
        <v>53500</v>
      </c>
      <c r="I449" s="29">
        <v>54500</v>
      </c>
      <c r="J449" s="29">
        <v>53800</v>
      </c>
      <c r="K449" s="29" t="str">
        <v>-</v>
      </c>
      <c r="L449" s="29">
        <v>54800</v>
      </c>
      <c r="M449" s="29">
        <v>52400</v>
      </c>
      <c r="N449" s="29">
        <v>52500</v>
      </c>
      <c r="O449" s="29" t="str">
        <v>-</v>
      </c>
      <c r="P449" s="29">
        <v>49700</v>
      </c>
      <c r="Q449" s="29">
        <v>50900</v>
      </c>
      <c r="R449" s="29">
        <v>50500</v>
      </c>
      <c r="S449">
        <v>52800</v>
      </c>
      <c r="T449">
        <v>53700</v>
      </c>
      <c r="U449">
        <v>54200</v>
      </c>
      <c r="V449">
        <v>54300</v>
      </c>
      <c r="W449">
        <v>56800</v>
      </c>
    </row>
    <row r="450" spans="1:23">
      <c r="A450" s="30">
        <v>44734</v>
      </c>
      <c r="B450" s="29">
        <v>53700</v>
      </c>
      <c r="C450" s="29">
        <v>54500</v>
      </c>
      <c r="D450" s="29">
        <v>55200</v>
      </c>
      <c r="E450" s="29">
        <v>50500</v>
      </c>
      <c r="F450" s="29">
        <v>56200</v>
      </c>
      <c r="G450" s="29" t="str">
        <v>-</v>
      </c>
      <c r="H450" s="29">
        <v>53500</v>
      </c>
      <c r="I450" s="29">
        <v>54500</v>
      </c>
      <c r="J450" s="29">
        <v>53800</v>
      </c>
      <c r="K450" s="29" t="str">
        <v>-</v>
      </c>
      <c r="L450" s="29">
        <v>55000</v>
      </c>
      <c r="M450" s="29">
        <v>52100</v>
      </c>
      <c r="N450" s="29">
        <v>53000</v>
      </c>
      <c r="O450" s="29" t="str">
        <v>-</v>
      </c>
      <c r="P450" s="29">
        <v>50500</v>
      </c>
      <c r="Q450" s="29">
        <v>51100</v>
      </c>
      <c r="R450" s="29">
        <v>50800</v>
      </c>
      <c r="S450">
        <v>53300</v>
      </c>
      <c r="T450">
        <v>53900</v>
      </c>
      <c r="U450">
        <v>54300</v>
      </c>
      <c r="V450">
        <v>54300</v>
      </c>
      <c r="W450">
        <v>56800</v>
      </c>
    </row>
    <row r="451" spans="1:23">
      <c r="A451" s="30">
        <v>44735</v>
      </c>
      <c r="B451" s="29">
        <v>53700</v>
      </c>
      <c r="C451" s="29">
        <v>55000</v>
      </c>
      <c r="D451" s="29">
        <v>56500</v>
      </c>
      <c r="E451" s="29">
        <v>51500</v>
      </c>
      <c r="F451" s="29">
        <v>56200</v>
      </c>
      <c r="G451" s="29" t="str">
        <v>-</v>
      </c>
      <c r="H451" s="29">
        <v>54000</v>
      </c>
      <c r="I451" s="29">
        <v>55300</v>
      </c>
      <c r="J451" s="29">
        <v>53800</v>
      </c>
      <c r="K451" s="29" t="str">
        <v>-</v>
      </c>
      <c r="L451" s="29">
        <v>55500</v>
      </c>
      <c r="M451" s="29">
        <v>52100</v>
      </c>
      <c r="N451" s="29">
        <v>54000</v>
      </c>
      <c r="O451" s="29" t="str">
        <v>-</v>
      </c>
      <c r="P451" s="29">
        <v>51000</v>
      </c>
      <c r="Q451" s="29">
        <v>51400</v>
      </c>
      <c r="R451" s="29">
        <v>51500</v>
      </c>
      <c r="S451">
        <v>54300</v>
      </c>
      <c r="T451">
        <v>54200</v>
      </c>
      <c r="U451">
        <v>54500</v>
      </c>
      <c r="V451">
        <v>54300</v>
      </c>
      <c r="W451">
        <v>56800</v>
      </c>
    </row>
    <row r="452" spans="1:23">
      <c r="A452" s="30">
        <v>44736</v>
      </c>
      <c r="B452" s="29">
        <v>53800</v>
      </c>
      <c r="C452" s="29">
        <v>55000</v>
      </c>
      <c r="D452" s="29">
        <v>56500</v>
      </c>
      <c r="E452" s="29">
        <v>52000</v>
      </c>
      <c r="F452" s="29">
        <v>57100</v>
      </c>
      <c r="G452" s="29" t="str">
        <v>-</v>
      </c>
      <c r="H452" s="29">
        <v>55000</v>
      </c>
      <c r="I452" s="29">
        <v>55600</v>
      </c>
      <c r="J452" s="29">
        <v>53900</v>
      </c>
      <c r="K452" s="29" t="str">
        <v>-</v>
      </c>
      <c r="L452" s="29">
        <v>56000</v>
      </c>
      <c r="M452" s="29">
        <v>52700</v>
      </c>
      <c r="N452" s="29">
        <v>54300</v>
      </c>
      <c r="O452" s="29" t="str">
        <v>-</v>
      </c>
      <c r="P452" s="29">
        <v>51300</v>
      </c>
      <c r="Q452" s="29">
        <v>51600</v>
      </c>
      <c r="R452" s="29">
        <v>51800</v>
      </c>
      <c r="S452">
        <v>54800</v>
      </c>
      <c r="T452">
        <v>54500</v>
      </c>
      <c r="U452">
        <v>54800</v>
      </c>
      <c r="V452">
        <v>55700</v>
      </c>
      <c r="W452">
        <v>58000</v>
      </c>
    </row>
    <row r="453" spans="1:23">
      <c r="A453" s="30">
        <v>44737</v>
      </c>
      <c r="B453" s="29">
        <v>53800</v>
      </c>
      <c r="C453" s="29">
        <v>55500</v>
      </c>
      <c r="D453" s="29">
        <v>56700</v>
      </c>
      <c r="E453" s="29">
        <v>52000</v>
      </c>
      <c r="F453" s="29">
        <v>57100</v>
      </c>
      <c r="G453" s="29" t="str">
        <v>-</v>
      </c>
      <c r="H453" s="29">
        <v>55000</v>
      </c>
      <c r="I453" s="29">
        <v>55500</v>
      </c>
      <c r="J453" s="29">
        <v>54400</v>
      </c>
      <c r="K453" s="29" t="str">
        <v>-</v>
      </c>
      <c r="L453" s="29">
        <v>56000</v>
      </c>
      <c r="M453" s="29">
        <v>53100</v>
      </c>
      <c r="N453" s="29">
        <v>54200</v>
      </c>
      <c r="O453" s="29" t="str">
        <v>-</v>
      </c>
      <c r="P453" s="29">
        <v>51300</v>
      </c>
      <c r="Q453" s="29">
        <v>51500</v>
      </c>
      <c r="R453" s="29">
        <v>51700</v>
      </c>
      <c r="S453">
        <v>54800</v>
      </c>
      <c r="T453">
        <v>54300</v>
      </c>
      <c r="U453">
        <v>54800</v>
      </c>
      <c r="V453">
        <v>56000</v>
      </c>
      <c r="W453">
        <v>58300</v>
      </c>
    </row>
    <row r="454" spans="1:23">
      <c r="A454" s="30">
        <v>44738</v>
      </c>
      <c r="B454" s="29" t="str">
        <v>H</v>
      </c>
      <c r="C454" s="29" t="str">
        <v>H</v>
      </c>
      <c r="D454" s="29" t="str">
        <v>H</v>
      </c>
      <c r="E454" s="29" t="str">
        <v>H</v>
      </c>
      <c r="F454" s="29" t="str">
        <v>H</v>
      </c>
      <c r="G454" s="29" t="str">
        <v>H</v>
      </c>
      <c r="H454" s="29" t="str">
        <v>H</v>
      </c>
      <c r="I454" s="29" t="str">
        <v>H</v>
      </c>
      <c r="J454" s="29" t="str">
        <v>H</v>
      </c>
      <c r="K454" s="29" t="str">
        <v>H</v>
      </c>
      <c r="L454" s="29" t="str">
        <v>H</v>
      </c>
      <c r="M454" s="29" t="str">
        <v>H</v>
      </c>
      <c r="N454" s="29" t="str">
        <v>H</v>
      </c>
      <c r="O454" s="29" t="str">
        <v>H</v>
      </c>
      <c r="P454" s="29" t="str">
        <v>H</v>
      </c>
      <c r="Q454" s="29" t="str">
        <v>H</v>
      </c>
      <c r="R454" s="29" t="str">
        <v>H</v>
      </c>
      <c r="S454" t="str">
        <v>H</v>
      </c>
      <c r="T454" t="str">
        <v>H</v>
      </c>
      <c r="U454" t="str">
        <v>H</v>
      </c>
      <c r="V454" t="str">
        <v>H</v>
      </c>
      <c r="W454" t="str">
        <v>H</v>
      </c>
    </row>
    <row r="455" spans="1:23">
      <c r="A455" s="30">
        <v>44739</v>
      </c>
      <c r="B455" s="29">
        <v>53800</v>
      </c>
      <c r="C455" s="29">
        <v>56000</v>
      </c>
      <c r="D455" s="29">
        <v>57000</v>
      </c>
      <c r="E455" s="29">
        <v>52800</v>
      </c>
      <c r="F455" s="29">
        <v>57100</v>
      </c>
      <c r="G455" s="29" t="str">
        <v>-</v>
      </c>
      <c r="H455" s="29">
        <v>55000</v>
      </c>
      <c r="I455" s="29">
        <v>55900</v>
      </c>
      <c r="J455" s="29">
        <v>54900</v>
      </c>
      <c r="K455" s="29" t="str">
        <v>-</v>
      </c>
      <c r="L455" s="29">
        <v>56500</v>
      </c>
      <c r="M455" s="29">
        <v>53700</v>
      </c>
      <c r="N455" s="29">
        <v>55000</v>
      </c>
      <c r="O455" s="29" t="str">
        <v>-</v>
      </c>
      <c r="P455" s="29">
        <v>52500</v>
      </c>
      <c r="Q455" s="29">
        <v>52600</v>
      </c>
      <c r="R455" s="29">
        <v>53000</v>
      </c>
      <c r="S455">
        <v>55500</v>
      </c>
      <c r="T455">
        <v>55000</v>
      </c>
      <c r="U455">
        <v>55000</v>
      </c>
      <c r="V455">
        <v>56000</v>
      </c>
      <c r="W455">
        <v>58300</v>
      </c>
    </row>
    <row r="456" spans="1:23">
      <c r="A456" s="30">
        <v>44740</v>
      </c>
      <c r="B456" s="29">
        <v>54200</v>
      </c>
      <c r="C456" s="29">
        <v>57000</v>
      </c>
      <c r="D456" s="29">
        <v>57400</v>
      </c>
      <c r="E456" s="29">
        <v>53500</v>
      </c>
      <c r="F456" s="29">
        <v>57400</v>
      </c>
      <c r="G456" s="29" t="str">
        <v>-</v>
      </c>
      <c r="H456" s="29">
        <v>55500</v>
      </c>
      <c r="I456" s="29">
        <v>56000</v>
      </c>
      <c r="J456" s="29">
        <v>55100</v>
      </c>
      <c r="K456" s="29" t="str">
        <v>-</v>
      </c>
      <c r="L456" s="29">
        <v>56900</v>
      </c>
      <c r="M456" s="29">
        <v>54500</v>
      </c>
      <c r="N456" s="29">
        <v>55400</v>
      </c>
      <c r="O456" s="29" t="str">
        <v>-</v>
      </c>
      <c r="P456" s="29">
        <v>53000</v>
      </c>
      <c r="Q456" s="29">
        <v>52800</v>
      </c>
      <c r="R456" s="29">
        <v>53200</v>
      </c>
      <c r="S456">
        <v>56300</v>
      </c>
      <c r="T456">
        <v>55500</v>
      </c>
      <c r="U456">
        <v>55800</v>
      </c>
      <c r="V456">
        <v>56500</v>
      </c>
      <c r="W456">
        <v>58800</v>
      </c>
    </row>
    <row r="457" spans="1:23">
      <c r="A457" s="30">
        <v>44741</v>
      </c>
      <c r="B457" s="29">
        <v>54600</v>
      </c>
      <c r="C457" s="29">
        <v>57000</v>
      </c>
      <c r="D457" s="29">
        <v>57400</v>
      </c>
      <c r="E457" s="29">
        <v>53500</v>
      </c>
      <c r="F457" s="29">
        <v>57500</v>
      </c>
      <c r="G457" s="29" t="str">
        <v>-</v>
      </c>
      <c r="H457" s="29">
        <v>56000</v>
      </c>
      <c r="I457" s="29">
        <v>56000</v>
      </c>
      <c r="J457" s="29">
        <v>55100</v>
      </c>
      <c r="K457" s="29" t="str">
        <v>-</v>
      </c>
      <c r="L457" s="29">
        <v>56900</v>
      </c>
      <c r="M457" s="29">
        <v>54800</v>
      </c>
      <c r="N457" s="29">
        <v>55200</v>
      </c>
      <c r="O457" s="29" t="str">
        <v>-</v>
      </c>
      <c r="P457" s="29">
        <v>52700</v>
      </c>
      <c r="Q457" s="29">
        <v>52800</v>
      </c>
      <c r="R457" s="29">
        <v>53000</v>
      </c>
      <c r="S457">
        <v>56300</v>
      </c>
      <c r="T457">
        <v>55500</v>
      </c>
      <c r="U457">
        <v>55800</v>
      </c>
      <c r="V457">
        <v>56500</v>
      </c>
      <c r="W457">
        <v>58800</v>
      </c>
    </row>
    <row r="458" spans="1:23">
      <c r="A458" s="30">
        <v>44742</v>
      </c>
      <c r="B458" s="29">
        <v>54500</v>
      </c>
      <c r="C458" s="29">
        <v>57000</v>
      </c>
      <c r="D458" s="29">
        <v>56900</v>
      </c>
      <c r="E458" s="29">
        <v>53000</v>
      </c>
      <c r="F458" s="29">
        <v>57500</v>
      </c>
      <c r="G458" s="29" t="str">
        <v>-</v>
      </c>
      <c r="H458" s="29">
        <v>55500</v>
      </c>
      <c r="I458" s="29">
        <v>55700</v>
      </c>
      <c r="J458" s="29">
        <v>55100</v>
      </c>
      <c r="K458" s="29" t="str">
        <v>-</v>
      </c>
      <c r="L458" s="29">
        <v>56500</v>
      </c>
      <c r="M458" s="29">
        <v>54800</v>
      </c>
      <c r="N458" s="29">
        <v>54500</v>
      </c>
      <c r="O458" s="29" t="str">
        <v>-</v>
      </c>
      <c r="P458" s="29">
        <v>53000</v>
      </c>
      <c r="Q458" s="29">
        <v>52800</v>
      </c>
      <c r="R458" s="29">
        <v>52800</v>
      </c>
      <c r="S458">
        <v>55800</v>
      </c>
      <c r="T458">
        <v>55500</v>
      </c>
      <c r="U458">
        <v>55800</v>
      </c>
      <c r="V458">
        <v>56500</v>
      </c>
      <c r="W458">
        <v>58800</v>
      </c>
    </row>
    <row r="459" spans="1:23">
      <c r="A459" s="30">
        <v>44743</v>
      </c>
      <c r="B459" s="29">
        <v>54500</v>
      </c>
      <c r="C459" s="29">
        <v>57500</v>
      </c>
      <c r="D459" s="29">
        <v>56900</v>
      </c>
      <c r="E459" s="29">
        <v>53500</v>
      </c>
      <c r="F459" s="29">
        <v>57500</v>
      </c>
      <c r="G459" s="29" t="str">
        <v>-</v>
      </c>
      <c r="H459" s="29">
        <v>56500</v>
      </c>
      <c r="I459" s="29">
        <v>55700</v>
      </c>
      <c r="J459" s="29">
        <v>55100</v>
      </c>
      <c r="K459" s="29" t="str">
        <v>-</v>
      </c>
      <c r="L459" s="29">
        <v>56800</v>
      </c>
      <c r="M459" s="29">
        <v>54800</v>
      </c>
      <c r="N459" s="29">
        <v>54800</v>
      </c>
      <c r="O459" s="29" t="str">
        <v>-</v>
      </c>
      <c r="P459" s="29">
        <v>52700</v>
      </c>
      <c r="Q459" s="29">
        <v>52600</v>
      </c>
      <c r="R459" s="29">
        <v>52800</v>
      </c>
      <c r="S459">
        <v>56300</v>
      </c>
      <c r="T459">
        <v>55500</v>
      </c>
      <c r="U459">
        <v>55800</v>
      </c>
      <c r="V459">
        <v>56500</v>
      </c>
      <c r="W459">
        <v>58800</v>
      </c>
    </row>
    <row r="460" spans="1:23">
      <c r="A460" s="30">
        <v>44744</v>
      </c>
      <c r="B460" s="29">
        <v>54900</v>
      </c>
      <c r="C460" s="29">
        <v>58000</v>
      </c>
      <c r="D460" s="29">
        <v>56900</v>
      </c>
      <c r="E460" s="29">
        <v>53500</v>
      </c>
      <c r="F460" s="29">
        <v>57500</v>
      </c>
      <c r="G460" s="29" t="str">
        <v>-</v>
      </c>
      <c r="H460" s="29">
        <v>56500</v>
      </c>
      <c r="I460" s="29">
        <v>55700</v>
      </c>
      <c r="J460" s="29">
        <v>55100</v>
      </c>
      <c r="K460" s="29" t="str">
        <v>-</v>
      </c>
      <c r="L460" s="29">
        <v>57000</v>
      </c>
      <c r="M460" s="29">
        <v>54800</v>
      </c>
      <c r="N460" s="29">
        <v>55000</v>
      </c>
      <c r="O460" s="29" t="str">
        <v>-</v>
      </c>
      <c r="P460" s="29">
        <v>52400</v>
      </c>
      <c r="Q460" s="29">
        <v>52600</v>
      </c>
      <c r="R460" s="29">
        <v>53000</v>
      </c>
      <c r="S460">
        <v>56300</v>
      </c>
      <c r="T460">
        <v>55500</v>
      </c>
      <c r="U460">
        <v>55800</v>
      </c>
      <c r="V460">
        <v>57200</v>
      </c>
      <c r="W460">
        <v>59500</v>
      </c>
    </row>
    <row r="461" spans="1:23">
      <c r="A461" s="30">
        <v>44745</v>
      </c>
      <c r="B461" s="29" t="str">
        <v>H</v>
      </c>
      <c r="C461" s="29" t="str">
        <v>H</v>
      </c>
      <c r="D461" s="29" t="str">
        <v>H</v>
      </c>
      <c r="E461" s="29" t="str">
        <v>H</v>
      </c>
      <c r="F461" s="29" t="str">
        <v>H</v>
      </c>
      <c r="G461" s="29" t="str">
        <v>H</v>
      </c>
      <c r="H461" s="29" t="str">
        <v>H</v>
      </c>
      <c r="I461" s="29" t="str">
        <v>H</v>
      </c>
      <c r="J461" s="29" t="str">
        <v>H</v>
      </c>
      <c r="K461" s="29" t="str">
        <v>H</v>
      </c>
      <c r="L461" s="29" t="str">
        <v>H</v>
      </c>
      <c r="M461" s="29" t="str">
        <v>H</v>
      </c>
      <c r="N461" s="29" t="str">
        <v>H</v>
      </c>
      <c r="O461" s="29" t="str">
        <v>H</v>
      </c>
      <c r="P461" s="29" t="str">
        <v>H</v>
      </c>
      <c r="Q461" s="29" t="str">
        <v>H</v>
      </c>
      <c r="R461" s="29" t="str">
        <v>H</v>
      </c>
      <c r="S461" t="str">
        <v>H</v>
      </c>
      <c r="T461" t="str">
        <v>H</v>
      </c>
      <c r="U461" t="str">
        <v>H</v>
      </c>
      <c r="V461" t="str">
        <v>H</v>
      </c>
      <c r="W461" t="str">
        <v>H</v>
      </c>
    </row>
    <row r="462" spans="1:23">
      <c r="A462" s="30">
        <v>44746</v>
      </c>
      <c r="B462" s="29">
        <v>54900</v>
      </c>
      <c r="C462" s="29">
        <v>58000</v>
      </c>
      <c r="D462" s="29">
        <v>57000</v>
      </c>
      <c r="E462" s="29">
        <v>53500</v>
      </c>
      <c r="F462" s="29">
        <v>57500</v>
      </c>
      <c r="G462" s="29" t="str">
        <v>-</v>
      </c>
      <c r="H462" s="29">
        <v>56000</v>
      </c>
      <c r="I462" s="29">
        <v>55700</v>
      </c>
      <c r="J462" s="29">
        <v>55100</v>
      </c>
      <c r="K462" s="29" t="str">
        <v>-</v>
      </c>
      <c r="L462" s="29">
        <v>57000</v>
      </c>
      <c r="M462" s="29">
        <v>54400</v>
      </c>
      <c r="N462" s="29">
        <v>54300</v>
      </c>
      <c r="O462" s="29" t="str">
        <v>-</v>
      </c>
      <c r="P462" s="29">
        <v>52100</v>
      </c>
      <c r="Q462" s="29">
        <v>52300</v>
      </c>
      <c r="R462" s="29">
        <v>52800</v>
      </c>
      <c r="S462">
        <v>56300</v>
      </c>
      <c r="T462">
        <v>55000</v>
      </c>
      <c r="U462">
        <v>55800</v>
      </c>
      <c r="V462">
        <v>57500</v>
      </c>
      <c r="W462">
        <v>59700</v>
      </c>
    </row>
    <row r="463" spans="1:23">
      <c r="A463" s="30">
        <v>44747</v>
      </c>
      <c r="B463" s="29">
        <v>54900</v>
      </c>
      <c r="C463" s="29">
        <v>58300</v>
      </c>
      <c r="D463" s="29">
        <v>56500</v>
      </c>
      <c r="E463" s="29">
        <v>53500</v>
      </c>
      <c r="F463" s="29">
        <v>57500</v>
      </c>
      <c r="G463" s="29" t="str">
        <v>-</v>
      </c>
      <c r="H463" s="29">
        <v>56000</v>
      </c>
      <c r="I463" s="29">
        <v>56000</v>
      </c>
      <c r="J463" s="29">
        <v>55100</v>
      </c>
      <c r="K463" s="29" t="str">
        <v>-</v>
      </c>
      <c r="L463" s="29">
        <v>57000</v>
      </c>
      <c r="M463" s="29">
        <v>54400</v>
      </c>
      <c r="N463" s="29">
        <v>54300</v>
      </c>
      <c r="O463" s="29" t="str">
        <v>-</v>
      </c>
      <c r="P463" s="29">
        <v>52600</v>
      </c>
      <c r="Q463" s="29">
        <v>52400</v>
      </c>
      <c r="R463" s="29">
        <v>53000</v>
      </c>
      <c r="S463">
        <v>56300</v>
      </c>
      <c r="T463">
        <v>55000</v>
      </c>
      <c r="U463">
        <v>55800</v>
      </c>
      <c r="V463">
        <v>57500</v>
      </c>
      <c r="W463">
        <v>59700</v>
      </c>
    </row>
    <row r="464" spans="1:23">
      <c r="A464" s="30">
        <v>44748</v>
      </c>
      <c r="B464" s="29">
        <v>55400</v>
      </c>
      <c r="C464" s="29">
        <v>58300</v>
      </c>
      <c r="D464" s="29">
        <v>56700</v>
      </c>
      <c r="E464" s="29">
        <v>53500</v>
      </c>
      <c r="F464" s="29">
        <v>57500</v>
      </c>
      <c r="G464" s="29" t="str">
        <v>-</v>
      </c>
      <c r="H464" s="29">
        <v>56000</v>
      </c>
      <c r="I464" s="29">
        <v>55800</v>
      </c>
      <c r="J464" s="29">
        <v>55700</v>
      </c>
      <c r="K464" s="29" t="str">
        <v>-</v>
      </c>
      <c r="L464" s="29">
        <v>56800</v>
      </c>
      <c r="M464" s="29">
        <v>55000</v>
      </c>
      <c r="N464" s="29">
        <v>54300</v>
      </c>
      <c r="O464" s="29" t="str">
        <v>-</v>
      </c>
      <c r="P464" s="29">
        <v>52300</v>
      </c>
      <c r="Q464" s="29">
        <v>52600</v>
      </c>
      <c r="R464" s="29">
        <v>53000</v>
      </c>
      <c r="S464">
        <v>56300</v>
      </c>
      <c r="T464">
        <v>54900</v>
      </c>
      <c r="U464">
        <v>55800</v>
      </c>
      <c r="V464">
        <v>57500</v>
      </c>
      <c r="W464">
        <v>59700</v>
      </c>
    </row>
    <row r="465" spans="1:23">
      <c r="A465" s="30">
        <v>44749</v>
      </c>
      <c r="B465" s="29">
        <v>55800</v>
      </c>
      <c r="C465" s="29">
        <v>58200</v>
      </c>
      <c r="D465" s="29">
        <v>57200</v>
      </c>
      <c r="E465" s="29">
        <v>54500</v>
      </c>
      <c r="F465" s="29">
        <v>57700</v>
      </c>
      <c r="G465" s="29" t="str">
        <v>-</v>
      </c>
      <c r="H465" s="29">
        <v>56500</v>
      </c>
      <c r="I465" s="29">
        <v>56400</v>
      </c>
      <c r="J465" s="29">
        <v>55700</v>
      </c>
      <c r="K465" s="29" t="str">
        <v>-</v>
      </c>
      <c r="L465" s="29">
        <v>57200</v>
      </c>
      <c r="M465" s="29">
        <v>55300</v>
      </c>
      <c r="N465" s="29">
        <v>54800</v>
      </c>
      <c r="O465" s="29" t="str">
        <v>-</v>
      </c>
      <c r="P465" s="29">
        <v>53200</v>
      </c>
      <c r="Q465" s="29">
        <v>53300</v>
      </c>
      <c r="R465" s="29">
        <v>53200</v>
      </c>
      <c r="S465">
        <v>57200</v>
      </c>
      <c r="T465">
        <v>55300</v>
      </c>
      <c r="U465">
        <v>55800</v>
      </c>
      <c r="V465">
        <v>57500</v>
      </c>
      <c r="W465">
        <v>59700</v>
      </c>
    </row>
    <row r="466" spans="1:23">
      <c r="A466" s="30">
        <v>44750</v>
      </c>
      <c r="B466" s="29">
        <v>56300</v>
      </c>
      <c r="C466" s="29">
        <v>58500</v>
      </c>
      <c r="D466" s="29">
        <v>58000</v>
      </c>
      <c r="E466" s="29">
        <v>56000</v>
      </c>
      <c r="F466" s="29">
        <v>58300</v>
      </c>
      <c r="G466" s="29" t="str">
        <v>-</v>
      </c>
      <c r="H466" s="29">
        <v>57000</v>
      </c>
      <c r="I466" s="29">
        <v>57400</v>
      </c>
      <c r="J466" s="29">
        <v>56300</v>
      </c>
      <c r="K466" s="29" t="str">
        <v>-</v>
      </c>
      <c r="L466" s="29">
        <v>58400</v>
      </c>
      <c r="M466" s="29">
        <v>55500</v>
      </c>
      <c r="N466" s="29">
        <v>55800</v>
      </c>
      <c r="O466" s="29" t="str">
        <v>-</v>
      </c>
      <c r="P466" s="29">
        <v>53800</v>
      </c>
      <c r="Q466" s="29">
        <v>53900</v>
      </c>
      <c r="R466" s="29">
        <v>54200</v>
      </c>
      <c r="S466">
        <v>58800</v>
      </c>
      <c r="T466">
        <v>55800</v>
      </c>
      <c r="U466">
        <v>56800</v>
      </c>
      <c r="V466">
        <v>57800</v>
      </c>
      <c r="W466">
        <v>60100</v>
      </c>
    </row>
    <row r="467" spans="1:23">
      <c r="A467" s="30">
        <v>44751</v>
      </c>
      <c r="B467" s="29">
        <v>56700</v>
      </c>
      <c r="C467" s="29">
        <v>59000</v>
      </c>
      <c r="D467" s="29">
        <v>58500</v>
      </c>
      <c r="E467" s="29">
        <v>56000</v>
      </c>
      <c r="F467" s="29">
        <v>58200</v>
      </c>
      <c r="G467" s="29" t="str">
        <v>-</v>
      </c>
      <c r="H467" s="29">
        <v>57500</v>
      </c>
      <c r="I467" s="29">
        <v>57500</v>
      </c>
      <c r="J467" s="29">
        <v>56500</v>
      </c>
      <c r="K467" s="29" t="str">
        <v>-</v>
      </c>
      <c r="L467" s="29">
        <v>58800</v>
      </c>
      <c r="M467" s="29">
        <v>55700</v>
      </c>
      <c r="N467" s="29">
        <v>56600</v>
      </c>
      <c r="O467" s="29" t="str">
        <v>-</v>
      </c>
      <c r="P467" s="29">
        <v>53800</v>
      </c>
      <c r="Q467" s="29">
        <v>54100</v>
      </c>
      <c r="R467" s="29">
        <v>54000</v>
      </c>
      <c r="S467">
        <v>58800</v>
      </c>
      <c r="T467">
        <v>56300</v>
      </c>
      <c r="U467">
        <v>56800</v>
      </c>
      <c r="V467">
        <v>57800</v>
      </c>
      <c r="W467">
        <v>60100</v>
      </c>
    </row>
    <row r="468" spans="1:23">
      <c r="A468" s="30">
        <v>44752</v>
      </c>
      <c r="B468" s="29" t="str">
        <v>H</v>
      </c>
      <c r="C468" s="29" t="str">
        <v>H</v>
      </c>
      <c r="D468" s="29" t="str">
        <v>H</v>
      </c>
      <c r="E468" s="29" t="str">
        <v>H</v>
      </c>
      <c r="F468" s="29" t="str">
        <v>H</v>
      </c>
      <c r="G468" s="29" t="str">
        <v>H</v>
      </c>
      <c r="H468" s="29" t="str">
        <v>H</v>
      </c>
      <c r="I468" s="29" t="str">
        <v>H</v>
      </c>
      <c r="J468" s="29" t="str">
        <v>H</v>
      </c>
      <c r="K468" s="29" t="str">
        <v>H</v>
      </c>
      <c r="L468" s="29" t="str">
        <v>H</v>
      </c>
      <c r="M468" s="29" t="str">
        <v>H</v>
      </c>
      <c r="N468" s="29" t="str">
        <v>H</v>
      </c>
      <c r="O468" s="29" t="str">
        <v>H</v>
      </c>
      <c r="P468" s="29" t="str">
        <v>H</v>
      </c>
      <c r="Q468" s="29" t="str">
        <v>H</v>
      </c>
      <c r="R468" s="29" t="str">
        <v>H</v>
      </c>
      <c r="S468" t="str">
        <v>H</v>
      </c>
      <c r="T468" t="str">
        <v>H</v>
      </c>
      <c r="U468" t="str">
        <v>H</v>
      </c>
      <c r="V468" t="str">
        <v>H</v>
      </c>
      <c r="W468" t="str">
        <v>H</v>
      </c>
    </row>
    <row r="469" spans="1:23">
      <c r="A469" s="30">
        <v>44753</v>
      </c>
      <c r="B469" s="29">
        <v>56700</v>
      </c>
      <c r="C469" s="29">
        <v>59200</v>
      </c>
      <c r="D469" s="29">
        <v>58800</v>
      </c>
      <c r="E469" s="29">
        <v>56500</v>
      </c>
      <c r="F469" s="29">
        <v>58200</v>
      </c>
      <c r="G469" s="29" t="str">
        <v>-</v>
      </c>
      <c r="H469" s="29">
        <v>57500</v>
      </c>
      <c r="I469" s="29">
        <v>57800</v>
      </c>
      <c r="J469" s="29">
        <v>56500</v>
      </c>
      <c r="K469" s="29" t="str">
        <v>-</v>
      </c>
      <c r="L469" s="29">
        <v>59400</v>
      </c>
      <c r="M469" s="29">
        <v>55700</v>
      </c>
      <c r="N469" s="29">
        <v>57000</v>
      </c>
      <c r="O469" s="29" t="str">
        <v>-</v>
      </c>
      <c r="P469" s="29">
        <v>54100</v>
      </c>
      <c r="Q469" s="29">
        <v>54600</v>
      </c>
      <c r="R469" s="29">
        <v>54300</v>
      </c>
      <c r="S469">
        <v>59200</v>
      </c>
      <c r="T469">
        <v>56500</v>
      </c>
      <c r="U469">
        <v>57300</v>
      </c>
      <c r="V469">
        <v>57800</v>
      </c>
      <c r="W469">
        <v>60100</v>
      </c>
    </row>
    <row r="470" spans="1:23">
      <c r="A470" s="30">
        <v>44754</v>
      </c>
      <c r="B470" s="29">
        <v>57600</v>
      </c>
      <c r="C470" s="29">
        <v>59700</v>
      </c>
      <c r="D470" s="29">
        <v>59500</v>
      </c>
      <c r="E470" s="29">
        <v>56500</v>
      </c>
      <c r="F470" s="29">
        <v>58200</v>
      </c>
      <c r="G470" s="29" t="str">
        <v>-</v>
      </c>
      <c r="H470" s="29">
        <v>58000</v>
      </c>
      <c r="I470" s="29">
        <v>58000</v>
      </c>
      <c r="J470" s="29">
        <v>56500</v>
      </c>
      <c r="K470" s="29" t="str">
        <v>-</v>
      </c>
      <c r="L470" s="29">
        <v>59700</v>
      </c>
      <c r="M470" s="29">
        <v>55700</v>
      </c>
      <c r="N470" s="29">
        <v>57800</v>
      </c>
      <c r="O470" s="29" t="str">
        <v>-</v>
      </c>
      <c r="P470" s="29">
        <v>55200</v>
      </c>
      <c r="Q470" s="29">
        <v>55500</v>
      </c>
      <c r="R470" s="29">
        <v>55500</v>
      </c>
      <c r="S470">
        <v>59300</v>
      </c>
      <c r="T470">
        <v>57500</v>
      </c>
      <c r="U470">
        <v>57300</v>
      </c>
      <c r="V470">
        <v>58500</v>
      </c>
      <c r="W470">
        <v>60800</v>
      </c>
    </row>
    <row r="471" spans="1:23">
      <c r="A471" s="30">
        <v>44755</v>
      </c>
      <c r="B471" s="29">
        <v>57600</v>
      </c>
      <c r="C471" s="29">
        <v>59700</v>
      </c>
      <c r="D471" s="29">
        <v>59500</v>
      </c>
      <c r="E471" s="29">
        <v>56000</v>
      </c>
      <c r="F471" s="29">
        <v>58200</v>
      </c>
      <c r="G471" s="29" t="str">
        <v>-</v>
      </c>
      <c r="H471" s="29">
        <v>57500</v>
      </c>
      <c r="I471" s="29">
        <v>58000</v>
      </c>
      <c r="J471" s="29">
        <v>56500</v>
      </c>
      <c r="K471" s="29" t="str">
        <v>-</v>
      </c>
      <c r="L471" s="29">
        <v>59700</v>
      </c>
      <c r="M471" s="29">
        <v>55700</v>
      </c>
      <c r="N471" s="29">
        <v>57800</v>
      </c>
      <c r="O471" s="29" t="str">
        <v>-</v>
      </c>
      <c r="P471" s="29">
        <v>55200</v>
      </c>
      <c r="Q471" s="29">
        <v>55100</v>
      </c>
      <c r="R471" s="29">
        <v>55300</v>
      </c>
      <c r="S471">
        <v>58800</v>
      </c>
      <c r="T471">
        <v>57300</v>
      </c>
      <c r="U471">
        <v>57300</v>
      </c>
      <c r="V471">
        <v>58500</v>
      </c>
      <c r="W471">
        <v>60800</v>
      </c>
    </row>
    <row r="472" spans="1:23">
      <c r="A472" s="30">
        <v>44756</v>
      </c>
      <c r="B472" s="29">
        <v>57600</v>
      </c>
      <c r="C472" s="29">
        <v>59500</v>
      </c>
      <c r="D472" s="29">
        <v>59200</v>
      </c>
      <c r="E472" s="29">
        <v>55000</v>
      </c>
      <c r="F472" s="29">
        <v>58200</v>
      </c>
      <c r="G472" s="29" t="str">
        <v>-</v>
      </c>
      <c r="H472" s="29">
        <v>57000</v>
      </c>
      <c r="I472" s="29">
        <v>57800</v>
      </c>
      <c r="J472" s="29">
        <v>56500</v>
      </c>
      <c r="K472" s="29" t="str">
        <v>-</v>
      </c>
      <c r="L472" s="29">
        <v>59300</v>
      </c>
      <c r="M472" s="29">
        <v>55700</v>
      </c>
      <c r="N472" s="29">
        <v>56300</v>
      </c>
      <c r="O472" s="29" t="str">
        <v>-</v>
      </c>
      <c r="P472" s="29">
        <v>54500</v>
      </c>
      <c r="Q472" s="29">
        <v>54400</v>
      </c>
      <c r="R472" s="29">
        <v>54800</v>
      </c>
      <c r="S472">
        <v>57700</v>
      </c>
      <c r="T472">
        <v>56800</v>
      </c>
      <c r="U472">
        <v>56800</v>
      </c>
      <c r="V472">
        <v>58500</v>
      </c>
      <c r="W472">
        <v>60800</v>
      </c>
    </row>
    <row r="473" spans="1:23">
      <c r="A473" s="30">
        <v>44757</v>
      </c>
      <c r="B473" s="29">
        <v>57000</v>
      </c>
      <c r="C473" s="29">
        <v>59000</v>
      </c>
      <c r="D473" s="29">
        <v>58700</v>
      </c>
      <c r="E473" s="29">
        <v>55000</v>
      </c>
      <c r="F473" s="29">
        <v>57800</v>
      </c>
      <c r="G473" s="29" t="str">
        <v>-</v>
      </c>
      <c r="H473" s="29">
        <v>57000</v>
      </c>
      <c r="I473" s="29">
        <v>57300</v>
      </c>
      <c r="J473" s="29">
        <v>56200</v>
      </c>
      <c r="K473" s="29" t="str">
        <v>-</v>
      </c>
      <c r="L473" s="29">
        <v>59200</v>
      </c>
      <c r="M473" s="29">
        <v>55700</v>
      </c>
      <c r="N473" s="29">
        <v>56300</v>
      </c>
      <c r="O473" s="29" t="str">
        <v>-</v>
      </c>
      <c r="P473" s="29">
        <v>54500</v>
      </c>
      <c r="Q473" s="29">
        <v>53900</v>
      </c>
      <c r="R473" s="29">
        <v>54000</v>
      </c>
      <c r="S473">
        <v>57700</v>
      </c>
      <c r="T473">
        <v>56300</v>
      </c>
      <c r="U473">
        <v>55800</v>
      </c>
      <c r="V473">
        <v>58200</v>
      </c>
      <c r="W473">
        <v>60500</v>
      </c>
    </row>
    <row r="474" spans="1:23">
      <c r="A474" s="30">
        <v>44758</v>
      </c>
      <c r="B474" s="29">
        <v>56300</v>
      </c>
      <c r="C474" s="29">
        <v>59000</v>
      </c>
      <c r="D474" s="29">
        <v>58200</v>
      </c>
      <c r="E474" s="29">
        <v>54500</v>
      </c>
      <c r="F474" s="29">
        <v>57500</v>
      </c>
      <c r="G474" s="29" t="str">
        <v>-</v>
      </c>
      <c r="H474" s="29">
        <v>56000</v>
      </c>
      <c r="I474" s="29">
        <v>57000</v>
      </c>
      <c r="J474" s="29">
        <v>56100</v>
      </c>
      <c r="K474" s="29" t="str">
        <v>-</v>
      </c>
      <c r="L474" s="29">
        <v>58000</v>
      </c>
      <c r="M474" s="29">
        <v>55700</v>
      </c>
      <c r="N474" s="29">
        <v>56000</v>
      </c>
      <c r="O474" s="29" t="str">
        <v>-</v>
      </c>
      <c r="P474" s="29">
        <v>53500</v>
      </c>
      <c r="Q474" s="29">
        <v>53500</v>
      </c>
      <c r="R474" s="29">
        <v>53500</v>
      </c>
      <c r="S474">
        <v>57200</v>
      </c>
      <c r="T474">
        <v>55500</v>
      </c>
      <c r="U474" t="str">
        <v>-</v>
      </c>
      <c r="V474">
        <v>58000</v>
      </c>
      <c r="W474">
        <v>60300</v>
      </c>
    </row>
    <row r="475" spans="1:23">
      <c r="A475" s="30">
        <v>44759</v>
      </c>
      <c r="B475" s="29" t="str">
        <v>H</v>
      </c>
      <c r="C475" s="29" t="str">
        <v>H</v>
      </c>
      <c r="D475" s="29" t="str">
        <v>H</v>
      </c>
      <c r="E475" s="29" t="str">
        <v>H</v>
      </c>
      <c r="F475" s="29" t="str">
        <v>H</v>
      </c>
      <c r="G475" s="29" t="str">
        <v>H</v>
      </c>
      <c r="H475" s="29" t="str">
        <v>H</v>
      </c>
      <c r="I475" s="29" t="str">
        <v>H</v>
      </c>
      <c r="J475" s="29" t="str">
        <v>H</v>
      </c>
      <c r="K475" s="29" t="str">
        <v>H</v>
      </c>
      <c r="L475" s="29" t="str">
        <v>H</v>
      </c>
      <c r="M475" s="29" t="str">
        <v>H</v>
      </c>
      <c r="N475" s="29" t="str">
        <v>H</v>
      </c>
      <c r="O475" s="29" t="str">
        <v>H</v>
      </c>
      <c r="P475" s="29" t="str">
        <v>H</v>
      </c>
      <c r="Q475" s="29" t="str">
        <v>H</v>
      </c>
      <c r="R475" s="29" t="str">
        <v>H</v>
      </c>
      <c r="S475" t="str">
        <v>H</v>
      </c>
      <c r="T475" t="str">
        <v>H</v>
      </c>
      <c r="U475" t="str">
        <v>H</v>
      </c>
      <c r="V475" t="str">
        <v>H</v>
      </c>
      <c r="W475" t="str">
        <v>H</v>
      </c>
    </row>
    <row r="476" spans="1:23">
      <c r="A476" s="30">
        <v>44760</v>
      </c>
      <c r="B476" s="29">
        <v>56000</v>
      </c>
      <c r="C476" s="29">
        <v>58500</v>
      </c>
      <c r="D476" s="29">
        <v>58300</v>
      </c>
      <c r="E476" s="29">
        <v>54000</v>
      </c>
      <c r="F476" s="29">
        <v>56000</v>
      </c>
      <c r="G476" s="29" t="str">
        <v>-</v>
      </c>
      <c r="H476" s="29">
        <v>56000</v>
      </c>
      <c r="I476" s="29">
        <v>57000</v>
      </c>
      <c r="J476" s="29">
        <v>55100</v>
      </c>
      <c r="K476" s="29" t="str">
        <v>-</v>
      </c>
      <c r="L476" s="29">
        <v>58000</v>
      </c>
      <c r="M476" s="29">
        <v>54700</v>
      </c>
      <c r="N476" s="29">
        <v>56200</v>
      </c>
      <c r="O476" s="29" t="str">
        <v>-</v>
      </c>
      <c r="P476" s="29">
        <v>52600</v>
      </c>
      <c r="Q476" s="29">
        <v>52700</v>
      </c>
      <c r="R476" s="29">
        <v>52800</v>
      </c>
      <c r="S476">
        <v>56700</v>
      </c>
      <c r="T476">
        <v>55000</v>
      </c>
      <c r="U476">
        <v>55800</v>
      </c>
      <c r="V476">
        <v>57600</v>
      </c>
      <c r="W476">
        <v>60000</v>
      </c>
    </row>
    <row r="477" spans="1:23">
      <c r="A477" s="30">
        <v>44761</v>
      </c>
      <c r="B477" s="29">
        <v>55800</v>
      </c>
      <c r="C477" s="29">
        <v>58000</v>
      </c>
      <c r="D477" s="29">
        <v>58000</v>
      </c>
      <c r="E477" s="29">
        <v>53500</v>
      </c>
      <c r="F477" s="29">
        <v>56000</v>
      </c>
      <c r="G477" s="29" t="str">
        <v>-</v>
      </c>
      <c r="H477" s="29">
        <v>55500</v>
      </c>
      <c r="I477" s="29">
        <v>56500</v>
      </c>
      <c r="J477" s="29">
        <v>55000</v>
      </c>
      <c r="K477" s="29" t="str">
        <v>-</v>
      </c>
      <c r="L477" s="29">
        <v>57500</v>
      </c>
      <c r="M477" s="29">
        <v>54400</v>
      </c>
      <c r="N477" s="29">
        <v>55200</v>
      </c>
      <c r="O477" s="29" t="str">
        <v>-</v>
      </c>
      <c r="P477" s="29">
        <v>51900</v>
      </c>
      <c r="Q477" s="29">
        <v>52100</v>
      </c>
      <c r="R477" s="29">
        <v>52300</v>
      </c>
      <c r="S477">
        <v>56200</v>
      </c>
      <c r="T477">
        <v>54800</v>
      </c>
      <c r="U477">
        <v>55300</v>
      </c>
      <c r="V477">
        <v>57300</v>
      </c>
      <c r="W477">
        <v>59700</v>
      </c>
    </row>
    <row r="478" spans="1:23">
      <c r="A478" s="30">
        <v>44762</v>
      </c>
      <c r="B478" s="29">
        <v>55500</v>
      </c>
      <c r="C478" s="29">
        <v>57500</v>
      </c>
      <c r="D478" s="29">
        <v>57000</v>
      </c>
      <c r="E478" s="29">
        <v>53000</v>
      </c>
      <c r="F478" s="29">
        <v>56000</v>
      </c>
      <c r="G478" s="29" t="str">
        <v>-</v>
      </c>
      <c r="H478" s="29">
        <v>55500</v>
      </c>
      <c r="I478" s="29">
        <v>56100</v>
      </c>
      <c r="J478" s="29">
        <v>55000</v>
      </c>
      <c r="K478" s="29" t="str">
        <v>-</v>
      </c>
      <c r="L478" s="29">
        <v>57000</v>
      </c>
      <c r="M478" s="29">
        <v>54400</v>
      </c>
      <c r="N478" s="29">
        <v>55200</v>
      </c>
      <c r="O478" s="29" t="str">
        <v>-</v>
      </c>
      <c r="P478" s="29">
        <v>51800</v>
      </c>
      <c r="Q478" s="29">
        <v>51900</v>
      </c>
      <c r="R478" s="29">
        <v>52300</v>
      </c>
      <c r="S478">
        <v>55700</v>
      </c>
      <c r="T478">
        <v>53900</v>
      </c>
      <c r="U478">
        <v>54800</v>
      </c>
      <c r="V478">
        <v>56700</v>
      </c>
      <c r="W478">
        <v>59200</v>
      </c>
    </row>
    <row r="479" spans="1:23">
      <c r="A479" s="30">
        <v>44763</v>
      </c>
      <c r="B479" s="29">
        <v>55000</v>
      </c>
      <c r="C479" s="29">
        <v>57500</v>
      </c>
      <c r="D479" s="29">
        <v>56800</v>
      </c>
      <c r="E479" s="29">
        <v>52500</v>
      </c>
      <c r="F479" s="29">
        <v>56000</v>
      </c>
      <c r="G479" s="29" t="str">
        <v>-</v>
      </c>
      <c r="H479" s="29">
        <v>55000</v>
      </c>
      <c r="I479" s="29">
        <v>55800</v>
      </c>
      <c r="J479" s="29">
        <v>54500</v>
      </c>
      <c r="K479" s="29" t="str">
        <v>-</v>
      </c>
      <c r="L479" s="29">
        <v>56500</v>
      </c>
      <c r="M479" s="29">
        <v>53800</v>
      </c>
      <c r="N479" s="29">
        <v>55000</v>
      </c>
      <c r="O479" s="29" t="str">
        <v>-</v>
      </c>
      <c r="P479" s="29">
        <v>51300</v>
      </c>
      <c r="Q479" s="29">
        <v>51300</v>
      </c>
      <c r="R479" s="29">
        <v>51500</v>
      </c>
      <c r="S479">
        <v>55200</v>
      </c>
      <c r="T479">
        <v>53900</v>
      </c>
      <c r="U479">
        <v>54000</v>
      </c>
      <c r="V479">
        <v>56500</v>
      </c>
      <c r="W479">
        <v>58900</v>
      </c>
    </row>
    <row r="480" spans="1:23">
      <c r="A480" s="30">
        <v>44764</v>
      </c>
      <c r="B480" s="29">
        <v>54600</v>
      </c>
      <c r="C480" s="29">
        <v>57000</v>
      </c>
      <c r="D480" s="29">
        <v>56800</v>
      </c>
      <c r="E480" s="29">
        <v>52500</v>
      </c>
      <c r="F480" s="29">
        <v>55800</v>
      </c>
      <c r="G480" s="29" t="str">
        <v>-</v>
      </c>
      <c r="H480" s="29">
        <v>55000</v>
      </c>
      <c r="I480" s="29">
        <v>55800</v>
      </c>
      <c r="J480" s="29">
        <v>54000</v>
      </c>
      <c r="K480" s="29" t="str">
        <v>-</v>
      </c>
      <c r="L480" s="29">
        <v>56500</v>
      </c>
      <c r="M480" s="29">
        <v>52800</v>
      </c>
      <c r="N480" s="29">
        <v>55000</v>
      </c>
      <c r="O480" s="29" t="str">
        <v>-</v>
      </c>
      <c r="P480" s="29">
        <v>51000</v>
      </c>
      <c r="Q480" s="29">
        <v>51200</v>
      </c>
      <c r="R480" s="29">
        <v>51500</v>
      </c>
      <c r="S480">
        <v>55200</v>
      </c>
      <c r="T480">
        <v>53900</v>
      </c>
      <c r="U480">
        <v>54000</v>
      </c>
      <c r="V480">
        <v>56500</v>
      </c>
      <c r="W480">
        <v>58900</v>
      </c>
    </row>
    <row r="481" spans="1:23">
      <c r="A481" s="30">
        <v>44765</v>
      </c>
      <c r="B481" s="29">
        <v>54300</v>
      </c>
      <c r="C481" s="29">
        <v>57000</v>
      </c>
      <c r="D481" s="29">
        <v>56500</v>
      </c>
      <c r="E481" s="29">
        <v>52500</v>
      </c>
      <c r="F481" s="29">
        <v>55800</v>
      </c>
      <c r="G481" s="29" t="str">
        <v>-</v>
      </c>
      <c r="H481" s="29">
        <v>54500</v>
      </c>
      <c r="I481" s="29">
        <v>55300</v>
      </c>
      <c r="J481" s="29">
        <v>54000</v>
      </c>
      <c r="K481" s="29" t="str">
        <v>-</v>
      </c>
      <c r="L481" s="29">
        <v>56000</v>
      </c>
      <c r="M481" s="29">
        <v>52600</v>
      </c>
      <c r="N481" s="29">
        <v>54700</v>
      </c>
      <c r="O481" s="29" t="str">
        <v>-</v>
      </c>
      <c r="P481" s="29">
        <v>50700</v>
      </c>
      <c r="Q481" s="29">
        <v>51000</v>
      </c>
      <c r="R481" s="29">
        <v>51500</v>
      </c>
      <c r="S481">
        <v>55200</v>
      </c>
      <c r="T481">
        <v>53500</v>
      </c>
      <c r="U481">
        <v>53800</v>
      </c>
      <c r="V481">
        <v>56500</v>
      </c>
      <c r="W481">
        <v>58900</v>
      </c>
    </row>
    <row r="482" spans="1:23">
      <c r="A482" s="30">
        <v>44766</v>
      </c>
      <c r="B482" s="29" t="str">
        <v>H</v>
      </c>
      <c r="C482" s="29" t="str">
        <v>H</v>
      </c>
      <c r="D482" s="29" t="str">
        <v>H</v>
      </c>
      <c r="E482" s="29" t="str">
        <v>H</v>
      </c>
      <c r="F482" s="29" t="str">
        <v>H</v>
      </c>
      <c r="G482" s="29" t="str">
        <v>H</v>
      </c>
      <c r="H482" s="29" t="str">
        <v>H</v>
      </c>
      <c r="I482" s="29" t="str">
        <v>H</v>
      </c>
      <c r="J482" s="29" t="str">
        <v>H</v>
      </c>
      <c r="K482" s="29" t="str">
        <v>H</v>
      </c>
      <c r="L482" s="29" t="str">
        <v>H</v>
      </c>
      <c r="M482" s="29" t="str">
        <v>H</v>
      </c>
      <c r="N482" s="29" t="str">
        <v>H</v>
      </c>
      <c r="O482" s="29" t="str">
        <v>H</v>
      </c>
      <c r="P482" s="29" t="str">
        <v>H</v>
      </c>
      <c r="Q482" s="29" t="str">
        <v>H</v>
      </c>
      <c r="R482" s="29" t="str">
        <v>H</v>
      </c>
      <c r="S482" t="str">
        <v>H</v>
      </c>
      <c r="T482" t="str">
        <v>H</v>
      </c>
      <c r="U482" t="str">
        <v>H</v>
      </c>
      <c r="V482" t="str">
        <v>H</v>
      </c>
      <c r="W482" t="str">
        <v>H</v>
      </c>
    </row>
    <row r="483" spans="1:23">
      <c r="A483" s="30">
        <v>44767</v>
      </c>
      <c r="B483" s="29">
        <v>54300</v>
      </c>
      <c r="C483" s="29">
        <v>56500</v>
      </c>
      <c r="D483" s="29">
        <v>56500</v>
      </c>
      <c r="E483" s="29">
        <v>51700</v>
      </c>
      <c r="F483" s="29">
        <v>55600</v>
      </c>
      <c r="G483" s="29" t="str">
        <v>-</v>
      </c>
      <c r="H483" s="29">
        <v>54500</v>
      </c>
      <c r="I483" s="29">
        <v>55000</v>
      </c>
      <c r="J483" s="29">
        <v>54300</v>
      </c>
      <c r="K483" s="29" t="str">
        <v>-</v>
      </c>
      <c r="L483" s="29">
        <v>56000</v>
      </c>
      <c r="M483" s="29">
        <v>52800</v>
      </c>
      <c r="N483" s="29">
        <v>54200</v>
      </c>
      <c r="O483" s="29" t="str">
        <v>-</v>
      </c>
      <c r="P483" s="29">
        <v>50700</v>
      </c>
      <c r="Q483" s="29">
        <v>50800</v>
      </c>
      <c r="R483" s="29">
        <v>51600</v>
      </c>
      <c r="S483">
        <v>54400</v>
      </c>
      <c r="T483">
        <v>53500</v>
      </c>
      <c r="U483">
        <v>54000</v>
      </c>
      <c r="V483">
        <v>56000</v>
      </c>
      <c r="W483">
        <v>58300</v>
      </c>
    </row>
    <row r="484" spans="1:23">
      <c r="A484" s="30">
        <v>44768</v>
      </c>
      <c r="B484" s="29">
        <v>54600</v>
      </c>
      <c r="C484" s="29">
        <v>56800</v>
      </c>
      <c r="D484" s="29">
        <v>57000</v>
      </c>
      <c r="E484" s="29">
        <v>53000</v>
      </c>
      <c r="F484" s="29">
        <v>56300</v>
      </c>
      <c r="G484" s="29" t="str">
        <v>-</v>
      </c>
      <c r="H484" s="29">
        <v>54500</v>
      </c>
      <c r="I484" s="29">
        <v>55500</v>
      </c>
      <c r="J484" s="29">
        <v>54700</v>
      </c>
      <c r="K484" s="29" t="str">
        <v>-</v>
      </c>
      <c r="L484" s="29">
        <v>57000</v>
      </c>
      <c r="M484" s="29">
        <v>53200</v>
      </c>
      <c r="N484" s="29">
        <v>55200</v>
      </c>
      <c r="O484" s="29" t="str">
        <v>-</v>
      </c>
      <c r="P484" s="29">
        <v>51500</v>
      </c>
      <c r="Q484" s="29">
        <v>51500</v>
      </c>
      <c r="R484" s="29">
        <v>52100</v>
      </c>
      <c r="S484">
        <v>55700</v>
      </c>
      <c r="T484">
        <v>53900</v>
      </c>
      <c r="U484">
        <v>54000</v>
      </c>
      <c r="V484">
        <v>56000</v>
      </c>
      <c r="W484">
        <v>58300</v>
      </c>
    </row>
    <row r="485" spans="1:23">
      <c r="A485" s="30">
        <v>44769</v>
      </c>
      <c r="B485" s="29">
        <v>55000</v>
      </c>
      <c r="C485" s="29">
        <v>57300</v>
      </c>
      <c r="D485" s="29">
        <v>57500</v>
      </c>
      <c r="E485" s="29">
        <v>53500</v>
      </c>
      <c r="F485" s="29">
        <v>56800</v>
      </c>
      <c r="G485" s="29" t="str">
        <v>-</v>
      </c>
      <c r="H485" s="29">
        <v>54500</v>
      </c>
      <c r="I485" s="29">
        <v>55600</v>
      </c>
      <c r="J485" s="29">
        <v>54700</v>
      </c>
      <c r="K485" s="29" t="str">
        <v>-</v>
      </c>
      <c r="L485" s="29">
        <v>57300</v>
      </c>
      <c r="M485" s="29">
        <v>53200</v>
      </c>
      <c r="N485" s="29">
        <v>55500</v>
      </c>
      <c r="O485" s="29" t="str">
        <v>-</v>
      </c>
      <c r="P485" s="29">
        <v>51700</v>
      </c>
      <c r="Q485" s="29">
        <v>51700</v>
      </c>
      <c r="R485" s="29">
        <v>52100</v>
      </c>
      <c r="S485">
        <v>56200</v>
      </c>
      <c r="T485">
        <v>54300</v>
      </c>
      <c r="U485">
        <v>55300</v>
      </c>
      <c r="V485">
        <v>56500</v>
      </c>
      <c r="W485">
        <v>58800</v>
      </c>
    </row>
    <row r="486" spans="1:23">
      <c r="A486" s="30">
        <v>44770</v>
      </c>
      <c r="B486" s="29">
        <v>55000</v>
      </c>
      <c r="C486" s="29">
        <v>57500</v>
      </c>
      <c r="D486" s="29">
        <v>57500</v>
      </c>
      <c r="E486" s="29">
        <v>53500</v>
      </c>
      <c r="F486" s="29">
        <v>57100</v>
      </c>
      <c r="G486" s="29" t="str">
        <v>-</v>
      </c>
      <c r="H486" s="29">
        <v>55500</v>
      </c>
      <c r="I486" s="29">
        <v>55600</v>
      </c>
      <c r="J486" s="29">
        <v>55100</v>
      </c>
      <c r="K486" s="29" t="str">
        <v>-</v>
      </c>
      <c r="L486" s="29">
        <v>57700</v>
      </c>
      <c r="M486" s="29">
        <v>53600</v>
      </c>
      <c r="N486" s="29">
        <v>55700</v>
      </c>
      <c r="O486" s="29" t="str">
        <v>-</v>
      </c>
      <c r="P486" s="29">
        <v>51700</v>
      </c>
      <c r="Q486" s="29">
        <v>52000</v>
      </c>
      <c r="R486" s="29">
        <v>52700</v>
      </c>
      <c r="S486">
        <v>56200</v>
      </c>
      <c r="T486">
        <v>54500</v>
      </c>
      <c r="U486">
        <v>55300</v>
      </c>
      <c r="V486">
        <v>56500</v>
      </c>
      <c r="W486">
        <v>58800</v>
      </c>
    </row>
    <row r="487" spans="1:23">
      <c r="A487" s="30">
        <v>44771</v>
      </c>
      <c r="B487" s="29">
        <v>55000</v>
      </c>
      <c r="C487" s="29">
        <v>57700</v>
      </c>
      <c r="D487" s="29">
        <v>57700</v>
      </c>
      <c r="E487" s="29">
        <v>53500</v>
      </c>
      <c r="F487" s="29">
        <v>57100</v>
      </c>
      <c r="G487" s="29" t="str">
        <v>-</v>
      </c>
      <c r="H487" s="29">
        <v>55500</v>
      </c>
      <c r="I487" s="29">
        <v>56000</v>
      </c>
      <c r="J487" s="29">
        <v>55100</v>
      </c>
      <c r="K487" s="29" t="str">
        <v>-</v>
      </c>
      <c r="L487" s="29">
        <v>58000</v>
      </c>
      <c r="M487" s="29">
        <v>53800</v>
      </c>
      <c r="N487" s="29">
        <v>55700</v>
      </c>
      <c r="O487" s="29" t="str">
        <v>-</v>
      </c>
      <c r="P487" s="29">
        <v>52300</v>
      </c>
      <c r="Q487" s="29">
        <v>52500</v>
      </c>
      <c r="R487" s="29">
        <v>53000</v>
      </c>
      <c r="S487">
        <v>56200</v>
      </c>
      <c r="T487">
        <v>55000</v>
      </c>
      <c r="U487">
        <v>55800</v>
      </c>
      <c r="V487">
        <v>56500</v>
      </c>
      <c r="W487">
        <v>58800</v>
      </c>
    </row>
    <row r="488" spans="1:23">
      <c r="A488" s="30">
        <v>44772</v>
      </c>
      <c r="B488" s="29">
        <v>55000</v>
      </c>
      <c r="C488" s="29">
        <v>57700</v>
      </c>
      <c r="D488" s="29">
        <v>57400</v>
      </c>
      <c r="E488" s="29">
        <v>53000</v>
      </c>
      <c r="F488" s="29">
        <v>57100</v>
      </c>
      <c r="G488" s="29" t="str">
        <v>-</v>
      </c>
      <c r="H488" s="29">
        <v>55000</v>
      </c>
      <c r="I488" s="29">
        <v>55900</v>
      </c>
      <c r="J488" s="29">
        <v>55100</v>
      </c>
      <c r="K488" s="29" t="str">
        <v>-</v>
      </c>
      <c r="L488" s="29">
        <v>57500</v>
      </c>
      <c r="M488" s="29">
        <v>54000</v>
      </c>
      <c r="N488" s="29">
        <v>55100</v>
      </c>
      <c r="O488" s="29" t="str">
        <v>-</v>
      </c>
      <c r="P488" s="29">
        <v>52300</v>
      </c>
      <c r="Q488" s="29">
        <v>52400</v>
      </c>
      <c r="R488" s="29">
        <v>52500</v>
      </c>
      <c r="S488">
        <v>55700</v>
      </c>
      <c r="T488">
        <v>55000</v>
      </c>
      <c r="U488">
        <v>55800</v>
      </c>
      <c r="V488">
        <v>56500</v>
      </c>
      <c r="W488">
        <v>58800</v>
      </c>
    </row>
    <row r="489" spans="1:23">
      <c r="A489" s="30">
        <v>44773</v>
      </c>
      <c r="B489" s="29" t="str">
        <v>H</v>
      </c>
      <c r="C489" s="29" t="str">
        <v>H</v>
      </c>
      <c r="D489" s="29" t="str">
        <v>H</v>
      </c>
      <c r="E489" s="29" t="str">
        <v>H</v>
      </c>
      <c r="F489" s="29" t="str">
        <v>H</v>
      </c>
      <c r="G489" s="29" t="str">
        <v>H</v>
      </c>
      <c r="H489" s="29" t="str">
        <v>H</v>
      </c>
      <c r="I489" s="29" t="str">
        <v>H</v>
      </c>
      <c r="J489" s="29" t="str">
        <v>H</v>
      </c>
      <c r="K489" s="29" t="str">
        <v>H</v>
      </c>
      <c r="L489" s="29" t="str">
        <v>H</v>
      </c>
      <c r="M489" s="29" t="str">
        <v>H</v>
      </c>
      <c r="N489" s="29" t="str">
        <v>H</v>
      </c>
      <c r="O489" s="29" t="str">
        <v>H</v>
      </c>
      <c r="P489" s="29" t="str">
        <v>H</v>
      </c>
      <c r="Q489" s="29" t="str">
        <v>H</v>
      </c>
      <c r="R489" s="29" t="str">
        <v>H</v>
      </c>
      <c r="S489" t="str">
        <v>H</v>
      </c>
      <c r="T489" t="str">
        <v>H</v>
      </c>
      <c r="U489" t="str">
        <v>H</v>
      </c>
      <c r="V489" t="str">
        <v>H</v>
      </c>
      <c r="W489" t="str">
        <v>H</v>
      </c>
    </row>
    <row r="490" spans="1:23">
      <c r="A490" s="30">
        <v>44774</v>
      </c>
      <c r="B490" s="29">
        <v>55300</v>
      </c>
      <c r="C490" s="29">
        <v>57500</v>
      </c>
      <c r="D490" s="29">
        <v>57800</v>
      </c>
      <c r="E490" s="29">
        <v>53500</v>
      </c>
      <c r="F490" s="29">
        <v>56900</v>
      </c>
      <c r="G490" s="29" t="str">
        <v>-</v>
      </c>
      <c r="H490" s="29">
        <v>55000</v>
      </c>
      <c r="I490" s="29">
        <v>56200</v>
      </c>
      <c r="J490" s="29">
        <v>55800</v>
      </c>
      <c r="K490" s="29" t="str">
        <v>-</v>
      </c>
      <c r="L490" s="29">
        <v>57900</v>
      </c>
      <c r="M490" s="29">
        <v>54800</v>
      </c>
      <c r="N490" s="29">
        <v>55500</v>
      </c>
      <c r="O490" s="29" t="str">
        <v>-</v>
      </c>
      <c r="P490" s="29">
        <v>52400</v>
      </c>
      <c r="Q490" s="29">
        <v>52900</v>
      </c>
      <c r="R490" s="29">
        <v>52800</v>
      </c>
      <c r="S490">
        <v>56200</v>
      </c>
      <c r="T490">
        <v>55500</v>
      </c>
      <c r="U490">
        <v>55800</v>
      </c>
      <c r="V490">
        <v>56600</v>
      </c>
      <c r="W490">
        <v>58900</v>
      </c>
    </row>
    <row r="491" spans="1:23">
      <c r="A491" s="30">
        <v>44775</v>
      </c>
      <c r="B491" s="29">
        <v>55600</v>
      </c>
      <c r="C491" s="29">
        <v>57500</v>
      </c>
      <c r="D491" s="29">
        <v>58000</v>
      </c>
      <c r="E491" s="29">
        <v>54000</v>
      </c>
      <c r="F491" s="29">
        <v>57000</v>
      </c>
      <c r="G491" s="29" t="str">
        <v>-</v>
      </c>
      <c r="H491" s="29">
        <v>55500</v>
      </c>
      <c r="I491" s="29">
        <v>56200</v>
      </c>
      <c r="J491" s="29">
        <v>56000</v>
      </c>
      <c r="K491" s="29" t="str">
        <v>-</v>
      </c>
      <c r="L491" s="29">
        <v>58100</v>
      </c>
      <c r="M491" s="29">
        <v>55600</v>
      </c>
      <c r="N491" s="29">
        <v>55900</v>
      </c>
      <c r="O491" s="29" t="str">
        <v>-</v>
      </c>
      <c r="P491" s="29">
        <v>52800</v>
      </c>
      <c r="Q491" s="29">
        <v>53000</v>
      </c>
      <c r="R491" s="29">
        <v>52900</v>
      </c>
      <c r="S491">
        <v>56700</v>
      </c>
      <c r="T491">
        <v>55500</v>
      </c>
      <c r="U491">
        <v>55800</v>
      </c>
      <c r="V491">
        <v>56600</v>
      </c>
      <c r="W491">
        <v>58900</v>
      </c>
    </row>
    <row r="492" spans="1:23">
      <c r="A492" s="30">
        <v>44776</v>
      </c>
      <c r="B492" s="29">
        <v>55900</v>
      </c>
      <c r="C492" s="29">
        <v>57500</v>
      </c>
      <c r="D492" s="29">
        <v>58500</v>
      </c>
      <c r="E492" s="29">
        <v>53750</v>
      </c>
      <c r="F492" s="29">
        <v>57000</v>
      </c>
      <c r="G492" s="29" t="str">
        <v>-</v>
      </c>
      <c r="H492" s="29">
        <v>55000</v>
      </c>
      <c r="I492" s="29">
        <v>56500</v>
      </c>
      <c r="J492" s="29">
        <v>56000</v>
      </c>
      <c r="K492" s="29" t="str">
        <v>-</v>
      </c>
      <c r="L492" s="29">
        <v>58500</v>
      </c>
      <c r="M492" s="29">
        <v>56500</v>
      </c>
      <c r="N492" s="29">
        <v>56100</v>
      </c>
      <c r="O492" s="29" t="str">
        <v>-</v>
      </c>
      <c r="P492" s="29">
        <v>52800</v>
      </c>
      <c r="Q492" s="29">
        <v>52700</v>
      </c>
      <c r="R492" s="29">
        <v>53200</v>
      </c>
      <c r="S492">
        <v>56200</v>
      </c>
      <c r="T492">
        <v>55700</v>
      </c>
      <c r="U492">
        <v>55800</v>
      </c>
      <c r="V492">
        <v>56600</v>
      </c>
      <c r="W492">
        <v>58900</v>
      </c>
    </row>
    <row r="493" spans="1:23">
      <c r="A493" s="30">
        <v>44777</v>
      </c>
      <c r="B493" s="29">
        <v>55900</v>
      </c>
      <c r="C493" s="29">
        <v>57500</v>
      </c>
      <c r="D493" s="29">
        <v>58200</v>
      </c>
      <c r="E493" s="29">
        <v>53300</v>
      </c>
      <c r="F493" s="29">
        <v>57100</v>
      </c>
      <c r="G493" s="29" t="str">
        <v>-</v>
      </c>
      <c r="H493" s="29">
        <v>55000</v>
      </c>
      <c r="I493" s="29">
        <v>56300</v>
      </c>
      <c r="J493" s="29">
        <v>56000</v>
      </c>
      <c r="K493" s="29" t="str">
        <v>-</v>
      </c>
      <c r="L493" s="29">
        <v>58500</v>
      </c>
      <c r="M493" s="29">
        <v>56500</v>
      </c>
      <c r="N493" s="29">
        <v>55500</v>
      </c>
      <c r="O493" s="29" t="str">
        <v>-</v>
      </c>
      <c r="P493" s="29">
        <v>52100</v>
      </c>
      <c r="Q493" s="29">
        <v>52300</v>
      </c>
      <c r="R493" s="29">
        <v>52800</v>
      </c>
      <c r="S493">
        <v>56000</v>
      </c>
      <c r="T493">
        <v>55500</v>
      </c>
      <c r="U493">
        <v>55800</v>
      </c>
      <c r="V493">
        <v>56600</v>
      </c>
      <c r="W493">
        <v>58900</v>
      </c>
    </row>
    <row r="494" spans="1:23">
      <c r="A494" s="30">
        <v>44778</v>
      </c>
      <c r="B494" s="29">
        <v>55900</v>
      </c>
      <c r="C494" s="29">
        <v>57500</v>
      </c>
      <c r="D494" s="29">
        <v>57700</v>
      </c>
      <c r="E494" s="29">
        <v>52800</v>
      </c>
      <c r="F494" s="29">
        <v>57000</v>
      </c>
      <c r="G494" s="29" t="str">
        <v>-</v>
      </c>
      <c r="H494" s="29">
        <v>55000</v>
      </c>
      <c r="I494" s="29">
        <v>56000</v>
      </c>
      <c r="J494" s="29">
        <v>55800</v>
      </c>
      <c r="K494" s="29" t="str">
        <v>-</v>
      </c>
      <c r="L494" s="29">
        <v>58100</v>
      </c>
      <c r="M494" s="29">
        <v>56500</v>
      </c>
      <c r="N494" s="29">
        <v>54700</v>
      </c>
      <c r="O494" s="29" t="str">
        <v>-</v>
      </c>
      <c r="P494" s="29">
        <v>51700</v>
      </c>
      <c r="Q494" s="29">
        <v>51500</v>
      </c>
      <c r="R494" s="29">
        <v>52000</v>
      </c>
      <c r="S494">
        <v>55500</v>
      </c>
      <c r="T494">
        <v>55000</v>
      </c>
      <c r="U494">
        <v>54800</v>
      </c>
      <c r="V494">
        <v>56600</v>
      </c>
      <c r="W494">
        <v>58900</v>
      </c>
    </row>
    <row r="495" spans="1:23">
      <c r="A495" s="30">
        <v>44779</v>
      </c>
      <c r="B495" s="29">
        <v>55700</v>
      </c>
      <c r="C495" s="29">
        <v>57200</v>
      </c>
      <c r="D495" s="29">
        <v>57400</v>
      </c>
      <c r="E495" s="29">
        <v>52300</v>
      </c>
      <c r="F495" s="29">
        <v>56800</v>
      </c>
      <c r="G495" s="29" t="str">
        <v>-</v>
      </c>
      <c r="H495" s="29">
        <v>55000</v>
      </c>
      <c r="I495" s="29">
        <v>55700</v>
      </c>
      <c r="J495" s="29">
        <v>55700</v>
      </c>
      <c r="K495" s="29" t="str">
        <v>-</v>
      </c>
      <c r="L495" s="29">
        <v>57500</v>
      </c>
      <c r="M495" s="29">
        <v>55400</v>
      </c>
      <c r="N495" s="29">
        <v>54400</v>
      </c>
      <c r="O495" s="29" t="str">
        <v>-</v>
      </c>
      <c r="P495" s="29">
        <v>51000</v>
      </c>
      <c r="Q495" s="29">
        <v>51400</v>
      </c>
      <c r="R495" s="29">
        <v>51800</v>
      </c>
      <c r="S495">
        <v>55000</v>
      </c>
      <c r="T495">
        <v>54200</v>
      </c>
      <c r="U495">
        <v>54800</v>
      </c>
      <c r="V495">
        <v>56500</v>
      </c>
      <c r="W495">
        <v>58800</v>
      </c>
    </row>
    <row r="496" spans="1:23">
      <c r="A496" s="30">
        <v>44780</v>
      </c>
      <c r="B496" s="29" t="str">
        <v>H</v>
      </c>
      <c r="C496" s="29" t="str">
        <v>H</v>
      </c>
      <c r="D496" s="29" t="str">
        <v>H</v>
      </c>
      <c r="E496" s="29" t="str">
        <v>H</v>
      </c>
      <c r="F496" s="29" t="str">
        <v>H</v>
      </c>
      <c r="G496" s="29" t="str">
        <v>H</v>
      </c>
      <c r="H496" s="29" t="str">
        <v>H</v>
      </c>
      <c r="I496" s="29" t="str">
        <v>H</v>
      </c>
      <c r="J496" s="29" t="str">
        <v>H</v>
      </c>
      <c r="K496" s="29" t="str">
        <v>H</v>
      </c>
      <c r="L496" s="29" t="str">
        <v>H</v>
      </c>
      <c r="M496" s="29" t="str">
        <v>H</v>
      </c>
      <c r="N496" s="29" t="str">
        <v>H</v>
      </c>
      <c r="O496" s="29" t="str">
        <v>H</v>
      </c>
      <c r="P496" s="29" t="str">
        <v>H</v>
      </c>
      <c r="Q496" s="29" t="str">
        <v>H</v>
      </c>
      <c r="R496" s="29" t="str">
        <v>H</v>
      </c>
      <c r="S496" t="str">
        <v>H</v>
      </c>
      <c r="T496" t="str">
        <v>H</v>
      </c>
      <c r="U496" t="str">
        <v>H</v>
      </c>
      <c r="V496" t="str">
        <v>H</v>
      </c>
      <c r="W496" t="str">
        <v>H</v>
      </c>
    </row>
    <row r="497" spans="1:23">
      <c r="A497" s="30">
        <v>44781</v>
      </c>
      <c r="B497" s="29">
        <v>55700</v>
      </c>
      <c r="C497" s="29">
        <v>57000</v>
      </c>
      <c r="D497" s="29">
        <v>56400</v>
      </c>
      <c r="E497" s="29">
        <v>52000</v>
      </c>
      <c r="F497" s="29">
        <v>56700</v>
      </c>
      <c r="G497" s="29" t="str">
        <v>-</v>
      </c>
      <c r="H497" s="29">
        <v>55000</v>
      </c>
      <c r="I497" s="29">
        <v>55300</v>
      </c>
      <c r="J497" s="29">
        <v>55500</v>
      </c>
      <c r="K497" s="29" t="str">
        <v>-</v>
      </c>
      <c r="L497" s="29">
        <v>56900</v>
      </c>
      <c r="M497" s="29">
        <v>55200</v>
      </c>
      <c r="N497" s="29">
        <v>54200</v>
      </c>
      <c r="O497" s="29" t="str">
        <v>-</v>
      </c>
      <c r="P497" s="29">
        <v>50500</v>
      </c>
      <c r="Q497" s="29">
        <v>51400</v>
      </c>
      <c r="R497" s="29">
        <v>51300</v>
      </c>
      <c r="S497">
        <v>54500</v>
      </c>
      <c r="T497" t="str">
        <v>-</v>
      </c>
      <c r="U497">
        <v>54300</v>
      </c>
      <c r="V497">
        <v>56100</v>
      </c>
      <c r="W497">
        <v>58300</v>
      </c>
    </row>
    <row r="498" spans="1:23">
      <c r="A498" s="30">
        <v>44782</v>
      </c>
      <c r="B498" s="29">
        <v>55500</v>
      </c>
      <c r="C498" s="29">
        <v>56700</v>
      </c>
      <c r="D498" s="29">
        <v>56200</v>
      </c>
      <c r="E498" s="29">
        <v>51700</v>
      </c>
      <c r="F498" s="29">
        <v>56600</v>
      </c>
      <c r="G498" s="29" t="str">
        <v>-</v>
      </c>
      <c r="H498" s="29">
        <v>54500</v>
      </c>
      <c r="I498" s="29">
        <v>55300</v>
      </c>
      <c r="J498" s="29">
        <v>55500</v>
      </c>
      <c r="K498" s="29" t="str">
        <v>-</v>
      </c>
      <c r="L498" s="29">
        <v>56900</v>
      </c>
      <c r="M498" s="29">
        <v>55200</v>
      </c>
      <c r="N498" s="29">
        <v>54200</v>
      </c>
      <c r="O498" s="29" t="str">
        <v>-</v>
      </c>
      <c r="P498" s="29">
        <v>51050</v>
      </c>
      <c r="Q498" s="29">
        <v>51600</v>
      </c>
      <c r="R498" s="29">
        <v>51000</v>
      </c>
      <c r="S498">
        <v>54200</v>
      </c>
      <c r="T498">
        <v>54000</v>
      </c>
      <c r="U498">
        <v>54300</v>
      </c>
      <c r="V498">
        <v>56100</v>
      </c>
      <c r="W498">
        <v>58300</v>
      </c>
    </row>
    <row r="499" spans="1:23">
      <c r="A499" s="30">
        <v>44783</v>
      </c>
      <c r="B499" s="29">
        <v>56000</v>
      </c>
      <c r="C499" s="29">
        <v>57000</v>
      </c>
      <c r="D499" s="29">
        <v>56600</v>
      </c>
      <c r="E499" s="29">
        <v>52700</v>
      </c>
      <c r="F499" s="29">
        <v>56800</v>
      </c>
      <c r="G499" s="29" t="str">
        <v>-</v>
      </c>
      <c r="H499" s="29">
        <v>55000</v>
      </c>
      <c r="I499" s="29">
        <v>55700</v>
      </c>
      <c r="J499" s="29">
        <v>56000</v>
      </c>
      <c r="K499" s="29" t="str">
        <v>-</v>
      </c>
      <c r="L499" s="29">
        <v>57500</v>
      </c>
      <c r="M499" s="29">
        <v>55900</v>
      </c>
      <c r="N499" s="29">
        <v>54400</v>
      </c>
      <c r="O499" s="29" t="str">
        <v>-</v>
      </c>
      <c r="P499" s="29">
        <v>51700</v>
      </c>
      <c r="Q499" s="29">
        <v>52000</v>
      </c>
      <c r="R499" s="29">
        <v>51800</v>
      </c>
      <c r="S499">
        <v>55200</v>
      </c>
      <c r="T499">
        <v>54500</v>
      </c>
      <c r="U499">
        <v>54800</v>
      </c>
      <c r="V499">
        <v>56100</v>
      </c>
      <c r="W499">
        <v>58300</v>
      </c>
    </row>
    <row r="500" spans="1:23">
      <c r="A500" s="30">
        <v>44784</v>
      </c>
      <c r="B500" s="29" t="str">
        <v>H</v>
      </c>
      <c r="C500" s="29" t="str">
        <v>H</v>
      </c>
      <c r="D500" s="29" t="str">
        <v>H</v>
      </c>
      <c r="E500" s="29" t="str">
        <v>H</v>
      </c>
      <c r="F500" s="29" t="str">
        <v>H</v>
      </c>
      <c r="G500" s="29" t="str">
        <v>H</v>
      </c>
      <c r="H500" s="29" t="str">
        <v>H</v>
      </c>
      <c r="I500" s="29" t="str">
        <v>H</v>
      </c>
      <c r="J500" s="29" t="str">
        <v>H</v>
      </c>
      <c r="K500" s="29" t="str">
        <v>H</v>
      </c>
      <c r="L500" s="29" t="str">
        <v>H</v>
      </c>
      <c r="M500" s="29" t="str">
        <v>H</v>
      </c>
      <c r="N500" s="29" t="str">
        <v>H</v>
      </c>
      <c r="O500" s="29" t="str">
        <v>H</v>
      </c>
      <c r="P500" s="29" t="str">
        <v>H</v>
      </c>
      <c r="Q500" s="29" t="str">
        <v>H</v>
      </c>
      <c r="R500" s="29" t="str">
        <v>H</v>
      </c>
      <c r="S500" t="str">
        <v>H</v>
      </c>
      <c r="T500" t="str">
        <v>H</v>
      </c>
      <c r="U500" t="str">
        <v>H</v>
      </c>
      <c r="V500" t="str">
        <v>H</v>
      </c>
      <c r="W500" t="str">
        <v>H</v>
      </c>
    </row>
    <row r="501" spans="1:23">
      <c r="A501" s="30">
        <v>44785</v>
      </c>
      <c r="B501" s="29">
        <v>56600</v>
      </c>
      <c r="C501" s="29">
        <v>57000</v>
      </c>
      <c r="D501" s="29">
        <v>57200</v>
      </c>
      <c r="E501" s="29">
        <v>53500</v>
      </c>
      <c r="F501" s="29">
        <v>56900</v>
      </c>
      <c r="G501" s="29" t="str">
        <v>-</v>
      </c>
      <c r="H501" s="29">
        <v>55000</v>
      </c>
      <c r="I501" s="29">
        <v>56200</v>
      </c>
      <c r="J501" s="29">
        <v>56000</v>
      </c>
      <c r="K501" s="29" t="str">
        <v>-</v>
      </c>
      <c r="L501" s="29">
        <v>58100</v>
      </c>
      <c r="M501" s="29">
        <v>56100</v>
      </c>
      <c r="N501" s="29">
        <v>55000</v>
      </c>
      <c r="O501" s="29" t="str">
        <v>-</v>
      </c>
      <c r="P501" s="29">
        <v>52000</v>
      </c>
      <c r="Q501" s="29">
        <v>52700</v>
      </c>
      <c r="R501" s="29">
        <v>52500</v>
      </c>
      <c r="S501">
        <v>56000</v>
      </c>
      <c r="T501">
        <v>55200</v>
      </c>
      <c r="U501">
        <v>54800</v>
      </c>
      <c r="V501">
        <v>56800</v>
      </c>
      <c r="W501">
        <v>58900</v>
      </c>
    </row>
    <row r="502" spans="1:23">
      <c r="A502" s="30">
        <v>44786</v>
      </c>
      <c r="B502" s="29">
        <v>56600</v>
      </c>
      <c r="C502" s="29">
        <v>57000</v>
      </c>
      <c r="D502" s="29">
        <v>57300</v>
      </c>
      <c r="E502" s="29">
        <v>53000</v>
      </c>
      <c r="F502" s="29">
        <v>57100</v>
      </c>
      <c r="G502" s="29" t="str">
        <v>-</v>
      </c>
      <c r="H502" s="29">
        <v>55000</v>
      </c>
      <c r="I502" s="29">
        <v>56100</v>
      </c>
      <c r="J502" s="29">
        <v>56200</v>
      </c>
      <c r="K502" s="29" t="str">
        <v>-</v>
      </c>
      <c r="L502" s="29">
        <v>58100</v>
      </c>
      <c r="M502" s="29">
        <v>56600</v>
      </c>
      <c r="N502" s="29">
        <v>55200</v>
      </c>
      <c r="O502" s="29" t="str">
        <v>-</v>
      </c>
      <c r="P502" s="29">
        <v>52000</v>
      </c>
      <c r="Q502" s="29">
        <v>52400</v>
      </c>
      <c r="R502" s="29">
        <v>52500</v>
      </c>
      <c r="S502">
        <v>55700</v>
      </c>
      <c r="T502">
        <v>55200</v>
      </c>
      <c r="U502">
        <v>54800</v>
      </c>
      <c r="V502">
        <v>56800</v>
      </c>
      <c r="W502">
        <v>58900</v>
      </c>
    </row>
    <row r="503" spans="1:23">
      <c r="A503" s="30">
        <v>44787</v>
      </c>
      <c r="B503" s="29" t="str">
        <v>H</v>
      </c>
      <c r="C503" s="29" t="str">
        <v>H</v>
      </c>
      <c r="D503" s="29" t="str">
        <v>H</v>
      </c>
      <c r="E503" s="29" t="str">
        <v>H</v>
      </c>
      <c r="F503" s="29" t="str">
        <v>H</v>
      </c>
      <c r="G503" s="29" t="str">
        <v>H</v>
      </c>
      <c r="H503" s="29" t="str">
        <v>H</v>
      </c>
      <c r="I503" s="29" t="str">
        <v>H</v>
      </c>
      <c r="J503" s="29" t="str">
        <v>H</v>
      </c>
      <c r="K503" s="29" t="str">
        <v>H</v>
      </c>
      <c r="L503" s="29" t="str">
        <v>H</v>
      </c>
      <c r="M503" s="29" t="str">
        <v>H</v>
      </c>
      <c r="N503" s="29" t="str">
        <v>H</v>
      </c>
      <c r="O503" s="29" t="str">
        <v>H</v>
      </c>
      <c r="P503" s="29" t="str">
        <v>H</v>
      </c>
      <c r="Q503" s="29" t="str">
        <v>H</v>
      </c>
      <c r="R503" s="29" t="str">
        <v>H</v>
      </c>
      <c r="S503" t="str">
        <v>H</v>
      </c>
      <c r="T503" t="str">
        <v>H</v>
      </c>
      <c r="U503" t="str">
        <v>H</v>
      </c>
      <c r="V503" t="str">
        <v>H</v>
      </c>
      <c r="W503" t="str">
        <v>H</v>
      </c>
    </row>
    <row r="504" spans="1:23">
      <c r="A504" s="30">
        <v>44788</v>
      </c>
      <c r="B504" s="29" t="str">
        <v>H</v>
      </c>
      <c r="C504" s="29" t="str">
        <v>H</v>
      </c>
      <c r="D504" s="29" t="str">
        <v>H</v>
      </c>
      <c r="E504" s="29" t="str">
        <v>H</v>
      </c>
      <c r="F504" s="29" t="str">
        <v>H</v>
      </c>
      <c r="G504" s="29" t="str">
        <v>H</v>
      </c>
      <c r="H504" s="29" t="str">
        <v>H</v>
      </c>
      <c r="I504" s="29" t="str">
        <v>H</v>
      </c>
      <c r="J504" s="29" t="str">
        <v>H</v>
      </c>
      <c r="K504" s="29" t="str">
        <v>H</v>
      </c>
      <c r="L504" s="29" t="str">
        <v>H</v>
      </c>
      <c r="M504" s="29" t="str">
        <v>H</v>
      </c>
      <c r="N504" s="29" t="str">
        <v>H</v>
      </c>
      <c r="O504" s="29" t="str">
        <v>H</v>
      </c>
      <c r="P504" s="29" t="str">
        <v>H</v>
      </c>
      <c r="Q504" s="29" t="str">
        <v>H</v>
      </c>
      <c r="R504" s="29" t="str">
        <v>H</v>
      </c>
      <c r="S504" t="str">
        <v>H</v>
      </c>
      <c r="T504" t="str">
        <v>H</v>
      </c>
      <c r="U504" t="str">
        <v>H</v>
      </c>
      <c r="V504" t="str">
        <v>H</v>
      </c>
      <c r="W504" t="str">
        <v>H</v>
      </c>
    </row>
    <row r="505" spans="1:23">
      <c r="A505" s="30">
        <v>44789</v>
      </c>
      <c r="B505" s="29">
        <v>56600</v>
      </c>
      <c r="C505" s="29">
        <v>57000</v>
      </c>
      <c r="D505" s="29">
        <v>57700</v>
      </c>
      <c r="E505" s="29">
        <v>53700</v>
      </c>
      <c r="F505" s="29">
        <v>57100</v>
      </c>
      <c r="G505" s="29" t="str">
        <v>-</v>
      </c>
      <c r="H505" s="29">
        <v>55500</v>
      </c>
      <c r="I505" s="29">
        <v>56500</v>
      </c>
      <c r="J505" s="29">
        <v>56200</v>
      </c>
      <c r="K505" s="29" t="str">
        <v>-</v>
      </c>
      <c r="L505" s="29">
        <v>58500</v>
      </c>
      <c r="M505" s="29">
        <v>56600</v>
      </c>
      <c r="N505" s="29">
        <v>55500</v>
      </c>
      <c r="O505" s="29" t="str">
        <v>-</v>
      </c>
      <c r="P505" s="29">
        <v>52500</v>
      </c>
      <c r="Q505" s="29">
        <v>52700</v>
      </c>
      <c r="R505" s="29">
        <v>52800</v>
      </c>
      <c r="S505">
        <v>56200</v>
      </c>
      <c r="T505">
        <v>55500</v>
      </c>
      <c r="U505">
        <v>55500</v>
      </c>
      <c r="V505">
        <v>56800</v>
      </c>
      <c r="W505">
        <v>58800</v>
      </c>
    </row>
    <row r="506" spans="1:23">
      <c r="A506" s="30">
        <v>44790</v>
      </c>
      <c r="B506" s="29">
        <v>56600</v>
      </c>
      <c r="C506" s="29">
        <v>57000</v>
      </c>
      <c r="D506" s="29">
        <v>57400</v>
      </c>
      <c r="E506" s="29">
        <v>53000</v>
      </c>
      <c r="F506" s="29">
        <v>57300</v>
      </c>
      <c r="G506" s="29" t="str">
        <v>-</v>
      </c>
      <c r="H506" s="29">
        <v>55500</v>
      </c>
      <c r="I506" s="29">
        <v>56300</v>
      </c>
      <c r="J506" s="29">
        <v>56200</v>
      </c>
      <c r="K506" s="29" t="str">
        <v>-</v>
      </c>
      <c r="L506" s="29">
        <v>58200</v>
      </c>
      <c r="M506" s="29">
        <v>56600</v>
      </c>
      <c r="N506" s="29">
        <v>55200</v>
      </c>
      <c r="O506" s="29" t="str">
        <v>-</v>
      </c>
      <c r="P506" s="29">
        <v>52200</v>
      </c>
      <c r="Q506" s="29">
        <v>52600</v>
      </c>
      <c r="R506" s="29">
        <v>52800</v>
      </c>
      <c r="S506">
        <v>55500</v>
      </c>
      <c r="T506">
        <v>55500</v>
      </c>
      <c r="U506">
        <v>54800</v>
      </c>
      <c r="V506">
        <v>56800</v>
      </c>
      <c r="W506">
        <v>58800</v>
      </c>
    </row>
    <row r="507" spans="1:23">
      <c r="A507" s="30">
        <v>44791</v>
      </c>
      <c r="B507" s="29">
        <v>56600</v>
      </c>
      <c r="C507" s="29">
        <v>56700</v>
      </c>
      <c r="D507" s="29">
        <v>57400</v>
      </c>
      <c r="E507" s="29">
        <v>52500</v>
      </c>
      <c r="F507" s="29">
        <v>57300</v>
      </c>
      <c r="G507" s="29" t="str">
        <v>-</v>
      </c>
      <c r="H507" s="29">
        <v>55000</v>
      </c>
      <c r="I507" s="29">
        <v>56000</v>
      </c>
      <c r="J507" s="29">
        <v>56000</v>
      </c>
      <c r="K507" s="29" t="str">
        <v>-</v>
      </c>
      <c r="L507" s="29">
        <v>57800</v>
      </c>
      <c r="M507" s="29">
        <v>56200</v>
      </c>
      <c r="N507" s="29">
        <v>54900</v>
      </c>
      <c r="O507" s="29" t="str">
        <v>-</v>
      </c>
      <c r="P507" s="29">
        <v>52000</v>
      </c>
      <c r="Q507" s="29">
        <v>52000</v>
      </c>
      <c r="R507" s="29">
        <v>52200</v>
      </c>
      <c r="S507">
        <v>55000</v>
      </c>
      <c r="T507">
        <v>55000</v>
      </c>
      <c r="U507">
        <v>53800</v>
      </c>
      <c r="V507">
        <v>56800</v>
      </c>
      <c r="W507">
        <v>58800</v>
      </c>
    </row>
    <row r="508" spans="1:23">
      <c r="A508" s="30">
        <v>44792</v>
      </c>
      <c r="B508" s="29" t="str">
        <v>-</v>
      </c>
      <c r="C508" s="29">
        <v>56500</v>
      </c>
      <c r="D508" s="29">
        <v>57200</v>
      </c>
      <c r="E508" s="29">
        <v>52500</v>
      </c>
      <c r="F508" s="29">
        <v>57100</v>
      </c>
      <c r="G508" s="29" t="str">
        <v>-</v>
      </c>
      <c r="H508" s="29">
        <v>55000</v>
      </c>
      <c r="I508" s="29">
        <v>55600</v>
      </c>
      <c r="J508" s="29">
        <v>55600</v>
      </c>
      <c r="K508" s="29" t="str">
        <v>-</v>
      </c>
      <c r="L508" s="29">
        <v>57600</v>
      </c>
      <c r="M508" s="29">
        <v>56200</v>
      </c>
      <c r="N508" s="29">
        <v>54500</v>
      </c>
      <c r="O508" s="29" t="str">
        <v>-</v>
      </c>
      <c r="P508" s="29">
        <v>51900</v>
      </c>
      <c r="Q508" s="29">
        <v>51900</v>
      </c>
      <c r="R508" s="29">
        <v>52000</v>
      </c>
      <c r="S508">
        <v>55000</v>
      </c>
      <c r="T508">
        <v>54500</v>
      </c>
      <c r="U508">
        <v>53800</v>
      </c>
      <c r="V508">
        <v>56800</v>
      </c>
      <c r="W508">
        <v>58800</v>
      </c>
    </row>
    <row r="509" spans="1:23">
      <c r="A509" s="30">
        <v>44793</v>
      </c>
      <c r="B509" s="29">
        <v>56600</v>
      </c>
      <c r="C509" s="29">
        <v>56500</v>
      </c>
      <c r="D509" s="29">
        <v>57200</v>
      </c>
      <c r="E509" s="29">
        <v>52000</v>
      </c>
      <c r="F509" s="29">
        <v>57100</v>
      </c>
      <c r="G509" s="29" t="str">
        <v>-</v>
      </c>
      <c r="H509" s="29">
        <v>54500</v>
      </c>
      <c r="I509" s="29">
        <v>55400</v>
      </c>
      <c r="J509" s="29">
        <v>55200</v>
      </c>
      <c r="K509" s="29" t="str">
        <v>-</v>
      </c>
      <c r="L509" s="29">
        <v>57400</v>
      </c>
      <c r="M509" s="29">
        <v>55800</v>
      </c>
      <c r="N509" s="29">
        <v>54200</v>
      </c>
      <c r="O509" s="29" t="str">
        <v>-</v>
      </c>
      <c r="P509" s="29">
        <v>51500</v>
      </c>
      <c r="Q509" s="29">
        <v>51700</v>
      </c>
      <c r="R509" s="29">
        <v>51700</v>
      </c>
      <c r="S509">
        <v>54500</v>
      </c>
      <c r="T509">
        <v>54300</v>
      </c>
      <c r="U509">
        <v>53800</v>
      </c>
      <c r="V509">
        <v>56800</v>
      </c>
      <c r="W509">
        <v>58800</v>
      </c>
    </row>
    <row r="510" spans="1:23">
      <c r="A510" s="30">
        <v>44794</v>
      </c>
      <c r="B510" s="29" t="str">
        <v>H</v>
      </c>
      <c r="C510" s="29" t="str">
        <v>H</v>
      </c>
      <c r="D510" s="29" t="str">
        <v>H</v>
      </c>
      <c r="E510" s="29" t="str">
        <v>H</v>
      </c>
      <c r="F510" s="29" t="str">
        <v>H</v>
      </c>
      <c r="G510" s="29" t="str">
        <v>H</v>
      </c>
      <c r="H510" s="29" t="str">
        <v>H</v>
      </c>
      <c r="I510" s="29" t="str">
        <v>H</v>
      </c>
      <c r="J510" s="29" t="str">
        <v>H</v>
      </c>
      <c r="K510" s="29" t="str">
        <v>H</v>
      </c>
      <c r="L510" s="29" t="str">
        <v>H</v>
      </c>
      <c r="M510" s="29" t="str">
        <v>H</v>
      </c>
      <c r="N510" s="29" t="str">
        <v>H</v>
      </c>
      <c r="O510" s="29" t="str">
        <v>H</v>
      </c>
      <c r="P510" s="29" t="str">
        <v>H</v>
      </c>
      <c r="Q510" s="29" t="str">
        <v>H</v>
      </c>
      <c r="R510" s="29" t="str">
        <v>H</v>
      </c>
      <c r="S510" t="str">
        <v>H</v>
      </c>
      <c r="T510" t="str">
        <v>H</v>
      </c>
      <c r="U510" t="str">
        <v>H</v>
      </c>
      <c r="V510" t="str">
        <v>H</v>
      </c>
      <c r="W510" t="str">
        <v>H</v>
      </c>
    </row>
    <row r="511" spans="1:23">
      <c r="A511" s="30">
        <v>44795</v>
      </c>
      <c r="B511" s="29">
        <v>56800</v>
      </c>
      <c r="C511" s="29">
        <v>56500</v>
      </c>
      <c r="D511" s="29">
        <v>56900</v>
      </c>
      <c r="E511" s="29">
        <v>52000</v>
      </c>
      <c r="F511" s="29">
        <v>56800</v>
      </c>
      <c r="G511" s="29" t="str">
        <v>-</v>
      </c>
      <c r="H511" s="29">
        <v>54500</v>
      </c>
      <c r="I511" s="29">
        <v>55100</v>
      </c>
      <c r="J511" s="29">
        <v>55000</v>
      </c>
      <c r="K511" s="29" t="str">
        <v>-</v>
      </c>
      <c r="L511" s="29">
        <v>57000</v>
      </c>
      <c r="M511" s="29">
        <v>55500</v>
      </c>
      <c r="N511" s="29">
        <v>54200</v>
      </c>
      <c r="O511" s="29" t="str">
        <v>-</v>
      </c>
      <c r="P511" s="29">
        <v>51300</v>
      </c>
      <c r="Q511" s="29">
        <v>51500</v>
      </c>
      <c r="R511" s="29">
        <v>51500</v>
      </c>
      <c r="S511">
        <v>54500</v>
      </c>
      <c r="T511">
        <v>54200</v>
      </c>
      <c r="U511">
        <v>53800</v>
      </c>
      <c r="V511">
        <v>56400</v>
      </c>
      <c r="W511">
        <v>58500</v>
      </c>
    </row>
    <row r="512" spans="1:23">
      <c r="A512" s="30">
        <v>44796</v>
      </c>
      <c r="B512" s="29">
        <v>56600</v>
      </c>
      <c r="C512" s="29">
        <v>56500</v>
      </c>
      <c r="D512" s="29">
        <v>56400</v>
      </c>
      <c r="E512" s="29">
        <v>51500</v>
      </c>
      <c r="F512" s="29">
        <v>56800</v>
      </c>
      <c r="G512" s="29" t="str">
        <v>-</v>
      </c>
      <c r="H512" s="29">
        <v>54000</v>
      </c>
      <c r="I512" s="29">
        <v>54400</v>
      </c>
      <c r="J512" s="29">
        <v>54700</v>
      </c>
      <c r="K512" s="29" t="str">
        <v>-</v>
      </c>
      <c r="L512" s="29">
        <v>56300</v>
      </c>
      <c r="M512" s="29">
        <v>55400</v>
      </c>
      <c r="N512" s="29">
        <v>53500</v>
      </c>
      <c r="O512" s="29">
        <v>52000</v>
      </c>
      <c r="P512" s="29">
        <v>50900</v>
      </c>
      <c r="Q512" s="29">
        <v>51200</v>
      </c>
      <c r="R512" s="29">
        <v>51000</v>
      </c>
      <c r="S512">
        <v>54000</v>
      </c>
      <c r="T512">
        <v>53700</v>
      </c>
      <c r="U512">
        <v>52800</v>
      </c>
      <c r="V512">
        <v>56200</v>
      </c>
      <c r="W512">
        <v>58300</v>
      </c>
    </row>
    <row r="513" spans="1:23">
      <c r="A513" s="30">
        <v>44797</v>
      </c>
      <c r="B513" s="29">
        <v>56600</v>
      </c>
      <c r="C513" s="29">
        <v>56500</v>
      </c>
      <c r="D513" s="29">
        <v>56400</v>
      </c>
      <c r="E513" s="29">
        <v>51800</v>
      </c>
      <c r="F513" s="29">
        <v>56800</v>
      </c>
      <c r="G513" s="29" t="str">
        <v>-</v>
      </c>
      <c r="H513" s="29">
        <v>54000</v>
      </c>
      <c r="I513" s="29">
        <v>54700</v>
      </c>
      <c r="J513" s="29">
        <v>55200</v>
      </c>
      <c r="K513" s="29" t="str">
        <v>-</v>
      </c>
      <c r="L513" s="29">
        <v>56300</v>
      </c>
      <c r="M513" s="29">
        <v>55800</v>
      </c>
      <c r="N513" s="29">
        <v>53700</v>
      </c>
      <c r="O513" s="29">
        <v>52250</v>
      </c>
      <c r="P513" s="29">
        <v>51200</v>
      </c>
      <c r="Q513" s="29">
        <v>51500</v>
      </c>
      <c r="R513" s="29">
        <v>51200</v>
      </c>
      <c r="S513">
        <v>54300</v>
      </c>
      <c r="T513">
        <v>54000</v>
      </c>
      <c r="U513">
        <v>52800</v>
      </c>
      <c r="V513">
        <v>56000</v>
      </c>
      <c r="W513">
        <v>58100</v>
      </c>
    </row>
    <row r="514" spans="1:23">
      <c r="A514" s="30">
        <v>44798</v>
      </c>
      <c r="B514" s="29">
        <v>56000</v>
      </c>
      <c r="C514" s="29">
        <v>56200</v>
      </c>
      <c r="D514" s="29">
        <v>56100</v>
      </c>
      <c r="E514" s="29">
        <v>51200</v>
      </c>
      <c r="F514" s="29">
        <v>56800</v>
      </c>
      <c r="G514" s="29" t="str">
        <v>-</v>
      </c>
      <c r="H514" s="29">
        <v>54000</v>
      </c>
      <c r="I514" s="29">
        <v>54200</v>
      </c>
      <c r="J514" s="29">
        <v>55200</v>
      </c>
      <c r="K514" s="29" t="str">
        <v>-</v>
      </c>
      <c r="L514" s="29">
        <v>55500</v>
      </c>
      <c r="M514" s="29">
        <v>55800</v>
      </c>
      <c r="N514" s="29">
        <v>53000</v>
      </c>
      <c r="O514" s="29">
        <v>51900</v>
      </c>
      <c r="P514" s="29">
        <v>51000</v>
      </c>
      <c r="Q514" s="29">
        <v>51300</v>
      </c>
      <c r="R514" s="29">
        <v>50800</v>
      </c>
      <c r="S514">
        <v>53700</v>
      </c>
      <c r="T514">
        <v>53800</v>
      </c>
      <c r="U514">
        <v>52800</v>
      </c>
      <c r="V514">
        <v>56000</v>
      </c>
      <c r="W514">
        <v>58100</v>
      </c>
    </row>
    <row r="515" spans="1:23">
      <c r="A515" s="30">
        <v>44799</v>
      </c>
      <c r="B515" s="29">
        <v>55700</v>
      </c>
      <c r="C515" s="29">
        <v>56200</v>
      </c>
      <c r="D515" s="29">
        <v>56100</v>
      </c>
      <c r="E515" s="29">
        <v>51200</v>
      </c>
      <c r="F515" s="29">
        <v>56600</v>
      </c>
      <c r="G515" s="29" t="str">
        <v>-</v>
      </c>
      <c r="H515" s="29">
        <v>54000</v>
      </c>
      <c r="I515" s="29">
        <v>54200</v>
      </c>
      <c r="J515" s="29">
        <v>55200</v>
      </c>
      <c r="K515" s="29" t="str">
        <v>-</v>
      </c>
      <c r="L515" s="29">
        <v>55500</v>
      </c>
      <c r="M515" s="29">
        <v>55500</v>
      </c>
      <c r="N515" s="29">
        <v>53500</v>
      </c>
      <c r="O515" s="29">
        <v>52200</v>
      </c>
      <c r="P515" s="29">
        <v>51000</v>
      </c>
      <c r="Q515" s="29">
        <v>50900</v>
      </c>
      <c r="R515" s="29">
        <v>51100</v>
      </c>
      <c r="S515">
        <v>53700</v>
      </c>
      <c r="T515">
        <v>53800</v>
      </c>
      <c r="U515">
        <v>52800</v>
      </c>
      <c r="V515">
        <v>56000</v>
      </c>
      <c r="W515">
        <v>58100</v>
      </c>
    </row>
    <row r="516" spans="1:23">
      <c r="A516" s="30">
        <v>44800</v>
      </c>
      <c r="B516" s="29">
        <v>55200</v>
      </c>
      <c r="C516" s="29">
        <v>56000</v>
      </c>
      <c r="D516" s="29">
        <v>56100</v>
      </c>
      <c r="E516" s="29">
        <v>51000</v>
      </c>
      <c r="F516" s="29">
        <v>56600</v>
      </c>
      <c r="G516" s="29" t="str">
        <v>-</v>
      </c>
      <c r="H516" s="29">
        <v>54000</v>
      </c>
      <c r="I516" s="29">
        <v>54200</v>
      </c>
      <c r="J516" s="29">
        <v>55000</v>
      </c>
      <c r="K516" s="29" t="str">
        <v>-</v>
      </c>
      <c r="L516" s="29">
        <v>55600</v>
      </c>
      <c r="M516" s="29">
        <v>55500</v>
      </c>
      <c r="N516" s="29">
        <v>53500</v>
      </c>
      <c r="O516" s="29">
        <v>52000</v>
      </c>
      <c r="P516" s="29">
        <v>51000</v>
      </c>
      <c r="Q516" s="29">
        <v>50900</v>
      </c>
      <c r="R516" s="29">
        <v>51100</v>
      </c>
      <c r="S516">
        <v>53500</v>
      </c>
      <c r="T516">
        <v>53800</v>
      </c>
      <c r="U516">
        <v>52800</v>
      </c>
      <c r="V516">
        <v>56000</v>
      </c>
      <c r="W516">
        <v>58100</v>
      </c>
    </row>
    <row r="517" spans="1:23">
      <c r="A517" s="30">
        <v>44801</v>
      </c>
      <c r="B517" s="29" t="str">
        <v>H</v>
      </c>
      <c r="C517" s="29" t="str">
        <v>H</v>
      </c>
      <c r="D517" s="29" t="str">
        <v>H</v>
      </c>
      <c r="E517" s="29" t="str">
        <v>H</v>
      </c>
      <c r="F517" s="29" t="str">
        <v>H</v>
      </c>
      <c r="G517" s="29" t="str">
        <v>H</v>
      </c>
      <c r="H517" s="29" t="str">
        <v>H</v>
      </c>
      <c r="I517" s="29" t="str">
        <v>H</v>
      </c>
      <c r="J517" s="29" t="str">
        <v>H</v>
      </c>
      <c r="K517" s="29" t="str">
        <v>H</v>
      </c>
      <c r="L517" s="29" t="str">
        <v>H</v>
      </c>
      <c r="M517" s="29" t="str">
        <v>H</v>
      </c>
      <c r="N517" s="29" t="str">
        <v>H</v>
      </c>
      <c r="O517" s="29" t="str">
        <v>H</v>
      </c>
      <c r="P517" s="29" t="str">
        <v>H</v>
      </c>
      <c r="Q517" s="29" t="str">
        <v>H</v>
      </c>
      <c r="R517" s="29" t="str">
        <v>H</v>
      </c>
      <c r="S517" t="str">
        <v>H</v>
      </c>
      <c r="T517" t="str">
        <v>H</v>
      </c>
      <c r="U517" t="str">
        <v>H</v>
      </c>
      <c r="V517" t="str">
        <v>H</v>
      </c>
      <c r="W517" t="str">
        <v>H</v>
      </c>
    </row>
    <row r="518" spans="1:23">
      <c r="A518" s="30">
        <v>44802</v>
      </c>
      <c r="B518" s="29">
        <v>55000</v>
      </c>
      <c r="C518" s="29">
        <v>56000</v>
      </c>
      <c r="D518" s="29">
        <v>55500</v>
      </c>
      <c r="E518" s="29">
        <v>51000</v>
      </c>
      <c r="F518" s="29">
        <v>55900</v>
      </c>
      <c r="G518" s="29" t="str">
        <v>-</v>
      </c>
      <c r="H518" s="29">
        <v>53500</v>
      </c>
      <c r="I518" s="29">
        <v>53700</v>
      </c>
      <c r="J518" s="29">
        <v>54500</v>
      </c>
      <c r="K518" s="29" t="str">
        <v>-</v>
      </c>
      <c r="L518" s="29">
        <v>55200</v>
      </c>
      <c r="M518" s="29">
        <v>55500</v>
      </c>
      <c r="N518" s="29">
        <v>52500</v>
      </c>
      <c r="O518" s="29">
        <v>51800</v>
      </c>
      <c r="P518" s="29">
        <v>50500</v>
      </c>
      <c r="Q518" s="29">
        <v>50500</v>
      </c>
      <c r="R518" s="29">
        <v>50700</v>
      </c>
      <c r="S518">
        <v>53500</v>
      </c>
      <c r="T518">
        <v>53500</v>
      </c>
      <c r="U518">
        <v>52800</v>
      </c>
      <c r="V518">
        <v>55700</v>
      </c>
      <c r="W518">
        <v>57800</v>
      </c>
    </row>
    <row r="519" spans="1:23">
      <c r="A519" s="30">
        <v>44803</v>
      </c>
      <c r="B519" s="29">
        <v>54800</v>
      </c>
      <c r="C519" s="29">
        <v>55700</v>
      </c>
      <c r="D519" s="29">
        <v>54600</v>
      </c>
      <c r="E519" s="29">
        <v>50500</v>
      </c>
      <c r="F519" s="29">
        <v>55800</v>
      </c>
      <c r="G519" s="29" t="str">
        <v>-</v>
      </c>
      <c r="H519" s="29">
        <v>53500</v>
      </c>
      <c r="I519" s="29">
        <v>53400</v>
      </c>
      <c r="J519" s="29">
        <v>54500</v>
      </c>
      <c r="K519" s="29" t="str">
        <v>-</v>
      </c>
      <c r="L519" s="29">
        <v>54100</v>
      </c>
      <c r="M519" s="29">
        <v>55500</v>
      </c>
      <c r="N519" s="29">
        <v>52000</v>
      </c>
      <c r="O519" s="29">
        <v>51800</v>
      </c>
      <c r="P519" s="29">
        <v>50100</v>
      </c>
      <c r="Q519" s="29">
        <v>50400</v>
      </c>
      <c r="R519" s="29">
        <v>50500</v>
      </c>
      <c r="S519">
        <v>53000</v>
      </c>
      <c r="T519">
        <v>53400</v>
      </c>
      <c r="U519">
        <v>52500</v>
      </c>
      <c r="V519">
        <v>55600</v>
      </c>
      <c r="W519">
        <v>57800</v>
      </c>
    </row>
    <row r="520" spans="1:23">
      <c r="A520" s="30">
        <v>44804</v>
      </c>
      <c r="B520" s="29">
        <v>54800</v>
      </c>
      <c r="C520" s="29" t="str">
        <v>-</v>
      </c>
      <c r="D520" s="29">
        <v>54600</v>
      </c>
      <c r="E520" s="29">
        <v>50500</v>
      </c>
      <c r="F520" s="29">
        <v>55800</v>
      </c>
      <c r="G520" s="29" t="str">
        <v>-</v>
      </c>
      <c r="H520" s="29">
        <v>53500</v>
      </c>
      <c r="I520" s="29">
        <v>53400</v>
      </c>
      <c r="J520" s="29">
        <v>54500</v>
      </c>
      <c r="K520" s="29" t="str">
        <v>-</v>
      </c>
      <c r="L520" s="29">
        <v>54000</v>
      </c>
      <c r="M520" s="29" t="str">
        <v>-</v>
      </c>
      <c r="N520" s="29">
        <v>52000</v>
      </c>
      <c r="O520" s="29">
        <v>51800</v>
      </c>
      <c r="P520" s="29">
        <v>50500</v>
      </c>
      <c r="Q520" s="29">
        <v>50600</v>
      </c>
      <c r="R520" s="29">
        <v>50500</v>
      </c>
      <c r="S520">
        <v>53000</v>
      </c>
      <c r="T520">
        <v>53500</v>
      </c>
      <c r="U520">
        <v>52300</v>
      </c>
      <c r="V520">
        <v>55400</v>
      </c>
      <c r="W520">
        <v>57800</v>
      </c>
    </row>
    <row r="521" spans="1:23">
      <c r="A521" s="30">
        <v>44805</v>
      </c>
      <c r="B521" s="29">
        <v>54800</v>
      </c>
      <c r="C521" s="29">
        <v>55700</v>
      </c>
      <c r="D521" s="29">
        <v>55300</v>
      </c>
      <c r="E521" s="29">
        <v>50700</v>
      </c>
      <c r="F521" s="29">
        <v>55300</v>
      </c>
      <c r="G521" s="29" t="str">
        <v>-</v>
      </c>
      <c r="H521" s="29">
        <v>53500</v>
      </c>
      <c r="I521" s="29">
        <v>53700</v>
      </c>
      <c r="J521" s="29">
        <v>54500</v>
      </c>
      <c r="K521" s="29" t="str">
        <v>-</v>
      </c>
      <c r="L521" s="29">
        <v>54500</v>
      </c>
      <c r="M521" s="29">
        <v>55500</v>
      </c>
      <c r="N521" s="29">
        <v>52200</v>
      </c>
      <c r="O521" s="29">
        <v>52000</v>
      </c>
      <c r="P521" s="29">
        <v>50500</v>
      </c>
      <c r="Q521" s="29">
        <v>50800</v>
      </c>
      <c r="R521" s="29">
        <v>50750</v>
      </c>
      <c r="S521">
        <v>53200</v>
      </c>
      <c r="T521">
        <v>53700</v>
      </c>
      <c r="U521">
        <v>52300</v>
      </c>
      <c r="V521">
        <v>55200</v>
      </c>
      <c r="W521">
        <v>57300</v>
      </c>
    </row>
    <row r="522" spans="1:23">
      <c r="A522" s="30">
        <v>44806</v>
      </c>
      <c r="B522" s="29">
        <v>55000</v>
      </c>
      <c r="C522" s="29">
        <v>55700</v>
      </c>
      <c r="D522" s="29">
        <v>55300</v>
      </c>
      <c r="E522" s="29">
        <v>51000</v>
      </c>
      <c r="F522" s="29">
        <v>55300</v>
      </c>
      <c r="G522" s="29" t="str">
        <v>-</v>
      </c>
      <c r="H522" s="29">
        <v>53500</v>
      </c>
      <c r="I522" s="29">
        <v>53700</v>
      </c>
      <c r="J522" s="29">
        <v>54500</v>
      </c>
      <c r="K522" s="29" t="str">
        <v>-</v>
      </c>
      <c r="L522" s="29">
        <v>54300</v>
      </c>
      <c r="M522" s="29">
        <v>55500</v>
      </c>
      <c r="N522" s="29">
        <v>52200</v>
      </c>
      <c r="O522" s="29">
        <v>52500</v>
      </c>
      <c r="P522" s="29">
        <v>50600</v>
      </c>
      <c r="Q522" s="29">
        <v>50800</v>
      </c>
      <c r="R522" s="29">
        <v>50750</v>
      </c>
      <c r="S522">
        <v>53500</v>
      </c>
      <c r="T522">
        <v>53700</v>
      </c>
      <c r="U522">
        <v>52300</v>
      </c>
      <c r="V522">
        <v>55200</v>
      </c>
      <c r="W522">
        <v>57300</v>
      </c>
    </row>
    <row r="523" spans="1:23">
      <c r="A523" s="30">
        <v>44807</v>
      </c>
      <c r="B523" s="29">
        <v>55200</v>
      </c>
      <c r="C523" s="29">
        <v>55700</v>
      </c>
      <c r="D523" s="29">
        <v>55500</v>
      </c>
      <c r="E523" s="29">
        <v>51200</v>
      </c>
      <c r="F523" s="29">
        <v>55300</v>
      </c>
      <c r="G523" s="29" t="str">
        <v>-</v>
      </c>
      <c r="H523" s="29">
        <v>54000</v>
      </c>
      <c r="I523" s="29">
        <v>54000</v>
      </c>
      <c r="J523" s="29">
        <v>54500</v>
      </c>
      <c r="K523" s="29" t="str">
        <v>-</v>
      </c>
      <c r="L523" s="29">
        <v>54800</v>
      </c>
      <c r="M523" s="29">
        <v>55500</v>
      </c>
      <c r="N523" s="29">
        <v>52700</v>
      </c>
      <c r="O523" s="29">
        <v>52500</v>
      </c>
      <c r="P523" s="29">
        <v>50700</v>
      </c>
      <c r="Q523" s="29">
        <v>50900</v>
      </c>
      <c r="R523" s="29">
        <v>51000</v>
      </c>
      <c r="S523">
        <v>53700</v>
      </c>
      <c r="T523">
        <v>53900</v>
      </c>
      <c r="U523">
        <v>52800</v>
      </c>
      <c r="V523">
        <v>54900</v>
      </c>
      <c r="W523">
        <v>57100</v>
      </c>
    </row>
    <row r="524" spans="1:23">
      <c r="A524" s="30">
        <v>44808</v>
      </c>
      <c r="B524" s="29" t="str">
        <v>H</v>
      </c>
      <c r="C524" s="29" t="str">
        <v>H</v>
      </c>
      <c r="D524" s="29" t="str">
        <v>H</v>
      </c>
      <c r="E524" s="29" t="str">
        <v>H</v>
      </c>
      <c r="F524" s="29" t="str">
        <v>H</v>
      </c>
      <c r="G524" s="29" t="str">
        <v>H</v>
      </c>
      <c r="H524" s="29" t="str">
        <v>H</v>
      </c>
      <c r="I524" s="29" t="str">
        <v>H</v>
      </c>
      <c r="J524" s="29" t="str">
        <v>H</v>
      </c>
      <c r="K524" s="29" t="str">
        <v>H</v>
      </c>
      <c r="L524" s="29" t="str">
        <v>H</v>
      </c>
      <c r="M524" s="29" t="str">
        <v>H</v>
      </c>
      <c r="N524" s="29" t="str">
        <v>H</v>
      </c>
      <c r="O524" s="29" t="str">
        <v>H</v>
      </c>
      <c r="P524" s="29" t="str">
        <v>H</v>
      </c>
      <c r="Q524" s="29" t="str">
        <v>H</v>
      </c>
      <c r="R524" s="29" t="str">
        <v>H</v>
      </c>
      <c r="S524" t="str">
        <v>H</v>
      </c>
      <c r="T524" t="str">
        <v>H</v>
      </c>
      <c r="U524" t="str">
        <v>H</v>
      </c>
      <c r="V524" t="str">
        <v>H</v>
      </c>
      <c r="W524" t="str">
        <v>H</v>
      </c>
    </row>
    <row r="525" spans="1:23">
      <c r="A525" s="30">
        <v>44809</v>
      </c>
      <c r="B525" s="29">
        <v>55200</v>
      </c>
      <c r="C525" s="29">
        <v>55500</v>
      </c>
      <c r="D525" s="29">
        <v>55200</v>
      </c>
      <c r="E525" s="29">
        <v>51000</v>
      </c>
      <c r="F525" s="29">
        <v>55300</v>
      </c>
      <c r="G525" s="29" t="str">
        <v>-</v>
      </c>
      <c r="H525" s="29">
        <v>53500</v>
      </c>
      <c r="I525" s="29">
        <v>53700</v>
      </c>
      <c r="J525" s="29">
        <v>54500</v>
      </c>
      <c r="K525" s="29" t="str">
        <v>-</v>
      </c>
      <c r="L525" s="29">
        <v>54300</v>
      </c>
      <c r="M525" s="29">
        <v>55500</v>
      </c>
      <c r="N525" s="29">
        <v>51800</v>
      </c>
      <c r="O525" s="29">
        <v>52300</v>
      </c>
      <c r="P525" s="29">
        <v>50400</v>
      </c>
      <c r="Q525" s="29">
        <v>50700</v>
      </c>
      <c r="R525" s="29">
        <v>50500</v>
      </c>
      <c r="S525">
        <v>53500</v>
      </c>
      <c r="T525">
        <v>53900</v>
      </c>
      <c r="U525">
        <v>52300</v>
      </c>
      <c r="V525">
        <v>54900</v>
      </c>
      <c r="W525">
        <v>57100</v>
      </c>
    </row>
    <row r="526" spans="1:23">
      <c r="A526" s="30">
        <v>44810</v>
      </c>
      <c r="B526" s="29">
        <v>54700</v>
      </c>
      <c r="C526" s="29">
        <v>55500</v>
      </c>
      <c r="D526" s="29">
        <v>55000</v>
      </c>
      <c r="E526" s="29">
        <v>51000</v>
      </c>
      <c r="F526" s="29">
        <v>55300</v>
      </c>
      <c r="G526" s="29" t="str">
        <v>-</v>
      </c>
      <c r="H526" s="29">
        <v>53500</v>
      </c>
      <c r="I526" s="29">
        <v>53800</v>
      </c>
      <c r="J526" s="29">
        <v>54500</v>
      </c>
      <c r="K526" s="29" t="str">
        <v>-</v>
      </c>
      <c r="L526" s="29">
        <v>54700</v>
      </c>
      <c r="M526" s="29">
        <v>55100</v>
      </c>
      <c r="N526" s="29">
        <v>52200</v>
      </c>
      <c r="O526" s="29">
        <v>52500</v>
      </c>
      <c r="P526" s="29">
        <v>50500</v>
      </c>
      <c r="Q526" s="29">
        <v>50800</v>
      </c>
      <c r="R526" s="29">
        <v>50800</v>
      </c>
      <c r="S526">
        <v>53500</v>
      </c>
      <c r="T526">
        <v>53700</v>
      </c>
      <c r="U526">
        <v>52300</v>
      </c>
      <c r="V526">
        <v>54900</v>
      </c>
      <c r="W526">
        <v>57100</v>
      </c>
    </row>
    <row r="527" spans="1:23">
      <c r="A527" s="30">
        <v>44811</v>
      </c>
      <c r="B527" s="29">
        <v>54700</v>
      </c>
      <c r="C527" s="29">
        <v>55300</v>
      </c>
      <c r="D527" s="29">
        <v>54700</v>
      </c>
      <c r="E527" s="29">
        <v>50800</v>
      </c>
      <c r="F527" s="29">
        <v>55100</v>
      </c>
      <c r="G527" s="29" t="str">
        <v>-</v>
      </c>
      <c r="H527" s="29">
        <v>53500</v>
      </c>
      <c r="I527" s="29">
        <v>53800</v>
      </c>
      <c r="J527" s="29">
        <v>54300</v>
      </c>
      <c r="K527" s="29" t="str">
        <v>-</v>
      </c>
      <c r="L527" s="29">
        <v>54700</v>
      </c>
      <c r="M527" s="29">
        <v>54800</v>
      </c>
      <c r="N527" s="29">
        <v>52200</v>
      </c>
      <c r="O527" s="29">
        <v>52500</v>
      </c>
      <c r="P527" s="29">
        <v>50400</v>
      </c>
      <c r="Q527" s="29">
        <v>50900</v>
      </c>
      <c r="R527" s="29">
        <v>50700</v>
      </c>
      <c r="S527">
        <v>53300</v>
      </c>
      <c r="T527">
        <v>53600</v>
      </c>
      <c r="U527">
        <v>52300</v>
      </c>
      <c r="V527">
        <v>54500</v>
      </c>
      <c r="W527">
        <v>56700</v>
      </c>
    </row>
    <row r="528" spans="1:23">
      <c r="A528" s="30">
        <v>44812</v>
      </c>
      <c r="B528" s="29">
        <v>54700</v>
      </c>
      <c r="C528" s="29">
        <v>55000</v>
      </c>
      <c r="D528" s="29">
        <v>55000</v>
      </c>
      <c r="E528" s="29">
        <v>50800</v>
      </c>
      <c r="F528" s="29">
        <v>55000</v>
      </c>
      <c r="G528" s="29" t="str">
        <v>-</v>
      </c>
      <c r="H528" s="29">
        <v>53500</v>
      </c>
      <c r="I528" s="29">
        <v>54200</v>
      </c>
      <c r="J528" s="29">
        <v>54300</v>
      </c>
      <c r="K528" s="29" t="str">
        <v>-</v>
      </c>
      <c r="L528" s="29">
        <v>55100</v>
      </c>
      <c r="M528" s="29">
        <v>54500</v>
      </c>
      <c r="N528" s="29">
        <v>52500</v>
      </c>
      <c r="O528" s="29">
        <v>52500</v>
      </c>
      <c r="P528" s="29">
        <v>50900</v>
      </c>
      <c r="Q528" s="29">
        <v>51200</v>
      </c>
      <c r="R528" s="29">
        <v>51000</v>
      </c>
      <c r="S528">
        <v>53300</v>
      </c>
      <c r="T528">
        <v>53800</v>
      </c>
      <c r="U528">
        <v>52300</v>
      </c>
      <c r="V528">
        <v>54500</v>
      </c>
      <c r="W528">
        <v>56700</v>
      </c>
    </row>
    <row r="529" spans="1:23">
      <c r="A529" s="30">
        <v>44813</v>
      </c>
      <c r="B529" s="29">
        <v>54500</v>
      </c>
      <c r="C529" s="29">
        <v>55000</v>
      </c>
      <c r="D529" s="29">
        <v>55000</v>
      </c>
      <c r="E529" s="29">
        <v>50200</v>
      </c>
      <c r="F529" s="29">
        <v>55000</v>
      </c>
      <c r="G529" s="29" t="str">
        <v>-</v>
      </c>
      <c r="H529" s="29">
        <v>53500</v>
      </c>
      <c r="I529" s="29">
        <v>54100</v>
      </c>
      <c r="J529" s="29">
        <v>54300</v>
      </c>
      <c r="K529" s="29" t="str">
        <v>-</v>
      </c>
      <c r="L529" s="29">
        <v>55100</v>
      </c>
      <c r="M529" s="29">
        <v>54500</v>
      </c>
      <c r="N529" s="29">
        <v>52500</v>
      </c>
      <c r="O529" s="29">
        <v>52300</v>
      </c>
      <c r="P529" s="29">
        <v>50700</v>
      </c>
      <c r="Q529" s="29">
        <v>51200</v>
      </c>
      <c r="R529" s="29">
        <v>51000</v>
      </c>
      <c r="S529">
        <v>52700</v>
      </c>
      <c r="T529">
        <v>53800</v>
      </c>
      <c r="U529">
        <v>52300</v>
      </c>
      <c r="V529">
        <v>54300</v>
      </c>
      <c r="W529">
        <v>56700</v>
      </c>
    </row>
    <row r="530" spans="1:23">
      <c r="A530" s="30">
        <v>44814</v>
      </c>
      <c r="B530" s="29">
        <v>54300</v>
      </c>
      <c r="C530" s="29">
        <v>55000</v>
      </c>
      <c r="D530" s="29">
        <v>55600</v>
      </c>
      <c r="E530" s="29">
        <v>50500</v>
      </c>
      <c r="F530" s="29">
        <v>55000</v>
      </c>
      <c r="G530" s="29" t="str">
        <v>-</v>
      </c>
      <c r="H530" s="29">
        <v>53500</v>
      </c>
      <c r="I530" s="29">
        <v>54200</v>
      </c>
      <c r="J530" s="29">
        <v>54300</v>
      </c>
      <c r="K530" s="29" t="str">
        <v>-</v>
      </c>
      <c r="L530" s="29">
        <v>55300</v>
      </c>
      <c r="M530" s="29">
        <v>54500</v>
      </c>
      <c r="N530" s="29">
        <v>53000</v>
      </c>
      <c r="O530" s="29">
        <v>52000</v>
      </c>
      <c r="P530" s="29">
        <v>51000</v>
      </c>
      <c r="Q530" s="29">
        <v>51500</v>
      </c>
      <c r="R530" s="29">
        <v>51100</v>
      </c>
      <c r="S530">
        <v>53000</v>
      </c>
      <c r="T530">
        <v>54000</v>
      </c>
      <c r="U530">
        <v>52300</v>
      </c>
      <c r="V530">
        <v>54200</v>
      </c>
      <c r="W530">
        <v>56700</v>
      </c>
    </row>
    <row r="531" spans="1:23">
      <c r="A531" s="30">
        <v>44815</v>
      </c>
      <c r="B531" s="29" t="str">
        <v>H</v>
      </c>
      <c r="C531" s="29" t="str">
        <v>H</v>
      </c>
      <c r="D531" s="29" t="str">
        <v>H</v>
      </c>
      <c r="E531" s="29" t="str">
        <v>H</v>
      </c>
      <c r="F531" s="29" t="str">
        <v>H</v>
      </c>
      <c r="G531" s="29" t="str">
        <v>H</v>
      </c>
      <c r="H531" s="29" t="str">
        <v>H</v>
      </c>
      <c r="I531" s="29" t="str">
        <v>H</v>
      </c>
      <c r="J531" s="29" t="str">
        <v>H</v>
      </c>
      <c r="K531" s="29" t="str">
        <v>H</v>
      </c>
      <c r="L531" s="29" t="str">
        <v>H</v>
      </c>
      <c r="M531" s="29" t="str">
        <v>H</v>
      </c>
      <c r="N531" s="29" t="str">
        <v>H</v>
      </c>
      <c r="O531" s="29" t="str">
        <v>H</v>
      </c>
      <c r="P531" s="29" t="str">
        <v>H</v>
      </c>
      <c r="Q531" s="29" t="str">
        <v>H</v>
      </c>
      <c r="R531" s="29" t="str">
        <v>H</v>
      </c>
      <c r="S531" t="str">
        <v>H</v>
      </c>
      <c r="T531" t="str">
        <v>H</v>
      </c>
      <c r="U531" t="str">
        <v>H</v>
      </c>
      <c r="V531" t="str">
        <v>H</v>
      </c>
      <c r="W531" t="str">
        <v>H</v>
      </c>
    </row>
    <row r="532" spans="1:23">
      <c r="A532" s="30">
        <v>44816</v>
      </c>
      <c r="B532" s="29">
        <v>54300</v>
      </c>
      <c r="C532" s="29">
        <v>55300</v>
      </c>
      <c r="D532" s="29">
        <v>55700</v>
      </c>
      <c r="E532" s="29">
        <v>50500</v>
      </c>
      <c r="F532" s="29">
        <v>54800</v>
      </c>
      <c r="G532" s="29" t="str">
        <v>-</v>
      </c>
      <c r="H532" s="29">
        <v>53500</v>
      </c>
      <c r="I532" s="29">
        <v>53800</v>
      </c>
      <c r="J532" s="29">
        <v>54300</v>
      </c>
      <c r="K532" s="29" t="str">
        <v>-</v>
      </c>
      <c r="L532" s="29">
        <v>55100</v>
      </c>
      <c r="M532" s="29">
        <v>54500</v>
      </c>
      <c r="N532" s="29">
        <v>52800</v>
      </c>
      <c r="O532" s="29">
        <v>52000</v>
      </c>
      <c r="P532" s="29">
        <v>51000</v>
      </c>
      <c r="Q532" s="29">
        <v>51400</v>
      </c>
      <c r="R532" s="29">
        <v>50700</v>
      </c>
      <c r="S532">
        <v>53000</v>
      </c>
      <c r="T532">
        <v>54000</v>
      </c>
      <c r="U532">
        <v>52300</v>
      </c>
      <c r="V532">
        <v>54100</v>
      </c>
      <c r="W532">
        <v>56500</v>
      </c>
    </row>
    <row r="533" spans="1:23">
      <c r="A533" s="30">
        <v>44817</v>
      </c>
      <c r="B533" s="29">
        <v>54600</v>
      </c>
      <c r="C533" s="29">
        <v>55300</v>
      </c>
      <c r="D533" s="29">
        <v>55900</v>
      </c>
      <c r="E533" s="29">
        <v>50600</v>
      </c>
      <c r="F533" s="29">
        <v>54800</v>
      </c>
      <c r="G533" s="29" t="str">
        <v>-</v>
      </c>
      <c r="H533" s="29">
        <v>53000</v>
      </c>
      <c r="I533" s="29">
        <v>54000</v>
      </c>
      <c r="J533" s="29">
        <v>54300</v>
      </c>
      <c r="K533" s="29" t="str">
        <v>-</v>
      </c>
      <c r="L533" s="29">
        <v>55400</v>
      </c>
      <c r="M533" s="29">
        <v>54300</v>
      </c>
      <c r="N533" s="29">
        <v>53200</v>
      </c>
      <c r="O533" s="29">
        <v>52100</v>
      </c>
      <c r="P533" s="29">
        <v>51350</v>
      </c>
      <c r="Q533" s="29">
        <v>51800</v>
      </c>
      <c r="R533" s="29">
        <v>51000</v>
      </c>
      <c r="S533">
        <v>53100</v>
      </c>
      <c r="T533">
        <v>54100</v>
      </c>
      <c r="U533">
        <v>52300</v>
      </c>
      <c r="V533">
        <v>54100</v>
      </c>
      <c r="W533">
        <v>56500</v>
      </c>
    </row>
    <row r="534" spans="1:23">
      <c r="A534" s="30">
        <v>44818</v>
      </c>
      <c r="B534" s="29">
        <v>54600</v>
      </c>
      <c r="C534" s="29">
        <v>55200</v>
      </c>
      <c r="D534" s="29">
        <v>55900</v>
      </c>
      <c r="E534" s="29">
        <v>51100</v>
      </c>
      <c r="F534" s="29">
        <v>55200</v>
      </c>
      <c r="G534" s="29" t="str">
        <v>-</v>
      </c>
      <c r="H534" s="29">
        <v>53500</v>
      </c>
      <c r="I534" s="29">
        <v>54400</v>
      </c>
      <c r="J534" s="29">
        <v>54700</v>
      </c>
      <c r="K534" s="29" t="str">
        <v>-</v>
      </c>
      <c r="L534" s="29">
        <v>55700</v>
      </c>
      <c r="M534" s="29">
        <v>54500</v>
      </c>
      <c r="N534" s="29">
        <v>53500</v>
      </c>
      <c r="O534" s="29">
        <v>52400</v>
      </c>
      <c r="P534" s="29">
        <v>51700</v>
      </c>
      <c r="Q534" s="29">
        <v>52000</v>
      </c>
      <c r="R534" s="29">
        <v>51500</v>
      </c>
      <c r="S534">
        <v>53600</v>
      </c>
      <c r="T534">
        <v>54500</v>
      </c>
      <c r="U534">
        <v>52500</v>
      </c>
      <c r="V534">
        <v>54100</v>
      </c>
      <c r="W534">
        <v>56500</v>
      </c>
    </row>
    <row r="535" spans="1:23">
      <c r="A535" s="30">
        <v>44819</v>
      </c>
      <c r="B535" s="29">
        <v>54600</v>
      </c>
      <c r="C535" s="29">
        <v>55200</v>
      </c>
      <c r="D535" s="29">
        <v>55900</v>
      </c>
      <c r="E535" s="29">
        <v>51300</v>
      </c>
      <c r="F535" s="29">
        <v>55300</v>
      </c>
      <c r="G535" s="29" t="str">
        <v>-</v>
      </c>
      <c r="H535" s="29">
        <v>53500</v>
      </c>
      <c r="I535" s="29">
        <v>54500</v>
      </c>
      <c r="J535" s="29">
        <v>54900</v>
      </c>
      <c r="K535" s="29" t="str">
        <v>-</v>
      </c>
      <c r="L535" s="29">
        <v>55700</v>
      </c>
      <c r="M535" s="29">
        <v>54800</v>
      </c>
      <c r="N535" s="29">
        <v>53500</v>
      </c>
      <c r="O535" s="29">
        <v>52700</v>
      </c>
      <c r="P535" s="29">
        <v>51500</v>
      </c>
      <c r="Q535" s="29">
        <v>52000</v>
      </c>
      <c r="R535" s="29">
        <v>51700</v>
      </c>
      <c r="S535">
        <v>53600</v>
      </c>
      <c r="T535">
        <v>54500</v>
      </c>
      <c r="U535">
        <v>52500</v>
      </c>
      <c r="V535">
        <v>54400</v>
      </c>
      <c r="W535">
        <v>56500</v>
      </c>
    </row>
    <row r="536" spans="1:23">
      <c r="A536" s="30">
        <v>44820</v>
      </c>
      <c r="B536" s="29">
        <v>54600</v>
      </c>
      <c r="C536" s="29">
        <v>55200</v>
      </c>
      <c r="D536" s="29">
        <v>55750</v>
      </c>
      <c r="E536" s="29">
        <v>51000</v>
      </c>
      <c r="F536" s="29">
        <v>55300</v>
      </c>
      <c r="G536" s="29" t="str">
        <v>-</v>
      </c>
      <c r="H536" s="29">
        <v>53500</v>
      </c>
      <c r="I536" s="29">
        <v>54600</v>
      </c>
      <c r="J536" s="29">
        <v>54900</v>
      </c>
      <c r="K536" s="29" t="str">
        <v>-</v>
      </c>
      <c r="L536" s="29">
        <v>55800</v>
      </c>
      <c r="M536" s="29">
        <v>54800</v>
      </c>
      <c r="N536" s="29">
        <v>53500</v>
      </c>
      <c r="O536" s="29">
        <v>52500</v>
      </c>
      <c r="P536" s="29">
        <v>51800</v>
      </c>
      <c r="Q536" s="29">
        <v>51800</v>
      </c>
      <c r="R536" s="29">
        <v>51700</v>
      </c>
      <c r="S536">
        <v>53500</v>
      </c>
      <c r="T536">
        <v>54400</v>
      </c>
      <c r="U536">
        <v>52300</v>
      </c>
      <c r="V536">
        <v>54400</v>
      </c>
      <c r="W536">
        <v>56500</v>
      </c>
    </row>
    <row r="537" spans="1:23">
      <c r="A537" s="30">
        <v>44821</v>
      </c>
      <c r="B537" s="29">
        <v>54400</v>
      </c>
      <c r="C537" s="29">
        <v>55000</v>
      </c>
      <c r="D537" s="29">
        <v>55600</v>
      </c>
      <c r="E537" s="29">
        <v>51000</v>
      </c>
      <c r="F537" s="29">
        <v>55300</v>
      </c>
      <c r="G537" s="29" t="str">
        <v>-</v>
      </c>
      <c r="H537" s="29">
        <v>53500</v>
      </c>
      <c r="I537" s="29">
        <v>54400</v>
      </c>
      <c r="J537" s="29">
        <v>54900</v>
      </c>
      <c r="K537" s="29" t="str">
        <v>-</v>
      </c>
      <c r="L537" s="29">
        <v>55400</v>
      </c>
      <c r="M537" s="29">
        <v>54800</v>
      </c>
      <c r="N537" s="29">
        <v>53000</v>
      </c>
      <c r="O537" s="29">
        <v>52100</v>
      </c>
      <c r="P537" s="29">
        <v>51500</v>
      </c>
      <c r="Q537" s="29">
        <v>51800</v>
      </c>
      <c r="R537" s="29" t="str">
        <v>-</v>
      </c>
      <c r="S537">
        <v>53500</v>
      </c>
      <c r="T537">
        <v>54400</v>
      </c>
      <c r="U537" t="str">
        <v>-</v>
      </c>
      <c r="V537">
        <v>54300</v>
      </c>
      <c r="W537">
        <v>56300</v>
      </c>
    </row>
    <row r="538" spans="1:23">
      <c r="A538" s="30">
        <v>44822</v>
      </c>
      <c r="B538" s="29" t="str">
        <v>H</v>
      </c>
      <c r="C538" s="29" t="str">
        <v>H</v>
      </c>
      <c r="D538" s="29" t="str">
        <v>H</v>
      </c>
      <c r="E538" s="29" t="str">
        <v>H</v>
      </c>
      <c r="F538" s="29" t="str">
        <v>H</v>
      </c>
      <c r="G538" s="29" t="str">
        <v>H</v>
      </c>
      <c r="H538" s="29" t="str">
        <v>H</v>
      </c>
      <c r="I538" s="29" t="str">
        <v>H</v>
      </c>
      <c r="J538" s="29" t="str">
        <v>H</v>
      </c>
      <c r="K538" s="29" t="str">
        <v>H</v>
      </c>
      <c r="L538" s="29" t="str">
        <v>H</v>
      </c>
      <c r="M538" s="29" t="str">
        <v>H</v>
      </c>
      <c r="N538" s="29" t="str">
        <v>H</v>
      </c>
      <c r="O538" s="29" t="str">
        <v>H</v>
      </c>
      <c r="P538" s="29" t="str">
        <v>H</v>
      </c>
      <c r="Q538" s="29" t="str">
        <v>H</v>
      </c>
      <c r="R538" s="29" t="str">
        <v>H</v>
      </c>
      <c r="S538" t="str">
        <v>H</v>
      </c>
      <c r="T538" t="str">
        <v>H</v>
      </c>
      <c r="U538" t="str">
        <v>H</v>
      </c>
      <c r="V538" t="str">
        <v>H</v>
      </c>
      <c r="W538" t="str">
        <v>H</v>
      </c>
    </row>
    <row r="539" spans="1:23">
      <c r="A539" s="30">
        <v>44823</v>
      </c>
      <c r="B539" s="29">
        <v>54400</v>
      </c>
      <c r="C539" s="29">
        <v>55000</v>
      </c>
      <c r="D539" s="29">
        <v>55600</v>
      </c>
      <c r="E539" s="29">
        <v>50800</v>
      </c>
      <c r="F539" s="29">
        <v>55300</v>
      </c>
      <c r="G539" s="29" t="str">
        <v>-</v>
      </c>
      <c r="H539" s="29">
        <v>53000</v>
      </c>
      <c r="I539" s="29">
        <v>54300</v>
      </c>
      <c r="J539" s="29">
        <v>54900</v>
      </c>
      <c r="K539" s="29" t="str">
        <v>-</v>
      </c>
      <c r="L539" s="29">
        <v>55400</v>
      </c>
      <c r="M539" s="29">
        <v>54800</v>
      </c>
      <c r="N539" s="29">
        <v>52800</v>
      </c>
      <c r="O539" s="29">
        <v>51900</v>
      </c>
      <c r="P539" s="29">
        <v>51400</v>
      </c>
      <c r="Q539" s="29">
        <v>51500</v>
      </c>
      <c r="R539" s="29">
        <v>51500</v>
      </c>
      <c r="S539">
        <v>53300</v>
      </c>
      <c r="T539">
        <v>54200</v>
      </c>
      <c r="U539">
        <v>52300</v>
      </c>
      <c r="V539">
        <v>54300</v>
      </c>
      <c r="W539">
        <v>56000</v>
      </c>
    </row>
    <row r="540" spans="1:23">
      <c r="A540" s="30">
        <v>44824</v>
      </c>
      <c r="B540" s="29">
        <v>54100</v>
      </c>
      <c r="C540" s="29">
        <v>55000</v>
      </c>
      <c r="D540" s="29">
        <v>54600</v>
      </c>
      <c r="E540" s="29">
        <v>50500</v>
      </c>
      <c r="F540" s="29">
        <v>55100</v>
      </c>
      <c r="G540" s="29" t="str">
        <v>-</v>
      </c>
      <c r="H540" s="29">
        <v>53000</v>
      </c>
      <c r="I540" s="29">
        <v>54000</v>
      </c>
      <c r="J540" s="29">
        <v>54900</v>
      </c>
      <c r="K540" s="29" t="str">
        <v>-</v>
      </c>
      <c r="L540" s="29">
        <v>55000</v>
      </c>
      <c r="M540" s="29">
        <v>54800</v>
      </c>
      <c r="N540" s="29">
        <v>52200</v>
      </c>
      <c r="O540" s="29">
        <v>51500</v>
      </c>
      <c r="P540" s="29">
        <v>51000</v>
      </c>
      <c r="Q540" s="29">
        <v>51300</v>
      </c>
      <c r="R540" s="29">
        <v>51000</v>
      </c>
      <c r="S540">
        <v>53000</v>
      </c>
      <c r="T540">
        <v>54000</v>
      </c>
      <c r="U540">
        <v>52300</v>
      </c>
      <c r="V540">
        <v>54200</v>
      </c>
      <c r="W540">
        <v>56000</v>
      </c>
    </row>
    <row r="541" spans="1:23">
      <c r="A541" s="30">
        <v>44825</v>
      </c>
      <c r="B541" s="29">
        <v>54100</v>
      </c>
      <c r="C541" s="29">
        <v>55000</v>
      </c>
      <c r="D541" s="29">
        <v>54200</v>
      </c>
      <c r="E541" s="29">
        <v>50500</v>
      </c>
      <c r="F541" s="29">
        <v>55100</v>
      </c>
      <c r="G541" s="29" t="str">
        <v>-</v>
      </c>
      <c r="H541" s="29">
        <v>52500</v>
      </c>
      <c r="I541" s="29">
        <v>53800</v>
      </c>
      <c r="J541" s="29">
        <v>54800</v>
      </c>
      <c r="K541" s="29" t="str">
        <v>-</v>
      </c>
      <c r="L541" s="29">
        <v>55000</v>
      </c>
      <c r="M541" s="29">
        <v>54500</v>
      </c>
      <c r="N541" s="29">
        <v>52000</v>
      </c>
      <c r="O541" s="29">
        <v>51500</v>
      </c>
      <c r="P541" s="29">
        <v>51000</v>
      </c>
      <c r="Q541" s="29">
        <v>51300</v>
      </c>
      <c r="R541" s="29">
        <v>51000</v>
      </c>
      <c r="S541">
        <v>53000</v>
      </c>
      <c r="T541">
        <v>53900</v>
      </c>
      <c r="U541">
        <v>52300</v>
      </c>
      <c r="V541">
        <v>54200</v>
      </c>
      <c r="W541">
        <v>56000</v>
      </c>
    </row>
    <row r="542" spans="1:23">
      <c r="A542" s="30">
        <v>44826</v>
      </c>
      <c r="B542" s="29">
        <v>53800</v>
      </c>
      <c r="C542" s="29">
        <v>55000</v>
      </c>
      <c r="D542" s="29">
        <v>54000</v>
      </c>
      <c r="E542" s="29">
        <v>50000</v>
      </c>
      <c r="F542" s="29">
        <v>54900</v>
      </c>
      <c r="G542" s="29" t="str">
        <v>-</v>
      </c>
      <c r="H542" s="29">
        <v>52500</v>
      </c>
      <c r="I542" s="29">
        <v>53300</v>
      </c>
      <c r="J542" s="29">
        <v>54800</v>
      </c>
      <c r="K542" s="29" t="str">
        <v>-</v>
      </c>
      <c r="L542" s="29">
        <v>54500</v>
      </c>
      <c r="M542" s="29">
        <v>54000</v>
      </c>
      <c r="N542" s="29">
        <v>51400</v>
      </c>
      <c r="O542" s="29">
        <v>51300</v>
      </c>
      <c r="P542" s="29">
        <v>51100</v>
      </c>
      <c r="Q542" s="29">
        <v>51300</v>
      </c>
      <c r="R542" s="29">
        <v>50800</v>
      </c>
      <c r="S542">
        <v>52500</v>
      </c>
      <c r="T542">
        <v>53700</v>
      </c>
      <c r="U542">
        <v>52300</v>
      </c>
      <c r="V542">
        <v>54200</v>
      </c>
      <c r="W542">
        <v>56000</v>
      </c>
    </row>
    <row r="543" spans="1:23">
      <c r="A543" s="30">
        <v>44827</v>
      </c>
      <c r="B543" s="29">
        <v>53800</v>
      </c>
      <c r="C543" s="29">
        <v>55000</v>
      </c>
      <c r="D543" s="29">
        <v>53700</v>
      </c>
      <c r="E543" s="29">
        <v>50000</v>
      </c>
      <c r="F543" s="29">
        <v>55000</v>
      </c>
      <c r="G543" s="29" t="str">
        <v>-</v>
      </c>
      <c r="H543" s="29">
        <v>52000</v>
      </c>
      <c r="I543" s="29">
        <v>53200</v>
      </c>
      <c r="J543" s="29">
        <v>54500</v>
      </c>
      <c r="K543" s="29" t="str">
        <v>-</v>
      </c>
      <c r="L543" s="29">
        <v>54300</v>
      </c>
      <c r="M543" s="29">
        <v>53800</v>
      </c>
      <c r="N543" s="29">
        <v>51600</v>
      </c>
      <c r="O543" s="29">
        <v>51200</v>
      </c>
      <c r="P543" s="29">
        <v>51300</v>
      </c>
      <c r="Q543" s="29">
        <v>51400</v>
      </c>
      <c r="R543" s="29">
        <v>50700</v>
      </c>
      <c r="S543">
        <v>52500</v>
      </c>
      <c r="T543">
        <v>53700</v>
      </c>
      <c r="U543">
        <v>52300</v>
      </c>
      <c r="V543">
        <v>54100</v>
      </c>
      <c r="W543">
        <v>55900</v>
      </c>
    </row>
    <row r="544" spans="1:23">
      <c r="A544" s="30">
        <v>44828</v>
      </c>
      <c r="B544" s="29">
        <v>54300</v>
      </c>
      <c r="C544" s="29">
        <v>55000</v>
      </c>
      <c r="D544" s="29">
        <v>54000</v>
      </c>
      <c r="E544" s="29">
        <v>50500</v>
      </c>
      <c r="F544" s="29">
        <v>55000</v>
      </c>
      <c r="G544" s="29" t="str">
        <v>-</v>
      </c>
      <c r="H544" s="29">
        <v>52500</v>
      </c>
      <c r="I544" s="29">
        <v>53800</v>
      </c>
      <c r="J544" s="29">
        <v>54500</v>
      </c>
      <c r="K544" s="29" t="str">
        <v>-</v>
      </c>
      <c r="L544" s="29">
        <v>54800</v>
      </c>
      <c r="M544" s="29">
        <v>54000</v>
      </c>
      <c r="N544" s="29">
        <v>51900</v>
      </c>
      <c r="O544" s="29">
        <v>51500</v>
      </c>
      <c r="P544" s="29">
        <v>51600</v>
      </c>
      <c r="Q544" s="29">
        <v>51800</v>
      </c>
      <c r="R544" s="29">
        <v>51500</v>
      </c>
      <c r="S544">
        <v>53000</v>
      </c>
      <c r="T544">
        <v>54100</v>
      </c>
      <c r="U544">
        <v>52300</v>
      </c>
      <c r="V544">
        <v>54100</v>
      </c>
      <c r="W544">
        <v>55900</v>
      </c>
    </row>
    <row r="545" spans="1:23">
      <c r="A545" s="30">
        <v>44829</v>
      </c>
      <c r="B545" s="29" t="str">
        <v>H</v>
      </c>
      <c r="C545" s="29" t="str">
        <v>H</v>
      </c>
      <c r="D545" s="29" t="str">
        <v>H</v>
      </c>
      <c r="E545" s="29" t="str">
        <v>H</v>
      </c>
      <c r="F545" s="29" t="str">
        <v>H</v>
      </c>
      <c r="G545" s="29" t="str">
        <v>H</v>
      </c>
      <c r="H545" s="29" t="str">
        <v>H</v>
      </c>
      <c r="I545" s="29" t="str">
        <v>H</v>
      </c>
      <c r="J545" s="29" t="str">
        <v>H</v>
      </c>
      <c r="K545" s="29" t="str">
        <v>H</v>
      </c>
      <c r="L545" s="29" t="str">
        <v>H</v>
      </c>
      <c r="M545" s="29" t="str">
        <v>H</v>
      </c>
      <c r="N545" s="29" t="str">
        <v>H</v>
      </c>
      <c r="O545" s="29" t="str">
        <v>H</v>
      </c>
      <c r="P545" s="29" t="str">
        <v>H</v>
      </c>
      <c r="Q545" s="29" t="str">
        <v>H</v>
      </c>
      <c r="R545" s="29" t="str">
        <v>H</v>
      </c>
      <c r="S545" t="str">
        <v>H</v>
      </c>
      <c r="T545" t="str">
        <v>H</v>
      </c>
      <c r="U545" t="str">
        <v>H</v>
      </c>
      <c r="V545" t="str">
        <v>H</v>
      </c>
      <c r="W545" t="str">
        <v>H</v>
      </c>
    </row>
    <row r="546" spans="1:23">
      <c r="A546" s="30">
        <v>44830</v>
      </c>
      <c r="B546" s="29">
        <v>54500</v>
      </c>
      <c r="C546" s="29">
        <v>55000</v>
      </c>
      <c r="D546" s="29">
        <v>54000</v>
      </c>
      <c r="E546" s="29">
        <v>50500</v>
      </c>
      <c r="F546" s="29">
        <v>55000</v>
      </c>
      <c r="G546" s="29" t="str">
        <v>-</v>
      </c>
      <c r="H546" s="29">
        <v>52500</v>
      </c>
      <c r="I546" s="29">
        <v>53800</v>
      </c>
      <c r="J546" s="29">
        <v>54800</v>
      </c>
      <c r="K546" s="29" t="str">
        <v>-</v>
      </c>
      <c r="L546" s="29">
        <v>55000</v>
      </c>
      <c r="M546" s="29">
        <v>54200</v>
      </c>
      <c r="N546" s="29">
        <v>52000</v>
      </c>
      <c r="O546" s="29">
        <v>51500</v>
      </c>
      <c r="P546" s="29">
        <v>51700</v>
      </c>
      <c r="Q546" s="29">
        <v>51800</v>
      </c>
      <c r="R546" s="29">
        <v>51500</v>
      </c>
      <c r="S546">
        <v>53000</v>
      </c>
      <c r="T546">
        <v>54100</v>
      </c>
      <c r="U546">
        <v>52300</v>
      </c>
      <c r="V546">
        <v>54300</v>
      </c>
      <c r="W546">
        <v>56100</v>
      </c>
    </row>
    <row r="547" spans="1:23">
      <c r="A547" s="30">
        <v>44831</v>
      </c>
      <c r="B547" s="29">
        <v>55300</v>
      </c>
      <c r="C547" s="29">
        <v>54800</v>
      </c>
      <c r="D547" s="29">
        <v>54700</v>
      </c>
      <c r="E547" s="29">
        <v>51000</v>
      </c>
      <c r="F547" s="29">
        <v>55000</v>
      </c>
      <c r="G547" s="29" t="str">
        <v>-</v>
      </c>
      <c r="H547" s="29">
        <v>52500</v>
      </c>
      <c r="I547" s="29">
        <v>54100</v>
      </c>
      <c r="J547" s="29">
        <v>54900</v>
      </c>
      <c r="K547" s="29" t="str">
        <v>-</v>
      </c>
      <c r="L547" s="29">
        <v>55400</v>
      </c>
      <c r="M547" s="29">
        <v>54900</v>
      </c>
      <c r="N547" s="29">
        <v>52400</v>
      </c>
      <c r="O547" s="29">
        <v>51700</v>
      </c>
      <c r="P547" s="29">
        <v>51700</v>
      </c>
      <c r="Q547" s="29">
        <v>52000</v>
      </c>
      <c r="R547" s="29">
        <v>51700</v>
      </c>
      <c r="S547">
        <v>53500</v>
      </c>
      <c r="T547">
        <v>54200</v>
      </c>
      <c r="U547">
        <v>52800</v>
      </c>
      <c r="V547">
        <v>54300</v>
      </c>
      <c r="W547">
        <v>56100</v>
      </c>
    </row>
    <row r="548" spans="1:23">
      <c r="A548" s="30">
        <v>44832</v>
      </c>
      <c r="B548" s="29">
        <v>55300</v>
      </c>
      <c r="C548" s="29">
        <v>54500</v>
      </c>
      <c r="D548" s="29">
        <v>55000</v>
      </c>
      <c r="E548" s="29">
        <v>51100</v>
      </c>
      <c r="F548" s="29">
        <v>55300</v>
      </c>
      <c r="G548" s="29" t="str">
        <v>-</v>
      </c>
      <c r="H548" s="29">
        <v>52500</v>
      </c>
      <c r="I548" s="29">
        <v>54100</v>
      </c>
      <c r="J548" s="29">
        <v>55200</v>
      </c>
      <c r="K548" s="29" t="str">
        <v>-</v>
      </c>
      <c r="L548" s="29">
        <v>55400</v>
      </c>
      <c r="M548" s="29">
        <v>55300</v>
      </c>
      <c r="N548" s="29">
        <v>52600</v>
      </c>
      <c r="O548" s="29">
        <v>51800</v>
      </c>
      <c r="P548" s="29">
        <v>51900</v>
      </c>
      <c r="Q548" s="29">
        <v>52000</v>
      </c>
      <c r="R548" s="29">
        <v>52000</v>
      </c>
      <c r="S548">
        <v>53500</v>
      </c>
      <c r="T548">
        <v>54500</v>
      </c>
      <c r="U548">
        <v>52800</v>
      </c>
      <c r="V548">
        <v>54500</v>
      </c>
      <c r="W548">
        <v>56200</v>
      </c>
    </row>
    <row r="549" spans="1:23">
      <c r="A549" s="30">
        <v>44833</v>
      </c>
      <c r="B549" s="29">
        <v>55300</v>
      </c>
      <c r="C549" s="29">
        <v>54500</v>
      </c>
      <c r="D549" s="29">
        <v>55000</v>
      </c>
      <c r="E549" s="29">
        <v>50900</v>
      </c>
      <c r="F549" s="29">
        <v>55700</v>
      </c>
      <c r="G549" s="29" t="str">
        <v>-</v>
      </c>
      <c r="H549" s="29">
        <v>52500</v>
      </c>
      <c r="I549" s="29">
        <v>54100</v>
      </c>
      <c r="J549" s="29">
        <v>55700</v>
      </c>
      <c r="K549" s="29" t="str">
        <v>-</v>
      </c>
      <c r="L549" s="29">
        <v>55200</v>
      </c>
      <c r="M549" s="29">
        <v>55300</v>
      </c>
      <c r="N549" s="29">
        <v>52500</v>
      </c>
      <c r="O549" s="29">
        <v>51600</v>
      </c>
      <c r="P549" s="29">
        <v>51700</v>
      </c>
      <c r="Q549" s="29">
        <v>51900</v>
      </c>
      <c r="R549" s="29">
        <v>51700</v>
      </c>
      <c r="S549">
        <v>53400</v>
      </c>
      <c r="T549">
        <v>54500</v>
      </c>
      <c r="U549">
        <v>52800</v>
      </c>
      <c r="V549">
        <v>54500</v>
      </c>
      <c r="W549">
        <v>56400</v>
      </c>
    </row>
    <row r="550" spans="1:23">
      <c r="A550" s="30">
        <v>44834</v>
      </c>
      <c r="B550" s="29">
        <v>55500</v>
      </c>
      <c r="C550" s="29">
        <v>54500</v>
      </c>
      <c r="D550" s="29">
        <v>55200</v>
      </c>
      <c r="E550" s="29">
        <v>51400</v>
      </c>
      <c r="F550" s="29">
        <v>55700</v>
      </c>
      <c r="G550" s="29" t="str">
        <v>-</v>
      </c>
      <c r="H550" s="29">
        <v>52500</v>
      </c>
      <c r="I550" s="29">
        <v>54300</v>
      </c>
      <c r="J550" s="29">
        <v>55700</v>
      </c>
      <c r="K550" s="29" t="str">
        <v>-</v>
      </c>
      <c r="L550" s="29">
        <v>55600</v>
      </c>
      <c r="M550" s="29">
        <v>55500</v>
      </c>
      <c r="N550" s="29">
        <v>53000</v>
      </c>
      <c r="O550" s="29">
        <v>51800</v>
      </c>
      <c r="P550" s="29">
        <v>51900</v>
      </c>
      <c r="Q550" s="29">
        <v>52000</v>
      </c>
      <c r="R550" s="29">
        <v>52000</v>
      </c>
      <c r="S550">
        <v>53900</v>
      </c>
      <c r="T550">
        <v>54800</v>
      </c>
      <c r="U550">
        <v>52800</v>
      </c>
      <c r="V550">
        <v>54700</v>
      </c>
      <c r="W550">
        <v>56800</v>
      </c>
    </row>
    <row r="551" spans="1:23">
      <c r="A551" s="30">
        <v>44835</v>
      </c>
      <c r="B551" s="29">
        <v>55500</v>
      </c>
      <c r="C551" s="29">
        <v>54500</v>
      </c>
      <c r="D551" s="29">
        <v>55200</v>
      </c>
      <c r="E551" s="29">
        <v>51400</v>
      </c>
      <c r="F551" s="29">
        <v>55700</v>
      </c>
      <c r="G551" s="29" t="str">
        <v>-</v>
      </c>
      <c r="H551" s="29">
        <v>52500</v>
      </c>
      <c r="I551" s="29">
        <v>54400</v>
      </c>
      <c r="J551" s="29">
        <v>55500</v>
      </c>
      <c r="K551" s="29" t="str">
        <v>-</v>
      </c>
      <c r="L551" s="29">
        <v>55600</v>
      </c>
      <c r="M551" s="29">
        <v>55500</v>
      </c>
      <c r="N551" s="29">
        <v>53100</v>
      </c>
      <c r="O551" s="29">
        <v>51800</v>
      </c>
      <c r="P551" s="29">
        <v>52000</v>
      </c>
      <c r="Q551" s="29">
        <v>52100</v>
      </c>
      <c r="R551" s="29">
        <v>52000</v>
      </c>
      <c r="S551">
        <v>53900</v>
      </c>
      <c r="T551">
        <v>55000</v>
      </c>
      <c r="U551">
        <v>52800</v>
      </c>
      <c r="V551">
        <v>54700</v>
      </c>
      <c r="W551">
        <v>56700</v>
      </c>
    </row>
    <row r="552" spans="1:23">
      <c r="A552" s="30">
        <v>44836</v>
      </c>
      <c r="B552" s="29" t="str">
        <v>H</v>
      </c>
      <c r="C552" s="29" t="str">
        <v>H</v>
      </c>
      <c r="D552" s="29" t="str">
        <v>H</v>
      </c>
      <c r="E552" s="29" t="str">
        <v>H</v>
      </c>
      <c r="F552" s="29" t="str">
        <v>H</v>
      </c>
      <c r="G552" s="29" t="str">
        <v>H</v>
      </c>
      <c r="H552" s="29" t="str">
        <v>H</v>
      </c>
      <c r="I552" s="29" t="str">
        <v>H</v>
      </c>
      <c r="J552" s="29" t="str">
        <v>H</v>
      </c>
      <c r="K552" s="29" t="str">
        <v>H</v>
      </c>
      <c r="L552" s="29" t="str">
        <v>H</v>
      </c>
      <c r="M552" s="29" t="str">
        <v>H</v>
      </c>
      <c r="N552" s="29" t="str">
        <v>H</v>
      </c>
      <c r="O552" s="29" t="str">
        <v>H</v>
      </c>
      <c r="P552" s="29" t="str">
        <v>H</v>
      </c>
      <c r="Q552" s="29" t="str">
        <v>H</v>
      </c>
      <c r="R552" s="29" t="str">
        <v>H</v>
      </c>
      <c r="S552" t="str">
        <v>H</v>
      </c>
      <c r="T552" t="str">
        <v>H</v>
      </c>
      <c r="U552" t="str">
        <v>H</v>
      </c>
      <c r="V552" t="str">
        <v>H</v>
      </c>
      <c r="W552" t="str">
        <v>H</v>
      </c>
    </row>
    <row r="553" spans="1:23">
      <c r="A553" s="30">
        <v>44837</v>
      </c>
      <c r="B553" s="29">
        <v>55500</v>
      </c>
      <c r="C553" s="29">
        <v>54500</v>
      </c>
      <c r="D553" s="29">
        <v>55200</v>
      </c>
      <c r="E553" s="29" t="str">
        <v>-</v>
      </c>
      <c r="F553" s="29">
        <v>55800</v>
      </c>
      <c r="G553" s="29" t="str">
        <v>-</v>
      </c>
      <c r="H553" s="29">
        <v>53000</v>
      </c>
      <c r="I553" s="29">
        <v>54300</v>
      </c>
      <c r="J553" s="29">
        <v>55500</v>
      </c>
      <c r="K553" s="29" t="str">
        <v>-</v>
      </c>
      <c r="L553" s="29">
        <v>55400</v>
      </c>
      <c r="M553" s="29">
        <v>55500</v>
      </c>
      <c r="N553" s="29">
        <v>52700</v>
      </c>
      <c r="O553" s="29">
        <v>51500</v>
      </c>
      <c r="P553" s="29">
        <v>52000</v>
      </c>
      <c r="Q553" s="29">
        <v>51900</v>
      </c>
      <c r="R553" s="29">
        <v>52000</v>
      </c>
      <c r="S553" t="str">
        <v>-</v>
      </c>
      <c r="T553">
        <v>55000</v>
      </c>
      <c r="U553">
        <v>52800</v>
      </c>
      <c r="V553">
        <v>54900</v>
      </c>
      <c r="W553">
        <v>57000</v>
      </c>
    </row>
    <row r="554" spans="1:23">
      <c r="A554" s="30">
        <v>44838</v>
      </c>
      <c r="B554" s="29">
        <v>55600</v>
      </c>
      <c r="C554" s="29">
        <v>54500</v>
      </c>
      <c r="D554" s="29">
        <v>54900</v>
      </c>
      <c r="E554" s="29" t="str">
        <v>-</v>
      </c>
      <c r="F554" s="29">
        <v>55800</v>
      </c>
      <c r="G554" s="29" t="str">
        <v>-</v>
      </c>
      <c r="H554" s="29">
        <v>53000</v>
      </c>
      <c r="I554" s="29">
        <v>54100</v>
      </c>
      <c r="J554" s="29">
        <v>55500</v>
      </c>
      <c r="K554" s="29" t="str">
        <v>-</v>
      </c>
      <c r="L554" s="29">
        <v>55400</v>
      </c>
      <c r="M554" s="29">
        <v>55500</v>
      </c>
      <c r="N554" s="29">
        <v>52300</v>
      </c>
      <c r="O554" s="29">
        <v>51500</v>
      </c>
      <c r="P554" s="29">
        <v>52000</v>
      </c>
      <c r="Q554" s="29">
        <v>52000</v>
      </c>
      <c r="R554" s="29" t="str">
        <v>-</v>
      </c>
      <c r="S554" t="str">
        <v>-</v>
      </c>
      <c r="T554">
        <v>55000</v>
      </c>
      <c r="U554" t="str">
        <v>-</v>
      </c>
      <c r="V554">
        <v>54900</v>
      </c>
      <c r="W554">
        <v>57000</v>
      </c>
    </row>
    <row r="555" spans="1:23">
      <c r="A555" s="30">
        <v>44839</v>
      </c>
      <c r="B555" s="29" t="str">
        <v>H</v>
      </c>
      <c r="C555" s="29" t="str">
        <v>H</v>
      </c>
      <c r="D555" s="29" t="str">
        <v>H</v>
      </c>
      <c r="E555" s="29" t="str">
        <v>H</v>
      </c>
      <c r="F555" s="29" t="str">
        <v>H</v>
      </c>
      <c r="G555" s="29" t="str">
        <v>H</v>
      </c>
      <c r="H555" s="29" t="str">
        <v>H</v>
      </c>
      <c r="I555" s="29" t="str">
        <v>H</v>
      </c>
      <c r="J555" s="29" t="str">
        <v>H</v>
      </c>
      <c r="K555" s="29" t="str">
        <v>H</v>
      </c>
      <c r="L555" s="29" t="str">
        <v>H</v>
      </c>
      <c r="M555" s="29" t="str">
        <v>H</v>
      </c>
      <c r="N555" s="29" t="str">
        <v>H</v>
      </c>
      <c r="O555" s="29" t="str">
        <v>H</v>
      </c>
      <c r="P555" s="29" t="str">
        <v>H</v>
      </c>
      <c r="Q555" s="29" t="str">
        <v>H</v>
      </c>
      <c r="R555" s="29" t="str">
        <v>H</v>
      </c>
      <c r="S555" t="str">
        <v>H</v>
      </c>
      <c r="T555" t="str">
        <v>H</v>
      </c>
      <c r="U555" t="str">
        <v>H</v>
      </c>
      <c r="V555" t="str">
        <v>H</v>
      </c>
      <c r="W555" t="str">
        <v>H</v>
      </c>
    </row>
    <row r="556" spans="1:23">
      <c r="A556" s="30">
        <v>44840</v>
      </c>
      <c r="B556" s="29">
        <v>55800</v>
      </c>
      <c r="C556" s="29">
        <v>54500</v>
      </c>
      <c r="D556" s="29">
        <v>55200</v>
      </c>
      <c r="E556" s="29">
        <v>51800</v>
      </c>
      <c r="F556" s="29">
        <v>55800</v>
      </c>
      <c r="G556" s="29" t="str">
        <v>-</v>
      </c>
      <c r="H556" s="29">
        <v>53500</v>
      </c>
      <c r="I556" s="29">
        <v>54300</v>
      </c>
      <c r="J556" s="29">
        <v>55100</v>
      </c>
      <c r="K556" s="29" t="str">
        <v>-</v>
      </c>
      <c r="L556" s="29">
        <v>55500</v>
      </c>
      <c r="M556" s="29">
        <v>55600</v>
      </c>
      <c r="N556" s="29">
        <v>52800</v>
      </c>
      <c r="O556" s="29">
        <v>52500</v>
      </c>
      <c r="P556" s="29">
        <v>52100</v>
      </c>
      <c r="Q556" s="29">
        <v>52200</v>
      </c>
      <c r="R556" s="29">
        <v>52200</v>
      </c>
      <c r="S556">
        <v>54300</v>
      </c>
      <c r="T556">
        <v>55000</v>
      </c>
      <c r="U556">
        <v>53300</v>
      </c>
      <c r="V556">
        <v>54900</v>
      </c>
      <c r="W556">
        <v>57000</v>
      </c>
    </row>
    <row r="557" spans="1:23">
      <c r="A557" s="30">
        <v>44841</v>
      </c>
      <c r="B557" s="29">
        <v>55900</v>
      </c>
      <c r="C557" s="29">
        <v>54500</v>
      </c>
      <c r="D557" s="29">
        <v>55200</v>
      </c>
      <c r="E557" s="29">
        <v>51800</v>
      </c>
      <c r="F557" s="29">
        <v>55800</v>
      </c>
      <c r="G557" s="29" t="str">
        <v>-</v>
      </c>
      <c r="H557" s="29">
        <v>53500</v>
      </c>
      <c r="I557" s="29">
        <v>54300</v>
      </c>
      <c r="J557" s="29">
        <v>55200</v>
      </c>
      <c r="K557" s="29" t="str">
        <v>-</v>
      </c>
      <c r="L557" s="29">
        <v>55500</v>
      </c>
      <c r="M557" s="29">
        <v>55700</v>
      </c>
      <c r="N557" s="29">
        <v>52700</v>
      </c>
      <c r="O557" s="29">
        <v>52500</v>
      </c>
      <c r="P557" s="29">
        <v>52000</v>
      </c>
      <c r="Q557" s="29">
        <v>52200</v>
      </c>
      <c r="R557" s="29">
        <v>52000</v>
      </c>
      <c r="S557">
        <v>54300</v>
      </c>
      <c r="T557">
        <v>55000</v>
      </c>
      <c r="U557">
        <v>53300</v>
      </c>
      <c r="V557">
        <v>54900</v>
      </c>
      <c r="W557">
        <v>57000</v>
      </c>
    </row>
    <row r="558" spans="1:23">
      <c r="A558" s="30">
        <v>44842</v>
      </c>
      <c r="B558" s="29">
        <v>56200</v>
      </c>
      <c r="C558" s="29">
        <v>54500</v>
      </c>
      <c r="D558" s="29">
        <v>55500</v>
      </c>
      <c r="E558" s="29">
        <v>51800</v>
      </c>
      <c r="F558" s="29">
        <v>55800</v>
      </c>
      <c r="G558" s="29" t="str">
        <v>-</v>
      </c>
      <c r="H558" s="29">
        <v>53500</v>
      </c>
      <c r="I558" s="29">
        <v>54300</v>
      </c>
      <c r="J558" s="29">
        <v>55300</v>
      </c>
      <c r="K558" s="29" t="str">
        <v>-</v>
      </c>
      <c r="L558" s="29">
        <v>55600</v>
      </c>
      <c r="M558" s="29">
        <v>56000</v>
      </c>
      <c r="N558" s="29">
        <v>53100</v>
      </c>
      <c r="O558" s="29">
        <v>52700</v>
      </c>
      <c r="P558" s="29">
        <v>52000</v>
      </c>
      <c r="Q558" s="29">
        <v>52200</v>
      </c>
      <c r="R558" s="29">
        <v>52000</v>
      </c>
      <c r="S558">
        <v>54300</v>
      </c>
      <c r="T558">
        <v>55200</v>
      </c>
      <c r="U558">
        <v>53300</v>
      </c>
      <c r="V558">
        <v>55300</v>
      </c>
      <c r="W558">
        <v>57400</v>
      </c>
    </row>
    <row r="559" spans="1:23">
      <c r="A559" s="30">
        <v>44843</v>
      </c>
      <c r="B559" s="29" t="str">
        <v>H</v>
      </c>
      <c r="C559" s="29" t="str">
        <v>H</v>
      </c>
      <c r="D559" s="29" t="str">
        <v>H</v>
      </c>
      <c r="E559" s="29" t="str">
        <v>H</v>
      </c>
      <c r="F559" s="29" t="str">
        <v>H</v>
      </c>
      <c r="G559" s="29" t="str">
        <v>H</v>
      </c>
      <c r="H559" s="29" t="str">
        <v>H</v>
      </c>
      <c r="I559" s="29" t="str">
        <v>H</v>
      </c>
      <c r="J559" s="29" t="str">
        <v>H</v>
      </c>
      <c r="K559" s="29" t="str">
        <v>H</v>
      </c>
      <c r="L559" s="29" t="str">
        <v>H</v>
      </c>
      <c r="M559" s="29" t="str">
        <v>H</v>
      </c>
      <c r="N559" s="29" t="str">
        <v>H</v>
      </c>
      <c r="O559" s="29" t="str">
        <v>H</v>
      </c>
      <c r="P559" s="29" t="str">
        <v>H</v>
      </c>
      <c r="Q559" s="29" t="str">
        <v>H</v>
      </c>
      <c r="R559" s="29" t="str">
        <v>H</v>
      </c>
      <c r="S559" t="str">
        <v>H</v>
      </c>
      <c r="T559" t="str">
        <v>H</v>
      </c>
      <c r="U559" t="str">
        <v>H</v>
      </c>
      <c r="V559" t="str">
        <v>H</v>
      </c>
      <c r="W559" t="str">
        <v>H</v>
      </c>
    </row>
    <row r="560" spans="1:23">
      <c r="A560" s="30">
        <v>44844</v>
      </c>
      <c r="B560" s="29">
        <v>56200</v>
      </c>
      <c r="C560" s="29">
        <v>54800</v>
      </c>
      <c r="D560" s="29">
        <v>55400</v>
      </c>
      <c r="E560" s="29">
        <v>51800</v>
      </c>
      <c r="F560" s="29">
        <v>55800</v>
      </c>
      <c r="G560" s="29" t="str">
        <v>-</v>
      </c>
      <c r="H560" s="29">
        <v>53500</v>
      </c>
      <c r="I560" s="29">
        <v>54300</v>
      </c>
      <c r="J560" s="29">
        <v>55300</v>
      </c>
      <c r="K560" s="29" t="str">
        <v>-</v>
      </c>
      <c r="L560" s="29">
        <v>55700</v>
      </c>
      <c r="M560" s="29">
        <v>56000</v>
      </c>
      <c r="N560" s="29">
        <v>52800</v>
      </c>
      <c r="O560" s="29">
        <v>52600</v>
      </c>
      <c r="P560" s="29">
        <v>52000</v>
      </c>
      <c r="Q560" s="29">
        <v>52000</v>
      </c>
      <c r="R560" s="29">
        <v>52000</v>
      </c>
      <c r="S560">
        <v>54300</v>
      </c>
      <c r="T560">
        <v>55200</v>
      </c>
      <c r="U560">
        <v>53300</v>
      </c>
      <c r="V560">
        <v>55300</v>
      </c>
      <c r="W560">
        <v>57400</v>
      </c>
    </row>
    <row r="561" spans="1:23">
      <c r="A561" s="30">
        <v>44845</v>
      </c>
      <c r="B561" s="29">
        <v>56200</v>
      </c>
      <c r="C561" s="29">
        <v>54800</v>
      </c>
      <c r="D561" s="29">
        <v>54800</v>
      </c>
      <c r="E561" s="29">
        <v>51500</v>
      </c>
      <c r="F561" s="29">
        <v>55800</v>
      </c>
      <c r="G561" s="29" t="str">
        <v>-</v>
      </c>
      <c r="H561" s="29">
        <v>53200</v>
      </c>
      <c r="I561" s="29">
        <v>54200</v>
      </c>
      <c r="J561" s="29">
        <v>55300</v>
      </c>
      <c r="K561" s="29" t="str">
        <v>-</v>
      </c>
      <c r="L561" s="29">
        <v>55600</v>
      </c>
      <c r="M561" s="29">
        <v>56000</v>
      </c>
      <c r="N561" s="29">
        <v>52800</v>
      </c>
      <c r="O561" s="29">
        <v>52300</v>
      </c>
      <c r="P561" s="29">
        <v>51700</v>
      </c>
      <c r="Q561" s="29">
        <v>51900</v>
      </c>
      <c r="R561" s="29">
        <v>51800</v>
      </c>
      <c r="S561">
        <v>54000</v>
      </c>
      <c r="T561">
        <v>55000</v>
      </c>
      <c r="U561">
        <v>53300</v>
      </c>
      <c r="V561">
        <v>55200</v>
      </c>
      <c r="W561">
        <v>57400</v>
      </c>
    </row>
    <row r="562" spans="1:23">
      <c r="A562" s="30">
        <v>44846</v>
      </c>
      <c r="B562" s="29">
        <v>55900</v>
      </c>
      <c r="C562" s="29">
        <v>54700</v>
      </c>
      <c r="D562" s="29">
        <v>54600</v>
      </c>
      <c r="E562" s="29">
        <v>51200</v>
      </c>
      <c r="F562" s="29">
        <v>55700</v>
      </c>
      <c r="G562" s="29" t="str">
        <v>-</v>
      </c>
      <c r="H562" s="29">
        <v>53000</v>
      </c>
      <c r="I562" s="29">
        <v>54000</v>
      </c>
      <c r="J562" s="29">
        <v>55200</v>
      </c>
      <c r="K562" s="29" t="str">
        <v>-</v>
      </c>
      <c r="L562" s="29">
        <v>55300</v>
      </c>
      <c r="M562" s="29">
        <v>56000</v>
      </c>
      <c r="N562" s="29">
        <v>52600</v>
      </c>
      <c r="O562" s="29">
        <v>52100</v>
      </c>
      <c r="P562" s="29">
        <v>51700</v>
      </c>
      <c r="Q562" s="29">
        <v>51600</v>
      </c>
      <c r="R562" s="29">
        <v>51800</v>
      </c>
      <c r="S562">
        <v>53700</v>
      </c>
      <c r="T562">
        <v>54500</v>
      </c>
      <c r="U562">
        <v>53300</v>
      </c>
      <c r="V562">
        <v>55000</v>
      </c>
      <c r="W562">
        <v>57400</v>
      </c>
    </row>
    <row r="563" spans="1:23">
      <c r="A563" s="30">
        <v>44847</v>
      </c>
      <c r="B563" s="29">
        <v>55500</v>
      </c>
      <c r="C563" s="29">
        <v>54500</v>
      </c>
      <c r="D563" s="29">
        <v>54100</v>
      </c>
      <c r="E563" s="29">
        <v>50800</v>
      </c>
      <c r="F563" s="29">
        <v>55700</v>
      </c>
      <c r="G563" s="29" t="str">
        <v>-</v>
      </c>
      <c r="H563" s="29">
        <v>53000</v>
      </c>
      <c r="I563" s="29">
        <v>53600</v>
      </c>
      <c r="J563" s="29">
        <v>55000</v>
      </c>
      <c r="K563" s="29" t="str">
        <v>-</v>
      </c>
      <c r="L563" s="29">
        <v>55000</v>
      </c>
      <c r="M563" s="29">
        <v>56000</v>
      </c>
      <c r="N563" s="29">
        <v>52000</v>
      </c>
      <c r="O563" s="29">
        <v>51800</v>
      </c>
      <c r="P563" s="29">
        <v>51000</v>
      </c>
      <c r="Q563" s="29">
        <v>51200</v>
      </c>
      <c r="R563" s="29">
        <v>51200</v>
      </c>
      <c r="S563">
        <v>53300</v>
      </c>
      <c r="T563">
        <v>54300</v>
      </c>
      <c r="U563">
        <v>53300</v>
      </c>
      <c r="V563">
        <v>55000</v>
      </c>
      <c r="W563">
        <v>57300</v>
      </c>
    </row>
    <row r="564" spans="1:23">
      <c r="A564" s="30">
        <v>44848</v>
      </c>
      <c r="B564" s="29">
        <v>55400</v>
      </c>
      <c r="C564" s="29">
        <v>54500</v>
      </c>
      <c r="D564" s="29">
        <v>54500</v>
      </c>
      <c r="E564" s="29">
        <v>50800</v>
      </c>
      <c r="F564" s="29">
        <v>55500</v>
      </c>
      <c r="G564" s="29" t="str">
        <v>-</v>
      </c>
      <c r="H564" s="29">
        <v>52500</v>
      </c>
      <c r="I564" s="29">
        <v>53600</v>
      </c>
      <c r="J564" s="29">
        <v>55000</v>
      </c>
      <c r="K564" s="29" t="str">
        <v>-</v>
      </c>
      <c r="L564" s="29">
        <v>55000</v>
      </c>
      <c r="M564" s="29">
        <v>56000</v>
      </c>
      <c r="N564" s="29">
        <v>52000</v>
      </c>
      <c r="O564" s="29">
        <v>51700</v>
      </c>
      <c r="P564" s="29">
        <v>50800</v>
      </c>
      <c r="Q564" s="29">
        <v>51000</v>
      </c>
      <c r="R564" s="29">
        <v>51200</v>
      </c>
      <c r="S564">
        <v>53300</v>
      </c>
      <c r="T564">
        <v>54000</v>
      </c>
      <c r="U564">
        <v>53300</v>
      </c>
      <c r="V564">
        <v>55000</v>
      </c>
      <c r="W564">
        <v>57300</v>
      </c>
    </row>
    <row r="565" spans="1:23">
      <c r="A565" s="30">
        <v>44849</v>
      </c>
      <c r="B565" s="29">
        <v>55400</v>
      </c>
      <c r="C565" s="29">
        <v>54500</v>
      </c>
      <c r="D565" s="29">
        <v>54300</v>
      </c>
      <c r="E565" s="29">
        <v>50500</v>
      </c>
      <c r="F565" s="29">
        <v>55300</v>
      </c>
      <c r="G565" s="29" t="str">
        <v>-</v>
      </c>
      <c r="H565" s="29">
        <v>52500</v>
      </c>
      <c r="I565" s="29">
        <v>53300</v>
      </c>
      <c r="J565" s="29">
        <v>54500</v>
      </c>
      <c r="K565" s="29" t="str">
        <v>-</v>
      </c>
      <c r="L565" s="29">
        <v>54800</v>
      </c>
      <c r="M565" s="29">
        <v>56000</v>
      </c>
      <c r="N565" s="29">
        <v>51600</v>
      </c>
      <c r="O565" s="29">
        <v>51500</v>
      </c>
      <c r="P565" s="29">
        <v>50300</v>
      </c>
      <c r="Q565" s="29">
        <v>50900</v>
      </c>
      <c r="R565" s="29">
        <v>50400</v>
      </c>
      <c r="S565">
        <v>53000</v>
      </c>
      <c r="T565">
        <v>53800</v>
      </c>
      <c r="U565">
        <v>52800</v>
      </c>
      <c r="V565">
        <v>54800</v>
      </c>
      <c r="W565">
        <v>57200</v>
      </c>
    </row>
    <row r="566" spans="1:23">
      <c r="A566" s="30">
        <v>44850</v>
      </c>
      <c r="B566" s="29" t="str">
        <v>H</v>
      </c>
      <c r="C566" s="29" t="str">
        <v>H</v>
      </c>
      <c r="D566" s="29" t="str">
        <v>H</v>
      </c>
      <c r="E566" s="29" t="str">
        <v>H</v>
      </c>
      <c r="F566" s="29" t="str">
        <v>H</v>
      </c>
      <c r="G566" s="29" t="str">
        <v>H</v>
      </c>
      <c r="H566" s="29" t="str">
        <v>H</v>
      </c>
      <c r="I566" s="29" t="str">
        <v>H</v>
      </c>
      <c r="J566" s="29" t="str">
        <v>H</v>
      </c>
      <c r="K566" s="29" t="str">
        <v>H</v>
      </c>
      <c r="L566" s="29" t="str">
        <v>H</v>
      </c>
      <c r="M566" s="29" t="str">
        <v>H</v>
      </c>
      <c r="N566" s="29" t="str">
        <v>H</v>
      </c>
      <c r="O566" s="29" t="str">
        <v>H</v>
      </c>
      <c r="P566" s="29" t="str">
        <v>H</v>
      </c>
      <c r="Q566" s="29" t="str">
        <v>H</v>
      </c>
      <c r="R566" s="29" t="str">
        <v>H</v>
      </c>
      <c r="S566" t="str">
        <v>H</v>
      </c>
      <c r="T566" t="str">
        <v>H</v>
      </c>
      <c r="U566" t="str">
        <v>H</v>
      </c>
      <c r="V566" t="str">
        <v>H</v>
      </c>
      <c r="W566" t="str">
        <v>H</v>
      </c>
    </row>
    <row r="567" spans="1:23">
      <c r="A567" s="30">
        <v>44851</v>
      </c>
      <c r="B567" s="29">
        <v>55200</v>
      </c>
      <c r="C567" s="29">
        <v>54500</v>
      </c>
      <c r="D567" s="29">
        <v>53800</v>
      </c>
      <c r="E567" s="29">
        <v>50200</v>
      </c>
      <c r="F567" s="29">
        <v>54700</v>
      </c>
      <c r="G567" s="29" t="str">
        <v>-</v>
      </c>
      <c r="H567" s="29">
        <v>52000</v>
      </c>
      <c r="I567" s="29">
        <v>53200</v>
      </c>
      <c r="J567" s="29">
        <v>54500</v>
      </c>
      <c r="K567" s="29" t="str">
        <v>-</v>
      </c>
      <c r="L567" s="29">
        <v>54300</v>
      </c>
      <c r="M567" s="29">
        <v>55500</v>
      </c>
      <c r="N567" s="29">
        <v>51500</v>
      </c>
      <c r="O567" s="29">
        <v>51500</v>
      </c>
      <c r="P567" s="29">
        <v>50400</v>
      </c>
      <c r="Q567" s="29">
        <v>50500</v>
      </c>
      <c r="R567" s="29">
        <v>50400</v>
      </c>
      <c r="S567">
        <v>52700</v>
      </c>
      <c r="T567">
        <v>53500</v>
      </c>
      <c r="U567">
        <v>52800</v>
      </c>
      <c r="V567">
        <v>54500</v>
      </c>
      <c r="W567">
        <v>57000</v>
      </c>
    </row>
    <row r="568" spans="1:23">
      <c r="A568" s="30">
        <v>44852</v>
      </c>
      <c r="B568" s="29">
        <v>55000</v>
      </c>
      <c r="C568" s="29">
        <v>54500</v>
      </c>
      <c r="D568" s="29">
        <v>53300</v>
      </c>
      <c r="E568" s="29">
        <v>50000</v>
      </c>
      <c r="F568" s="29">
        <v>54700</v>
      </c>
      <c r="G568" s="29" t="str">
        <v>-</v>
      </c>
      <c r="H568" s="29">
        <v>52000</v>
      </c>
      <c r="I568" s="29">
        <v>53000</v>
      </c>
      <c r="J568" s="29">
        <v>54000</v>
      </c>
      <c r="K568" s="29" t="str">
        <v>-</v>
      </c>
      <c r="L568" s="29">
        <v>54000</v>
      </c>
      <c r="M568" s="29">
        <v>55100</v>
      </c>
      <c r="N568" s="29">
        <v>51200</v>
      </c>
      <c r="O568" s="29">
        <v>51300</v>
      </c>
      <c r="P568" s="29">
        <v>50000</v>
      </c>
      <c r="Q568" s="29">
        <v>50300</v>
      </c>
      <c r="R568" s="29">
        <v>50100</v>
      </c>
      <c r="S568">
        <v>52500</v>
      </c>
      <c r="T568">
        <v>53300</v>
      </c>
      <c r="U568">
        <v>52300</v>
      </c>
      <c r="V568">
        <v>54500</v>
      </c>
      <c r="W568">
        <v>57000</v>
      </c>
    </row>
    <row r="569" spans="1:23">
      <c r="A569" s="30">
        <v>44853</v>
      </c>
      <c r="B569" s="29">
        <v>54900</v>
      </c>
      <c r="C569" s="29">
        <v>54500</v>
      </c>
      <c r="D569" s="29">
        <v>53300</v>
      </c>
      <c r="E569" s="29">
        <v>50300</v>
      </c>
      <c r="F569" s="29">
        <v>54700</v>
      </c>
      <c r="G569" s="29" t="str">
        <v>-</v>
      </c>
      <c r="H569" s="29">
        <v>52000</v>
      </c>
      <c r="I569" s="29">
        <v>53100</v>
      </c>
      <c r="J569" s="29">
        <v>54000</v>
      </c>
      <c r="K569" s="29" t="str">
        <v>-</v>
      </c>
      <c r="L569" s="29">
        <v>54200</v>
      </c>
      <c r="M569" s="29">
        <v>55100</v>
      </c>
      <c r="N569" s="29">
        <v>51500</v>
      </c>
      <c r="O569" s="29">
        <v>51300</v>
      </c>
      <c r="P569" s="29">
        <v>50000</v>
      </c>
      <c r="Q569" s="29">
        <v>50000</v>
      </c>
      <c r="R569" s="29">
        <v>50300</v>
      </c>
      <c r="S569">
        <v>52800</v>
      </c>
      <c r="T569">
        <v>53000</v>
      </c>
      <c r="U569">
        <v>52300</v>
      </c>
      <c r="V569">
        <v>54500</v>
      </c>
      <c r="W569">
        <v>56700</v>
      </c>
    </row>
    <row r="570" spans="1:23">
      <c r="A570" s="30">
        <v>44854</v>
      </c>
      <c r="B570" s="29">
        <v>54900</v>
      </c>
      <c r="C570" s="29">
        <v>54000</v>
      </c>
      <c r="D570" s="29">
        <v>53500</v>
      </c>
      <c r="E570" s="29">
        <v>50200</v>
      </c>
      <c r="F570" s="29">
        <v>54700</v>
      </c>
      <c r="G570" s="29" t="str">
        <v>-</v>
      </c>
      <c r="H570" s="29">
        <v>52000</v>
      </c>
      <c r="I570" s="29">
        <v>52700</v>
      </c>
      <c r="J570" s="29">
        <v>54500</v>
      </c>
      <c r="K570" s="29" t="str">
        <v>-</v>
      </c>
      <c r="L570" s="29">
        <v>53900</v>
      </c>
      <c r="M570" s="29">
        <v>55100</v>
      </c>
      <c r="N570" s="29">
        <v>51200</v>
      </c>
      <c r="O570" s="29">
        <v>51300</v>
      </c>
      <c r="P570" s="29">
        <v>50000</v>
      </c>
      <c r="Q570" s="29">
        <v>50000</v>
      </c>
      <c r="R570" s="29">
        <v>50000</v>
      </c>
      <c r="S570">
        <v>52700</v>
      </c>
      <c r="T570">
        <v>53000</v>
      </c>
      <c r="U570">
        <v>52300</v>
      </c>
      <c r="V570">
        <v>54500</v>
      </c>
      <c r="W570">
        <v>56700</v>
      </c>
    </row>
    <row r="571" spans="1:23">
      <c r="A571" s="30">
        <v>44855</v>
      </c>
      <c r="B571" s="29">
        <v>54900</v>
      </c>
      <c r="C571" s="29">
        <v>54000</v>
      </c>
      <c r="D571" s="29">
        <v>53800</v>
      </c>
      <c r="E571" s="29">
        <v>50500</v>
      </c>
      <c r="F571" s="29">
        <v>54900</v>
      </c>
      <c r="G571" s="29" t="str">
        <v>-</v>
      </c>
      <c r="H571" s="29">
        <v>52000</v>
      </c>
      <c r="I571" s="29">
        <v>52900</v>
      </c>
      <c r="J571" s="29">
        <v>54500</v>
      </c>
      <c r="K571" s="29" t="str">
        <v>-</v>
      </c>
      <c r="L571" s="29">
        <v>54100</v>
      </c>
      <c r="M571" s="29">
        <v>55600</v>
      </c>
      <c r="N571" s="29">
        <v>51500</v>
      </c>
      <c r="O571" s="29">
        <v>51500</v>
      </c>
      <c r="P571" s="29">
        <v>50200</v>
      </c>
      <c r="Q571" s="29">
        <v>50400</v>
      </c>
      <c r="R571" s="29">
        <v>50300</v>
      </c>
      <c r="S571">
        <v>53000</v>
      </c>
      <c r="T571">
        <v>53400</v>
      </c>
      <c r="U571" t="str">
        <v>-</v>
      </c>
      <c r="V571">
        <v>54500</v>
      </c>
      <c r="W571">
        <v>56700</v>
      </c>
    </row>
    <row r="572" spans="1:23">
      <c r="A572" s="30">
        <v>44856</v>
      </c>
      <c r="B572" s="29">
        <v>54900</v>
      </c>
      <c r="C572" s="29">
        <v>54300</v>
      </c>
      <c r="D572" s="29">
        <v>54200</v>
      </c>
      <c r="E572" s="29">
        <v>50800</v>
      </c>
      <c r="F572" s="29">
        <v>54900</v>
      </c>
      <c r="G572" s="29" t="str">
        <v>-</v>
      </c>
      <c r="H572" s="29">
        <v>52000</v>
      </c>
      <c r="I572" s="29">
        <v>53100</v>
      </c>
      <c r="J572" s="29">
        <v>54500</v>
      </c>
      <c r="K572" s="29" t="str">
        <v>-</v>
      </c>
      <c r="L572" s="29">
        <v>54500</v>
      </c>
      <c r="M572" s="29">
        <v>55600</v>
      </c>
      <c r="N572" s="29">
        <v>51800</v>
      </c>
      <c r="O572" s="29">
        <v>51800</v>
      </c>
      <c r="P572" s="29">
        <v>50700</v>
      </c>
      <c r="Q572" s="29">
        <v>50900</v>
      </c>
      <c r="R572" s="29">
        <v>50500</v>
      </c>
      <c r="S572">
        <v>53300</v>
      </c>
      <c r="T572">
        <v>53700</v>
      </c>
      <c r="U572">
        <v>52800</v>
      </c>
      <c r="V572">
        <v>54500</v>
      </c>
      <c r="W572">
        <v>56700</v>
      </c>
    </row>
    <row r="573" spans="1:23">
      <c r="A573" s="30">
        <v>44857</v>
      </c>
      <c r="B573" s="29" t="str">
        <v>H</v>
      </c>
      <c r="C573" s="29" t="str">
        <v>H</v>
      </c>
      <c r="D573" s="29" t="str">
        <v>H</v>
      </c>
      <c r="E573" s="29" t="str">
        <v>H</v>
      </c>
      <c r="F573" s="29" t="str">
        <v>H</v>
      </c>
      <c r="G573" s="29" t="str">
        <v>H</v>
      </c>
      <c r="H573" s="29" t="str">
        <v>H</v>
      </c>
      <c r="I573" s="29" t="str">
        <v>H</v>
      </c>
      <c r="J573" s="29" t="str">
        <v>H</v>
      </c>
      <c r="K573" s="29" t="str">
        <v>H</v>
      </c>
      <c r="L573" s="29" t="str">
        <v>H</v>
      </c>
      <c r="M573" s="29" t="str">
        <v>H</v>
      </c>
      <c r="N573" s="29" t="str">
        <v>H</v>
      </c>
      <c r="O573" s="29" t="str">
        <v>H</v>
      </c>
      <c r="P573" s="29" t="str">
        <v>H</v>
      </c>
      <c r="Q573" s="29" t="str">
        <v>H</v>
      </c>
      <c r="R573" s="29" t="str">
        <v>H</v>
      </c>
      <c r="S573" t="str">
        <v>H</v>
      </c>
      <c r="T573" t="str">
        <v>H</v>
      </c>
      <c r="U573" t="str">
        <v>H</v>
      </c>
      <c r="V573" t="str">
        <v>H</v>
      </c>
      <c r="W573" t="str">
        <v>H</v>
      </c>
    </row>
    <row r="574" spans="1:23">
      <c r="A574" s="30">
        <v>44858</v>
      </c>
      <c r="B574" s="29" t="str">
        <v>H</v>
      </c>
      <c r="C574" s="29" t="str">
        <v>H</v>
      </c>
      <c r="D574" s="29" t="str">
        <v>H</v>
      </c>
      <c r="E574" s="29" t="str">
        <v>H</v>
      </c>
      <c r="F574" s="29" t="str">
        <v>H</v>
      </c>
      <c r="G574" s="29" t="str">
        <v>H</v>
      </c>
      <c r="H574" s="29" t="str">
        <v>H</v>
      </c>
      <c r="I574" s="29" t="str">
        <v>H</v>
      </c>
      <c r="J574" s="29" t="str">
        <v>H</v>
      </c>
      <c r="K574" s="29" t="str">
        <v>H</v>
      </c>
      <c r="L574" s="29" t="str">
        <v>H</v>
      </c>
      <c r="M574" s="29" t="str">
        <v>H</v>
      </c>
      <c r="N574" s="29" t="str">
        <v>H</v>
      </c>
      <c r="O574" s="29" t="str">
        <v>H</v>
      </c>
      <c r="P574" s="29" t="str">
        <v>H</v>
      </c>
      <c r="Q574" s="29" t="str">
        <v>H</v>
      </c>
      <c r="R574" s="29" t="str">
        <v>H</v>
      </c>
      <c r="S574" t="str">
        <v>H</v>
      </c>
      <c r="T574" t="str">
        <v>H</v>
      </c>
      <c r="U574" t="str">
        <v>H</v>
      </c>
      <c r="V574" t="str">
        <v>H</v>
      </c>
      <c r="W574" t="str">
        <v>H</v>
      </c>
    </row>
    <row r="575" spans="1:23">
      <c r="A575" s="30">
        <v>44859</v>
      </c>
      <c r="B575" s="29" t="str">
        <v>H</v>
      </c>
      <c r="C575" s="29" t="str">
        <v>H</v>
      </c>
      <c r="D575" s="29" t="str">
        <v>H</v>
      </c>
      <c r="E575" s="29" t="str">
        <v>H</v>
      </c>
      <c r="F575" s="29" t="str">
        <v>H</v>
      </c>
      <c r="G575" s="29" t="str">
        <v>H</v>
      </c>
      <c r="H575" s="29" t="str">
        <v>H</v>
      </c>
      <c r="I575" s="29" t="str">
        <v>H</v>
      </c>
      <c r="J575" s="29" t="str">
        <v>H</v>
      </c>
      <c r="K575" s="29" t="str">
        <v>H</v>
      </c>
      <c r="L575" s="29" t="str">
        <v>H</v>
      </c>
      <c r="M575" s="29" t="str">
        <v>H</v>
      </c>
      <c r="N575" s="29" t="str">
        <v>H</v>
      </c>
      <c r="O575" s="29" t="str">
        <v>H</v>
      </c>
      <c r="P575" s="29" t="str">
        <v>H</v>
      </c>
      <c r="Q575" s="29" t="str">
        <v>H</v>
      </c>
      <c r="R575" s="29" t="str">
        <v>H</v>
      </c>
      <c r="S575" t="str">
        <v>H</v>
      </c>
      <c r="T575" t="str">
        <v>H</v>
      </c>
      <c r="U575" t="str">
        <v>H</v>
      </c>
      <c r="V575" t="str">
        <v>H</v>
      </c>
      <c r="W575" t="str">
        <v>H</v>
      </c>
    </row>
    <row r="576" spans="1:23">
      <c r="A576" s="30">
        <v>44860</v>
      </c>
      <c r="B576" s="29" t="str">
        <v>-</v>
      </c>
      <c r="C576" s="29">
        <v>54300</v>
      </c>
      <c r="D576" s="29">
        <v>53600</v>
      </c>
      <c r="E576" s="29">
        <v>50500</v>
      </c>
      <c r="F576" s="29">
        <v>55200</v>
      </c>
      <c r="G576" s="29" t="str">
        <v>-</v>
      </c>
      <c r="H576" s="29">
        <v>52500</v>
      </c>
      <c r="I576" s="29">
        <v>53100</v>
      </c>
      <c r="J576" s="29">
        <v>54500</v>
      </c>
      <c r="K576" s="29" t="str">
        <v>-</v>
      </c>
      <c r="L576" s="29">
        <v>54200</v>
      </c>
      <c r="M576" s="29" t="str">
        <v>-</v>
      </c>
      <c r="N576" s="29" t="str">
        <v>-</v>
      </c>
      <c r="O576" s="29" t="str">
        <v>-</v>
      </c>
      <c r="P576" s="29">
        <v>50700</v>
      </c>
      <c r="Q576" s="29">
        <v>50900</v>
      </c>
      <c r="R576" s="29">
        <v>51000</v>
      </c>
      <c r="S576">
        <v>53000</v>
      </c>
      <c r="T576">
        <v>53700</v>
      </c>
      <c r="U576">
        <v>52300</v>
      </c>
      <c r="V576">
        <v>54500</v>
      </c>
      <c r="W576">
        <v>56700</v>
      </c>
    </row>
    <row r="577" spans="1:23">
      <c r="A577" s="30">
        <v>44861</v>
      </c>
      <c r="B577" s="29">
        <v>54900</v>
      </c>
      <c r="C577" s="29">
        <v>54300</v>
      </c>
      <c r="D577" s="29">
        <v>53800</v>
      </c>
      <c r="E577" s="29">
        <v>50500</v>
      </c>
      <c r="F577" s="29">
        <v>55200</v>
      </c>
      <c r="G577" s="29" t="str">
        <v>-</v>
      </c>
      <c r="H577" s="29">
        <v>52000</v>
      </c>
      <c r="I577" s="29">
        <v>53100</v>
      </c>
      <c r="J577" s="29">
        <v>54500</v>
      </c>
      <c r="K577" s="29" t="str">
        <v>-</v>
      </c>
      <c r="L577" s="29">
        <v>54200</v>
      </c>
      <c r="M577" s="29">
        <v>55600</v>
      </c>
      <c r="N577" s="29">
        <v>51700</v>
      </c>
      <c r="O577" s="29" t="str">
        <v>-</v>
      </c>
      <c r="P577" s="29">
        <v>50500</v>
      </c>
      <c r="Q577" s="29">
        <v>50800</v>
      </c>
      <c r="R577" s="29">
        <v>50500</v>
      </c>
      <c r="S577">
        <v>53000</v>
      </c>
      <c r="T577">
        <v>53700</v>
      </c>
      <c r="U577">
        <v>52300</v>
      </c>
      <c r="V577">
        <v>54500</v>
      </c>
      <c r="W577">
        <v>56700</v>
      </c>
    </row>
    <row r="578" spans="1:23">
      <c r="A578" s="30">
        <v>44862</v>
      </c>
      <c r="B578" s="29">
        <v>54900</v>
      </c>
      <c r="C578" s="29">
        <v>54200</v>
      </c>
      <c r="D578" s="29">
        <v>53500</v>
      </c>
      <c r="E578" s="29">
        <v>50200</v>
      </c>
      <c r="F578" s="29">
        <v>55100</v>
      </c>
      <c r="G578" s="29" t="str">
        <v>-</v>
      </c>
      <c r="H578" s="29">
        <v>52000</v>
      </c>
      <c r="I578" s="29">
        <v>53100</v>
      </c>
      <c r="J578" s="29">
        <v>54500</v>
      </c>
      <c r="K578" s="29" t="str">
        <v>-</v>
      </c>
      <c r="L578" s="29">
        <v>53800</v>
      </c>
      <c r="M578" s="29">
        <v>55600</v>
      </c>
      <c r="N578" s="29">
        <v>51400</v>
      </c>
      <c r="O578" s="29" t="str">
        <v>-</v>
      </c>
      <c r="P578" s="29">
        <v>50400</v>
      </c>
      <c r="Q578" s="29">
        <v>50500</v>
      </c>
      <c r="R578" s="29">
        <v>50300</v>
      </c>
      <c r="S578">
        <v>52700</v>
      </c>
      <c r="T578">
        <v>53600</v>
      </c>
      <c r="U578">
        <v>52300</v>
      </c>
      <c r="V578">
        <v>54500</v>
      </c>
      <c r="W578">
        <v>56700</v>
      </c>
    </row>
    <row r="579" spans="1:23">
      <c r="A579" s="30">
        <v>44863</v>
      </c>
      <c r="B579" s="29">
        <v>54400</v>
      </c>
      <c r="C579" s="29">
        <v>54000</v>
      </c>
      <c r="D579" s="29">
        <v>53500</v>
      </c>
      <c r="E579" s="29">
        <v>49900</v>
      </c>
      <c r="F579" s="29">
        <v>55100</v>
      </c>
      <c r="G579" s="29" t="str">
        <v>-</v>
      </c>
      <c r="H579" s="29">
        <v>52000</v>
      </c>
      <c r="I579" s="29">
        <v>52500</v>
      </c>
      <c r="J579" s="29">
        <v>54500</v>
      </c>
      <c r="K579" s="29" t="str">
        <v>-</v>
      </c>
      <c r="L579" s="29">
        <v>53400</v>
      </c>
      <c r="M579" s="29">
        <v>55600</v>
      </c>
      <c r="N579" s="29">
        <v>51000</v>
      </c>
      <c r="O579" s="29" t="str">
        <v>-</v>
      </c>
      <c r="P579" s="29">
        <v>50500</v>
      </c>
      <c r="Q579" s="29">
        <v>50300</v>
      </c>
      <c r="R579" s="29">
        <v>50300</v>
      </c>
      <c r="S579">
        <v>52400</v>
      </c>
      <c r="T579">
        <v>53600</v>
      </c>
      <c r="U579">
        <v>52500</v>
      </c>
      <c r="V579">
        <v>54300</v>
      </c>
      <c r="W579">
        <v>56700</v>
      </c>
    </row>
    <row r="580" spans="1:23">
      <c r="A580" s="30">
        <v>44864</v>
      </c>
      <c r="B580" s="29" t="str">
        <v>H</v>
      </c>
      <c r="C580" s="29" t="str">
        <v>H</v>
      </c>
      <c r="D580" s="29" t="str">
        <v>H</v>
      </c>
      <c r="E580" s="29" t="str">
        <v>H</v>
      </c>
      <c r="F580" s="29" t="str">
        <v>H</v>
      </c>
      <c r="G580" s="29" t="str">
        <v>H</v>
      </c>
      <c r="H580" s="29" t="str">
        <v>H</v>
      </c>
      <c r="I580" s="29" t="str">
        <v>H</v>
      </c>
      <c r="J580" s="29" t="str">
        <v>H</v>
      </c>
      <c r="K580" s="29" t="str">
        <v>H</v>
      </c>
      <c r="L580" s="29" t="str">
        <v>H</v>
      </c>
      <c r="M580" s="29" t="str">
        <v>H</v>
      </c>
      <c r="N580" s="29" t="str">
        <v>H</v>
      </c>
      <c r="O580" s="29" t="str">
        <v>H</v>
      </c>
      <c r="P580" s="29" t="str">
        <v>H</v>
      </c>
      <c r="Q580" s="29" t="str">
        <v>H</v>
      </c>
      <c r="R580" s="29" t="str">
        <v>H</v>
      </c>
      <c r="S580" t="str">
        <v>H</v>
      </c>
      <c r="T580" t="str">
        <v>H</v>
      </c>
      <c r="U580" t="str">
        <v>H</v>
      </c>
      <c r="V580" t="str">
        <v>H</v>
      </c>
      <c r="W580" t="str">
        <v>H</v>
      </c>
    </row>
    <row r="581" spans="1:23">
      <c r="A581" s="30">
        <v>44865</v>
      </c>
      <c r="B581" s="29">
        <v>54200</v>
      </c>
      <c r="C581" s="29">
        <v>54000</v>
      </c>
      <c r="D581" s="29">
        <v>53100</v>
      </c>
      <c r="E581" s="29">
        <v>49900</v>
      </c>
      <c r="F581" s="29">
        <v>54400</v>
      </c>
      <c r="G581" s="29" t="str">
        <v>-</v>
      </c>
      <c r="H581" s="29">
        <v>51500</v>
      </c>
      <c r="I581" s="29">
        <v>52200</v>
      </c>
      <c r="J581" s="29">
        <v>54400</v>
      </c>
      <c r="K581" s="29" t="str">
        <v>-</v>
      </c>
      <c r="L581" s="29">
        <v>53000</v>
      </c>
      <c r="M581" s="29">
        <v>55100</v>
      </c>
      <c r="N581" s="29">
        <v>50800</v>
      </c>
      <c r="O581" s="29" t="str">
        <v>-</v>
      </c>
      <c r="P581" s="29">
        <v>49500</v>
      </c>
      <c r="Q581" s="29">
        <v>50000</v>
      </c>
      <c r="R581" s="29">
        <v>49800</v>
      </c>
      <c r="S581">
        <v>52400</v>
      </c>
      <c r="T581">
        <v>53600</v>
      </c>
      <c r="U581">
        <v>51300</v>
      </c>
      <c r="V581">
        <v>54000</v>
      </c>
      <c r="W581">
        <v>56200</v>
      </c>
    </row>
    <row r="582" spans="1:23">
      <c r="A582" s="30">
        <v>44866</v>
      </c>
      <c r="B582" s="29">
        <v>54200</v>
      </c>
      <c r="C582" s="29">
        <v>54000</v>
      </c>
      <c r="D582" s="29">
        <v>53200</v>
      </c>
      <c r="E582" s="29">
        <v>49900</v>
      </c>
      <c r="F582" s="29">
        <v>53800</v>
      </c>
      <c r="G582" s="29" t="str">
        <v>-</v>
      </c>
      <c r="H582" s="29">
        <v>51000</v>
      </c>
      <c r="I582" s="29">
        <v>52200</v>
      </c>
      <c r="J582" s="29">
        <v>53900</v>
      </c>
      <c r="K582" s="29" t="str">
        <v>-</v>
      </c>
      <c r="L582" s="29">
        <v>53200</v>
      </c>
      <c r="M582" s="29">
        <v>54600</v>
      </c>
      <c r="N582" s="29">
        <v>50900</v>
      </c>
      <c r="O582" s="29">
        <v>51500</v>
      </c>
      <c r="P582" s="29">
        <v>49400</v>
      </c>
      <c r="Q582" s="29">
        <v>49900</v>
      </c>
      <c r="R582" s="29">
        <v>49800</v>
      </c>
      <c r="S582">
        <v>52400</v>
      </c>
      <c r="T582">
        <v>53600</v>
      </c>
      <c r="U582">
        <v>51300</v>
      </c>
      <c r="V582">
        <v>54000</v>
      </c>
      <c r="W582">
        <v>56200</v>
      </c>
    </row>
    <row r="583" spans="1:23">
      <c r="A583" s="30">
        <v>44867</v>
      </c>
      <c r="B583" s="29">
        <v>54200</v>
      </c>
      <c r="C583" s="29">
        <v>53800</v>
      </c>
      <c r="D583" s="29">
        <v>53000</v>
      </c>
      <c r="E583" s="29">
        <v>49500</v>
      </c>
      <c r="F583" s="29">
        <v>53800</v>
      </c>
      <c r="G583" s="29" t="str">
        <v>-</v>
      </c>
      <c r="H583" s="29">
        <v>51000</v>
      </c>
      <c r="I583" s="29">
        <v>51900</v>
      </c>
      <c r="J583" s="29">
        <v>54000</v>
      </c>
      <c r="K583" s="29" t="str">
        <v>-</v>
      </c>
      <c r="L583" s="29">
        <v>52900</v>
      </c>
      <c r="M583" s="29">
        <v>54600</v>
      </c>
      <c r="N583" s="29">
        <v>50700</v>
      </c>
      <c r="O583" s="29">
        <v>51000</v>
      </c>
      <c r="P583" s="29">
        <v>49300</v>
      </c>
      <c r="Q583" s="29">
        <v>49600</v>
      </c>
      <c r="R583" s="29">
        <v>49700</v>
      </c>
      <c r="S583" t="str">
        <v>-</v>
      </c>
      <c r="T583">
        <v>53500</v>
      </c>
      <c r="U583">
        <v>51300</v>
      </c>
      <c r="V583">
        <v>53500</v>
      </c>
      <c r="W583">
        <v>55700</v>
      </c>
    </row>
    <row r="584" spans="1:23">
      <c r="A584" s="30">
        <v>44868</v>
      </c>
      <c r="B584" s="29">
        <v>53800</v>
      </c>
      <c r="C584" s="29">
        <v>53800</v>
      </c>
      <c r="D584" s="29">
        <v>53000</v>
      </c>
      <c r="E584" s="29">
        <v>49300</v>
      </c>
      <c r="F584" s="29">
        <v>53700</v>
      </c>
      <c r="G584" s="29" t="str">
        <v>-</v>
      </c>
      <c r="H584" s="29">
        <v>51000</v>
      </c>
      <c r="I584" s="29">
        <v>51900</v>
      </c>
      <c r="J584" s="29">
        <v>54000</v>
      </c>
      <c r="K584" s="29" t="str">
        <v>-</v>
      </c>
      <c r="L584" s="29">
        <v>52900</v>
      </c>
      <c r="M584" s="29">
        <v>54000</v>
      </c>
      <c r="N584" s="29">
        <v>50700</v>
      </c>
      <c r="O584" s="29">
        <v>51000</v>
      </c>
      <c r="P584" s="29">
        <v>48700</v>
      </c>
      <c r="Q584" s="29">
        <v>49400</v>
      </c>
      <c r="R584" s="29">
        <v>49600</v>
      </c>
      <c r="S584">
        <v>51800</v>
      </c>
      <c r="T584">
        <v>53200</v>
      </c>
      <c r="U584">
        <v>51300</v>
      </c>
      <c r="V584">
        <v>53300</v>
      </c>
      <c r="W584">
        <v>55600</v>
      </c>
    </row>
    <row r="585" spans="1:23">
      <c r="A585" s="30">
        <v>44869</v>
      </c>
      <c r="B585" s="29">
        <v>53700</v>
      </c>
      <c r="C585" s="29">
        <v>53500</v>
      </c>
      <c r="D585" s="29">
        <v>52500</v>
      </c>
      <c r="E585" s="29">
        <v>48900</v>
      </c>
      <c r="F585" s="29">
        <v>53700</v>
      </c>
      <c r="G585" s="29" t="str">
        <v>-</v>
      </c>
      <c r="H585" s="29">
        <v>51000</v>
      </c>
      <c r="I585" s="29">
        <v>51200</v>
      </c>
      <c r="J585" s="29">
        <v>53400</v>
      </c>
      <c r="K585" s="29" t="str">
        <v>-</v>
      </c>
      <c r="L585" s="29">
        <v>52200</v>
      </c>
      <c r="M585" s="29">
        <v>53500</v>
      </c>
      <c r="N585" s="29">
        <v>50200</v>
      </c>
      <c r="O585" s="29">
        <v>50600</v>
      </c>
      <c r="P585" s="29">
        <v>48700</v>
      </c>
      <c r="Q585" s="29">
        <v>49000</v>
      </c>
      <c r="R585" s="29">
        <v>49100</v>
      </c>
      <c r="S585">
        <v>51400</v>
      </c>
      <c r="T585">
        <v>52800</v>
      </c>
      <c r="U585">
        <v>50800</v>
      </c>
      <c r="V585">
        <v>53300</v>
      </c>
      <c r="W585">
        <v>55600</v>
      </c>
    </row>
    <row r="586" spans="1:23">
      <c r="A586" s="30">
        <v>44870</v>
      </c>
      <c r="B586" s="29">
        <v>53500</v>
      </c>
      <c r="C586" s="29">
        <v>53500</v>
      </c>
      <c r="D586" s="29">
        <v>52300</v>
      </c>
      <c r="E586" s="29">
        <v>48700</v>
      </c>
      <c r="F586" s="29">
        <v>53700</v>
      </c>
      <c r="G586" s="29" t="str">
        <v>-</v>
      </c>
      <c r="H586" s="29">
        <v>51000</v>
      </c>
      <c r="I586" s="29">
        <v>51100</v>
      </c>
      <c r="J586" s="29">
        <v>53400</v>
      </c>
      <c r="K586" s="29" t="str">
        <v>-</v>
      </c>
      <c r="L586" s="29">
        <v>52000</v>
      </c>
      <c r="M586" s="29">
        <v>53500</v>
      </c>
      <c r="N586" s="29">
        <v>50000</v>
      </c>
      <c r="O586" s="29">
        <v>50000</v>
      </c>
      <c r="P586" s="29">
        <v>48300</v>
      </c>
      <c r="Q586" s="29">
        <v>48900</v>
      </c>
      <c r="R586" s="29">
        <v>48800</v>
      </c>
      <c r="S586">
        <v>51200</v>
      </c>
      <c r="T586">
        <v>52800</v>
      </c>
      <c r="U586">
        <v>50800</v>
      </c>
      <c r="V586">
        <v>53200</v>
      </c>
      <c r="W586">
        <v>55500</v>
      </c>
    </row>
    <row r="587" spans="1:23">
      <c r="A587" s="30">
        <v>44871</v>
      </c>
      <c r="B587" s="29" t="str">
        <v>H</v>
      </c>
      <c r="C587" s="29" t="str">
        <v>H</v>
      </c>
      <c r="D587" s="29" t="str">
        <v>H</v>
      </c>
      <c r="E587" s="29" t="str">
        <v>H</v>
      </c>
      <c r="F587" s="29" t="str">
        <v>H</v>
      </c>
      <c r="G587" s="29" t="str">
        <v>H</v>
      </c>
      <c r="H587" s="29" t="str">
        <v>H</v>
      </c>
      <c r="I587" s="29" t="str">
        <v>H</v>
      </c>
      <c r="J587" s="29" t="str">
        <v>H</v>
      </c>
      <c r="K587" s="29" t="str">
        <v>H</v>
      </c>
      <c r="L587" s="29" t="str">
        <v>H</v>
      </c>
      <c r="M587" s="29" t="str">
        <v>H</v>
      </c>
      <c r="N587" s="29" t="str">
        <v>H</v>
      </c>
      <c r="O587" s="29" t="str">
        <v>H</v>
      </c>
      <c r="P587" s="29" t="str">
        <v>H</v>
      </c>
      <c r="Q587" s="29" t="str">
        <v>H</v>
      </c>
      <c r="R587" s="29" t="str">
        <v>H</v>
      </c>
      <c r="S587" t="str">
        <v>H</v>
      </c>
      <c r="T587" t="str">
        <v>H</v>
      </c>
      <c r="U587" t="str">
        <v>H</v>
      </c>
      <c r="V587" t="str">
        <v>H</v>
      </c>
      <c r="W587" t="str">
        <v>H</v>
      </c>
    </row>
    <row r="588" spans="1:23">
      <c r="A588" s="30">
        <v>44872</v>
      </c>
      <c r="B588" s="29">
        <v>53200</v>
      </c>
      <c r="C588" s="29">
        <v>53500</v>
      </c>
      <c r="D588" s="29">
        <v>52000</v>
      </c>
      <c r="E588" s="29">
        <v>48500</v>
      </c>
      <c r="F588" s="29">
        <v>53700</v>
      </c>
      <c r="G588" s="29" t="str">
        <v>-</v>
      </c>
      <c r="H588" s="29">
        <v>50500</v>
      </c>
      <c r="I588" s="29">
        <v>50700</v>
      </c>
      <c r="J588" s="29">
        <v>53400</v>
      </c>
      <c r="K588" s="29" t="str">
        <v>-</v>
      </c>
      <c r="L588" s="29">
        <v>52000</v>
      </c>
      <c r="M588" s="29">
        <v>53500</v>
      </c>
      <c r="N588" s="29">
        <v>49700</v>
      </c>
      <c r="O588" s="29">
        <v>49800</v>
      </c>
      <c r="P588" s="29">
        <v>48100</v>
      </c>
      <c r="Q588" s="29">
        <v>48700</v>
      </c>
      <c r="R588" s="29">
        <v>48300</v>
      </c>
      <c r="S588">
        <v>51000</v>
      </c>
      <c r="T588">
        <v>52500</v>
      </c>
      <c r="U588">
        <v>50800</v>
      </c>
      <c r="V588">
        <v>53000</v>
      </c>
      <c r="W588">
        <v>55300</v>
      </c>
    </row>
    <row r="589" spans="1:23">
      <c r="A589" s="30">
        <v>44873</v>
      </c>
      <c r="B589" s="29">
        <v>52900</v>
      </c>
      <c r="C589" s="29">
        <v>53000</v>
      </c>
      <c r="D589" s="29">
        <v>51800</v>
      </c>
      <c r="E589" s="29">
        <v>48300</v>
      </c>
      <c r="F589" s="29">
        <v>53500</v>
      </c>
      <c r="G589" s="29" t="str">
        <v>-</v>
      </c>
      <c r="H589" s="29">
        <v>50000</v>
      </c>
      <c r="I589" s="29">
        <v>50500</v>
      </c>
      <c r="J589" s="29">
        <v>53400</v>
      </c>
      <c r="K589" s="29" t="str">
        <v>-</v>
      </c>
      <c r="L589" s="29">
        <v>51600</v>
      </c>
      <c r="M589" s="29">
        <v>53500</v>
      </c>
      <c r="N589" s="29">
        <v>49800</v>
      </c>
      <c r="O589" s="29">
        <v>49600</v>
      </c>
      <c r="P589" s="29">
        <v>48000</v>
      </c>
      <c r="Q589" s="29">
        <v>48500</v>
      </c>
      <c r="R589" s="29">
        <v>48300</v>
      </c>
      <c r="S589">
        <v>50800</v>
      </c>
      <c r="T589">
        <v>52000</v>
      </c>
      <c r="U589">
        <v>50800</v>
      </c>
      <c r="V589">
        <v>53000</v>
      </c>
      <c r="W589">
        <v>55300</v>
      </c>
    </row>
    <row r="590" spans="1:23">
      <c r="A590" s="30">
        <v>44874</v>
      </c>
      <c r="B590" s="29">
        <v>53100</v>
      </c>
      <c r="C590" s="29">
        <v>52800</v>
      </c>
      <c r="D590" s="29">
        <v>51800</v>
      </c>
      <c r="E590" s="29">
        <v>48500</v>
      </c>
      <c r="F590" s="29">
        <v>53500</v>
      </c>
      <c r="G590" s="29" t="str">
        <v>-</v>
      </c>
      <c r="H590" s="29">
        <v>50000</v>
      </c>
      <c r="I590" s="29">
        <v>50700</v>
      </c>
      <c r="J590" s="29">
        <v>53400</v>
      </c>
      <c r="K590" s="29" t="str">
        <v>-</v>
      </c>
      <c r="L590" s="29">
        <v>51900</v>
      </c>
      <c r="M590" s="29">
        <v>53500</v>
      </c>
      <c r="N590" s="29">
        <v>50200</v>
      </c>
      <c r="O590" s="29">
        <v>49700</v>
      </c>
      <c r="P590" s="29">
        <v>48300</v>
      </c>
      <c r="Q590" s="29">
        <v>48500</v>
      </c>
      <c r="R590" s="29">
        <v>48300</v>
      </c>
      <c r="S590">
        <v>51000</v>
      </c>
      <c r="T590">
        <v>52000</v>
      </c>
      <c r="U590">
        <v>50800</v>
      </c>
      <c r="V590">
        <v>53000</v>
      </c>
      <c r="W590">
        <v>55300</v>
      </c>
    </row>
    <row r="591" spans="1:23">
      <c r="A591" s="30">
        <v>44875</v>
      </c>
      <c r="B591" s="29">
        <v>52700</v>
      </c>
      <c r="C591" s="29">
        <v>52800</v>
      </c>
      <c r="D591" s="29">
        <v>51500</v>
      </c>
      <c r="E591" s="29">
        <v>48300</v>
      </c>
      <c r="F591" s="29">
        <v>53500</v>
      </c>
      <c r="G591" s="29" t="str">
        <v>-</v>
      </c>
      <c r="H591" s="29">
        <v>50000</v>
      </c>
      <c r="I591" s="29">
        <v>50700</v>
      </c>
      <c r="J591" s="29">
        <v>52800</v>
      </c>
      <c r="K591" s="29" t="str">
        <v>-</v>
      </c>
      <c r="L591" s="29">
        <v>51600</v>
      </c>
      <c r="M591" s="29">
        <v>53500</v>
      </c>
      <c r="N591" s="29">
        <v>49800</v>
      </c>
      <c r="O591" s="29">
        <v>49700</v>
      </c>
      <c r="P591" s="29">
        <v>48300</v>
      </c>
      <c r="Q591" s="29">
        <v>48300</v>
      </c>
      <c r="R591" s="29">
        <v>48300</v>
      </c>
      <c r="S591">
        <v>50800</v>
      </c>
      <c r="T591">
        <v>52000</v>
      </c>
      <c r="U591">
        <v>50800</v>
      </c>
      <c r="V591">
        <v>53000</v>
      </c>
      <c r="W591">
        <v>55300</v>
      </c>
    </row>
    <row r="592" spans="1:23">
      <c r="A592" s="30">
        <v>44876</v>
      </c>
      <c r="B592" s="29">
        <v>52700</v>
      </c>
      <c r="C592" s="29">
        <v>52700</v>
      </c>
      <c r="D592" s="29">
        <v>51300</v>
      </c>
      <c r="E592" s="29">
        <v>48000</v>
      </c>
      <c r="F592" s="29">
        <v>53200</v>
      </c>
      <c r="G592" s="29" t="str">
        <v>-</v>
      </c>
      <c r="H592" s="29">
        <v>50000</v>
      </c>
      <c r="I592" s="29">
        <v>50400</v>
      </c>
      <c r="J592" s="29">
        <v>52700</v>
      </c>
      <c r="K592" s="29" t="str">
        <v>-</v>
      </c>
      <c r="L592" s="29">
        <v>51100</v>
      </c>
      <c r="M592" s="29">
        <v>53500</v>
      </c>
      <c r="N592" s="29">
        <v>49500</v>
      </c>
      <c r="O592" s="29">
        <v>49600</v>
      </c>
      <c r="P592" s="29">
        <v>47300</v>
      </c>
      <c r="Q592" s="29">
        <v>48100</v>
      </c>
      <c r="R592" s="29">
        <v>47800</v>
      </c>
      <c r="S592">
        <v>50500</v>
      </c>
      <c r="T592">
        <v>51700</v>
      </c>
      <c r="U592">
        <v>50800</v>
      </c>
      <c r="V592">
        <v>52600</v>
      </c>
      <c r="W592">
        <v>55100</v>
      </c>
    </row>
    <row r="593" spans="1:23">
      <c r="A593" s="30">
        <v>44877</v>
      </c>
      <c r="B593" s="29">
        <v>52200</v>
      </c>
      <c r="C593" s="29">
        <v>52700</v>
      </c>
      <c r="D593" s="29">
        <v>51300</v>
      </c>
      <c r="E593" s="29">
        <v>47800</v>
      </c>
      <c r="F593" s="29">
        <v>53100</v>
      </c>
      <c r="G593" s="29" t="str">
        <v>-</v>
      </c>
      <c r="H593" s="29">
        <v>49500</v>
      </c>
      <c r="I593" s="29">
        <v>50300</v>
      </c>
      <c r="J593" s="29">
        <v>52700</v>
      </c>
      <c r="K593" s="29" t="str">
        <v>-</v>
      </c>
      <c r="L593" s="29">
        <v>51100</v>
      </c>
      <c r="M593" s="29">
        <v>53000</v>
      </c>
      <c r="N593" s="29">
        <v>49500</v>
      </c>
      <c r="O593" s="29">
        <v>49200</v>
      </c>
      <c r="P593" s="29">
        <v>47000</v>
      </c>
      <c r="Q593" s="29">
        <v>48000</v>
      </c>
      <c r="R593" s="29">
        <v>47500</v>
      </c>
      <c r="S593">
        <v>50300</v>
      </c>
      <c r="T593">
        <v>51500</v>
      </c>
      <c r="U593">
        <v>50800</v>
      </c>
      <c r="V593">
        <v>52500</v>
      </c>
      <c r="W593">
        <v>54900</v>
      </c>
    </row>
    <row r="594" spans="1:23">
      <c r="A594" s="30">
        <v>44878</v>
      </c>
      <c r="B594" s="29" t="str">
        <v>H</v>
      </c>
      <c r="C594" s="29" t="str">
        <v>H</v>
      </c>
      <c r="D594" s="29" t="str">
        <v>H</v>
      </c>
      <c r="E594" s="29" t="str">
        <v>H</v>
      </c>
      <c r="F594" s="29" t="str">
        <v>H</v>
      </c>
      <c r="G594" s="29" t="str">
        <v>H</v>
      </c>
      <c r="H594" s="29" t="str">
        <v>H</v>
      </c>
      <c r="I594" s="29" t="str">
        <v>H</v>
      </c>
      <c r="J594" s="29" t="str">
        <v>H</v>
      </c>
      <c r="K594" s="29" t="str">
        <v>H</v>
      </c>
      <c r="L594" s="29" t="str">
        <v>H</v>
      </c>
      <c r="M594" s="29" t="str">
        <v>H</v>
      </c>
      <c r="N594" s="29" t="str">
        <v>H</v>
      </c>
      <c r="O594" s="29" t="str">
        <v>H</v>
      </c>
      <c r="P594" s="29" t="str">
        <v>H</v>
      </c>
      <c r="Q594" s="29" t="str">
        <v>H</v>
      </c>
      <c r="R594" s="29" t="str">
        <v>H</v>
      </c>
      <c r="S594" t="str">
        <v>H</v>
      </c>
      <c r="T594" t="str">
        <v>H</v>
      </c>
      <c r="U594" t="str">
        <v>H</v>
      </c>
      <c r="V594" t="str">
        <v>H</v>
      </c>
      <c r="W594" t="str">
        <v>H</v>
      </c>
    </row>
    <row r="595" spans="1:23">
      <c r="A595" s="30">
        <v>44879</v>
      </c>
      <c r="B595" s="29">
        <v>51800</v>
      </c>
      <c r="C595" s="29">
        <v>52500</v>
      </c>
      <c r="D595" s="29">
        <v>51000</v>
      </c>
      <c r="E595" s="29">
        <v>47000</v>
      </c>
      <c r="F595" s="29">
        <v>52300</v>
      </c>
      <c r="G595" s="29" t="str">
        <v>-</v>
      </c>
      <c r="H595" s="29">
        <v>49000</v>
      </c>
      <c r="I595" s="29">
        <v>49500</v>
      </c>
      <c r="J595" s="29">
        <v>51500</v>
      </c>
      <c r="K595" s="29" t="str">
        <v>-</v>
      </c>
      <c r="L595" s="29">
        <v>50600</v>
      </c>
      <c r="M595" s="29">
        <v>51500</v>
      </c>
      <c r="N595" s="29">
        <v>48800</v>
      </c>
      <c r="O595" s="29">
        <v>48600</v>
      </c>
      <c r="P595" s="29">
        <v>46500</v>
      </c>
      <c r="Q595" s="29">
        <v>47000</v>
      </c>
      <c r="R595" s="29">
        <v>47000</v>
      </c>
      <c r="S595">
        <v>49500</v>
      </c>
      <c r="T595">
        <v>50700</v>
      </c>
      <c r="U595">
        <v>50300</v>
      </c>
      <c r="V595">
        <v>51700</v>
      </c>
      <c r="W595">
        <v>54200</v>
      </c>
    </row>
    <row r="596" spans="1:23">
      <c r="A596" s="30">
        <v>44880</v>
      </c>
      <c r="B596" s="29">
        <v>51300</v>
      </c>
      <c r="C596" s="29">
        <v>52500</v>
      </c>
      <c r="D596" s="29">
        <v>51000</v>
      </c>
      <c r="E596" s="29">
        <v>47000</v>
      </c>
      <c r="F596" s="29">
        <v>52000</v>
      </c>
      <c r="G596" s="29" t="str">
        <v>-</v>
      </c>
      <c r="H596" s="29">
        <v>48500</v>
      </c>
      <c r="I596" s="29">
        <v>49500</v>
      </c>
      <c r="J596" s="29">
        <v>51500</v>
      </c>
      <c r="K596" s="29" t="str">
        <v>-</v>
      </c>
      <c r="L596" s="29">
        <v>50300</v>
      </c>
      <c r="M596" s="29">
        <v>51500</v>
      </c>
      <c r="N596" s="29">
        <v>48500</v>
      </c>
      <c r="O596" s="29">
        <v>48200</v>
      </c>
      <c r="P596" s="29">
        <v>46000</v>
      </c>
      <c r="Q596" s="29">
        <v>46400</v>
      </c>
      <c r="R596" s="29">
        <v>46500</v>
      </c>
      <c r="S596">
        <v>49500</v>
      </c>
      <c r="T596">
        <v>50000</v>
      </c>
      <c r="U596">
        <v>50300</v>
      </c>
      <c r="V596">
        <v>51500</v>
      </c>
      <c r="W596">
        <v>54100</v>
      </c>
    </row>
    <row r="597" spans="1:23">
      <c r="A597" s="30">
        <v>44881</v>
      </c>
      <c r="B597" s="29">
        <v>50500</v>
      </c>
      <c r="C597" s="29">
        <v>52300</v>
      </c>
      <c r="D597" s="29">
        <v>50800</v>
      </c>
      <c r="E597" s="29">
        <v>46500</v>
      </c>
      <c r="F597" s="29">
        <v>51800</v>
      </c>
      <c r="G597" s="29" t="str">
        <v>-</v>
      </c>
      <c r="H597" s="29">
        <v>48000</v>
      </c>
      <c r="I597" s="29">
        <v>49000</v>
      </c>
      <c r="J597" s="29">
        <v>51500</v>
      </c>
      <c r="K597" s="29" t="str">
        <v>-</v>
      </c>
      <c r="L597" s="29">
        <v>49900</v>
      </c>
      <c r="M597" s="29">
        <v>51500</v>
      </c>
      <c r="N597" s="29">
        <v>48000</v>
      </c>
      <c r="O597" s="29">
        <v>48000</v>
      </c>
      <c r="P597" s="29">
        <v>45700</v>
      </c>
      <c r="Q597" s="29">
        <v>46000</v>
      </c>
      <c r="R597" s="29">
        <v>46000</v>
      </c>
      <c r="S597">
        <v>49000</v>
      </c>
      <c r="T597">
        <v>49500</v>
      </c>
      <c r="U597">
        <v>49800</v>
      </c>
      <c r="V597">
        <v>51300</v>
      </c>
      <c r="W597">
        <v>53800</v>
      </c>
    </row>
    <row r="598" spans="1:23">
      <c r="A598" s="30">
        <v>44882</v>
      </c>
      <c r="B598" s="29">
        <v>49700</v>
      </c>
      <c r="C598" s="29">
        <v>52000</v>
      </c>
      <c r="D598" s="29">
        <v>50000</v>
      </c>
      <c r="E598" s="29">
        <v>45500</v>
      </c>
      <c r="F598" s="29">
        <v>51000</v>
      </c>
      <c r="G598" s="29" t="str">
        <v>-</v>
      </c>
      <c r="H598" s="29">
        <v>47500</v>
      </c>
      <c r="I598" s="29">
        <v>48500</v>
      </c>
      <c r="J598" s="29">
        <v>50500</v>
      </c>
      <c r="K598" s="29" t="str">
        <v>-</v>
      </c>
      <c r="L598" s="29">
        <v>48700</v>
      </c>
      <c r="M598" s="29">
        <v>50500</v>
      </c>
      <c r="N598" s="29">
        <v>47500</v>
      </c>
      <c r="O598" s="29">
        <v>47500</v>
      </c>
      <c r="P598" s="29">
        <v>44500</v>
      </c>
      <c r="Q598" s="29">
        <v>45000</v>
      </c>
      <c r="R598" s="29">
        <v>45400</v>
      </c>
      <c r="S598">
        <v>48000</v>
      </c>
      <c r="T598">
        <v>48500</v>
      </c>
      <c r="U598">
        <v>48800</v>
      </c>
      <c r="V598">
        <v>50800</v>
      </c>
      <c r="W598">
        <v>53300</v>
      </c>
    </row>
    <row r="599" spans="1:23">
      <c r="A599" s="30">
        <v>44883</v>
      </c>
      <c r="B599" s="29">
        <v>48600</v>
      </c>
      <c r="C599" s="29">
        <v>51500</v>
      </c>
      <c r="D599" s="29">
        <v>49600</v>
      </c>
      <c r="E599" s="29">
        <v>45000</v>
      </c>
      <c r="F599" s="29">
        <v>50500</v>
      </c>
      <c r="G599" s="29" t="str">
        <v>-</v>
      </c>
      <c r="H599" s="29">
        <v>47000</v>
      </c>
      <c r="I599" s="29">
        <v>47900</v>
      </c>
      <c r="J599" s="29">
        <v>50300</v>
      </c>
      <c r="K599" s="29" t="str">
        <v>-</v>
      </c>
      <c r="L599" s="29">
        <v>48000</v>
      </c>
      <c r="M599" s="29">
        <v>50300</v>
      </c>
      <c r="N599" s="29">
        <v>46800</v>
      </c>
      <c r="O599" s="29">
        <v>46700</v>
      </c>
      <c r="P599" s="29">
        <v>44300</v>
      </c>
      <c r="Q599" s="29">
        <v>44600</v>
      </c>
      <c r="R599" s="29">
        <v>44800</v>
      </c>
      <c r="S599">
        <v>47500</v>
      </c>
      <c r="T599">
        <v>48000</v>
      </c>
      <c r="U599">
        <v>48800</v>
      </c>
      <c r="V599">
        <v>50500</v>
      </c>
      <c r="W599">
        <v>53100</v>
      </c>
    </row>
    <row r="600" spans="1:23">
      <c r="A600" s="30">
        <v>44884</v>
      </c>
      <c r="B600" s="29">
        <v>52500</v>
      </c>
      <c r="C600" s="29">
        <v>54000</v>
      </c>
      <c r="D600" s="29">
        <v>50400</v>
      </c>
      <c r="E600" s="29">
        <v>48000</v>
      </c>
      <c r="F600" s="29">
        <v>55400</v>
      </c>
      <c r="G600" s="29" t="str">
        <v>-</v>
      </c>
      <c r="H600" s="29">
        <v>50000</v>
      </c>
      <c r="I600" s="29">
        <v>50700</v>
      </c>
      <c r="J600" s="29">
        <v>54400</v>
      </c>
      <c r="K600" s="29" t="str">
        <v>-</v>
      </c>
      <c r="L600" s="29">
        <v>50000</v>
      </c>
      <c r="M600" s="29">
        <v>52900</v>
      </c>
      <c r="N600" s="29">
        <v>48000</v>
      </c>
      <c r="O600" s="29" t="str">
        <v>-</v>
      </c>
      <c r="P600" s="29">
        <v>48700</v>
      </c>
      <c r="Q600" s="29">
        <v>49200</v>
      </c>
      <c r="R600" s="29">
        <v>48000</v>
      </c>
      <c r="S600">
        <v>50500</v>
      </c>
      <c r="T600">
        <v>51000</v>
      </c>
      <c r="U600">
        <v>52800</v>
      </c>
      <c r="V600">
        <v>53300</v>
      </c>
      <c r="W600">
        <v>55400</v>
      </c>
    </row>
    <row r="601" spans="1:23">
      <c r="A601" s="30">
        <v>44885</v>
      </c>
      <c r="B601" s="29" t="str">
        <v>H</v>
      </c>
      <c r="C601" s="29" t="str">
        <v>H</v>
      </c>
      <c r="D601" s="29" t="str">
        <v>H</v>
      </c>
      <c r="E601" s="29" t="str">
        <v>H</v>
      </c>
      <c r="F601" s="29" t="str">
        <v>H</v>
      </c>
      <c r="G601" s="29" t="str">
        <v>H</v>
      </c>
      <c r="H601" s="29" t="str">
        <v>H</v>
      </c>
      <c r="I601" s="29" t="str">
        <v>H</v>
      </c>
      <c r="J601" s="29" t="str">
        <v>H</v>
      </c>
      <c r="K601" s="29" t="str">
        <v>H</v>
      </c>
      <c r="L601" s="29" t="str">
        <v>H</v>
      </c>
      <c r="M601" s="29" t="str">
        <v>H</v>
      </c>
      <c r="N601" s="29" t="str">
        <v>H</v>
      </c>
      <c r="O601" s="29" t="str">
        <v>H</v>
      </c>
      <c r="P601" s="29" t="str">
        <v>H</v>
      </c>
      <c r="Q601" s="29" t="str">
        <v>H</v>
      </c>
      <c r="R601" s="29" t="str">
        <v>H</v>
      </c>
      <c r="S601" t="str">
        <v>H</v>
      </c>
      <c r="T601" t="str">
        <v>H</v>
      </c>
      <c r="U601" t="str">
        <v>H</v>
      </c>
      <c r="V601" t="str">
        <v>H</v>
      </c>
      <c r="W601" t="str">
        <v>H</v>
      </c>
    </row>
    <row r="602" spans="1:23">
      <c r="A602" s="30">
        <v>44886</v>
      </c>
      <c r="B602" s="29">
        <v>53200</v>
      </c>
      <c r="C602" s="29">
        <v>53500</v>
      </c>
      <c r="D602" s="29">
        <v>51500</v>
      </c>
      <c r="E602" s="29">
        <v>48000</v>
      </c>
      <c r="F602" s="29">
        <v>55400</v>
      </c>
      <c r="G602" s="29" t="str">
        <v>-</v>
      </c>
      <c r="H602" s="29">
        <v>50000</v>
      </c>
      <c r="I602" s="29">
        <v>51400</v>
      </c>
      <c r="J602" s="29">
        <v>54500</v>
      </c>
      <c r="K602" s="29" t="str">
        <v>-</v>
      </c>
      <c r="L602" s="29">
        <v>50300</v>
      </c>
      <c r="M602" s="29">
        <v>53200</v>
      </c>
      <c r="N602" s="29">
        <v>50000</v>
      </c>
      <c r="O602" s="29">
        <v>49300</v>
      </c>
      <c r="P602" s="29">
        <v>48200</v>
      </c>
      <c r="Q602" s="29">
        <v>48600</v>
      </c>
      <c r="R602" s="29">
        <v>49000</v>
      </c>
      <c r="S602">
        <v>50500</v>
      </c>
      <c r="T602">
        <v>51600</v>
      </c>
      <c r="U602">
        <v>52300</v>
      </c>
      <c r="V602">
        <v>54000</v>
      </c>
      <c r="W602">
        <v>56000</v>
      </c>
    </row>
    <row r="603" spans="1:23">
      <c r="A603" s="30">
        <v>44887</v>
      </c>
      <c r="B603" s="29">
        <v>51400</v>
      </c>
      <c r="C603" s="29">
        <v>53000</v>
      </c>
      <c r="D603" s="29">
        <v>51200</v>
      </c>
      <c r="E603" s="29">
        <v>47500</v>
      </c>
      <c r="F603" s="29">
        <v>55200</v>
      </c>
      <c r="G603" s="29" t="str">
        <v>-</v>
      </c>
      <c r="H603" s="29">
        <v>49500</v>
      </c>
      <c r="I603" s="29">
        <v>51000</v>
      </c>
      <c r="J603" s="29">
        <v>54000</v>
      </c>
      <c r="K603" s="29" t="str">
        <v>-</v>
      </c>
      <c r="L603" s="29">
        <v>50000</v>
      </c>
      <c r="M603" s="29">
        <v>53200</v>
      </c>
      <c r="N603" s="29">
        <v>49500</v>
      </c>
      <c r="O603" s="29">
        <v>49100</v>
      </c>
      <c r="P603" s="29">
        <v>46700</v>
      </c>
      <c r="Q603" s="29">
        <v>47400</v>
      </c>
      <c r="R603" s="29">
        <v>48300</v>
      </c>
      <c r="S603">
        <v>50000</v>
      </c>
      <c r="T603">
        <v>51000</v>
      </c>
      <c r="U603">
        <v>51800</v>
      </c>
      <c r="V603">
        <v>54000</v>
      </c>
      <c r="W603">
        <v>56000</v>
      </c>
    </row>
    <row r="604" spans="1:23">
      <c r="A604" s="30">
        <v>44888</v>
      </c>
      <c r="B604" s="29">
        <v>50700</v>
      </c>
      <c r="C604" s="29">
        <v>52700</v>
      </c>
      <c r="D604" s="29">
        <v>50700</v>
      </c>
      <c r="E604" s="29">
        <v>46300</v>
      </c>
      <c r="F604" s="29">
        <v>54200</v>
      </c>
      <c r="G604" s="29" t="str">
        <v>-</v>
      </c>
      <c r="H604" s="29">
        <v>49000</v>
      </c>
      <c r="I604" s="29">
        <v>50200</v>
      </c>
      <c r="J604" s="29">
        <v>53500</v>
      </c>
      <c r="K604" s="29" t="str">
        <v>-</v>
      </c>
      <c r="L604" s="29">
        <v>49700</v>
      </c>
      <c r="M604" s="29">
        <v>53200</v>
      </c>
      <c r="N604" s="29">
        <v>48800</v>
      </c>
      <c r="O604" s="29">
        <v>48800</v>
      </c>
      <c r="P604" s="29">
        <v>46000</v>
      </c>
      <c r="Q604" s="29">
        <v>46500</v>
      </c>
      <c r="R604" s="29">
        <v>47300</v>
      </c>
      <c r="S604">
        <v>48800</v>
      </c>
      <c r="T604">
        <v>50000</v>
      </c>
      <c r="U604">
        <v>50800</v>
      </c>
      <c r="V604">
        <v>53200</v>
      </c>
      <c r="W604">
        <v>55500</v>
      </c>
    </row>
    <row r="605" spans="1:23">
      <c r="A605" s="30">
        <v>44889</v>
      </c>
      <c r="B605" s="29">
        <v>49300</v>
      </c>
      <c r="C605" s="29">
        <v>52000</v>
      </c>
      <c r="D605" s="29">
        <v>49900</v>
      </c>
      <c r="E605" s="29">
        <v>45300</v>
      </c>
      <c r="F605" s="29">
        <v>53400</v>
      </c>
      <c r="G605" s="29" t="str">
        <v>-</v>
      </c>
      <c r="H605" s="29">
        <v>48500</v>
      </c>
      <c r="I605" s="29">
        <v>49500</v>
      </c>
      <c r="J605" s="29">
        <v>52500</v>
      </c>
      <c r="K605" s="29" t="str">
        <v>-</v>
      </c>
      <c r="L605" s="29">
        <v>48900</v>
      </c>
      <c r="M605" s="29">
        <v>51900</v>
      </c>
      <c r="N605" s="29">
        <v>47900</v>
      </c>
      <c r="O605" s="29">
        <v>47800</v>
      </c>
      <c r="P605" s="29">
        <v>45000</v>
      </c>
      <c r="Q605" s="29">
        <v>44700</v>
      </c>
      <c r="R605" s="29">
        <v>46800</v>
      </c>
      <c r="S605">
        <v>47800</v>
      </c>
      <c r="T605">
        <v>49800</v>
      </c>
      <c r="U605">
        <v>50800</v>
      </c>
      <c r="V605">
        <v>52000</v>
      </c>
      <c r="W605">
        <v>54500</v>
      </c>
    </row>
    <row r="606" spans="1:23">
      <c r="A606" s="30">
        <v>44890</v>
      </c>
      <c r="B606" s="29">
        <v>49600</v>
      </c>
      <c r="C606" s="29">
        <v>51500</v>
      </c>
      <c r="D606" s="29">
        <v>49700</v>
      </c>
      <c r="E606" s="29">
        <v>45300</v>
      </c>
      <c r="F606" s="29">
        <v>52800</v>
      </c>
      <c r="G606" s="29" t="str">
        <v>-</v>
      </c>
      <c r="H606" s="29">
        <v>48000</v>
      </c>
      <c r="I606" s="29">
        <v>49000</v>
      </c>
      <c r="J606" s="29">
        <v>52000</v>
      </c>
      <c r="K606" s="29" t="str">
        <v>-</v>
      </c>
      <c r="L606" s="29">
        <v>48900</v>
      </c>
      <c r="M606" s="29">
        <v>52100</v>
      </c>
      <c r="N606" s="29">
        <v>47700</v>
      </c>
      <c r="O606" s="29">
        <v>46500</v>
      </c>
      <c r="P606" s="29">
        <v>44500</v>
      </c>
      <c r="Q606" s="29">
        <v>44800</v>
      </c>
      <c r="R606" s="29">
        <v>44800</v>
      </c>
      <c r="S606">
        <v>47800</v>
      </c>
      <c r="T606">
        <v>49500</v>
      </c>
      <c r="U606">
        <v>50800</v>
      </c>
      <c r="V606">
        <v>52000</v>
      </c>
      <c r="W606">
        <v>54500</v>
      </c>
    </row>
    <row r="607" spans="1:23">
      <c r="A607" s="30">
        <v>44891</v>
      </c>
      <c r="B607" s="29">
        <v>49800</v>
      </c>
      <c r="C607" s="29">
        <v>51500</v>
      </c>
      <c r="D607" s="29">
        <v>50200</v>
      </c>
      <c r="E607" s="29">
        <v>45800</v>
      </c>
      <c r="F607" s="29">
        <v>52800</v>
      </c>
      <c r="G607" s="29" t="str">
        <v>-</v>
      </c>
      <c r="H607" s="29">
        <v>48500</v>
      </c>
      <c r="I607" s="29">
        <v>49000</v>
      </c>
      <c r="J607" s="29">
        <v>52000</v>
      </c>
      <c r="K607" s="29" t="str">
        <v>-</v>
      </c>
      <c r="L607" s="29">
        <v>49000</v>
      </c>
      <c r="M607" s="29">
        <v>52100</v>
      </c>
      <c r="N607" s="29">
        <v>48500</v>
      </c>
      <c r="O607" s="29">
        <v>47300</v>
      </c>
      <c r="P607" s="29">
        <v>45200</v>
      </c>
      <c r="Q607" s="29">
        <v>45400</v>
      </c>
      <c r="R607" s="29">
        <v>46100</v>
      </c>
      <c r="S607">
        <v>48300</v>
      </c>
      <c r="T607">
        <v>49500</v>
      </c>
      <c r="U607">
        <v>51800</v>
      </c>
      <c r="V607">
        <v>52000</v>
      </c>
      <c r="W607">
        <v>54500</v>
      </c>
    </row>
    <row r="608" spans="1:23">
      <c r="A608" s="30">
        <v>44892</v>
      </c>
      <c r="B608" s="29" t="str">
        <v>H</v>
      </c>
      <c r="C608" s="29" t="str">
        <v>H</v>
      </c>
      <c r="D608" s="29" t="str">
        <v>H</v>
      </c>
      <c r="E608" s="29" t="str">
        <v>H</v>
      </c>
      <c r="F608" s="29" t="str">
        <v>H</v>
      </c>
      <c r="G608" s="29" t="str">
        <v>H</v>
      </c>
      <c r="H608" s="29" t="str">
        <v>H</v>
      </c>
      <c r="I608" s="29" t="str">
        <v>H</v>
      </c>
      <c r="J608" s="29" t="str">
        <v>H</v>
      </c>
      <c r="K608" s="29" t="str">
        <v>H</v>
      </c>
      <c r="L608" s="29" t="str">
        <v>H</v>
      </c>
      <c r="M608" s="29" t="str">
        <v>H</v>
      </c>
      <c r="N608" s="29" t="str">
        <v>H</v>
      </c>
      <c r="O608" s="29" t="str">
        <v>H</v>
      </c>
      <c r="P608" s="29" t="str">
        <v>H</v>
      </c>
      <c r="Q608" s="29" t="str">
        <v>H</v>
      </c>
      <c r="R608" s="29" t="str">
        <v>H</v>
      </c>
      <c r="S608" t="str">
        <v>H</v>
      </c>
      <c r="T608" t="str">
        <v>H</v>
      </c>
      <c r="U608" t="str">
        <v>H</v>
      </c>
      <c r="V608" t="str">
        <v>H</v>
      </c>
      <c r="W608" t="str">
        <v>H</v>
      </c>
    </row>
    <row r="609" spans="1:23">
      <c r="A609" s="30">
        <v>44893</v>
      </c>
      <c r="B609" s="29">
        <v>49500</v>
      </c>
      <c r="C609" s="29">
        <v>51800</v>
      </c>
      <c r="D609" s="29">
        <v>50500</v>
      </c>
      <c r="E609" s="29">
        <v>46300</v>
      </c>
      <c r="F609" s="29">
        <v>52300</v>
      </c>
      <c r="G609" s="29" t="str">
        <v>-</v>
      </c>
      <c r="H609" s="29">
        <v>48500</v>
      </c>
      <c r="I609" s="29">
        <v>48800</v>
      </c>
      <c r="J609" s="29">
        <v>49200</v>
      </c>
      <c r="K609" s="29" t="str">
        <v>-</v>
      </c>
      <c r="L609" s="29">
        <v>49200</v>
      </c>
      <c r="M609" s="29">
        <v>52000</v>
      </c>
      <c r="N609" s="29">
        <v>48500</v>
      </c>
      <c r="O609" s="29">
        <v>47300</v>
      </c>
      <c r="P609" s="29">
        <v>45200</v>
      </c>
      <c r="Q609" s="29">
        <v>45400</v>
      </c>
      <c r="R609" s="29">
        <v>45300</v>
      </c>
      <c r="S609">
        <v>48800</v>
      </c>
      <c r="T609">
        <v>48500</v>
      </c>
      <c r="U609">
        <v>49800</v>
      </c>
      <c r="V609">
        <v>51600</v>
      </c>
      <c r="W609">
        <v>54300</v>
      </c>
    </row>
    <row r="610" spans="1:23">
      <c r="A610" s="30">
        <v>44894</v>
      </c>
      <c r="B610" s="29">
        <v>49700</v>
      </c>
      <c r="C610" s="29">
        <v>52000</v>
      </c>
      <c r="D610" s="29">
        <v>50900</v>
      </c>
      <c r="E610" s="29">
        <v>46800</v>
      </c>
      <c r="F610" s="29">
        <v>52300</v>
      </c>
      <c r="G610" s="29" t="str">
        <v>-</v>
      </c>
      <c r="H610" s="29">
        <v>49000</v>
      </c>
      <c r="I610" s="29">
        <v>48800</v>
      </c>
      <c r="J610" s="29">
        <v>49500</v>
      </c>
      <c r="K610" s="29" t="str">
        <v>-</v>
      </c>
      <c r="L610" s="29">
        <v>49800</v>
      </c>
      <c r="M610" s="29">
        <v>52000</v>
      </c>
      <c r="N610" s="29">
        <v>48500</v>
      </c>
      <c r="O610" s="29">
        <v>47700</v>
      </c>
      <c r="P610" s="29">
        <v>45700</v>
      </c>
      <c r="Q610" s="29">
        <v>45900</v>
      </c>
      <c r="R610" s="29">
        <v>46000</v>
      </c>
      <c r="S610">
        <v>49300</v>
      </c>
      <c r="T610">
        <v>48900</v>
      </c>
      <c r="U610">
        <v>49800</v>
      </c>
      <c r="V610">
        <v>51600</v>
      </c>
      <c r="W610">
        <v>54300</v>
      </c>
    </row>
    <row r="611" spans="1:23">
      <c r="A611" s="30">
        <v>44895</v>
      </c>
      <c r="B611" s="29">
        <v>51200</v>
      </c>
      <c r="C611" s="29">
        <v>52200</v>
      </c>
      <c r="D611" s="29">
        <v>51400</v>
      </c>
      <c r="E611" s="29">
        <v>47900</v>
      </c>
      <c r="F611" s="29">
        <v>52400</v>
      </c>
      <c r="G611" s="29" t="str">
        <v>-</v>
      </c>
      <c r="H611" s="29">
        <v>50000</v>
      </c>
      <c r="I611" s="29">
        <v>49700</v>
      </c>
      <c r="J611" s="29">
        <v>51000</v>
      </c>
      <c r="K611" s="29" t="str">
        <v>-</v>
      </c>
      <c r="L611" s="29">
        <v>50600</v>
      </c>
      <c r="M611" s="29">
        <v>52400</v>
      </c>
      <c r="N611" s="29">
        <v>49300</v>
      </c>
      <c r="O611" s="29">
        <v>48300</v>
      </c>
      <c r="P611" s="29">
        <v>47100</v>
      </c>
      <c r="Q611" s="29">
        <v>47300</v>
      </c>
      <c r="R611" s="29">
        <v>47300</v>
      </c>
      <c r="S611">
        <v>50400</v>
      </c>
      <c r="T611">
        <v>50000</v>
      </c>
      <c r="U611">
        <v>51300</v>
      </c>
      <c r="V611">
        <v>51900</v>
      </c>
      <c r="W611">
        <v>54500</v>
      </c>
    </row>
    <row r="612" spans="1:23">
      <c r="A612" s="30">
        <v>44896</v>
      </c>
      <c r="B612" s="29">
        <v>51300</v>
      </c>
      <c r="C612" s="29">
        <v>52200</v>
      </c>
      <c r="D612" s="29">
        <v>51400</v>
      </c>
      <c r="E612" s="29">
        <v>47700</v>
      </c>
      <c r="F612" s="29">
        <v>52300</v>
      </c>
      <c r="G612" s="29" t="str">
        <v>-</v>
      </c>
      <c r="H612" s="29">
        <v>50500</v>
      </c>
      <c r="I612" s="29">
        <v>50500</v>
      </c>
      <c r="J612" s="29">
        <v>51700</v>
      </c>
      <c r="K612" s="29" t="str">
        <v>-</v>
      </c>
      <c r="L612" s="29">
        <v>51400</v>
      </c>
      <c r="M612" s="29">
        <v>52800</v>
      </c>
      <c r="N612" s="29">
        <v>49300</v>
      </c>
      <c r="O612" s="29">
        <v>49000</v>
      </c>
      <c r="P612" s="29">
        <v>47300</v>
      </c>
      <c r="Q612" s="29">
        <v>47300</v>
      </c>
      <c r="R612" s="29">
        <v>47500</v>
      </c>
      <c r="S612">
        <v>50200</v>
      </c>
      <c r="T612">
        <v>50000</v>
      </c>
      <c r="U612">
        <v>51300</v>
      </c>
      <c r="V612">
        <v>52800</v>
      </c>
      <c r="W612">
        <v>55300</v>
      </c>
    </row>
    <row r="613" spans="1:23">
      <c r="A613" s="30">
        <v>44897</v>
      </c>
      <c r="B613" s="29">
        <v>51300</v>
      </c>
      <c r="C613" s="29">
        <v>52200</v>
      </c>
      <c r="D613" s="29">
        <v>51400</v>
      </c>
      <c r="E613" s="29">
        <v>47300</v>
      </c>
      <c r="F613" s="29">
        <v>52600</v>
      </c>
      <c r="G613" s="29" t="str">
        <v>-</v>
      </c>
      <c r="H613" s="29">
        <v>50500</v>
      </c>
      <c r="I613" s="29">
        <v>50000</v>
      </c>
      <c r="J613" s="29">
        <v>51700</v>
      </c>
      <c r="K613" s="29" t="str">
        <v>-</v>
      </c>
      <c r="L613" s="29">
        <v>51600</v>
      </c>
      <c r="M613" s="29">
        <v>52800</v>
      </c>
      <c r="N613" s="29">
        <v>49200</v>
      </c>
      <c r="O613" s="29">
        <v>48700</v>
      </c>
      <c r="P613" s="29">
        <v>47000</v>
      </c>
      <c r="Q613" s="29">
        <v>46900</v>
      </c>
      <c r="R613" s="29">
        <v>47000</v>
      </c>
      <c r="S613">
        <v>49800</v>
      </c>
      <c r="T613">
        <v>50000</v>
      </c>
      <c r="U613">
        <v>51300</v>
      </c>
      <c r="V613">
        <v>52800</v>
      </c>
      <c r="W613">
        <v>55300</v>
      </c>
    </row>
    <row r="614" spans="1:23">
      <c r="A614" s="30">
        <v>44898</v>
      </c>
      <c r="B614" s="29">
        <v>51300</v>
      </c>
      <c r="C614" s="29">
        <v>52200</v>
      </c>
      <c r="D614" s="29">
        <v>51150</v>
      </c>
      <c r="E614" s="29">
        <v>47000</v>
      </c>
      <c r="F614" s="29">
        <v>52400</v>
      </c>
      <c r="G614" s="29" t="str">
        <v>-</v>
      </c>
      <c r="H614" s="29">
        <v>50000</v>
      </c>
      <c r="I614" s="29">
        <v>49700</v>
      </c>
      <c r="J614" s="29">
        <v>51500</v>
      </c>
      <c r="K614" s="29" t="str">
        <v>-</v>
      </c>
      <c r="L614" s="29">
        <v>51100</v>
      </c>
      <c r="M614" s="29">
        <v>52800</v>
      </c>
      <c r="N614" s="29">
        <v>48800</v>
      </c>
      <c r="O614" s="29">
        <v>48000</v>
      </c>
      <c r="P614" s="29">
        <v>46100</v>
      </c>
      <c r="Q614" s="29">
        <v>46800</v>
      </c>
      <c r="R614" s="29">
        <v>46500</v>
      </c>
      <c r="S614">
        <v>49500</v>
      </c>
      <c r="T614">
        <v>49800</v>
      </c>
      <c r="U614">
        <v>51300</v>
      </c>
      <c r="V614">
        <v>52700</v>
      </c>
      <c r="W614">
        <v>55200</v>
      </c>
    </row>
    <row r="615" spans="1:23">
      <c r="A615" s="30">
        <v>44899</v>
      </c>
      <c r="B615" s="29" t="str">
        <v>H</v>
      </c>
      <c r="C615" s="29" t="str">
        <v>H</v>
      </c>
      <c r="D615" s="29" t="str">
        <v>H</v>
      </c>
      <c r="E615" s="29" t="str">
        <v>H</v>
      </c>
      <c r="F615" s="29" t="str">
        <v>H</v>
      </c>
      <c r="G615" s="29" t="str">
        <v>H</v>
      </c>
      <c r="H615" s="29" t="str">
        <v>H</v>
      </c>
      <c r="I615" s="29" t="str">
        <v>H</v>
      </c>
      <c r="J615" s="29" t="str">
        <v>H</v>
      </c>
      <c r="K615" s="29" t="str">
        <v>H</v>
      </c>
      <c r="L615" s="29" t="str">
        <v>H</v>
      </c>
      <c r="M615" s="29" t="str">
        <v>H</v>
      </c>
      <c r="N615" s="29" t="str">
        <v>H</v>
      </c>
      <c r="O615" s="29" t="str">
        <v>H</v>
      </c>
      <c r="P615" s="29" t="str">
        <v>H</v>
      </c>
      <c r="Q615" s="29" t="str">
        <v>H</v>
      </c>
      <c r="R615" s="29" t="str">
        <v>H</v>
      </c>
      <c r="S615" t="str">
        <v>H</v>
      </c>
      <c r="T615" t="str">
        <v>H</v>
      </c>
      <c r="U615" t="str">
        <v>H</v>
      </c>
      <c r="V615" t="str">
        <v>H</v>
      </c>
      <c r="W615" t="str">
        <v>H</v>
      </c>
    </row>
    <row r="616" spans="1:23">
      <c r="A616" s="30">
        <v>44900</v>
      </c>
      <c r="B616" s="29">
        <v>51300</v>
      </c>
      <c r="C616" s="29">
        <v>52200</v>
      </c>
      <c r="D616" s="29">
        <v>51500</v>
      </c>
      <c r="E616" s="29">
        <v>47500</v>
      </c>
      <c r="F616" s="29">
        <v>52400</v>
      </c>
      <c r="G616" s="29" t="str">
        <v>-</v>
      </c>
      <c r="H616" s="29">
        <v>50000</v>
      </c>
      <c r="I616" s="29">
        <v>50000</v>
      </c>
      <c r="J616" s="29">
        <v>51500</v>
      </c>
      <c r="K616" s="29" t="str">
        <v>-</v>
      </c>
      <c r="L616" s="29">
        <v>51400</v>
      </c>
      <c r="M616" s="29">
        <v>52800</v>
      </c>
      <c r="N616" s="29">
        <v>49300</v>
      </c>
      <c r="O616" s="29">
        <v>48700</v>
      </c>
      <c r="P616" s="29">
        <v>46800</v>
      </c>
      <c r="Q616" s="29">
        <v>47300</v>
      </c>
      <c r="R616" s="29">
        <v>47000</v>
      </c>
      <c r="S616">
        <v>50000</v>
      </c>
      <c r="T616">
        <v>50300</v>
      </c>
      <c r="U616">
        <v>51300</v>
      </c>
      <c r="V616">
        <v>52600</v>
      </c>
      <c r="W616">
        <v>55200</v>
      </c>
    </row>
    <row r="617" spans="1:23">
      <c r="A617" s="30">
        <v>44901</v>
      </c>
      <c r="B617" s="29">
        <v>51700</v>
      </c>
      <c r="C617" s="29">
        <v>52200</v>
      </c>
      <c r="D617" s="29">
        <v>51500</v>
      </c>
      <c r="E617" s="29">
        <v>47700</v>
      </c>
      <c r="F617" s="29">
        <v>52400</v>
      </c>
      <c r="G617" s="29" t="str">
        <v>-</v>
      </c>
      <c r="H617" s="29">
        <v>50500</v>
      </c>
      <c r="I617" s="29">
        <v>50200</v>
      </c>
      <c r="J617" s="29">
        <v>52000</v>
      </c>
      <c r="K617" s="29" t="str">
        <v>-</v>
      </c>
      <c r="L617" s="29">
        <v>51500</v>
      </c>
      <c r="M617" s="29">
        <v>53100</v>
      </c>
      <c r="N617" s="29">
        <v>49300</v>
      </c>
      <c r="O617" s="29">
        <v>48700</v>
      </c>
      <c r="P617" s="29">
        <v>47000</v>
      </c>
      <c r="Q617" s="29">
        <v>47300</v>
      </c>
      <c r="R617" s="29">
        <v>47400</v>
      </c>
      <c r="S617">
        <v>50200</v>
      </c>
      <c r="T617">
        <v>50300</v>
      </c>
      <c r="U617">
        <v>51300</v>
      </c>
      <c r="V617">
        <v>52600</v>
      </c>
      <c r="W617">
        <v>55200</v>
      </c>
    </row>
    <row r="618" spans="1:23">
      <c r="A618" s="30">
        <v>44902</v>
      </c>
      <c r="B618" s="29">
        <v>51700</v>
      </c>
      <c r="C618" s="29">
        <v>52200</v>
      </c>
      <c r="D618" s="29">
        <v>51800</v>
      </c>
      <c r="E618" s="29">
        <v>48000</v>
      </c>
      <c r="F618" s="29">
        <v>52400</v>
      </c>
      <c r="G618" s="29" t="str">
        <v>-</v>
      </c>
      <c r="H618" s="29">
        <v>51000</v>
      </c>
      <c r="I618" s="29">
        <v>50800</v>
      </c>
      <c r="J618" s="29">
        <v>52500</v>
      </c>
      <c r="K618" s="29" t="str">
        <v>-</v>
      </c>
      <c r="L618" s="29">
        <v>51900</v>
      </c>
      <c r="M618" s="29">
        <v>53100</v>
      </c>
      <c r="N618" s="29">
        <v>49800</v>
      </c>
      <c r="O618" s="29">
        <v>48900</v>
      </c>
      <c r="P618" s="29">
        <v>47500</v>
      </c>
      <c r="Q618" s="29">
        <v>47800</v>
      </c>
      <c r="R618" s="29">
        <v>47500</v>
      </c>
      <c r="S618">
        <v>50500</v>
      </c>
      <c r="T618">
        <v>50800</v>
      </c>
      <c r="U618">
        <v>51800</v>
      </c>
      <c r="V618">
        <v>52600</v>
      </c>
      <c r="W618">
        <v>55200</v>
      </c>
    </row>
    <row r="619" spans="1:23">
      <c r="A619" s="30">
        <v>44903</v>
      </c>
      <c r="B619" s="29">
        <v>52200</v>
      </c>
      <c r="C619" s="29">
        <v>52500</v>
      </c>
      <c r="D619" s="29">
        <v>52100</v>
      </c>
      <c r="E619" s="29">
        <v>48700</v>
      </c>
      <c r="F619" s="29">
        <v>52700</v>
      </c>
      <c r="G619" s="29" t="str">
        <v>-</v>
      </c>
      <c r="H619" s="29">
        <v>51500</v>
      </c>
      <c r="I619" s="29">
        <v>51400</v>
      </c>
      <c r="J619" s="29">
        <v>53000</v>
      </c>
      <c r="K619" s="29" t="str">
        <v>-</v>
      </c>
      <c r="L619" s="29">
        <v>52200</v>
      </c>
      <c r="M619" s="29">
        <v>53300</v>
      </c>
      <c r="N619" s="29">
        <v>50800</v>
      </c>
      <c r="O619" s="29">
        <v>49600</v>
      </c>
      <c r="P619" s="29">
        <v>47600</v>
      </c>
      <c r="Q619" s="29">
        <v>48300</v>
      </c>
      <c r="R619" s="29">
        <v>48100</v>
      </c>
      <c r="S619">
        <v>51200</v>
      </c>
      <c r="T619">
        <v>51300</v>
      </c>
      <c r="U619">
        <v>52800</v>
      </c>
      <c r="V619">
        <v>52800</v>
      </c>
      <c r="W619">
        <v>55400</v>
      </c>
    </row>
    <row r="620" spans="1:23">
      <c r="A620" s="30">
        <v>44904</v>
      </c>
      <c r="B620" s="29">
        <v>52200</v>
      </c>
      <c r="C620" s="29">
        <v>52300</v>
      </c>
      <c r="D620" s="29">
        <v>52100</v>
      </c>
      <c r="E620" s="29">
        <v>48900</v>
      </c>
      <c r="F620" s="29">
        <v>52700</v>
      </c>
      <c r="G620" s="29" t="str">
        <v>-</v>
      </c>
      <c r="H620" s="29">
        <v>51500</v>
      </c>
      <c r="I620" s="29">
        <v>51700</v>
      </c>
      <c r="J620" s="29">
        <v>53000</v>
      </c>
      <c r="K620" s="29" t="str">
        <v>-</v>
      </c>
      <c r="L620" s="29">
        <v>52500</v>
      </c>
      <c r="M620" s="29">
        <v>53300</v>
      </c>
      <c r="N620" s="29">
        <v>50800</v>
      </c>
      <c r="O620" s="29">
        <v>49900</v>
      </c>
      <c r="P620" s="29">
        <v>48000</v>
      </c>
      <c r="Q620" s="29">
        <v>48300</v>
      </c>
      <c r="R620" s="29">
        <v>48100</v>
      </c>
      <c r="S620">
        <v>51400</v>
      </c>
      <c r="T620">
        <v>51300</v>
      </c>
      <c r="U620">
        <v>52800</v>
      </c>
      <c r="V620">
        <v>53100</v>
      </c>
      <c r="W620">
        <v>55700</v>
      </c>
    </row>
    <row r="621" spans="1:23">
      <c r="A621" s="30">
        <v>44905</v>
      </c>
      <c r="B621" s="29">
        <v>52000</v>
      </c>
      <c r="C621" s="29">
        <v>52000</v>
      </c>
      <c r="D621" s="29">
        <v>52100</v>
      </c>
      <c r="E621" s="29">
        <v>48700</v>
      </c>
      <c r="F621" s="29">
        <v>52600</v>
      </c>
      <c r="G621" s="29" t="str">
        <v>-</v>
      </c>
      <c r="H621" s="29">
        <v>51500</v>
      </c>
      <c r="I621" s="29">
        <v>51600</v>
      </c>
      <c r="J621" s="29">
        <v>52900</v>
      </c>
      <c r="K621" s="29" t="str">
        <v>-</v>
      </c>
      <c r="L621" s="29">
        <v>52400</v>
      </c>
      <c r="M621" s="29">
        <v>53200</v>
      </c>
      <c r="N621" s="29">
        <v>50500</v>
      </c>
      <c r="O621" s="29">
        <v>49700</v>
      </c>
      <c r="P621" s="29">
        <v>47700</v>
      </c>
      <c r="Q621" s="29">
        <v>48000</v>
      </c>
      <c r="R621" s="29">
        <v>47700</v>
      </c>
      <c r="S621">
        <v>51200</v>
      </c>
      <c r="T621">
        <v>51300</v>
      </c>
      <c r="U621">
        <v>52300</v>
      </c>
      <c r="V621">
        <v>53100</v>
      </c>
      <c r="W621">
        <v>55700</v>
      </c>
    </row>
    <row r="622" spans="1:23">
      <c r="A622" s="30">
        <v>44906</v>
      </c>
      <c r="B622" s="29" t="str">
        <v>H</v>
      </c>
      <c r="C622" s="29" t="str">
        <v>H</v>
      </c>
      <c r="D622" s="29" t="str">
        <v>H</v>
      </c>
      <c r="E622" s="29" t="str">
        <v>H</v>
      </c>
      <c r="F622" s="29" t="str">
        <v>H</v>
      </c>
      <c r="G622" s="29" t="str">
        <v>H</v>
      </c>
      <c r="H622" s="29" t="str">
        <v>H</v>
      </c>
      <c r="I622" s="29" t="str">
        <v>H</v>
      </c>
      <c r="J622" s="29" t="str">
        <v>H</v>
      </c>
      <c r="K622" s="29" t="str">
        <v>H</v>
      </c>
      <c r="L622" s="29" t="str">
        <v>H</v>
      </c>
      <c r="M622" s="29" t="str">
        <v>H</v>
      </c>
      <c r="N622" s="29" t="str">
        <v>H</v>
      </c>
      <c r="O622" s="29" t="str">
        <v>H</v>
      </c>
      <c r="P622" s="29" t="str">
        <v>H</v>
      </c>
      <c r="Q622" s="29" t="str">
        <v>H</v>
      </c>
      <c r="R622" s="29" t="str">
        <v>H</v>
      </c>
      <c r="S622" t="str">
        <v>H</v>
      </c>
      <c r="T622" t="str">
        <v>H</v>
      </c>
      <c r="U622" t="str">
        <v>H</v>
      </c>
      <c r="V622" t="str">
        <v>H</v>
      </c>
      <c r="W622" t="str">
        <v>H</v>
      </c>
    </row>
    <row r="623" spans="1:23">
      <c r="A623" s="30">
        <v>44907</v>
      </c>
      <c r="B623" s="29">
        <v>52000</v>
      </c>
      <c r="C623" s="29">
        <v>52000</v>
      </c>
      <c r="D623" s="29">
        <v>52300</v>
      </c>
      <c r="E623" s="29">
        <v>48500</v>
      </c>
      <c r="F623" s="29">
        <v>52600</v>
      </c>
      <c r="G623" s="29" t="str">
        <v>-</v>
      </c>
      <c r="H623" s="29">
        <v>51500</v>
      </c>
      <c r="I623" s="29">
        <v>52000</v>
      </c>
      <c r="J623" s="29">
        <v>52900</v>
      </c>
      <c r="K623" s="29" t="str">
        <v>-</v>
      </c>
      <c r="L623" s="29">
        <v>52400</v>
      </c>
      <c r="M623" s="29">
        <v>53200</v>
      </c>
      <c r="N623" s="29">
        <v>50500</v>
      </c>
      <c r="O623" s="29">
        <v>49800</v>
      </c>
      <c r="P623" s="29">
        <v>47200</v>
      </c>
      <c r="Q623" s="29">
        <v>47800</v>
      </c>
      <c r="R623" s="29">
        <v>47600</v>
      </c>
      <c r="S623">
        <v>51000</v>
      </c>
      <c r="T623">
        <v>51000</v>
      </c>
      <c r="U623">
        <v>52300</v>
      </c>
      <c r="V623">
        <v>53500</v>
      </c>
      <c r="W623">
        <v>56200</v>
      </c>
    </row>
    <row r="624" spans="1:23">
      <c r="A624" s="30">
        <v>44908</v>
      </c>
      <c r="B624" s="29">
        <v>52000</v>
      </c>
      <c r="C624" s="29">
        <v>52000</v>
      </c>
      <c r="D624" s="29">
        <v>52300</v>
      </c>
      <c r="E624" s="29">
        <v>48200</v>
      </c>
      <c r="F624" s="29">
        <v>52600</v>
      </c>
      <c r="G624" s="29" t="str">
        <v>-</v>
      </c>
      <c r="H624" s="29">
        <v>51500</v>
      </c>
      <c r="I624" s="29">
        <v>52000</v>
      </c>
      <c r="J624" s="29">
        <v>52900</v>
      </c>
      <c r="K624" s="29" t="str">
        <v>-</v>
      </c>
      <c r="L624" s="29">
        <v>52200</v>
      </c>
      <c r="M624" s="29">
        <v>53200</v>
      </c>
      <c r="N624" s="29">
        <v>50300</v>
      </c>
      <c r="O624" s="29">
        <v>49500</v>
      </c>
      <c r="P624" s="29">
        <v>47200</v>
      </c>
      <c r="Q624" s="29">
        <v>47600</v>
      </c>
      <c r="R624" s="29">
        <v>47600</v>
      </c>
      <c r="S624">
        <v>50700</v>
      </c>
      <c r="T624">
        <v>50600</v>
      </c>
      <c r="U624">
        <v>51800</v>
      </c>
      <c r="V624">
        <v>53500</v>
      </c>
      <c r="W624">
        <v>56200</v>
      </c>
    </row>
    <row r="625" spans="1:23">
      <c r="A625" s="30">
        <v>44909</v>
      </c>
      <c r="B625" s="29">
        <v>51900</v>
      </c>
      <c r="C625" s="29">
        <v>51700</v>
      </c>
      <c r="D625" s="29">
        <v>51900</v>
      </c>
      <c r="E625" s="29">
        <v>47800</v>
      </c>
      <c r="F625" s="29">
        <v>52600</v>
      </c>
      <c r="G625" s="29" t="str">
        <v>-</v>
      </c>
      <c r="H625" s="29">
        <v>51500</v>
      </c>
      <c r="I625" s="29">
        <v>51800</v>
      </c>
      <c r="J625" s="29">
        <v>52900</v>
      </c>
      <c r="K625" s="29" t="str">
        <v>-</v>
      </c>
      <c r="L625" s="29">
        <v>52100</v>
      </c>
      <c r="M625" s="29">
        <v>53200</v>
      </c>
      <c r="N625" s="29">
        <v>49800</v>
      </c>
      <c r="O625" s="29">
        <v>49200</v>
      </c>
      <c r="P625" s="29">
        <v>47200</v>
      </c>
      <c r="Q625" s="29">
        <v>47400</v>
      </c>
      <c r="R625" s="29">
        <v>47600</v>
      </c>
      <c r="S625">
        <v>50300</v>
      </c>
      <c r="T625">
        <v>50600</v>
      </c>
      <c r="U625">
        <v>51800</v>
      </c>
      <c r="V625">
        <v>53200</v>
      </c>
      <c r="W625">
        <v>56000</v>
      </c>
    </row>
    <row r="626" spans="1:23">
      <c r="A626" s="30">
        <v>44910</v>
      </c>
      <c r="B626" s="29">
        <v>51500</v>
      </c>
      <c r="C626" s="29">
        <v>51000</v>
      </c>
      <c r="D626" s="29">
        <v>51900</v>
      </c>
      <c r="E626" s="29">
        <v>47700</v>
      </c>
      <c r="F626" s="29">
        <v>52500</v>
      </c>
      <c r="G626" s="29" t="str">
        <v>-</v>
      </c>
      <c r="H626" s="29">
        <v>51000</v>
      </c>
      <c r="I626" s="29">
        <v>51600</v>
      </c>
      <c r="J626" s="29">
        <v>52500</v>
      </c>
      <c r="K626" s="29" t="str">
        <v>-</v>
      </c>
      <c r="L626" s="29">
        <v>51900</v>
      </c>
      <c r="M626" s="29">
        <v>52800</v>
      </c>
      <c r="N626" s="29">
        <v>49300</v>
      </c>
      <c r="O626" s="29">
        <v>49000</v>
      </c>
      <c r="P626" s="29">
        <v>46850</v>
      </c>
      <c r="Q626" s="29">
        <v>47300</v>
      </c>
      <c r="R626" s="29">
        <v>47400</v>
      </c>
      <c r="S626">
        <v>50200</v>
      </c>
      <c r="T626">
        <v>50300</v>
      </c>
      <c r="U626" t="str">
        <v>-</v>
      </c>
      <c r="V626">
        <v>53200</v>
      </c>
      <c r="W626">
        <v>55800</v>
      </c>
    </row>
    <row r="627" spans="1:23">
      <c r="A627" s="30">
        <v>44911</v>
      </c>
      <c r="B627" s="29">
        <v>51200</v>
      </c>
      <c r="C627" s="29">
        <v>51000</v>
      </c>
      <c r="D627" s="29">
        <v>51800</v>
      </c>
      <c r="E627" s="29">
        <v>48000</v>
      </c>
      <c r="F627" s="29">
        <v>52300</v>
      </c>
      <c r="G627" s="29" t="str">
        <v>-</v>
      </c>
      <c r="H627" s="29">
        <v>51000</v>
      </c>
      <c r="I627" s="29">
        <v>51300</v>
      </c>
      <c r="J627" s="29">
        <v>52500</v>
      </c>
      <c r="K627" s="29" t="str">
        <v>-</v>
      </c>
      <c r="L627" s="29">
        <v>51500</v>
      </c>
      <c r="M627" s="29">
        <v>52800</v>
      </c>
      <c r="N627" s="29">
        <v>49300</v>
      </c>
      <c r="O627" s="29">
        <v>49000</v>
      </c>
      <c r="P627" s="29">
        <v>47300</v>
      </c>
      <c r="Q627" s="29">
        <v>48100</v>
      </c>
      <c r="R627" s="29">
        <v>47300</v>
      </c>
      <c r="S627">
        <v>50500</v>
      </c>
      <c r="T627">
        <v>50300</v>
      </c>
      <c r="U627">
        <v>51800</v>
      </c>
      <c r="V627">
        <v>53000</v>
      </c>
      <c r="W627">
        <v>55700</v>
      </c>
    </row>
    <row r="628" spans="1:23">
      <c r="A628" s="30">
        <v>44912</v>
      </c>
      <c r="B628" s="29">
        <v>51800</v>
      </c>
      <c r="C628" s="29">
        <v>51300</v>
      </c>
      <c r="D628" s="29">
        <v>52300</v>
      </c>
      <c r="E628" s="29">
        <v>48800</v>
      </c>
      <c r="F628" s="29">
        <v>52800</v>
      </c>
      <c r="G628" s="29" t="str">
        <v>-</v>
      </c>
      <c r="H628" s="29">
        <v>51500</v>
      </c>
      <c r="I628" s="29">
        <v>51900</v>
      </c>
      <c r="J628" s="29">
        <v>53000</v>
      </c>
      <c r="K628" s="29" t="str">
        <v>-</v>
      </c>
      <c r="L628" s="29">
        <v>52300</v>
      </c>
      <c r="M628" s="29">
        <v>52800</v>
      </c>
      <c r="N628" s="29">
        <v>49800</v>
      </c>
      <c r="O628" s="29">
        <v>49500</v>
      </c>
      <c r="P628" s="29">
        <v>48000</v>
      </c>
      <c r="Q628" s="29">
        <v>48200</v>
      </c>
      <c r="R628" s="29">
        <v>48000</v>
      </c>
      <c r="S628">
        <v>51300</v>
      </c>
      <c r="T628">
        <v>50800</v>
      </c>
      <c r="U628" t="str">
        <v>-</v>
      </c>
      <c r="V628">
        <v>53000</v>
      </c>
      <c r="W628">
        <v>55700</v>
      </c>
    </row>
    <row r="629" spans="1:23">
      <c r="A629" s="30">
        <v>44913</v>
      </c>
      <c r="B629" s="29" t="str">
        <v>H</v>
      </c>
      <c r="C629" s="29" t="str">
        <v>H</v>
      </c>
      <c r="D629" s="29" t="str">
        <v>H</v>
      </c>
      <c r="E629" s="29" t="str">
        <v>H</v>
      </c>
      <c r="F629" s="29" t="str">
        <v>H</v>
      </c>
      <c r="G629" s="29" t="str">
        <v>H</v>
      </c>
      <c r="H629" s="29" t="str">
        <v>H</v>
      </c>
      <c r="I629" s="29" t="str">
        <v>H</v>
      </c>
      <c r="J629" s="29" t="str">
        <v>H</v>
      </c>
      <c r="K629" s="29" t="str">
        <v>H</v>
      </c>
      <c r="L629" s="29" t="str">
        <v>H</v>
      </c>
      <c r="M629" s="29" t="str">
        <v>H</v>
      </c>
      <c r="N629" s="29" t="str">
        <v>H</v>
      </c>
      <c r="O629" s="29" t="str">
        <v>H</v>
      </c>
      <c r="P629" s="29" t="str">
        <v>H</v>
      </c>
      <c r="Q629" s="29" t="str">
        <v>H</v>
      </c>
      <c r="R629" s="29" t="str">
        <v>H</v>
      </c>
      <c r="S629" t="str">
        <v>H</v>
      </c>
      <c r="T629" t="str">
        <v>H</v>
      </c>
      <c r="U629" t="str">
        <v>H</v>
      </c>
      <c r="V629" t="str">
        <v>H</v>
      </c>
      <c r="W629" t="str">
        <v>H</v>
      </c>
    </row>
    <row r="630" spans="1:23">
      <c r="A630" s="30">
        <v>44914</v>
      </c>
      <c r="B630" s="29">
        <v>51800</v>
      </c>
      <c r="C630" s="29">
        <v>51500</v>
      </c>
      <c r="D630" s="29">
        <v>52100</v>
      </c>
      <c r="E630" s="29">
        <v>48500</v>
      </c>
      <c r="F630" s="29">
        <v>52800</v>
      </c>
      <c r="G630" s="29" t="str">
        <v>-</v>
      </c>
      <c r="H630" s="29">
        <v>51500</v>
      </c>
      <c r="I630" s="29">
        <v>51900</v>
      </c>
      <c r="J630" s="29">
        <v>53000</v>
      </c>
      <c r="K630" s="29" t="str">
        <v>-</v>
      </c>
      <c r="L630" s="29">
        <v>52300</v>
      </c>
      <c r="M630" s="29">
        <v>52800</v>
      </c>
      <c r="N630" s="29">
        <v>49700</v>
      </c>
      <c r="O630" s="29">
        <v>49700</v>
      </c>
      <c r="P630" s="29">
        <v>47600</v>
      </c>
      <c r="Q630" s="29">
        <v>48100</v>
      </c>
      <c r="R630" s="29">
        <v>48000</v>
      </c>
      <c r="S630">
        <v>51000</v>
      </c>
      <c r="T630">
        <v>50800</v>
      </c>
      <c r="U630">
        <v>51800</v>
      </c>
      <c r="V630">
        <v>53000</v>
      </c>
      <c r="W630">
        <v>55700</v>
      </c>
    </row>
    <row r="631" spans="1:23">
      <c r="A631" s="30">
        <v>44915</v>
      </c>
      <c r="B631" s="29">
        <v>51800</v>
      </c>
      <c r="C631" s="29">
        <v>51500</v>
      </c>
      <c r="D631" s="29">
        <v>52100</v>
      </c>
      <c r="E631" s="29">
        <v>48300</v>
      </c>
      <c r="F631" s="29">
        <v>52800</v>
      </c>
      <c r="G631" s="29" t="str">
        <v>-</v>
      </c>
      <c r="H631" s="29">
        <v>51000</v>
      </c>
      <c r="I631" s="29">
        <v>51800</v>
      </c>
      <c r="J631" s="29">
        <v>52800</v>
      </c>
      <c r="K631" s="29" t="str">
        <v>-</v>
      </c>
      <c r="L631" s="29">
        <v>52200</v>
      </c>
      <c r="M631" s="29">
        <v>52800</v>
      </c>
      <c r="N631" s="29">
        <v>49700</v>
      </c>
      <c r="O631" s="29">
        <v>49200</v>
      </c>
      <c r="P631" s="29">
        <v>47500</v>
      </c>
      <c r="Q631" s="29">
        <v>48000</v>
      </c>
      <c r="R631" s="29">
        <v>47800</v>
      </c>
      <c r="S631">
        <v>50800</v>
      </c>
      <c r="T631">
        <v>50800</v>
      </c>
      <c r="U631">
        <v>51800</v>
      </c>
      <c r="V631">
        <v>52700</v>
      </c>
      <c r="W631">
        <v>55500</v>
      </c>
    </row>
    <row r="632" spans="1:23">
      <c r="A632" s="30">
        <v>44916</v>
      </c>
      <c r="B632" s="29">
        <v>51700</v>
      </c>
      <c r="C632" s="29">
        <v>51300</v>
      </c>
      <c r="D632" s="29">
        <v>51800</v>
      </c>
      <c r="E632" s="29">
        <v>47800</v>
      </c>
      <c r="F632" s="29">
        <v>52600</v>
      </c>
      <c r="G632" s="29" t="str">
        <v>-</v>
      </c>
      <c r="H632" s="29">
        <v>50500</v>
      </c>
      <c r="I632" s="29">
        <v>51700</v>
      </c>
      <c r="J632" s="29">
        <v>52800</v>
      </c>
      <c r="K632" s="29" t="str">
        <v>-</v>
      </c>
      <c r="L632" s="29">
        <v>52000</v>
      </c>
      <c r="M632" s="29">
        <v>52500</v>
      </c>
      <c r="N632" s="29">
        <v>49500</v>
      </c>
      <c r="O632" s="29">
        <v>49000</v>
      </c>
      <c r="P632" s="29">
        <v>47250</v>
      </c>
      <c r="Q632" s="29">
        <v>47700</v>
      </c>
      <c r="R632" s="29">
        <v>47500</v>
      </c>
      <c r="S632">
        <v>50300</v>
      </c>
      <c r="T632">
        <v>50600</v>
      </c>
      <c r="U632">
        <v>51300</v>
      </c>
      <c r="V632">
        <v>52500</v>
      </c>
      <c r="W632">
        <v>55200</v>
      </c>
    </row>
    <row r="633" spans="1:23">
      <c r="A633" s="30">
        <v>44917</v>
      </c>
      <c r="B633" s="29">
        <v>51700</v>
      </c>
      <c r="C633" s="29">
        <v>51300</v>
      </c>
      <c r="D633" s="29">
        <v>51800</v>
      </c>
      <c r="E633" s="29">
        <v>47800</v>
      </c>
      <c r="F633" s="29">
        <v>52600</v>
      </c>
      <c r="G633" s="29" t="str">
        <v>-</v>
      </c>
      <c r="H633" s="29">
        <v>50500</v>
      </c>
      <c r="I633" s="29">
        <v>51700</v>
      </c>
      <c r="J633" s="29">
        <v>52800</v>
      </c>
      <c r="K633" s="29" t="str">
        <v>-</v>
      </c>
      <c r="L633" s="29">
        <v>52200</v>
      </c>
      <c r="M633" s="29">
        <v>52500</v>
      </c>
      <c r="N633" s="29">
        <v>49700</v>
      </c>
      <c r="O633" s="29">
        <v>49000</v>
      </c>
      <c r="P633" s="29">
        <v>47300</v>
      </c>
      <c r="Q633" s="29">
        <v>47900</v>
      </c>
      <c r="R633" s="29">
        <v>47600</v>
      </c>
      <c r="S633">
        <v>50300</v>
      </c>
      <c r="T633">
        <v>50600</v>
      </c>
      <c r="U633">
        <v>51300</v>
      </c>
      <c r="V633">
        <v>52200</v>
      </c>
      <c r="W633">
        <v>55000</v>
      </c>
    </row>
    <row r="634" spans="1:23">
      <c r="A634" s="30">
        <v>44918</v>
      </c>
      <c r="B634" s="29">
        <v>51600</v>
      </c>
      <c r="C634" s="29">
        <v>51200</v>
      </c>
      <c r="D634" s="29">
        <v>51800</v>
      </c>
      <c r="E634" s="29">
        <v>48500</v>
      </c>
      <c r="F634" s="29">
        <v>53300</v>
      </c>
      <c r="G634" s="29" t="str">
        <v>-</v>
      </c>
      <c r="H634" s="29">
        <v>51000</v>
      </c>
      <c r="I634" s="29">
        <v>51700</v>
      </c>
      <c r="J634" s="29">
        <v>53000</v>
      </c>
      <c r="K634" s="29" t="str">
        <v>-</v>
      </c>
      <c r="L634" s="29">
        <v>52200</v>
      </c>
      <c r="M634" s="29">
        <v>52800</v>
      </c>
      <c r="N634" s="29">
        <v>49800</v>
      </c>
      <c r="O634" s="29">
        <v>48700</v>
      </c>
      <c r="P634" s="29">
        <v>47400</v>
      </c>
      <c r="Q634" s="29">
        <v>48400</v>
      </c>
      <c r="R634" s="29">
        <v>47800</v>
      </c>
      <c r="S634">
        <v>51200</v>
      </c>
      <c r="T634">
        <v>50600</v>
      </c>
      <c r="U634">
        <v>51300</v>
      </c>
      <c r="V634">
        <v>52200</v>
      </c>
      <c r="W634">
        <v>55000</v>
      </c>
    </row>
    <row r="635" spans="1:23">
      <c r="A635" s="30">
        <v>44919</v>
      </c>
      <c r="B635" s="29">
        <v>52300</v>
      </c>
      <c r="C635" s="29">
        <v>51500</v>
      </c>
      <c r="D635" s="29">
        <v>52100</v>
      </c>
      <c r="E635" s="29">
        <v>48700</v>
      </c>
      <c r="F635" s="29">
        <v>53300</v>
      </c>
      <c r="G635" s="29" t="str">
        <v>-</v>
      </c>
      <c r="H635" s="29">
        <v>51500</v>
      </c>
      <c r="I635" s="29">
        <v>52600</v>
      </c>
      <c r="J635" s="29">
        <v>53000</v>
      </c>
      <c r="K635" s="29" t="str">
        <v>-</v>
      </c>
      <c r="L635" s="29">
        <v>53000</v>
      </c>
      <c r="M635" s="29">
        <v>52800</v>
      </c>
      <c r="N635" s="29">
        <v>50800</v>
      </c>
      <c r="O635" s="29">
        <v>49600</v>
      </c>
      <c r="P635" s="29">
        <v>48700</v>
      </c>
      <c r="Q635" s="29">
        <v>49000</v>
      </c>
      <c r="R635" s="29">
        <v>48500</v>
      </c>
      <c r="S635">
        <v>51400</v>
      </c>
      <c r="T635">
        <v>51500</v>
      </c>
      <c r="U635">
        <v>52300</v>
      </c>
      <c r="V635">
        <v>52600</v>
      </c>
      <c r="W635">
        <v>55500</v>
      </c>
    </row>
    <row r="636" spans="1:23">
      <c r="A636" s="30">
        <v>44920</v>
      </c>
      <c r="B636" s="29" t="str">
        <v>H</v>
      </c>
      <c r="C636" s="29" t="str">
        <v>H</v>
      </c>
      <c r="D636" s="29" t="str">
        <v>H</v>
      </c>
      <c r="E636" s="29" t="str">
        <v>H</v>
      </c>
      <c r="F636" s="29" t="str">
        <v>H</v>
      </c>
      <c r="G636" s="29" t="str">
        <v>H</v>
      </c>
      <c r="H636" s="29" t="str">
        <v>H</v>
      </c>
      <c r="I636" s="29" t="str">
        <v>H</v>
      </c>
      <c r="J636" s="29" t="str">
        <v>H</v>
      </c>
      <c r="K636" s="29" t="str">
        <v>H</v>
      </c>
      <c r="L636" s="29" t="str">
        <v>H</v>
      </c>
      <c r="M636" s="29" t="str">
        <v>H</v>
      </c>
      <c r="N636" s="29" t="str">
        <v>H</v>
      </c>
      <c r="O636" s="29" t="str">
        <v>H</v>
      </c>
      <c r="P636" s="29" t="str">
        <v>H</v>
      </c>
      <c r="Q636" s="29" t="str">
        <v>H</v>
      </c>
      <c r="R636" s="29" t="str">
        <v>H</v>
      </c>
      <c r="S636" t="str">
        <v>H</v>
      </c>
      <c r="T636" t="str">
        <v>H</v>
      </c>
      <c r="U636" t="str">
        <v>H</v>
      </c>
      <c r="V636" t="str">
        <v>H</v>
      </c>
      <c r="W636" t="str">
        <v>H</v>
      </c>
    </row>
    <row r="637" spans="1:23">
      <c r="A637" s="30">
        <v>44921</v>
      </c>
      <c r="B637" s="29">
        <v>52700</v>
      </c>
      <c r="C637" s="29">
        <v>51800</v>
      </c>
      <c r="D637" s="29">
        <v>52400</v>
      </c>
      <c r="E637" s="29">
        <v>50000</v>
      </c>
      <c r="F637" s="29">
        <v>54300</v>
      </c>
      <c r="G637" s="29" t="str">
        <v>-</v>
      </c>
      <c r="H637" s="29">
        <v>51500</v>
      </c>
      <c r="I637" s="29">
        <v>53200</v>
      </c>
      <c r="J637" s="29">
        <v>54500</v>
      </c>
      <c r="K637" s="29" t="str">
        <v>-</v>
      </c>
      <c r="L637" s="29">
        <v>53600</v>
      </c>
      <c r="M637" s="29">
        <v>53600</v>
      </c>
      <c r="N637" s="29">
        <v>51300</v>
      </c>
      <c r="O637" s="29">
        <v>50900</v>
      </c>
      <c r="P637" s="29">
        <v>49200</v>
      </c>
      <c r="Q637" s="29">
        <v>49500</v>
      </c>
      <c r="R637" s="29">
        <v>49000</v>
      </c>
      <c r="S637">
        <v>52500</v>
      </c>
      <c r="T637">
        <v>52000</v>
      </c>
      <c r="U637">
        <v>52800</v>
      </c>
      <c r="V637">
        <v>53200</v>
      </c>
      <c r="W637">
        <v>55800</v>
      </c>
    </row>
    <row r="638" spans="1:23">
      <c r="A638" s="30">
        <v>44922</v>
      </c>
      <c r="B638" s="29">
        <v>53400</v>
      </c>
      <c r="C638" s="29">
        <v>52000</v>
      </c>
      <c r="D638" s="29">
        <v>53700</v>
      </c>
      <c r="E638" s="29">
        <v>50200</v>
      </c>
      <c r="F638" s="29">
        <v>54600</v>
      </c>
      <c r="G638" s="29" t="str">
        <v>-</v>
      </c>
      <c r="H638" s="29">
        <v>52500</v>
      </c>
      <c r="I638" s="29">
        <v>54000</v>
      </c>
      <c r="J638" s="29">
        <v>54500</v>
      </c>
      <c r="K638" s="29" t="str">
        <v>-</v>
      </c>
      <c r="L638" s="29">
        <v>54000</v>
      </c>
      <c r="M638" s="29">
        <v>54600</v>
      </c>
      <c r="N638" s="29">
        <v>52300</v>
      </c>
      <c r="O638" s="29">
        <v>51000</v>
      </c>
      <c r="P638" s="29">
        <v>50100</v>
      </c>
      <c r="Q638" s="29">
        <v>50000</v>
      </c>
      <c r="R638" s="29">
        <v>49800</v>
      </c>
      <c r="S638">
        <v>52700</v>
      </c>
      <c r="T638">
        <v>53000</v>
      </c>
      <c r="U638">
        <v>52800</v>
      </c>
      <c r="V638">
        <v>53800</v>
      </c>
      <c r="W638">
        <v>56200</v>
      </c>
    </row>
    <row r="639" spans="1:23">
      <c r="A639" s="30">
        <v>44923</v>
      </c>
      <c r="B639" s="29">
        <v>53400</v>
      </c>
      <c r="C639" s="29">
        <v>52500</v>
      </c>
      <c r="D639" s="29">
        <v>54500</v>
      </c>
      <c r="E639" s="29">
        <v>50200</v>
      </c>
      <c r="F639" s="29">
        <v>54800</v>
      </c>
      <c r="G639" s="29" t="str">
        <v>-</v>
      </c>
      <c r="H639" s="29">
        <v>52500</v>
      </c>
      <c r="I639" s="29">
        <v>54300</v>
      </c>
      <c r="J639" s="29">
        <v>54800</v>
      </c>
      <c r="K639" s="29" t="str">
        <v>-</v>
      </c>
      <c r="L639" s="29">
        <v>54400</v>
      </c>
      <c r="M639" s="29">
        <v>54600</v>
      </c>
      <c r="N639" s="29">
        <v>53100</v>
      </c>
      <c r="O639" s="29">
        <v>51000</v>
      </c>
      <c r="P639" s="29">
        <v>50000</v>
      </c>
      <c r="Q639" s="29">
        <v>50300</v>
      </c>
      <c r="R639" s="29">
        <v>50000</v>
      </c>
      <c r="S639">
        <v>52700</v>
      </c>
      <c r="T639">
        <v>53000</v>
      </c>
      <c r="U639">
        <v>52800</v>
      </c>
      <c r="V639">
        <v>53800</v>
      </c>
      <c r="W639">
        <v>56200</v>
      </c>
    </row>
    <row r="640" spans="1:23">
      <c r="A640" s="30">
        <v>44924</v>
      </c>
      <c r="B640" s="29">
        <v>53400</v>
      </c>
      <c r="C640" s="29">
        <v>52500</v>
      </c>
      <c r="D640" s="29">
        <v>54500</v>
      </c>
      <c r="E640" s="29">
        <v>50300</v>
      </c>
      <c r="F640" s="29">
        <v>55100</v>
      </c>
      <c r="G640" s="29" t="str">
        <v>-</v>
      </c>
      <c r="H640" s="29">
        <v>52500</v>
      </c>
      <c r="I640" s="29">
        <v>54300</v>
      </c>
      <c r="J640" s="29">
        <v>54800</v>
      </c>
      <c r="K640" s="29" t="str">
        <v>-</v>
      </c>
      <c r="L640" s="29">
        <v>54400</v>
      </c>
      <c r="M640" s="29">
        <v>54900</v>
      </c>
      <c r="N640" s="29">
        <v>52800</v>
      </c>
      <c r="O640" s="29">
        <v>51000</v>
      </c>
      <c r="P640" s="29">
        <v>50000</v>
      </c>
      <c r="Q640" s="29">
        <v>50700</v>
      </c>
      <c r="R640" s="29">
        <v>50000</v>
      </c>
      <c r="S640">
        <v>52800</v>
      </c>
      <c r="T640">
        <v>53500</v>
      </c>
      <c r="U640">
        <v>52800</v>
      </c>
      <c r="V640">
        <v>53800</v>
      </c>
      <c r="W640">
        <v>56200</v>
      </c>
    </row>
    <row r="641" spans="1:23">
      <c r="A641" s="30">
        <v>44925</v>
      </c>
      <c r="B641" s="29">
        <v>53600</v>
      </c>
      <c r="C641" s="29">
        <v>52500</v>
      </c>
      <c r="D641" s="29">
        <v>54800</v>
      </c>
      <c r="E641" s="29">
        <v>50500</v>
      </c>
      <c r="F641" s="29">
        <v>55100</v>
      </c>
      <c r="G641" s="29" t="str">
        <v>-</v>
      </c>
      <c r="H641" s="29">
        <v>52500</v>
      </c>
      <c r="I641" s="29">
        <v>54300</v>
      </c>
      <c r="J641" s="29">
        <v>54800</v>
      </c>
      <c r="K641" s="29" t="str">
        <v>-</v>
      </c>
      <c r="L641" s="29">
        <v>54300</v>
      </c>
      <c r="M641" s="29">
        <v>54900</v>
      </c>
      <c r="N641" s="29">
        <v>53000</v>
      </c>
      <c r="O641" s="29">
        <v>51500</v>
      </c>
      <c r="P641" s="29">
        <v>50000</v>
      </c>
      <c r="Q641" s="29">
        <v>50600</v>
      </c>
      <c r="R641" s="29">
        <v>50000</v>
      </c>
      <c r="S641">
        <v>53000</v>
      </c>
      <c r="T641">
        <v>53200</v>
      </c>
      <c r="U641">
        <v>52800</v>
      </c>
      <c r="V641">
        <v>53800</v>
      </c>
      <c r="W641">
        <v>56200</v>
      </c>
    </row>
    <row r="642" spans="1:23">
      <c r="A642" s="30">
        <v>44926</v>
      </c>
      <c r="B642" s="29">
        <v>54300</v>
      </c>
      <c r="C642" s="29">
        <v>52500</v>
      </c>
      <c r="D642" s="29">
        <v>55100</v>
      </c>
      <c r="E642" s="29">
        <v>50800</v>
      </c>
      <c r="F642" s="29">
        <v>55300</v>
      </c>
      <c r="G642" s="29" t="str">
        <v>-</v>
      </c>
      <c r="H642" s="29">
        <v>53000</v>
      </c>
      <c r="I642" s="29">
        <v>55000</v>
      </c>
      <c r="J642" s="29">
        <v>55800</v>
      </c>
      <c r="K642" s="29" t="str">
        <v>-</v>
      </c>
      <c r="L642" s="29">
        <v>54700</v>
      </c>
      <c r="M642" s="29">
        <v>55500</v>
      </c>
      <c r="N642" s="29">
        <v>53300</v>
      </c>
      <c r="O642" s="29">
        <v>51900</v>
      </c>
      <c r="P642" s="29">
        <v>51000</v>
      </c>
      <c r="Q642" s="29">
        <v>51200</v>
      </c>
      <c r="R642" s="29">
        <v>50800</v>
      </c>
      <c r="S642">
        <v>53300</v>
      </c>
      <c r="T642">
        <v>53700</v>
      </c>
      <c r="U642">
        <v>53600</v>
      </c>
      <c r="V642">
        <v>54500</v>
      </c>
      <c r="W642">
        <v>56600</v>
      </c>
    </row>
    <row r="643" spans="1:23">
      <c r="A643" s="30">
        <v>44927</v>
      </c>
      <c r="B643" s="29" t="str">
        <v>H</v>
      </c>
      <c r="C643" s="29" t="str">
        <v>H</v>
      </c>
      <c r="D643" s="29" t="str">
        <v>H</v>
      </c>
      <c r="E643" s="29" t="str">
        <v>H</v>
      </c>
      <c r="F643" s="29" t="str">
        <v>H</v>
      </c>
      <c r="G643" s="29" t="str">
        <v>H</v>
      </c>
      <c r="H643" s="29" t="str">
        <v>H</v>
      </c>
      <c r="I643" s="29" t="str">
        <v>H</v>
      </c>
      <c r="J643" s="29" t="str">
        <v>H</v>
      </c>
      <c r="K643" s="29" t="str">
        <v>H</v>
      </c>
      <c r="L643" s="29" t="str">
        <v>H</v>
      </c>
      <c r="M643" s="29" t="str">
        <v>H</v>
      </c>
      <c r="N643" s="29" t="str">
        <v>H</v>
      </c>
      <c r="O643" s="29" t="str">
        <v>H</v>
      </c>
      <c r="P643" s="29" t="str">
        <v>H</v>
      </c>
      <c r="Q643" s="29" t="str">
        <v>H</v>
      </c>
      <c r="R643" s="29" t="str">
        <v>H</v>
      </c>
      <c r="S643" t="str">
        <v>H</v>
      </c>
      <c r="T643" t="str">
        <v>H</v>
      </c>
      <c r="U643" t="str">
        <v>H</v>
      </c>
      <c r="V643" t="str">
        <v>H</v>
      </c>
      <c r="W643" t="str">
        <v>H</v>
      </c>
    </row>
    <row r="644" spans="1:23">
      <c r="A644" s="30">
        <v>44928</v>
      </c>
      <c r="B644" s="29">
        <v>55200</v>
      </c>
      <c r="C644" s="29">
        <v>52700</v>
      </c>
      <c r="D644" s="29">
        <v>55700</v>
      </c>
      <c r="E644" s="29">
        <v>51700</v>
      </c>
      <c r="F644" s="29">
        <v>56300</v>
      </c>
      <c r="G644" s="29" t="str">
        <v>-</v>
      </c>
      <c r="H644" s="29">
        <v>53500</v>
      </c>
      <c r="I644" s="29">
        <v>55000</v>
      </c>
      <c r="J644" s="29">
        <v>56500</v>
      </c>
      <c r="K644" s="29" t="str">
        <v>-</v>
      </c>
      <c r="L644" s="29">
        <v>55100</v>
      </c>
      <c r="M644" s="29">
        <v>56200</v>
      </c>
      <c r="N644" s="29">
        <v>54000</v>
      </c>
      <c r="O644" s="29">
        <v>52500</v>
      </c>
      <c r="P644" s="29">
        <v>51550</v>
      </c>
      <c r="Q644" s="29">
        <v>51700</v>
      </c>
      <c r="R644" s="29">
        <v>51500</v>
      </c>
      <c r="S644">
        <v>54500</v>
      </c>
      <c r="T644">
        <v>54300</v>
      </c>
      <c r="U644">
        <v>54300</v>
      </c>
      <c r="V644">
        <v>55100</v>
      </c>
      <c r="W644">
        <v>56800</v>
      </c>
    </row>
    <row r="645" spans="1:23">
      <c r="A645" s="30">
        <v>44929</v>
      </c>
      <c r="B645" s="29">
        <v>55200</v>
      </c>
      <c r="C645" s="29">
        <v>53000</v>
      </c>
      <c r="D645" s="29">
        <v>55700</v>
      </c>
      <c r="E645" s="29">
        <v>51800</v>
      </c>
      <c r="F645" s="29">
        <v>56300</v>
      </c>
      <c r="G645" s="29" t="str">
        <v>-</v>
      </c>
      <c r="H645" s="29">
        <v>54000</v>
      </c>
      <c r="I645" s="29">
        <v>55400</v>
      </c>
      <c r="J645" s="29">
        <v>56500</v>
      </c>
      <c r="K645" s="29" t="str">
        <v>-</v>
      </c>
      <c r="L645" s="29">
        <v>55100</v>
      </c>
      <c r="M645" s="29">
        <v>56500</v>
      </c>
      <c r="N645" s="29">
        <v>54000</v>
      </c>
      <c r="O645" s="29">
        <v>52500</v>
      </c>
      <c r="P645" s="29">
        <v>51700</v>
      </c>
      <c r="Q645" s="29">
        <v>51500</v>
      </c>
      <c r="R645" s="29">
        <v>51300</v>
      </c>
      <c r="S645">
        <v>54300</v>
      </c>
      <c r="T645">
        <v>54300</v>
      </c>
      <c r="U645">
        <v>54300</v>
      </c>
      <c r="V645">
        <v>55300</v>
      </c>
      <c r="W645">
        <v>57000</v>
      </c>
    </row>
    <row r="646" spans="1:23">
      <c r="A646" s="30">
        <v>44930</v>
      </c>
      <c r="B646" s="29">
        <v>55200</v>
      </c>
      <c r="C646" s="29">
        <v>53000</v>
      </c>
      <c r="D646" s="29">
        <v>55500</v>
      </c>
      <c r="E646" s="29">
        <v>51500</v>
      </c>
      <c r="F646" s="29">
        <v>56300</v>
      </c>
      <c r="G646" s="29" t="str">
        <v>-</v>
      </c>
      <c r="H646" s="29">
        <v>53500</v>
      </c>
      <c r="I646" s="29">
        <v>55200</v>
      </c>
      <c r="J646" s="29">
        <v>56500</v>
      </c>
      <c r="K646" s="29" t="str">
        <v>-</v>
      </c>
      <c r="L646" s="29">
        <v>54700</v>
      </c>
      <c r="M646" s="29">
        <v>56500</v>
      </c>
      <c r="N646" s="29">
        <v>54000</v>
      </c>
      <c r="O646" s="29">
        <v>52500</v>
      </c>
      <c r="P646" s="29">
        <v>51200</v>
      </c>
      <c r="Q646" s="29">
        <v>51200</v>
      </c>
      <c r="R646" s="29">
        <v>51100</v>
      </c>
      <c r="S646">
        <v>54000</v>
      </c>
      <c r="T646">
        <v>54300</v>
      </c>
      <c r="U646">
        <v>54300</v>
      </c>
      <c r="V646">
        <v>55300</v>
      </c>
      <c r="W646">
        <v>57000</v>
      </c>
    </row>
    <row r="647" spans="1:23">
      <c r="A647" s="30">
        <v>44931</v>
      </c>
      <c r="B647" s="29">
        <v>55200</v>
      </c>
      <c r="C647" s="29">
        <v>53000</v>
      </c>
      <c r="D647" s="29">
        <v>55500</v>
      </c>
      <c r="E647" s="29">
        <v>51500</v>
      </c>
      <c r="F647" s="29">
        <v>55900</v>
      </c>
      <c r="G647" s="29" t="str">
        <v>-</v>
      </c>
      <c r="H647" s="29">
        <v>53500</v>
      </c>
      <c r="I647" s="29">
        <v>55500</v>
      </c>
      <c r="J647" s="29">
        <v>56500</v>
      </c>
      <c r="K647" s="29" t="str">
        <v>-</v>
      </c>
      <c r="L647" s="29">
        <v>55000</v>
      </c>
      <c r="M647" s="29">
        <v>56500</v>
      </c>
      <c r="N647" s="29">
        <v>54200</v>
      </c>
      <c r="O647" s="29">
        <v>52500</v>
      </c>
      <c r="P647" s="29">
        <v>51500</v>
      </c>
      <c r="Q647" s="29">
        <v>51500</v>
      </c>
      <c r="R647" s="29">
        <v>51500</v>
      </c>
      <c r="S647">
        <v>54000</v>
      </c>
      <c r="T647">
        <v>54700</v>
      </c>
      <c r="U647">
        <v>54300</v>
      </c>
      <c r="V647">
        <v>55300</v>
      </c>
      <c r="W647">
        <v>57000</v>
      </c>
    </row>
    <row r="648" spans="1:23">
      <c r="A648" s="30">
        <v>44932</v>
      </c>
      <c r="B648" s="29">
        <v>55200</v>
      </c>
      <c r="C648" s="29">
        <v>52800</v>
      </c>
      <c r="D648" s="29">
        <v>55500</v>
      </c>
      <c r="E648" s="29">
        <v>51500</v>
      </c>
      <c r="F648" s="29">
        <v>55800</v>
      </c>
      <c r="G648" s="29" t="str">
        <v>-</v>
      </c>
      <c r="H648" s="29">
        <v>53000</v>
      </c>
      <c r="I648" s="29">
        <v>55000</v>
      </c>
      <c r="J648" s="29">
        <v>56300</v>
      </c>
      <c r="K648" s="29" t="str">
        <v>-</v>
      </c>
      <c r="L648" s="29">
        <v>54700</v>
      </c>
      <c r="M648" s="29">
        <v>56500</v>
      </c>
      <c r="N648" s="29">
        <v>53600</v>
      </c>
      <c r="O648" s="29">
        <v>52300</v>
      </c>
      <c r="P648" s="29">
        <v>51200</v>
      </c>
      <c r="Q648" s="29">
        <v>51200</v>
      </c>
      <c r="R648" s="29">
        <v>51200</v>
      </c>
      <c r="S648">
        <v>54000</v>
      </c>
      <c r="T648">
        <v>54500</v>
      </c>
      <c r="U648">
        <v>54300</v>
      </c>
      <c r="V648">
        <v>55300</v>
      </c>
      <c r="W648">
        <v>57000</v>
      </c>
    </row>
    <row r="649" spans="1:23">
      <c r="A649" s="30">
        <v>44933</v>
      </c>
      <c r="B649" s="29">
        <v>55200</v>
      </c>
      <c r="C649" s="29">
        <v>53000</v>
      </c>
      <c r="D649" s="29">
        <v>55600</v>
      </c>
      <c r="E649" s="29">
        <v>51500</v>
      </c>
      <c r="F649" s="29">
        <v>55800</v>
      </c>
      <c r="G649" s="29" t="str">
        <v>-</v>
      </c>
      <c r="H649" s="29">
        <v>53000</v>
      </c>
      <c r="I649" s="29">
        <v>55000</v>
      </c>
      <c r="J649" s="29">
        <v>56200</v>
      </c>
      <c r="K649" s="29" t="str">
        <v>-</v>
      </c>
      <c r="L649" s="29">
        <v>54400</v>
      </c>
      <c r="M649" s="29">
        <v>56500</v>
      </c>
      <c r="N649" s="29">
        <v>53600</v>
      </c>
      <c r="O649" s="29">
        <v>52300</v>
      </c>
      <c r="P649" s="29">
        <v>51200</v>
      </c>
      <c r="Q649" s="29">
        <v>51200</v>
      </c>
      <c r="R649" s="29">
        <v>51000</v>
      </c>
      <c r="S649">
        <v>54000</v>
      </c>
      <c r="T649">
        <v>54500</v>
      </c>
      <c r="U649">
        <v>54300</v>
      </c>
      <c r="V649">
        <v>55100</v>
      </c>
      <c r="W649">
        <v>57000</v>
      </c>
    </row>
    <row r="650" spans="1:23">
      <c r="A650" s="30">
        <v>44934</v>
      </c>
      <c r="B650" s="29" t="str">
        <v>H</v>
      </c>
      <c r="C650" s="29" t="str">
        <v>H</v>
      </c>
      <c r="D650" s="29" t="str">
        <v>H</v>
      </c>
      <c r="E650" s="29" t="str">
        <v>H</v>
      </c>
      <c r="F650" s="29" t="str">
        <v>H</v>
      </c>
      <c r="G650" s="29" t="str">
        <v>H</v>
      </c>
      <c r="H650" s="29" t="str">
        <v>H</v>
      </c>
      <c r="I650" s="29" t="str">
        <v>H</v>
      </c>
      <c r="J650" s="29" t="str">
        <v>H</v>
      </c>
      <c r="K650" s="29" t="str">
        <v>H</v>
      </c>
      <c r="L650" s="29" t="str">
        <v>H</v>
      </c>
      <c r="M650" s="29" t="str">
        <v>H</v>
      </c>
      <c r="N650" s="29" t="str">
        <v>H</v>
      </c>
      <c r="O650" s="29" t="str">
        <v>H</v>
      </c>
      <c r="P650" s="29" t="str">
        <v>H</v>
      </c>
      <c r="Q650" s="29" t="str">
        <v>H</v>
      </c>
      <c r="R650" s="29" t="str">
        <v>H</v>
      </c>
      <c r="S650" t="str">
        <v>H</v>
      </c>
      <c r="T650" t="str">
        <v>H</v>
      </c>
      <c r="U650" t="str">
        <v>H</v>
      </c>
      <c r="V650" t="str">
        <v>H</v>
      </c>
      <c r="W650" t="str">
        <v>H</v>
      </c>
    </row>
    <row r="651" spans="1:23">
      <c r="A651" s="30">
        <v>44935</v>
      </c>
      <c r="B651" s="29">
        <v>55000</v>
      </c>
      <c r="C651" s="29">
        <v>53000</v>
      </c>
      <c r="D651" s="29">
        <v>55200</v>
      </c>
      <c r="E651" s="29">
        <v>51100</v>
      </c>
      <c r="F651" s="29">
        <v>54900</v>
      </c>
      <c r="G651" s="29" t="str">
        <v>-</v>
      </c>
      <c r="H651" s="29">
        <v>53000</v>
      </c>
      <c r="I651" s="29">
        <v>54600</v>
      </c>
      <c r="J651" s="29">
        <v>55900</v>
      </c>
      <c r="K651" s="29" t="str">
        <v>-</v>
      </c>
      <c r="L651" s="29">
        <v>54100</v>
      </c>
      <c r="M651" s="29">
        <v>55800</v>
      </c>
      <c r="N651" s="29">
        <v>52800</v>
      </c>
      <c r="O651" s="29">
        <v>52200</v>
      </c>
      <c r="P651" s="29">
        <v>50800</v>
      </c>
      <c r="Q651" s="29">
        <v>50900</v>
      </c>
      <c r="R651" s="29">
        <v>50800</v>
      </c>
      <c r="S651">
        <v>53600</v>
      </c>
      <c r="T651">
        <v>54000</v>
      </c>
      <c r="U651">
        <v>54300</v>
      </c>
      <c r="V651">
        <v>54900</v>
      </c>
      <c r="W651">
        <v>57000</v>
      </c>
    </row>
    <row r="652" spans="1:23">
      <c r="A652" s="30">
        <v>44936</v>
      </c>
      <c r="B652" s="29">
        <v>55000</v>
      </c>
      <c r="C652" s="29">
        <v>53300</v>
      </c>
      <c r="D652" s="29">
        <v>54800</v>
      </c>
      <c r="E652" s="29">
        <v>50700</v>
      </c>
      <c r="F652" s="29">
        <v>54800</v>
      </c>
      <c r="G652" s="29" t="str">
        <v>-</v>
      </c>
      <c r="H652" s="29">
        <v>53000</v>
      </c>
      <c r="I652" s="29">
        <v>54300</v>
      </c>
      <c r="J652" s="29">
        <v>55500</v>
      </c>
      <c r="K652" s="29" t="str">
        <v>-</v>
      </c>
      <c r="L652" s="29">
        <v>53800</v>
      </c>
      <c r="M652" s="29">
        <v>55600</v>
      </c>
      <c r="N652" s="29">
        <v>52600</v>
      </c>
      <c r="O652" s="29">
        <v>52200</v>
      </c>
      <c r="P652" s="29">
        <v>50600</v>
      </c>
      <c r="Q652" s="29">
        <v>50800</v>
      </c>
      <c r="R652" s="29">
        <v>50700</v>
      </c>
      <c r="S652">
        <v>53200</v>
      </c>
      <c r="T652">
        <v>53800</v>
      </c>
      <c r="U652">
        <v>54300</v>
      </c>
      <c r="V652">
        <v>54500</v>
      </c>
      <c r="W652">
        <v>56800</v>
      </c>
    </row>
    <row r="653" spans="1:23">
      <c r="A653" s="30">
        <v>44937</v>
      </c>
      <c r="B653" s="29">
        <v>55500</v>
      </c>
      <c r="C653" s="29">
        <v>53300</v>
      </c>
      <c r="D653" s="29">
        <v>54800</v>
      </c>
      <c r="E653" s="29">
        <v>51400</v>
      </c>
      <c r="F653" s="29">
        <v>55100</v>
      </c>
      <c r="G653" s="29" t="str">
        <v>-</v>
      </c>
      <c r="H653" s="29">
        <v>53000</v>
      </c>
      <c r="I653" s="29">
        <v>54300</v>
      </c>
      <c r="J653" s="29">
        <v>56200</v>
      </c>
      <c r="K653" s="29" t="str">
        <v>-</v>
      </c>
      <c r="L653" s="29">
        <v>53800</v>
      </c>
      <c r="M653" s="29">
        <v>55900</v>
      </c>
      <c r="N653" s="29">
        <v>53200</v>
      </c>
      <c r="O653" s="29">
        <v>52200</v>
      </c>
      <c r="P653" s="29">
        <v>50800</v>
      </c>
      <c r="Q653" s="29">
        <v>51600</v>
      </c>
      <c r="R653" s="29">
        <v>51000</v>
      </c>
      <c r="S653">
        <v>53900</v>
      </c>
      <c r="T653">
        <v>54000</v>
      </c>
      <c r="U653">
        <v>54300</v>
      </c>
      <c r="V653">
        <v>54700</v>
      </c>
      <c r="W653">
        <v>56800</v>
      </c>
    </row>
    <row r="654" spans="1:23">
      <c r="A654" s="30">
        <v>44938</v>
      </c>
      <c r="B654" s="29">
        <v>56100</v>
      </c>
      <c r="C654" s="29">
        <v>53500</v>
      </c>
      <c r="D654" s="29">
        <v>55200</v>
      </c>
      <c r="E654" s="29">
        <v>51700</v>
      </c>
      <c r="F654" s="29">
        <v>55300</v>
      </c>
      <c r="G654" s="29" t="str">
        <v>-</v>
      </c>
      <c r="H654" s="29">
        <v>53500</v>
      </c>
      <c r="I654" s="29">
        <v>55000</v>
      </c>
      <c r="J654" s="29">
        <v>56500</v>
      </c>
      <c r="K654" s="29" t="str">
        <v>-</v>
      </c>
      <c r="L654" s="29">
        <v>54500</v>
      </c>
      <c r="M654" s="29">
        <v>56300</v>
      </c>
      <c r="N654" s="29">
        <v>53500</v>
      </c>
      <c r="O654" s="29">
        <v>52700</v>
      </c>
      <c r="P654" s="29">
        <v>51350</v>
      </c>
      <c r="Q654" s="29">
        <v>51800</v>
      </c>
      <c r="R654" s="29">
        <v>51300</v>
      </c>
      <c r="S654">
        <v>54200</v>
      </c>
      <c r="T654">
        <v>54400</v>
      </c>
      <c r="U654">
        <v>54300</v>
      </c>
      <c r="V654">
        <v>55100</v>
      </c>
      <c r="W654">
        <v>57500</v>
      </c>
    </row>
    <row r="655" spans="1:23">
      <c r="A655" s="30">
        <v>44939</v>
      </c>
      <c r="B655" s="29">
        <v>56300</v>
      </c>
      <c r="C655" s="29">
        <v>53800</v>
      </c>
      <c r="D655" s="29">
        <v>55500</v>
      </c>
      <c r="E655" s="29">
        <v>52300</v>
      </c>
      <c r="F655" s="29">
        <v>55300</v>
      </c>
      <c r="G655" s="29" t="str">
        <v>-</v>
      </c>
      <c r="H655" s="29">
        <v>54000</v>
      </c>
      <c r="I655" s="29">
        <v>55500</v>
      </c>
      <c r="J655" s="29">
        <v>56800</v>
      </c>
      <c r="K655" s="29" t="str">
        <v>-</v>
      </c>
      <c r="L655" s="29">
        <v>54800</v>
      </c>
      <c r="M655" s="29">
        <v>56700</v>
      </c>
      <c r="N655" s="29">
        <v>54000</v>
      </c>
      <c r="O655" s="29">
        <v>53000</v>
      </c>
      <c r="P655" s="29">
        <v>52000</v>
      </c>
      <c r="Q655" s="29">
        <v>52300</v>
      </c>
      <c r="R655" s="29">
        <v>51800</v>
      </c>
      <c r="S655">
        <v>55000</v>
      </c>
      <c r="T655">
        <v>55000</v>
      </c>
      <c r="U655">
        <v>54800</v>
      </c>
      <c r="V655">
        <v>55300</v>
      </c>
      <c r="W655">
        <v>57800</v>
      </c>
    </row>
    <row r="656" spans="1:23">
      <c r="A656" s="30">
        <v>44940</v>
      </c>
      <c r="B656" s="29" t="str">
        <v>-</v>
      </c>
      <c r="C656" s="29">
        <v>53800</v>
      </c>
      <c r="D656" s="29">
        <v>55700</v>
      </c>
      <c r="E656" s="29">
        <v>52500</v>
      </c>
      <c r="F656" s="29">
        <v>55900</v>
      </c>
      <c r="G656" s="29" t="str">
        <v>-</v>
      </c>
      <c r="H656" s="29">
        <v>54000</v>
      </c>
      <c r="I656" s="29">
        <v>55500</v>
      </c>
      <c r="J656" s="29">
        <v>56800</v>
      </c>
      <c r="K656" s="29" t="str">
        <v>-</v>
      </c>
      <c r="L656" s="29">
        <v>55100</v>
      </c>
      <c r="M656" s="29">
        <v>57100</v>
      </c>
      <c r="N656" s="29">
        <v>54000</v>
      </c>
      <c r="O656" s="29">
        <v>53300</v>
      </c>
      <c r="P656" s="29">
        <v>52300</v>
      </c>
      <c r="Q656" s="29">
        <v>52500</v>
      </c>
      <c r="R656" s="29">
        <v>52300</v>
      </c>
      <c r="S656">
        <v>55200</v>
      </c>
      <c r="T656">
        <v>55300</v>
      </c>
      <c r="U656">
        <v>54800</v>
      </c>
      <c r="V656">
        <v>55400</v>
      </c>
      <c r="W656">
        <v>58000</v>
      </c>
    </row>
    <row r="657" spans="1:23">
      <c r="A657" s="30">
        <v>44941</v>
      </c>
      <c r="B657" s="29" t="str">
        <v>H</v>
      </c>
      <c r="C657" s="29" t="str">
        <v>H</v>
      </c>
      <c r="D657" s="29" t="str">
        <v>H</v>
      </c>
      <c r="E657" s="29" t="str">
        <v>H</v>
      </c>
      <c r="F657" s="29" t="str">
        <v>H</v>
      </c>
      <c r="G657" s="29" t="str">
        <v>H</v>
      </c>
      <c r="H657" s="29" t="str">
        <v>H</v>
      </c>
      <c r="I657" s="29" t="str">
        <v>H</v>
      </c>
      <c r="J657" s="29" t="str">
        <v>H</v>
      </c>
      <c r="K657" s="29" t="str">
        <v>H</v>
      </c>
      <c r="L657" s="29" t="str">
        <v>H</v>
      </c>
      <c r="M657" s="29" t="str">
        <v>H</v>
      </c>
      <c r="N657" s="29" t="str">
        <v>H</v>
      </c>
      <c r="O657" s="29" t="str">
        <v>H</v>
      </c>
      <c r="P657" s="29" t="str">
        <v>H</v>
      </c>
      <c r="Q657" s="29" t="str">
        <v>H</v>
      </c>
      <c r="R657" s="29" t="str">
        <v>H</v>
      </c>
      <c r="S657" t="str">
        <v>H</v>
      </c>
      <c r="T657" t="str">
        <v>H</v>
      </c>
      <c r="U657" t="str">
        <v>H</v>
      </c>
      <c r="V657" t="str">
        <v>H</v>
      </c>
      <c r="W657" t="str">
        <v>H</v>
      </c>
    </row>
    <row r="658" spans="1:23">
      <c r="A658" s="30">
        <v>44942</v>
      </c>
      <c r="B658" s="29">
        <v>56800</v>
      </c>
      <c r="C658" s="29">
        <v>54000</v>
      </c>
      <c r="D658" s="29">
        <v>56000</v>
      </c>
      <c r="E658" s="29">
        <v>53500</v>
      </c>
      <c r="F658" s="29">
        <v>56500</v>
      </c>
      <c r="G658" s="29" t="str">
        <v>-</v>
      </c>
      <c r="H658" s="29">
        <v>54500</v>
      </c>
      <c r="I658" s="29">
        <v>55900</v>
      </c>
      <c r="J658" s="29">
        <v>57500</v>
      </c>
      <c r="K658" s="29" t="str">
        <v>-</v>
      </c>
      <c r="L658" s="29">
        <v>55200</v>
      </c>
      <c r="M658" s="29">
        <v>57500</v>
      </c>
      <c r="N658" s="29">
        <v>54600</v>
      </c>
      <c r="O658" s="29">
        <v>54300</v>
      </c>
      <c r="P658" s="29">
        <v>52500</v>
      </c>
      <c r="Q658" s="29">
        <v>52700</v>
      </c>
      <c r="R658" s="29">
        <v>52500</v>
      </c>
      <c r="S658">
        <v>56200</v>
      </c>
      <c r="T658">
        <v>55500</v>
      </c>
      <c r="U658">
        <v>54800</v>
      </c>
      <c r="V658">
        <v>56300</v>
      </c>
      <c r="W658">
        <v>58400</v>
      </c>
    </row>
    <row r="659" spans="1:23">
      <c r="A659" s="30">
        <v>44943</v>
      </c>
      <c r="B659" s="29">
        <v>56800</v>
      </c>
      <c r="C659" s="29">
        <v>54000</v>
      </c>
      <c r="D659" s="29">
        <v>56000</v>
      </c>
      <c r="E659" s="29">
        <v>52500</v>
      </c>
      <c r="F659" s="29">
        <v>56500</v>
      </c>
      <c r="G659" s="29" t="str">
        <v>-</v>
      </c>
      <c r="H659" s="29">
        <v>54500</v>
      </c>
      <c r="I659" s="29">
        <v>55700</v>
      </c>
      <c r="J659" s="29">
        <v>57500</v>
      </c>
      <c r="K659" s="29" t="str">
        <v>-</v>
      </c>
      <c r="L659" s="29">
        <v>55000</v>
      </c>
      <c r="M659" s="29">
        <v>57500</v>
      </c>
      <c r="N659" s="29">
        <v>54200</v>
      </c>
      <c r="O659" s="29">
        <v>54100</v>
      </c>
      <c r="P659" s="29">
        <v>52000</v>
      </c>
      <c r="Q659" s="29">
        <v>52700</v>
      </c>
      <c r="R659" s="29">
        <v>52200</v>
      </c>
      <c r="S659">
        <v>55200</v>
      </c>
      <c r="T659">
        <v>55500</v>
      </c>
      <c r="U659">
        <v>54800</v>
      </c>
      <c r="V659">
        <v>56300</v>
      </c>
      <c r="W659">
        <v>58400</v>
      </c>
    </row>
    <row r="660" spans="1:23">
      <c r="A660" s="30">
        <v>44944</v>
      </c>
      <c r="B660" s="29">
        <v>56800</v>
      </c>
      <c r="C660" s="29">
        <v>54000</v>
      </c>
      <c r="D660" s="29">
        <v>55500</v>
      </c>
      <c r="E660" s="29">
        <v>52300</v>
      </c>
      <c r="F660" s="29">
        <v>56300</v>
      </c>
      <c r="G660" s="29" t="str">
        <v>-</v>
      </c>
      <c r="H660" s="29">
        <v>54000</v>
      </c>
      <c r="I660" s="29">
        <v>55500</v>
      </c>
      <c r="J660" s="29">
        <v>57200</v>
      </c>
      <c r="K660" s="29" t="str">
        <v>-</v>
      </c>
      <c r="L660" s="29">
        <v>54800</v>
      </c>
      <c r="M660" s="29">
        <v>57500</v>
      </c>
      <c r="N660" s="29">
        <v>54500</v>
      </c>
      <c r="O660" s="29">
        <v>53800</v>
      </c>
      <c r="P660" s="29">
        <v>51900</v>
      </c>
      <c r="Q660" s="29">
        <v>52400</v>
      </c>
      <c r="R660" s="29">
        <v>52000</v>
      </c>
      <c r="S660">
        <v>55000</v>
      </c>
      <c r="T660">
        <v>55200</v>
      </c>
      <c r="U660">
        <v>54800</v>
      </c>
      <c r="V660">
        <v>56300</v>
      </c>
      <c r="W660">
        <v>58400</v>
      </c>
    </row>
    <row r="661" spans="1:23">
      <c r="A661" s="30">
        <v>44945</v>
      </c>
      <c r="B661" s="29">
        <v>56600</v>
      </c>
      <c r="C661" s="29">
        <v>54000</v>
      </c>
      <c r="D661" s="29">
        <v>55200</v>
      </c>
      <c r="E661" s="29">
        <v>52200</v>
      </c>
      <c r="F661" s="29">
        <v>55800</v>
      </c>
      <c r="G661" s="29" t="str">
        <v>-</v>
      </c>
      <c r="H661" s="29">
        <v>53500</v>
      </c>
      <c r="I661" s="29">
        <v>55100</v>
      </c>
      <c r="J661" s="29">
        <v>57000</v>
      </c>
      <c r="K661" s="29" t="str">
        <v>-</v>
      </c>
      <c r="L661" s="29">
        <v>54400</v>
      </c>
      <c r="M661" s="29">
        <v>57000</v>
      </c>
      <c r="N661" s="29">
        <v>53800</v>
      </c>
      <c r="O661" s="29">
        <v>53600</v>
      </c>
      <c r="P661" s="29">
        <v>52000</v>
      </c>
      <c r="Q661" s="29">
        <v>52200</v>
      </c>
      <c r="R661" s="29">
        <v>51800</v>
      </c>
      <c r="S661">
        <v>54900</v>
      </c>
      <c r="T661">
        <v>55000</v>
      </c>
      <c r="U661">
        <v>54800</v>
      </c>
      <c r="V661">
        <v>56300</v>
      </c>
      <c r="W661">
        <v>58400</v>
      </c>
    </row>
    <row r="662" spans="1:23">
      <c r="A662" s="30">
        <v>44946</v>
      </c>
      <c r="B662" s="29">
        <v>56500</v>
      </c>
      <c r="C662" s="29">
        <v>54300</v>
      </c>
      <c r="D662" s="29">
        <v>55200</v>
      </c>
      <c r="E662" s="29">
        <v>52000</v>
      </c>
      <c r="F662" s="29">
        <v>55800</v>
      </c>
      <c r="G662" s="29" t="str">
        <v>-</v>
      </c>
      <c r="H662" s="29">
        <v>54000</v>
      </c>
      <c r="I662" s="29">
        <v>55500</v>
      </c>
      <c r="J662" s="29">
        <v>56900</v>
      </c>
      <c r="K662" s="29" t="str">
        <v>-</v>
      </c>
      <c r="L662" s="29">
        <v>54400</v>
      </c>
      <c r="M662" s="29">
        <v>57000</v>
      </c>
      <c r="N662" s="29">
        <v>54000</v>
      </c>
      <c r="O662" s="29">
        <v>53400</v>
      </c>
      <c r="P662" s="29">
        <v>51800</v>
      </c>
      <c r="Q662" s="29">
        <v>52200</v>
      </c>
      <c r="R662" s="29">
        <v>51700</v>
      </c>
      <c r="S662">
        <v>55000</v>
      </c>
      <c r="T662">
        <v>55000</v>
      </c>
      <c r="U662">
        <v>54800</v>
      </c>
      <c r="V662">
        <v>56300</v>
      </c>
      <c r="W662">
        <v>58400</v>
      </c>
    </row>
    <row r="663" spans="1:23">
      <c r="A663" s="30">
        <v>44947</v>
      </c>
      <c r="B663" s="29">
        <v>56500</v>
      </c>
      <c r="C663" s="29">
        <v>54300</v>
      </c>
      <c r="D663" s="29">
        <v>55000</v>
      </c>
      <c r="E663" s="29">
        <v>51800</v>
      </c>
      <c r="F663" s="29">
        <v>55800</v>
      </c>
      <c r="G663" s="29" t="str">
        <v>-</v>
      </c>
      <c r="H663" s="29">
        <v>54000</v>
      </c>
      <c r="I663" s="29">
        <v>55000</v>
      </c>
      <c r="J663" s="29">
        <v>56900</v>
      </c>
      <c r="K663" s="29" t="str">
        <v>-</v>
      </c>
      <c r="L663" s="29">
        <v>53800</v>
      </c>
      <c r="M663" s="29">
        <v>57000</v>
      </c>
      <c r="N663" s="29">
        <v>53800</v>
      </c>
      <c r="O663" s="29">
        <v>53100</v>
      </c>
      <c r="P663" s="29">
        <v>51300</v>
      </c>
      <c r="Q663" s="29">
        <v>51900</v>
      </c>
      <c r="R663" s="29">
        <v>51300</v>
      </c>
      <c r="S663">
        <v>54500</v>
      </c>
      <c r="T663">
        <v>54800</v>
      </c>
      <c r="U663">
        <v>54800</v>
      </c>
      <c r="V663">
        <v>56000</v>
      </c>
      <c r="W663">
        <v>58200</v>
      </c>
    </row>
    <row r="664" spans="1:23">
      <c r="A664" s="30">
        <v>44948</v>
      </c>
      <c r="B664" s="29" t="str">
        <v>H</v>
      </c>
      <c r="C664" s="29" t="str">
        <v>H</v>
      </c>
      <c r="D664" s="29" t="str">
        <v>H</v>
      </c>
      <c r="E664" s="29" t="str">
        <v>H</v>
      </c>
      <c r="F664" s="29" t="str">
        <v>H</v>
      </c>
      <c r="G664" s="29" t="str">
        <v>H</v>
      </c>
      <c r="H664" s="29" t="str">
        <v>H</v>
      </c>
      <c r="I664" s="29" t="str">
        <v>H</v>
      </c>
      <c r="J664" s="29" t="str">
        <v>H</v>
      </c>
      <c r="K664" s="29" t="str">
        <v>H</v>
      </c>
      <c r="L664" s="29" t="str">
        <v>H</v>
      </c>
      <c r="M664" s="29" t="str">
        <v>H</v>
      </c>
      <c r="N664" s="29" t="str">
        <v>H</v>
      </c>
      <c r="O664" s="29" t="str">
        <v>H</v>
      </c>
      <c r="P664" s="29" t="str">
        <v>H</v>
      </c>
      <c r="Q664" s="29" t="str">
        <v>H</v>
      </c>
      <c r="R664" s="29" t="str">
        <v>H</v>
      </c>
      <c r="S664" t="str">
        <v>H</v>
      </c>
      <c r="T664" t="str">
        <v>H</v>
      </c>
      <c r="U664" t="str">
        <v>H</v>
      </c>
      <c r="V664" t="str">
        <v>H</v>
      </c>
      <c r="W664" t="str">
        <v>H</v>
      </c>
    </row>
    <row r="665" spans="1:23">
      <c r="A665" s="30">
        <v>44949</v>
      </c>
      <c r="B665" s="29">
        <v>56500</v>
      </c>
      <c r="C665" s="29">
        <v>54500</v>
      </c>
      <c r="D665" s="29">
        <v>55300</v>
      </c>
      <c r="E665" s="29">
        <v>51800</v>
      </c>
      <c r="F665" s="29">
        <v>55800</v>
      </c>
      <c r="G665" s="29" t="str">
        <v>-</v>
      </c>
      <c r="H665" s="29">
        <v>54000</v>
      </c>
      <c r="I665" s="29">
        <v>55000</v>
      </c>
      <c r="J665" s="29">
        <v>56900</v>
      </c>
      <c r="K665" s="29" t="str">
        <v>-</v>
      </c>
      <c r="L665" s="29">
        <v>54200</v>
      </c>
      <c r="M665" s="29">
        <v>57300</v>
      </c>
      <c r="N665" s="29">
        <v>53800</v>
      </c>
      <c r="O665" s="29">
        <v>53300</v>
      </c>
      <c r="P665" s="29">
        <v>51400</v>
      </c>
      <c r="Q665" s="29">
        <v>51900</v>
      </c>
      <c r="R665" s="29">
        <v>51400</v>
      </c>
      <c r="S665">
        <v>54300</v>
      </c>
      <c r="T665">
        <v>54800</v>
      </c>
      <c r="U665">
        <v>54800</v>
      </c>
      <c r="V665">
        <v>56000</v>
      </c>
      <c r="W665">
        <v>58200</v>
      </c>
    </row>
    <row r="666" spans="1:23">
      <c r="A666" s="30">
        <v>44950</v>
      </c>
      <c r="B666" s="29">
        <v>56300</v>
      </c>
      <c r="C666" s="29">
        <v>54500</v>
      </c>
      <c r="D666" s="29">
        <v>55300</v>
      </c>
      <c r="E666" s="29">
        <v>51400</v>
      </c>
      <c r="F666" s="29">
        <v>55800</v>
      </c>
      <c r="G666" s="29" t="str">
        <v>-</v>
      </c>
      <c r="H666" s="29">
        <v>53500</v>
      </c>
      <c r="I666" s="29">
        <v>54700</v>
      </c>
      <c r="J666" s="29">
        <v>57000</v>
      </c>
      <c r="K666" s="29" t="str">
        <v>-</v>
      </c>
      <c r="L666" s="29">
        <v>54000</v>
      </c>
      <c r="M666" s="29">
        <v>58300</v>
      </c>
      <c r="N666" s="29">
        <v>53500</v>
      </c>
      <c r="O666" s="29">
        <v>53000</v>
      </c>
      <c r="P666" s="29">
        <v>51250</v>
      </c>
      <c r="Q666" s="29">
        <v>51700</v>
      </c>
      <c r="R666" s="29">
        <v>51300</v>
      </c>
      <c r="S666">
        <v>53900</v>
      </c>
      <c r="T666">
        <v>54800</v>
      </c>
      <c r="U666">
        <v>54800</v>
      </c>
      <c r="V666">
        <v>55800</v>
      </c>
      <c r="W666">
        <v>58000</v>
      </c>
    </row>
    <row r="667" spans="1:23">
      <c r="A667" s="30">
        <v>44951</v>
      </c>
      <c r="B667" s="29">
        <v>56000</v>
      </c>
      <c r="C667" s="29">
        <v>54300</v>
      </c>
      <c r="D667" s="29">
        <v>55300</v>
      </c>
      <c r="E667" s="29">
        <v>51200</v>
      </c>
      <c r="F667" s="29">
        <v>55800</v>
      </c>
      <c r="G667" s="29" t="str">
        <v>-</v>
      </c>
      <c r="H667" s="29">
        <v>53500</v>
      </c>
      <c r="I667" s="29">
        <v>54500</v>
      </c>
      <c r="J667" s="29">
        <v>57000</v>
      </c>
      <c r="K667" s="29" t="str">
        <v>-</v>
      </c>
      <c r="L667" s="29">
        <v>54100</v>
      </c>
      <c r="M667" s="29">
        <v>58300</v>
      </c>
      <c r="N667" s="29">
        <v>53500</v>
      </c>
      <c r="O667" s="29">
        <v>53000</v>
      </c>
      <c r="P667" s="29">
        <v>51100</v>
      </c>
      <c r="Q667" s="29">
        <v>51600</v>
      </c>
      <c r="R667" s="29">
        <v>51100</v>
      </c>
      <c r="S667">
        <v>53700</v>
      </c>
      <c r="T667">
        <v>54600</v>
      </c>
      <c r="U667">
        <v>54800</v>
      </c>
      <c r="V667">
        <v>55800</v>
      </c>
      <c r="W667">
        <v>58000</v>
      </c>
    </row>
    <row r="668" spans="1:23">
      <c r="A668" s="30">
        <v>44952</v>
      </c>
      <c r="B668" s="29" t="str">
        <v>H</v>
      </c>
      <c r="C668" s="29" t="str">
        <v>H</v>
      </c>
      <c r="D668" s="29" t="str">
        <v>H</v>
      </c>
      <c r="E668" s="29" t="str">
        <v>H</v>
      </c>
      <c r="F668" s="29" t="str">
        <v>H</v>
      </c>
      <c r="G668" s="29" t="str">
        <v>H</v>
      </c>
      <c r="H668" s="29" t="str">
        <v>H</v>
      </c>
      <c r="I668" s="29" t="str">
        <v>H</v>
      </c>
      <c r="J668" s="29" t="str">
        <v>H</v>
      </c>
      <c r="K668" s="29" t="str">
        <v>H</v>
      </c>
      <c r="L668" s="29" t="str">
        <v>H</v>
      </c>
      <c r="M668" s="29" t="str">
        <v>H</v>
      </c>
      <c r="N668" s="29" t="str">
        <v>H</v>
      </c>
      <c r="O668" s="29" t="str">
        <v>H</v>
      </c>
      <c r="P668" s="29" t="str">
        <v>H</v>
      </c>
      <c r="Q668" s="29" t="str">
        <v>H</v>
      </c>
      <c r="R668" s="29" t="str">
        <v>H</v>
      </c>
      <c r="S668" t="str">
        <v>H</v>
      </c>
      <c r="T668" t="str">
        <v>H</v>
      </c>
      <c r="U668" t="str">
        <v>H</v>
      </c>
      <c r="V668" t="str">
        <v>H</v>
      </c>
      <c r="W668" t="str">
        <v>H</v>
      </c>
    </row>
    <row r="669" spans="1:23">
      <c r="A669" s="30">
        <v>44953</v>
      </c>
      <c r="B669" s="29">
        <v>56300</v>
      </c>
      <c r="C669" s="29">
        <v>54300</v>
      </c>
      <c r="D669" s="29">
        <v>55000</v>
      </c>
      <c r="E669" s="29">
        <v>51500</v>
      </c>
      <c r="F669" s="29">
        <v>56100</v>
      </c>
      <c r="G669" s="29" t="str">
        <v>-</v>
      </c>
      <c r="H669" s="29">
        <v>53500</v>
      </c>
      <c r="I669" s="29">
        <v>54600</v>
      </c>
      <c r="J669" s="29">
        <v>57300</v>
      </c>
      <c r="K669" s="29" t="str">
        <v>-</v>
      </c>
      <c r="L669" s="29">
        <v>54100</v>
      </c>
      <c r="M669" s="29">
        <v>58600</v>
      </c>
      <c r="N669" s="29">
        <v>53800</v>
      </c>
      <c r="O669" s="29">
        <v>52500</v>
      </c>
      <c r="P669" s="29">
        <v>51450</v>
      </c>
      <c r="Q669" s="29">
        <v>51700</v>
      </c>
      <c r="R669" s="29">
        <v>51300</v>
      </c>
      <c r="S669">
        <v>54000</v>
      </c>
      <c r="T669">
        <v>54600</v>
      </c>
      <c r="U669">
        <v>54800</v>
      </c>
      <c r="V669">
        <v>55200</v>
      </c>
      <c r="W669">
        <v>57700</v>
      </c>
    </row>
    <row r="670" spans="1:23">
      <c r="A670" s="30">
        <v>44954</v>
      </c>
      <c r="B670" s="29">
        <v>56300</v>
      </c>
      <c r="C670" s="29">
        <v>54300</v>
      </c>
      <c r="D670" s="29">
        <v>55000</v>
      </c>
      <c r="E670" s="29">
        <v>51300</v>
      </c>
      <c r="F670" s="29">
        <v>55900</v>
      </c>
      <c r="G670" s="29" t="str">
        <v>-</v>
      </c>
      <c r="H670" s="29">
        <v>53500</v>
      </c>
      <c r="I670" s="29">
        <v>54600</v>
      </c>
      <c r="J670" s="29">
        <v>57300</v>
      </c>
      <c r="K670" s="29" t="str">
        <v>-</v>
      </c>
      <c r="L670" s="29">
        <v>54100</v>
      </c>
      <c r="M670" s="29">
        <v>58600</v>
      </c>
      <c r="N670" s="29">
        <v>53400</v>
      </c>
      <c r="O670" s="29">
        <v>52500</v>
      </c>
      <c r="P670" s="29">
        <v>51200</v>
      </c>
      <c r="Q670" s="29">
        <v>51700</v>
      </c>
      <c r="R670" s="29">
        <v>51300</v>
      </c>
      <c r="S670">
        <v>53800</v>
      </c>
      <c r="T670">
        <v>54500</v>
      </c>
      <c r="U670">
        <v>54800</v>
      </c>
      <c r="V670">
        <v>55200</v>
      </c>
      <c r="W670">
        <v>57700</v>
      </c>
    </row>
    <row r="671" spans="1:23">
      <c r="A671" s="30">
        <v>44955</v>
      </c>
      <c r="B671" s="29" t="str">
        <v>H</v>
      </c>
      <c r="C671" s="29" t="str">
        <v>H</v>
      </c>
      <c r="D671" s="29" t="str">
        <v>H</v>
      </c>
      <c r="E671" s="29" t="str">
        <v>H</v>
      </c>
      <c r="F671" s="29" t="str">
        <v>H</v>
      </c>
      <c r="G671" s="29" t="str">
        <v>H</v>
      </c>
      <c r="H671" s="29" t="str">
        <v>H</v>
      </c>
      <c r="I671" s="29" t="str">
        <v>H</v>
      </c>
      <c r="J671" s="29" t="str">
        <v>H</v>
      </c>
      <c r="K671" s="29" t="str">
        <v>H</v>
      </c>
      <c r="L671" s="29" t="str">
        <v>H</v>
      </c>
      <c r="M671" s="29" t="str">
        <v>H</v>
      </c>
      <c r="N671" s="29" t="str">
        <v>H</v>
      </c>
      <c r="O671" s="29" t="str">
        <v>H</v>
      </c>
      <c r="P671" s="29" t="str">
        <v>H</v>
      </c>
      <c r="Q671" s="29" t="str">
        <v>H</v>
      </c>
      <c r="R671" s="29" t="str">
        <v>H</v>
      </c>
      <c r="S671" t="str">
        <v>H</v>
      </c>
      <c r="T671" t="str">
        <v>H</v>
      </c>
      <c r="U671" t="str">
        <v>H</v>
      </c>
      <c r="V671" t="str">
        <v>H</v>
      </c>
      <c r="W671" t="str">
        <v>H</v>
      </c>
    </row>
    <row r="672" spans="1:23">
      <c r="A672" s="30">
        <v>44956</v>
      </c>
      <c r="B672" s="29">
        <v>55900</v>
      </c>
      <c r="C672" s="29">
        <v>54200</v>
      </c>
      <c r="D672" s="29">
        <v>54900</v>
      </c>
      <c r="E672" s="29">
        <v>50900</v>
      </c>
      <c r="F672" s="29">
        <v>55900</v>
      </c>
      <c r="G672" s="29" t="str">
        <v>-</v>
      </c>
      <c r="H672" s="29">
        <v>54000</v>
      </c>
      <c r="I672" s="29">
        <v>54600</v>
      </c>
      <c r="J672" s="29">
        <v>57300</v>
      </c>
      <c r="K672" s="29" t="str">
        <v>-</v>
      </c>
      <c r="L672" s="29">
        <v>54100</v>
      </c>
      <c r="M672" s="29">
        <v>58600</v>
      </c>
      <c r="N672" s="29">
        <v>53000</v>
      </c>
      <c r="O672" s="29">
        <v>52500</v>
      </c>
      <c r="P672" s="29">
        <v>50800</v>
      </c>
      <c r="Q672" s="29">
        <v>51700</v>
      </c>
      <c r="R672" s="29">
        <v>51000</v>
      </c>
      <c r="S672">
        <v>53400</v>
      </c>
      <c r="T672">
        <v>54500</v>
      </c>
      <c r="U672">
        <v>54800</v>
      </c>
      <c r="V672">
        <v>55200</v>
      </c>
      <c r="W672">
        <v>57700</v>
      </c>
    </row>
    <row r="673" spans="1:23">
      <c r="A673" s="30">
        <v>44957</v>
      </c>
      <c r="B673" s="29">
        <v>55600</v>
      </c>
      <c r="C673" s="29">
        <v>54500</v>
      </c>
      <c r="D673" s="29">
        <v>54900</v>
      </c>
      <c r="E673" s="29">
        <v>50500</v>
      </c>
      <c r="F673" s="29">
        <v>55900</v>
      </c>
      <c r="G673" s="29" t="str">
        <v>-</v>
      </c>
      <c r="H673" s="29">
        <v>53500</v>
      </c>
      <c r="I673" s="29">
        <v>54400</v>
      </c>
      <c r="J673" s="29">
        <v>56800</v>
      </c>
      <c r="K673" s="29" t="str">
        <v>-</v>
      </c>
      <c r="L673" s="29">
        <v>53800</v>
      </c>
      <c r="M673" s="29">
        <v>58600</v>
      </c>
      <c r="N673" s="29">
        <v>52800</v>
      </c>
      <c r="O673" s="29">
        <v>52300</v>
      </c>
      <c r="P673" s="29">
        <v>50500</v>
      </c>
      <c r="Q673" s="29">
        <v>51500</v>
      </c>
      <c r="R673" s="29">
        <v>51000</v>
      </c>
      <c r="S673">
        <v>53000</v>
      </c>
      <c r="T673">
        <v>54200</v>
      </c>
      <c r="U673">
        <v>54800</v>
      </c>
      <c r="V673">
        <v>55600</v>
      </c>
      <c r="W673">
        <v>58100</v>
      </c>
    </row>
    <row r="674" spans="1:23">
      <c r="A674" s="30">
        <v>44958</v>
      </c>
      <c r="B674" s="29">
        <v>55600</v>
      </c>
      <c r="C674" s="29">
        <v>54700</v>
      </c>
      <c r="D674" s="29">
        <v>55000</v>
      </c>
      <c r="E674" s="29">
        <v>50800</v>
      </c>
      <c r="F674" s="29">
        <v>56000</v>
      </c>
      <c r="G674" s="29" t="str">
        <v>-</v>
      </c>
      <c r="H674" s="29">
        <v>54000</v>
      </c>
      <c r="I674" s="29">
        <v>54400</v>
      </c>
      <c r="J674" s="29">
        <v>56800</v>
      </c>
      <c r="K674" s="29" t="str">
        <v>-</v>
      </c>
      <c r="L674" s="29">
        <v>54100</v>
      </c>
      <c r="M674" s="29">
        <v>58600</v>
      </c>
      <c r="N674" s="29">
        <v>53200</v>
      </c>
      <c r="O674" s="29">
        <v>52300</v>
      </c>
      <c r="P674" s="29">
        <v>51200</v>
      </c>
      <c r="Q674" s="29">
        <v>51600</v>
      </c>
      <c r="R674" s="29">
        <v>51200</v>
      </c>
      <c r="S674">
        <v>53300</v>
      </c>
      <c r="T674">
        <v>54400</v>
      </c>
      <c r="U674">
        <v>54800</v>
      </c>
      <c r="V674">
        <v>55800</v>
      </c>
      <c r="W674">
        <v>58400</v>
      </c>
    </row>
    <row r="675" spans="1:23">
      <c r="A675" s="30">
        <v>44959</v>
      </c>
      <c r="B675" s="29">
        <v>55600</v>
      </c>
      <c r="C675" s="29">
        <v>54500</v>
      </c>
      <c r="D675" s="29">
        <v>54300</v>
      </c>
      <c r="E675" s="29">
        <v>50500</v>
      </c>
      <c r="F675" s="29">
        <v>56000</v>
      </c>
      <c r="G675" s="29" t="str">
        <v>-</v>
      </c>
      <c r="H675" s="29">
        <v>53500</v>
      </c>
      <c r="I675" s="29">
        <v>54000</v>
      </c>
      <c r="J675" s="29">
        <v>56800</v>
      </c>
      <c r="K675" s="29" t="str">
        <v>-</v>
      </c>
      <c r="L675" s="29">
        <v>53800</v>
      </c>
      <c r="M675" s="29">
        <v>58600</v>
      </c>
      <c r="N675" s="29">
        <v>52800</v>
      </c>
      <c r="O675" s="29">
        <v>52000</v>
      </c>
      <c r="P675" s="29">
        <v>51000</v>
      </c>
      <c r="Q675" s="29">
        <v>51400</v>
      </c>
      <c r="R675" s="29">
        <v>51000</v>
      </c>
      <c r="S675">
        <v>53000</v>
      </c>
      <c r="T675">
        <v>54200</v>
      </c>
      <c r="U675">
        <v>54800</v>
      </c>
      <c r="V675">
        <v>56000</v>
      </c>
      <c r="W675">
        <v>58600</v>
      </c>
    </row>
    <row r="676" spans="1:23">
      <c r="A676" s="30">
        <v>44960</v>
      </c>
      <c r="B676" s="29">
        <v>55100</v>
      </c>
      <c r="C676" s="29">
        <v>54500</v>
      </c>
      <c r="D676" s="29">
        <v>54000</v>
      </c>
      <c r="E676" s="29">
        <v>50300</v>
      </c>
      <c r="F676" s="29">
        <v>55800</v>
      </c>
      <c r="G676" s="29" t="str">
        <v>-</v>
      </c>
      <c r="H676" s="29">
        <v>53500</v>
      </c>
      <c r="I676" s="29">
        <v>54000</v>
      </c>
      <c r="J676" s="29">
        <v>56500</v>
      </c>
      <c r="K676" s="29" t="str">
        <v>-</v>
      </c>
      <c r="L676" s="29">
        <v>53500</v>
      </c>
      <c r="M676" s="29">
        <v>58400</v>
      </c>
      <c r="N676" s="29">
        <v>52500</v>
      </c>
      <c r="O676" s="29">
        <v>52000</v>
      </c>
      <c r="P676" s="29">
        <v>50600</v>
      </c>
      <c r="Q676" s="29">
        <v>51200</v>
      </c>
      <c r="R676" s="29">
        <v>50800</v>
      </c>
      <c r="S676">
        <v>52800</v>
      </c>
      <c r="T676">
        <v>54100</v>
      </c>
      <c r="U676">
        <v>54800</v>
      </c>
      <c r="V676">
        <v>56000</v>
      </c>
      <c r="W676">
        <v>58600</v>
      </c>
    </row>
    <row r="677" spans="1:23">
      <c r="A677" s="30">
        <v>44961</v>
      </c>
      <c r="B677" s="29">
        <v>54800</v>
      </c>
      <c r="C677" s="29">
        <v>54500</v>
      </c>
      <c r="D677" s="29">
        <v>53700</v>
      </c>
      <c r="E677" s="29">
        <v>50000</v>
      </c>
      <c r="F677" s="29">
        <v>55800</v>
      </c>
      <c r="G677" s="29" t="str">
        <v>-</v>
      </c>
      <c r="H677" s="29">
        <v>53500</v>
      </c>
      <c r="I677" s="29">
        <v>53700</v>
      </c>
      <c r="J677" s="29">
        <v>56000</v>
      </c>
      <c r="K677" s="29" t="str">
        <v>-</v>
      </c>
      <c r="L677" s="29">
        <v>53400</v>
      </c>
      <c r="M677" s="29">
        <v>58400</v>
      </c>
      <c r="N677" s="29">
        <v>52000</v>
      </c>
      <c r="O677" s="29">
        <v>51700</v>
      </c>
      <c r="P677" s="29">
        <v>50500</v>
      </c>
      <c r="Q677" s="29">
        <v>51000</v>
      </c>
      <c r="R677" s="29">
        <v>50400</v>
      </c>
      <c r="S677">
        <v>52500</v>
      </c>
      <c r="T677">
        <v>54000</v>
      </c>
      <c r="U677" t="str">
        <v>-</v>
      </c>
      <c r="V677">
        <v>55800</v>
      </c>
      <c r="W677">
        <v>58400</v>
      </c>
    </row>
    <row r="678" spans="1:23">
      <c r="A678" s="30">
        <v>44962</v>
      </c>
      <c r="B678" s="29" t="str">
        <v>H</v>
      </c>
      <c r="C678" s="29" t="str">
        <v>H</v>
      </c>
      <c r="D678" s="29" t="str">
        <v>H</v>
      </c>
      <c r="E678" s="29" t="str">
        <v>H</v>
      </c>
      <c r="F678" s="29" t="str">
        <v>H</v>
      </c>
      <c r="G678" s="29" t="str">
        <v>H</v>
      </c>
      <c r="H678" s="29" t="str">
        <v>H</v>
      </c>
      <c r="I678" s="29" t="str">
        <v>H</v>
      </c>
      <c r="J678" s="29" t="str">
        <v>H</v>
      </c>
      <c r="K678" s="29" t="str">
        <v>H</v>
      </c>
      <c r="L678" s="29" t="str">
        <v>H</v>
      </c>
      <c r="M678" s="29" t="str">
        <v>H</v>
      </c>
      <c r="N678" s="29" t="str">
        <v>H</v>
      </c>
      <c r="O678" s="29" t="str">
        <v>H</v>
      </c>
      <c r="P678" s="29" t="str">
        <v>H</v>
      </c>
      <c r="Q678" s="29" t="str">
        <v>H</v>
      </c>
      <c r="R678" s="29" t="str">
        <v>H</v>
      </c>
      <c r="S678" t="str">
        <v>H</v>
      </c>
      <c r="T678" t="str">
        <v>H</v>
      </c>
      <c r="U678" t="str">
        <v>H</v>
      </c>
      <c r="V678" t="str">
        <v>H</v>
      </c>
      <c r="W678" t="str">
        <v>H</v>
      </c>
    </row>
    <row r="679" spans="1:23">
      <c r="A679" s="30">
        <v>44963</v>
      </c>
      <c r="B679" s="29">
        <v>54800</v>
      </c>
      <c r="C679" s="29">
        <v>54500</v>
      </c>
      <c r="D679" s="29">
        <v>54000</v>
      </c>
      <c r="E679" s="29">
        <v>50200</v>
      </c>
      <c r="F679" s="29">
        <v>55800</v>
      </c>
      <c r="G679" s="29" t="str">
        <v>-</v>
      </c>
      <c r="H679" s="29">
        <v>54000</v>
      </c>
      <c r="I679" s="29">
        <v>53700</v>
      </c>
      <c r="J679" s="29">
        <v>56000</v>
      </c>
      <c r="K679" s="29" t="str">
        <v>-</v>
      </c>
      <c r="L679" s="29">
        <v>53500</v>
      </c>
      <c r="M679" s="29">
        <v>58400</v>
      </c>
      <c r="N679" s="29">
        <v>52000</v>
      </c>
      <c r="O679" s="29">
        <v>51700</v>
      </c>
      <c r="P679" s="29">
        <v>50400</v>
      </c>
      <c r="Q679" s="29">
        <v>51000</v>
      </c>
      <c r="R679" s="29">
        <v>50500</v>
      </c>
      <c r="S679">
        <v>52700</v>
      </c>
      <c r="T679">
        <v>54000</v>
      </c>
      <c r="U679">
        <v>54300</v>
      </c>
      <c r="V679">
        <v>55600</v>
      </c>
      <c r="W679">
        <v>58100</v>
      </c>
    </row>
    <row r="680" spans="1:23">
      <c r="A680" s="30">
        <v>44964</v>
      </c>
      <c r="B680" s="29">
        <v>54700</v>
      </c>
      <c r="C680" s="29">
        <v>54300</v>
      </c>
      <c r="D680" s="29">
        <v>54000</v>
      </c>
      <c r="E680" s="29">
        <v>49900</v>
      </c>
      <c r="F680" s="29">
        <v>55800</v>
      </c>
      <c r="G680" s="29" t="str">
        <v>-</v>
      </c>
      <c r="H680" s="29">
        <v>53500</v>
      </c>
      <c r="I680" s="29">
        <v>53700</v>
      </c>
      <c r="J680" s="29">
        <v>56000</v>
      </c>
      <c r="K680" s="29" t="str">
        <v>-</v>
      </c>
      <c r="L680" s="29">
        <v>53300</v>
      </c>
      <c r="M680" s="29">
        <v>57800</v>
      </c>
      <c r="N680" s="29">
        <v>51600</v>
      </c>
      <c r="O680" s="29">
        <v>51500</v>
      </c>
      <c r="P680" s="29">
        <v>50000</v>
      </c>
      <c r="Q680" s="29">
        <v>50700</v>
      </c>
      <c r="R680" s="29">
        <v>50200</v>
      </c>
      <c r="S680">
        <v>52400</v>
      </c>
      <c r="T680">
        <v>53800</v>
      </c>
      <c r="U680">
        <v>53800</v>
      </c>
      <c r="V680">
        <v>55300</v>
      </c>
      <c r="W680">
        <v>57800</v>
      </c>
    </row>
    <row r="681" spans="1:23">
      <c r="A681" s="30">
        <v>44965</v>
      </c>
      <c r="B681" s="29">
        <v>54300</v>
      </c>
      <c r="C681" s="29">
        <v>54300</v>
      </c>
      <c r="D681" s="29">
        <v>53800</v>
      </c>
      <c r="E681" s="29">
        <v>49700</v>
      </c>
      <c r="F681" s="29">
        <v>55500</v>
      </c>
      <c r="G681" s="29" t="str">
        <v>-</v>
      </c>
      <c r="H681" s="29">
        <v>53300</v>
      </c>
      <c r="I681" s="29">
        <v>53300</v>
      </c>
      <c r="J681" s="29">
        <v>55500</v>
      </c>
      <c r="K681" s="29" t="str">
        <v>-</v>
      </c>
      <c r="L681" s="29">
        <v>52800</v>
      </c>
      <c r="M681" s="29">
        <v>57500</v>
      </c>
      <c r="N681" s="29">
        <v>51200</v>
      </c>
      <c r="O681" s="29">
        <v>51200</v>
      </c>
      <c r="P681" s="29">
        <v>50000</v>
      </c>
      <c r="Q681" s="29">
        <v>50100</v>
      </c>
      <c r="R681" s="29">
        <v>50100</v>
      </c>
      <c r="S681">
        <v>52200</v>
      </c>
      <c r="T681">
        <v>53800</v>
      </c>
      <c r="U681">
        <v>53800</v>
      </c>
      <c r="V681">
        <v>55300</v>
      </c>
      <c r="W681">
        <v>57800</v>
      </c>
    </row>
    <row r="682" spans="1:23">
      <c r="A682" s="30">
        <v>44966</v>
      </c>
      <c r="B682" s="29">
        <v>54200</v>
      </c>
      <c r="C682" s="29">
        <v>54300</v>
      </c>
      <c r="D682" s="29">
        <v>53800</v>
      </c>
      <c r="E682" s="29">
        <v>49400</v>
      </c>
      <c r="F682" s="29">
        <v>55500</v>
      </c>
      <c r="G682" s="29" t="str">
        <v>-</v>
      </c>
      <c r="H682" s="29">
        <v>53300</v>
      </c>
      <c r="I682" s="29">
        <v>53300</v>
      </c>
      <c r="J682" s="29">
        <v>55500</v>
      </c>
      <c r="K682" s="29" t="str">
        <v>-</v>
      </c>
      <c r="L682" s="29">
        <v>52800</v>
      </c>
      <c r="M682" s="29">
        <v>57000</v>
      </c>
      <c r="N682" s="29">
        <v>51200</v>
      </c>
      <c r="O682" s="29">
        <v>51200</v>
      </c>
      <c r="P682" s="29">
        <v>49500</v>
      </c>
      <c r="Q682" s="29">
        <v>49700</v>
      </c>
      <c r="R682" s="29">
        <v>49600</v>
      </c>
      <c r="S682">
        <v>51900</v>
      </c>
      <c r="T682">
        <v>53200</v>
      </c>
      <c r="U682">
        <v>53800</v>
      </c>
      <c r="V682">
        <v>55300</v>
      </c>
      <c r="W682">
        <v>57600</v>
      </c>
    </row>
    <row r="683" spans="1:23">
      <c r="A683" s="30">
        <v>44967</v>
      </c>
      <c r="B683" s="29">
        <v>54200</v>
      </c>
      <c r="C683" s="29">
        <v>54200</v>
      </c>
      <c r="D683" s="29">
        <v>53500</v>
      </c>
      <c r="E683" s="29">
        <v>49200</v>
      </c>
      <c r="F683" s="29">
        <v>54800</v>
      </c>
      <c r="G683" s="29" t="str">
        <v>-</v>
      </c>
      <c r="H683" s="29">
        <v>53000</v>
      </c>
      <c r="I683" s="29">
        <v>52700</v>
      </c>
      <c r="J683" s="29">
        <v>55000</v>
      </c>
      <c r="K683" s="29" t="str">
        <v>-</v>
      </c>
      <c r="L683" s="29">
        <v>52600</v>
      </c>
      <c r="M683" s="29">
        <v>56500</v>
      </c>
      <c r="N683" s="29">
        <v>50500</v>
      </c>
      <c r="O683" s="29">
        <v>50800</v>
      </c>
      <c r="P683" s="29">
        <v>49200</v>
      </c>
      <c r="Q683" s="29">
        <v>49600</v>
      </c>
      <c r="R683" s="29">
        <v>49500</v>
      </c>
      <c r="S683">
        <v>51700</v>
      </c>
      <c r="T683">
        <v>53000</v>
      </c>
      <c r="U683">
        <v>53800</v>
      </c>
      <c r="V683">
        <v>54800</v>
      </c>
      <c r="W683">
        <v>57300</v>
      </c>
    </row>
    <row r="684" spans="1:23">
      <c r="A684" s="30">
        <v>44968</v>
      </c>
      <c r="B684" s="29">
        <v>53600</v>
      </c>
      <c r="C684" s="29">
        <v>54000</v>
      </c>
      <c r="D684" s="29">
        <v>53500</v>
      </c>
      <c r="E684" s="29">
        <v>49000</v>
      </c>
      <c r="F684" s="29">
        <v>54800</v>
      </c>
      <c r="G684" s="29" t="str">
        <v>-</v>
      </c>
      <c r="H684" s="29">
        <v>53000</v>
      </c>
      <c r="I684" s="29">
        <v>52400</v>
      </c>
      <c r="J684" s="29">
        <v>55000</v>
      </c>
      <c r="K684" s="29" t="str">
        <v>-</v>
      </c>
      <c r="L684" s="29">
        <v>52500</v>
      </c>
      <c r="M684" s="29">
        <v>56100</v>
      </c>
      <c r="N684" s="29">
        <v>50500</v>
      </c>
      <c r="O684" s="29">
        <v>50800</v>
      </c>
      <c r="P684" s="29">
        <v>49000</v>
      </c>
      <c r="Q684" s="29">
        <v>49500</v>
      </c>
      <c r="R684" s="29">
        <v>49200</v>
      </c>
      <c r="S684">
        <v>51500</v>
      </c>
      <c r="T684">
        <v>52800</v>
      </c>
      <c r="U684">
        <v>53800</v>
      </c>
      <c r="V684">
        <v>54800</v>
      </c>
      <c r="W684">
        <v>57300</v>
      </c>
    </row>
    <row r="685" spans="1:23">
      <c r="A685" s="30">
        <v>44969</v>
      </c>
      <c r="B685" s="29" t="str">
        <v>H</v>
      </c>
      <c r="C685" s="29" t="str">
        <v>H</v>
      </c>
      <c r="D685" s="29" t="str">
        <v>H</v>
      </c>
      <c r="E685" s="29" t="str">
        <v>H</v>
      </c>
      <c r="F685" s="29" t="str">
        <v>H</v>
      </c>
      <c r="G685" s="29" t="str">
        <v>H</v>
      </c>
      <c r="H685" s="29" t="str">
        <v>H</v>
      </c>
      <c r="I685" s="29" t="str">
        <v>H</v>
      </c>
      <c r="J685" s="29" t="str">
        <v>H</v>
      </c>
      <c r="K685" s="29" t="str">
        <v>H</v>
      </c>
      <c r="L685" s="29" t="str">
        <v>H</v>
      </c>
      <c r="M685" s="29" t="str">
        <v>H</v>
      </c>
      <c r="N685" s="29" t="str">
        <v>H</v>
      </c>
      <c r="O685" s="29" t="str">
        <v>H</v>
      </c>
      <c r="P685" s="29" t="str">
        <v>H</v>
      </c>
      <c r="Q685" s="29" t="str">
        <v>H</v>
      </c>
      <c r="R685" s="29" t="str">
        <v>H</v>
      </c>
      <c r="S685" t="str">
        <v>H</v>
      </c>
      <c r="T685" t="str">
        <v>H</v>
      </c>
      <c r="U685" t="str">
        <v>H</v>
      </c>
      <c r="V685" t="str">
        <v>H</v>
      </c>
      <c r="W685" t="str">
        <v>H</v>
      </c>
    </row>
    <row r="686" spans="1:23">
      <c r="A686" s="30">
        <v>44970</v>
      </c>
      <c r="B686" s="29">
        <v>53300</v>
      </c>
      <c r="C686" s="29">
        <v>53800</v>
      </c>
      <c r="D686" s="29">
        <v>52200</v>
      </c>
      <c r="E686" s="29">
        <v>48800</v>
      </c>
      <c r="F686" s="29">
        <v>54700</v>
      </c>
      <c r="G686" s="29" t="str">
        <v>-</v>
      </c>
      <c r="H686" s="29">
        <v>52500</v>
      </c>
      <c r="I686" s="29">
        <v>52000</v>
      </c>
      <c r="J686" s="29">
        <v>55000</v>
      </c>
      <c r="K686" s="29" t="str">
        <v>-</v>
      </c>
      <c r="L686" s="29">
        <v>52100</v>
      </c>
      <c r="M686" s="29">
        <v>56100</v>
      </c>
      <c r="N686" s="29">
        <v>50000</v>
      </c>
      <c r="O686" s="29">
        <v>50600</v>
      </c>
      <c r="P686" s="29">
        <v>49300</v>
      </c>
      <c r="Q686" s="29">
        <v>49500</v>
      </c>
      <c r="R686" s="29">
        <v>49100</v>
      </c>
      <c r="S686">
        <v>51300</v>
      </c>
      <c r="T686">
        <v>52700</v>
      </c>
      <c r="U686">
        <v>53300</v>
      </c>
      <c r="V686">
        <v>54500</v>
      </c>
      <c r="W686">
        <v>57100</v>
      </c>
    </row>
    <row r="687" spans="1:23">
      <c r="A687" s="30">
        <v>44971</v>
      </c>
      <c r="B687" s="29">
        <v>53700</v>
      </c>
      <c r="C687" s="29">
        <v>53800</v>
      </c>
      <c r="D687" s="29">
        <v>52600</v>
      </c>
      <c r="E687" s="29">
        <v>49700</v>
      </c>
      <c r="F687" s="29">
        <v>55100</v>
      </c>
      <c r="G687" s="29" t="str">
        <v>-</v>
      </c>
      <c r="H687" s="29">
        <v>53000</v>
      </c>
      <c r="I687" s="29">
        <v>52400</v>
      </c>
      <c r="J687" s="29">
        <v>55200</v>
      </c>
      <c r="K687" s="29" t="str">
        <v>-</v>
      </c>
      <c r="L687" s="29">
        <v>52500</v>
      </c>
      <c r="M687" s="29">
        <v>56100</v>
      </c>
      <c r="N687" s="29">
        <v>50800</v>
      </c>
      <c r="O687" s="29">
        <v>51000</v>
      </c>
      <c r="P687" s="29">
        <v>50000</v>
      </c>
      <c r="Q687" s="29">
        <v>50500</v>
      </c>
      <c r="R687" s="29">
        <v>49800</v>
      </c>
      <c r="S687">
        <v>52200</v>
      </c>
      <c r="T687">
        <v>53200</v>
      </c>
      <c r="U687">
        <v>53300</v>
      </c>
      <c r="V687">
        <v>55000</v>
      </c>
      <c r="W687">
        <v>57500</v>
      </c>
    </row>
    <row r="688" spans="1:23">
      <c r="A688" s="30">
        <v>44972</v>
      </c>
      <c r="B688" s="29">
        <v>53700</v>
      </c>
      <c r="C688" s="29">
        <v>54000</v>
      </c>
      <c r="D688" s="29">
        <v>52600</v>
      </c>
      <c r="E688" s="29">
        <v>50100</v>
      </c>
      <c r="F688" s="29">
        <v>55100</v>
      </c>
      <c r="G688" s="29" t="str">
        <v>-</v>
      </c>
      <c r="H688" s="29">
        <v>53000</v>
      </c>
      <c r="I688" s="29">
        <v>52400</v>
      </c>
      <c r="J688" s="29">
        <v>55700</v>
      </c>
      <c r="K688" s="29" t="str">
        <v>-</v>
      </c>
      <c r="L688" s="29">
        <v>52800</v>
      </c>
      <c r="M688" s="29">
        <v>56400</v>
      </c>
      <c r="N688" s="29">
        <v>50800</v>
      </c>
      <c r="O688" s="29">
        <v>51300</v>
      </c>
      <c r="P688" s="29">
        <v>49800</v>
      </c>
      <c r="Q688" s="29">
        <v>50500</v>
      </c>
      <c r="R688" s="29">
        <v>50000</v>
      </c>
      <c r="S688">
        <v>52600</v>
      </c>
      <c r="T688">
        <v>53200</v>
      </c>
      <c r="U688">
        <v>53800</v>
      </c>
      <c r="V688">
        <v>55000</v>
      </c>
      <c r="W688">
        <v>57500</v>
      </c>
    </row>
    <row r="689" spans="1:23">
      <c r="A689" s="30">
        <v>44973</v>
      </c>
      <c r="B689" s="29">
        <v>54300</v>
      </c>
      <c r="C689" s="29">
        <v>54000</v>
      </c>
      <c r="D689" s="29">
        <v>53500</v>
      </c>
      <c r="E689" s="29">
        <v>50500</v>
      </c>
      <c r="F689" s="29">
        <v>55500</v>
      </c>
      <c r="G689" s="29" t="str">
        <v>-</v>
      </c>
      <c r="H689" s="29">
        <v>53500</v>
      </c>
      <c r="I689" s="29">
        <v>53500</v>
      </c>
      <c r="J689" s="29">
        <v>56000</v>
      </c>
      <c r="K689" s="29" t="str">
        <v>-</v>
      </c>
      <c r="L689" s="29">
        <v>53200</v>
      </c>
      <c r="M689" s="29">
        <v>56600</v>
      </c>
      <c r="N689" s="29">
        <v>51700</v>
      </c>
      <c r="O689" s="29">
        <v>52000</v>
      </c>
      <c r="P689" s="29">
        <v>50500</v>
      </c>
      <c r="Q689" s="29">
        <v>51100</v>
      </c>
      <c r="R689" s="29">
        <v>50600</v>
      </c>
      <c r="S689">
        <v>53000</v>
      </c>
      <c r="T689">
        <v>53800</v>
      </c>
      <c r="U689">
        <v>54300</v>
      </c>
      <c r="V689">
        <v>55700</v>
      </c>
      <c r="W689">
        <v>58100</v>
      </c>
    </row>
    <row r="690" spans="1:23">
      <c r="A690" s="30">
        <v>44974</v>
      </c>
      <c r="B690" s="29">
        <v>54600</v>
      </c>
      <c r="C690" s="29">
        <v>54000</v>
      </c>
      <c r="D690" s="29">
        <v>54100</v>
      </c>
      <c r="E690" s="29">
        <v>51200</v>
      </c>
      <c r="F690" s="29">
        <v>55500</v>
      </c>
      <c r="G690" s="29" t="str">
        <v>-</v>
      </c>
      <c r="H690" s="29">
        <v>54000</v>
      </c>
      <c r="I690" s="29">
        <v>54000</v>
      </c>
      <c r="J690" s="29">
        <v>56000</v>
      </c>
      <c r="K690" s="29" t="str">
        <v>-</v>
      </c>
      <c r="L690" s="29">
        <v>53700</v>
      </c>
      <c r="M690" s="29">
        <v>56600</v>
      </c>
      <c r="N690" s="29">
        <v>52000</v>
      </c>
      <c r="O690" s="29">
        <v>52600</v>
      </c>
      <c r="P690" s="29">
        <v>50800</v>
      </c>
      <c r="Q690" s="29">
        <v>51200</v>
      </c>
      <c r="R690" s="29">
        <v>50900</v>
      </c>
      <c r="S690">
        <v>53700</v>
      </c>
      <c r="T690">
        <v>53800</v>
      </c>
      <c r="U690">
        <v>54300</v>
      </c>
      <c r="V690">
        <v>55800</v>
      </c>
      <c r="W690">
        <v>58100</v>
      </c>
    </row>
    <row r="691" spans="1:23">
      <c r="A691" s="30">
        <v>44975</v>
      </c>
      <c r="B691" s="29">
        <v>54800</v>
      </c>
      <c r="C691" s="29">
        <v>54300</v>
      </c>
      <c r="D691" s="29">
        <v>54100</v>
      </c>
      <c r="E691" s="29">
        <v>51400</v>
      </c>
      <c r="F691" s="29">
        <v>55700</v>
      </c>
      <c r="G691" s="29" t="str">
        <v>-</v>
      </c>
      <c r="H691" s="29">
        <v>54500</v>
      </c>
      <c r="I691" s="29">
        <v>54600</v>
      </c>
      <c r="J691" s="29">
        <v>56000</v>
      </c>
      <c r="K691" s="29" t="str">
        <v>-</v>
      </c>
      <c r="L691" s="29">
        <v>54100</v>
      </c>
      <c r="M691" s="29">
        <v>56600</v>
      </c>
      <c r="N691" s="29">
        <v>52200</v>
      </c>
      <c r="O691" s="29">
        <v>52600</v>
      </c>
      <c r="P691" s="29">
        <v>51000</v>
      </c>
      <c r="Q691" s="29">
        <v>51400</v>
      </c>
      <c r="R691" s="29">
        <v>51100</v>
      </c>
      <c r="S691">
        <v>53900</v>
      </c>
      <c r="T691">
        <v>54000</v>
      </c>
      <c r="U691">
        <v>54300</v>
      </c>
      <c r="V691">
        <v>55800</v>
      </c>
      <c r="W691">
        <v>58100</v>
      </c>
    </row>
    <row r="692" spans="1:23">
      <c r="A692" s="30">
        <v>44976</v>
      </c>
      <c r="B692" s="29" t="str">
        <v>H</v>
      </c>
      <c r="C692" s="29" t="str">
        <v>H</v>
      </c>
      <c r="D692" s="29" t="str">
        <v>H</v>
      </c>
      <c r="E692" s="29" t="str">
        <v>H</v>
      </c>
      <c r="F692" s="29" t="str">
        <v>H</v>
      </c>
      <c r="G692" s="29" t="str">
        <v>H</v>
      </c>
      <c r="H692" s="29" t="str">
        <v>H</v>
      </c>
      <c r="I692" s="29" t="str">
        <v>H</v>
      </c>
      <c r="J692" s="29" t="str">
        <v>H</v>
      </c>
      <c r="K692" s="29" t="str">
        <v>H</v>
      </c>
      <c r="L692" s="29" t="str">
        <v>H</v>
      </c>
      <c r="M692" s="29" t="str">
        <v>H</v>
      </c>
      <c r="N692" s="29" t="str">
        <v>H</v>
      </c>
      <c r="O692" s="29" t="str">
        <v>H</v>
      </c>
      <c r="P692" s="29" t="str">
        <v>H</v>
      </c>
      <c r="Q692" s="29" t="str">
        <v>H</v>
      </c>
      <c r="R692" s="29" t="str">
        <v>H</v>
      </c>
      <c r="S692" t="str">
        <v>H</v>
      </c>
      <c r="T692" t="str">
        <v>H</v>
      </c>
      <c r="U692" t="str">
        <v>H</v>
      </c>
      <c r="V692" t="str">
        <v>H</v>
      </c>
      <c r="W692" t="str">
        <v>H</v>
      </c>
    </row>
    <row r="693" spans="1:23">
      <c r="A693" s="30">
        <v>44977</v>
      </c>
      <c r="B693" s="29">
        <v>54800</v>
      </c>
      <c r="C693" s="29">
        <v>54500</v>
      </c>
      <c r="D693" s="29">
        <v>53400</v>
      </c>
      <c r="E693" s="29">
        <v>51000</v>
      </c>
      <c r="F693" s="29">
        <v>55700</v>
      </c>
      <c r="G693" s="29" t="str">
        <v>-</v>
      </c>
      <c r="H693" s="29">
        <v>54000</v>
      </c>
      <c r="I693" s="29">
        <v>54500</v>
      </c>
      <c r="J693" s="29">
        <v>56000</v>
      </c>
      <c r="K693" s="29" t="str">
        <v>-</v>
      </c>
      <c r="L693" s="29">
        <v>54000</v>
      </c>
      <c r="M693" s="29">
        <v>56600</v>
      </c>
      <c r="N693" s="29">
        <v>52000</v>
      </c>
      <c r="O693" s="29">
        <v>52300</v>
      </c>
      <c r="P693" s="29">
        <v>50700</v>
      </c>
      <c r="Q693" s="29">
        <v>51100</v>
      </c>
      <c r="R693" s="29">
        <v>50800</v>
      </c>
      <c r="S693">
        <v>53500</v>
      </c>
      <c r="T693">
        <v>54000</v>
      </c>
      <c r="U693">
        <v>53800</v>
      </c>
      <c r="V693">
        <v>55800</v>
      </c>
      <c r="W693">
        <v>58100</v>
      </c>
    </row>
    <row r="694" spans="1:23">
      <c r="A694" s="30">
        <v>44978</v>
      </c>
      <c r="B694" s="29">
        <v>54800</v>
      </c>
      <c r="C694" s="29">
        <v>54500</v>
      </c>
      <c r="D694" s="29">
        <v>53400</v>
      </c>
      <c r="E694" s="29">
        <v>51000</v>
      </c>
      <c r="F694" s="29">
        <v>55700</v>
      </c>
      <c r="G694" s="29" t="str">
        <v>-</v>
      </c>
      <c r="H694" s="29">
        <v>54000</v>
      </c>
      <c r="I694" s="29">
        <v>54500</v>
      </c>
      <c r="J694" s="29">
        <v>56000</v>
      </c>
      <c r="K694" s="29" t="str">
        <v>-</v>
      </c>
      <c r="L694" s="29">
        <v>54400</v>
      </c>
      <c r="M694" s="29">
        <v>56600</v>
      </c>
      <c r="N694" s="29">
        <v>52200</v>
      </c>
      <c r="O694" s="29">
        <v>52600</v>
      </c>
      <c r="P694" s="29">
        <v>50800</v>
      </c>
      <c r="Q694" s="29">
        <v>51000</v>
      </c>
      <c r="R694" s="29">
        <v>51000</v>
      </c>
      <c r="S694">
        <v>53500</v>
      </c>
      <c r="T694">
        <v>54200</v>
      </c>
      <c r="U694">
        <v>53800</v>
      </c>
      <c r="V694">
        <v>56000</v>
      </c>
      <c r="W694">
        <v>58400</v>
      </c>
    </row>
    <row r="695" spans="1:23">
      <c r="A695" s="30">
        <v>44979</v>
      </c>
      <c r="B695" s="29">
        <v>54700</v>
      </c>
      <c r="C695" s="29">
        <v>54200</v>
      </c>
      <c r="D695" s="29">
        <v>53100</v>
      </c>
      <c r="E695" s="29">
        <v>50800</v>
      </c>
      <c r="F695" s="29">
        <v>55700</v>
      </c>
      <c r="G695" s="29" t="str">
        <v>-</v>
      </c>
      <c r="H695" s="29">
        <v>54000</v>
      </c>
      <c r="I695" s="29">
        <v>54300</v>
      </c>
      <c r="J695" s="29">
        <v>56000</v>
      </c>
      <c r="K695" s="29" t="str">
        <v>-</v>
      </c>
      <c r="L695" s="29">
        <v>54100</v>
      </c>
      <c r="M695" s="29">
        <v>56600</v>
      </c>
      <c r="N695" s="29">
        <v>52000</v>
      </c>
      <c r="O695" s="29">
        <v>52500</v>
      </c>
      <c r="P695" s="29">
        <v>50500</v>
      </c>
      <c r="Q695" s="29">
        <v>50800</v>
      </c>
      <c r="R695" s="29">
        <v>50800</v>
      </c>
      <c r="S695">
        <v>53300</v>
      </c>
      <c r="T695">
        <v>54000</v>
      </c>
      <c r="U695">
        <v>53800</v>
      </c>
      <c r="V695">
        <v>56000</v>
      </c>
      <c r="W695">
        <v>58400</v>
      </c>
    </row>
    <row r="696" spans="1:23">
      <c r="A696" s="30">
        <v>44980</v>
      </c>
      <c r="B696" s="29">
        <v>54500</v>
      </c>
      <c r="C696" s="29">
        <v>54000</v>
      </c>
      <c r="D696" s="29">
        <v>53000</v>
      </c>
      <c r="E696" s="29">
        <v>50500</v>
      </c>
      <c r="F696" s="29">
        <v>55600</v>
      </c>
      <c r="G696" s="29" t="str">
        <v>-</v>
      </c>
      <c r="H696" s="29">
        <v>54000</v>
      </c>
      <c r="I696" s="29">
        <v>54200</v>
      </c>
      <c r="J696" s="29">
        <v>55800</v>
      </c>
      <c r="K696" s="29" t="str">
        <v>-</v>
      </c>
      <c r="L696" s="29">
        <v>54100</v>
      </c>
      <c r="M696" s="29">
        <v>56500</v>
      </c>
      <c r="N696" s="29">
        <v>51800</v>
      </c>
      <c r="O696" s="29">
        <v>52300</v>
      </c>
      <c r="P696" s="29">
        <v>50400</v>
      </c>
      <c r="Q696" s="29">
        <v>50800</v>
      </c>
      <c r="R696" s="29">
        <v>50600</v>
      </c>
      <c r="S696">
        <v>53000</v>
      </c>
      <c r="T696">
        <v>54000</v>
      </c>
      <c r="U696">
        <v>53800</v>
      </c>
      <c r="V696">
        <v>56000</v>
      </c>
      <c r="W696">
        <v>58400</v>
      </c>
    </row>
    <row r="697" spans="1:23">
      <c r="A697" s="30">
        <v>44981</v>
      </c>
      <c r="B697" s="29">
        <v>54000</v>
      </c>
      <c r="C697" s="29">
        <v>54000</v>
      </c>
      <c r="D697" s="29">
        <v>52500</v>
      </c>
      <c r="E697" s="29">
        <v>50000</v>
      </c>
      <c r="F697" s="29">
        <v>55200</v>
      </c>
      <c r="G697" s="29" t="str">
        <v>-</v>
      </c>
      <c r="H697" s="29">
        <v>53500</v>
      </c>
      <c r="I697" s="29">
        <v>54000</v>
      </c>
      <c r="J697" s="29">
        <v>55300</v>
      </c>
      <c r="K697" s="29" t="str">
        <v>-</v>
      </c>
      <c r="L697" s="29">
        <v>53800</v>
      </c>
      <c r="M697" s="29">
        <v>56000</v>
      </c>
      <c r="N697" s="29">
        <v>51400</v>
      </c>
      <c r="O697" s="29">
        <v>51800</v>
      </c>
      <c r="P697" s="29">
        <v>50000</v>
      </c>
      <c r="Q697" s="29">
        <v>50300</v>
      </c>
      <c r="R697" s="29">
        <v>50500</v>
      </c>
      <c r="S697">
        <v>52500</v>
      </c>
      <c r="T697">
        <v>53700</v>
      </c>
      <c r="U697">
        <v>53300</v>
      </c>
      <c r="V697">
        <v>55800</v>
      </c>
      <c r="W697">
        <v>58200</v>
      </c>
    </row>
    <row r="698" spans="1:23">
      <c r="A698" s="30">
        <v>44982</v>
      </c>
      <c r="B698" s="29">
        <v>53600</v>
      </c>
      <c r="C698" s="29">
        <v>54000</v>
      </c>
      <c r="D698" s="29">
        <v>52500</v>
      </c>
      <c r="E698" s="29">
        <v>49800</v>
      </c>
      <c r="F698" s="29">
        <v>55300</v>
      </c>
      <c r="G698" s="29" t="str">
        <v>-</v>
      </c>
      <c r="H698" s="29">
        <v>53300</v>
      </c>
      <c r="I698" s="29">
        <v>53500</v>
      </c>
      <c r="J698" s="29">
        <v>55300</v>
      </c>
      <c r="K698" s="29" t="str">
        <v>-</v>
      </c>
      <c r="L698" s="29">
        <v>53400</v>
      </c>
      <c r="M698" s="29">
        <v>56000</v>
      </c>
      <c r="N698" s="29">
        <v>51200</v>
      </c>
      <c r="O698" s="29">
        <v>51600</v>
      </c>
      <c r="P698" s="29">
        <v>49800</v>
      </c>
      <c r="Q698" s="29">
        <v>50300</v>
      </c>
      <c r="R698" s="29">
        <v>50100</v>
      </c>
      <c r="S698">
        <v>52300</v>
      </c>
      <c r="T698">
        <v>53700</v>
      </c>
      <c r="U698">
        <v>52800</v>
      </c>
      <c r="V698">
        <v>55700</v>
      </c>
      <c r="W698">
        <v>58200</v>
      </c>
    </row>
    <row r="699" spans="1:23">
      <c r="A699" s="30">
        <v>44983</v>
      </c>
      <c r="B699" s="29" t="str">
        <v>H</v>
      </c>
      <c r="C699" s="29" t="str">
        <v>H</v>
      </c>
      <c r="D699" s="29" t="str">
        <v>H</v>
      </c>
      <c r="E699" s="29" t="str">
        <v>H</v>
      </c>
      <c r="F699" s="29" t="str">
        <v>H</v>
      </c>
      <c r="G699" s="29" t="str">
        <v>H</v>
      </c>
      <c r="H699" s="29" t="str">
        <v>H</v>
      </c>
      <c r="I699" s="29" t="str">
        <v>H</v>
      </c>
      <c r="J699" s="29" t="str">
        <v>H</v>
      </c>
      <c r="K699" s="29" t="str">
        <v>H</v>
      </c>
      <c r="L699" s="29" t="str">
        <v>H</v>
      </c>
      <c r="M699" s="29" t="str">
        <v>H</v>
      </c>
      <c r="N699" s="29" t="str">
        <v>H</v>
      </c>
      <c r="O699" s="29" t="str">
        <v>H</v>
      </c>
      <c r="P699" s="29" t="str">
        <v>H</v>
      </c>
      <c r="Q699" s="29" t="str">
        <v>H</v>
      </c>
      <c r="R699" s="29" t="str">
        <v>H</v>
      </c>
      <c r="S699" t="str">
        <v>H</v>
      </c>
      <c r="T699" t="str">
        <v>H</v>
      </c>
      <c r="U699" t="str">
        <v>H</v>
      </c>
      <c r="V699" t="str">
        <v>H</v>
      </c>
      <c r="W699" t="str">
        <v>H</v>
      </c>
    </row>
    <row r="700" spans="1:23">
      <c r="A700" s="30">
        <v>44984</v>
      </c>
      <c r="B700" s="29">
        <v>53600</v>
      </c>
      <c r="C700" s="29">
        <v>54000</v>
      </c>
      <c r="D700" s="29">
        <v>52500</v>
      </c>
      <c r="E700" s="29">
        <v>50000</v>
      </c>
      <c r="F700" s="29">
        <v>55300</v>
      </c>
      <c r="G700" s="29" t="str">
        <v>-</v>
      </c>
      <c r="H700" s="29">
        <v>53500</v>
      </c>
      <c r="I700" s="29">
        <v>53500</v>
      </c>
      <c r="J700" s="29">
        <v>55300</v>
      </c>
      <c r="K700" s="29" t="str">
        <v>-</v>
      </c>
      <c r="L700" s="29">
        <v>53400</v>
      </c>
      <c r="M700" s="29">
        <v>56000</v>
      </c>
      <c r="N700" s="29">
        <v>51000</v>
      </c>
      <c r="O700" s="29">
        <v>51700</v>
      </c>
      <c r="P700" s="29">
        <v>50000</v>
      </c>
      <c r="Q700" s="29">
        <v>50300</v>
      </c>
      <c r="R700" s="29">
        <v>50000</v>
      </c>
      <c r="S700">
        <v>52500</v>
      </c>
      <c r="T700">
        <v>53700</v>
      </c>
      <c r="U700">
        <v>52800</v>
      </c>
      <c r="V700">
        <v>55700</v>
      </c>
      <c r="W700">
        <v>58200</v>
      </c>
    </row>
    <row r="701" spans="1:23">
      <c r="A701" s="30">
        <v>44985</v>
      </c>
      <c r="B701" s="29">
        <v>53400</v>
      </c>
      <c r="C701" s="29">
        <v>54000</v>
      </c>
      <c r="D701" s="29">
        <v>52300</v>
      </c>
      <c r="E701" s="29">
        <v>50300</v>
      </c>
      <c r="F701" s="29">
        <v>55700</v>
      </c>
      <c r="G701" s="29" t="str">
        <v>-</v>
      </c>
      <c r="H701" s="29">
        <v>53500</v>
      </c>
      <c r="I701" s="29">
        <v>53100</v>
      </c>
      <c r="J701" s="29">
        <v>55500</v>
      </c>
      <c r="K701" s="29" t="str">
        <v>-</v>
      </c>
      <c r="L701" s="29">
        <v>53300</v>
      </c>
      <c r="M701" s="29">
        <v>56000</v>
      </c>
      <c r="N701" s="29">
        <v>51000</v>
      </c>
      <c r="O701" s="29">
        <v>51800</v>
      </c>
      <c r="P701" s="29">
        <v>49800</v>
      </c>
      <c r="Q701" s="29">
        <v>50300</v>
      </c>
      <c r="R701" s="29">
        <v>50000</v>
      </c>
      <c r="S701">
        <v>52800</v>
      </c>
      <c r="T701">
        <v>53500</v>
      </c>
      <c r="U701">
        <v>52800</v>
      </c>
      <c r="V701">
        <v>56200</v>
      </c>
      <c r="W701">
        <v>58600</v>
      </c>
    </row>
    <row r="702" spans="1:23">
      <c r="A702" s="30">
        <v>44986</v>
      </c>
      <c r="B702" s="29">
        <v>53200</v>
      </c>
      <c r="C702" s="29">
        <v>54000</v>
      </c>
      <c r="D702" s="29">
        <v>52600</v>
      </c>
      <c r="E702" s="29">
        <v>50500</v>
      </c>
      <c r="F702" s="29">
        <v>55800</v>
      </c>
      <c r="G702" s="29" t="str">
        <v>-</v>
      </c>
      <c r="H702" s="29">
        <v>54000</v>
      </c>
      <c r="I702" s="29">
        <v>53400</v>
      </c>
      <c r="J702" s="29">
        <v>55500</v>
      </c>
      <c r="K702" s="29" t="str">
        <v>-</v>
      </c>
      <c r="L702" s="29">
        <v>54000</v>
      </c>
      <c r="M702" s="29">
        <v>56000</v>
      </c>
      <c r="N702" s="29">
        <v>51300</v>
      </c>
      <c r="O702" s="29">
        <v>52000</v>
      </c>
      <c r="P702" s="29">
        <v>50100</v>
      </c>
      <c r="Q702" s="29">
        <v>50300</v>
      </c>
      <c r="R702" s="29">
        <v>50500</v>
      </c>
      <c r="S702">
        <v>53000</v>
      </c>
      <c r="T702">
        <v>53600</v>
      </c>
      <c r="U702">
        <v>52800</v>
      </c>
      <c r="V702">
        <v>56400</v>
      </c>
      <c r="W702">
        <v>58800</v>
      </c>
    </row>
    <row r="703" spans="1:23">
      <c r="A703" s="30">
        <v>44987</v>
      </c>
      <c r="B703" s="29">
        <v>53300</v>
      </c>
      <c r="C703" s="29">
        <v>53800</v>
      </c>
      <c r="D703" s="29">
        <v>52600</v>
      </c>
      <c r="E703" s="29">
        <v>50500</v>
      </c>
      <c r="F703" s="29">
        <v>55300</v>
      </c>
      <c r="G703" s="29" t="str">
        <v>-</v>
      </c>
      <c r="H703" s="29">
        <v>54000</v>
      </c>
      <c r="I703" s="29">
        <v>53800</v>
      </c>
      <c r="J703" s="29">
        <v>55500</v>
      </c>
      <c r="K703" s="29" t="str">
        <v>-</v>
      </c>
      <c r="L703" s="29">
        <v>54200</v>
      </c>
      <c r="M703" s="29">
        <v>56000</v>
      </c>
      <c r="N703" s="29">
        <v>51500</v>
      </c>
      <c r="O703" s="29">
        <v>52000</v>
      </c>
      <c r="P703" s="29">
        <v>50000</v>
      </c>
      <c r="Q703" s="29">
        <v>50200</v>
      </c>
      <c r="R703" s="29">
        <v>50500</v>
      </c>
      <c r="S703">
        <v>53000</v>
      </c>
      <c r="T703">
        <v>53700</v>
      </c>
      <c r="U703">
        <v>52800</v>
      </c>
      <c r="V703">
        <v>56700</v>
      </c>
      <c r="W703">
        <v>58900</v>
      </c>
    </row>
    <row r="704" spans="1:23">
      <c r="A704" s="30">
        <v>44988</v>
      </c>
      <c r="B704" s="29">
        <v>53300</v>
      </c>
      <c r="C704" s="29">
        <v>53800</v>
      </c>
      <c r="D704" s="29">
        <v>52700</v>
      </c>
      <c r="E704" s="29">
        <v>50200</v>
      </c>
      <c r="F704" s="29">
        <v>55800</v>
      </c>
      <c r="G704" s="29" t="str">
        <v>-</v>
      </c>
      <c r="H704" s="29">
        <v>54000</v>
      </c>
      <c r="I704" s="29">
        <v>53600</v>
      </c>
      <c r="J704" s="29">
        <v>55300</v>
      </c>
      <c r="K704" s="29" t="str">
        <v>-</v>
      </c>
      <c r="L704" s="29">
        <v>54200</v>
      </c>
      <c r="M704" s="29">
        <v>56000</v>
      </c>
      <c r="N704" s="29">
        <v>51300</v>
      </c>
      <c r="O704" s="29">
        <v>52000</v>
      </c>
      <c r="P704" s="29">
        <v>49800</v>
      </c>
      <c r="Q704" s="29">
        <v>50200</v>
      </c>
      <c r="R704" s="29">
        <v>50300</v>
      </c>
      <c r="S704">
        <v>52700</v>
      </c>
      <c r="T704">
        <v>53700</v>
      </c>
      <c r="U704">
        <v>52800</v>
      </c>
      <c r="V704">
        <v>56500</v>
      </c>
      <c r="W704">
        <v>58700</v>
      </c>
    </row>
    <row r="705" spans="1:23">
      <c r="A705" s="30">
        <v>44989</v>
      </c>
      <c r="B705" s="29">
        <v>53300</v>
      </c>
      <c r="C705" s="29">
        <v>53800</v>
      </c>
      <c r="D705" s="29">
        <v>53100</v>
      </c>
      <c r="E705" s="29">
        <v>50400</v>
      </c>
      <c r="F705" s="29">
        <v>55800</v>
      </c>
      <c r="G705" s="29" t="str">
        <v>-</v>
      </c>
      <c r="H705" s="29">
        <v>54000</v>
      </c>
      <c r="I705" s="29">
        <v>53600</v>
      </c>
      <c r="J705" s="29">
        <v>55300</v>
      </c>
      <c r="K705" s="29" t="str">
        <v>-</v>
      </c>
      <c r="L705" s="29">
        <v>54300</v>
      </c>
      <c r="M705" s="29">
        <v>56000</v>
      </c>
      <c r="N705" s="29">
        <v>51700</v>
      </c>
      <c r="O705" s="29">
        <v>52000</v>
      </c>
      <c r="P705" s="29">
        <v>49800</v>
      </c>
      <c r="Q705" s="29">
        <v>50200</v>
      </c>
      <c r="R705" s="29">
        <v>50300</v>
      </c>
      <c r="S705">
        <v>52900</v>
      </c>
      <c r="T705">
        <v>53700</v>
      </c>
      <c r="U705">
        <v>52800</v>
      </c>
      <c r="V705">
        <v>56500</v>
      </c>
      <c r="W705">
        <v>58700</v>
      </c>
    </row>
    <row r="706" spans="1:23">
      <c r="A706" s="30">
        <v>44990</v>
      </c>
      <c r="B706" s="29" t="str">
        <v>H</v>
      </c>
      <c r="C706" s="29" t="str">
        <v>H</v>
      </c>
      <c r="D706" s="29" t="str">
        <v>H</v>
      </c>
      <c r="E706" s="29" t="str">
        <v>H</v>
      </c>
      <c r="F706" s="29" t="str">
        <v>H</v>
      </c>
      <c r="G706" s="29" t="str">
        <v>H</v>
      </c>
      <c r="H706" s="29" t="str">
        <v>H</v>
      </c>
      <c r="I706" s="29" t="str">
        <v>H</v>
      </c>
      <c r="J706" s="29" t="str">
        <v>H</v>
      </c>
      <c r="K706" s="29" t="str">
        <v>H</v>
      </c>
      <c r="L706" s="29" t="str">
        <v>H</v>
      </c>
      <c r="M706" s="29" t="str">
        <v>H</v>
      </c>
      <c r="N706" s="29" t="str">
        <v>H</v>
      </c>
      <c r="O706" s="29" t="str">
        <v>H</v>
      </c>
      <c r="P706" s="29" t="str">
        <v>H</v>
      </c>
      <c r="Q706" s="29" t="str">
        <v>H</v>
      </c>
      <c r="R706" s="29" t="str">
        <v>H</v>
      </c>
      <c r="S706" t="str">
        <v>H</v>
      </c>
      <c r="T706" t="str">
        <v>H</v>
      </c>
      <c r="U706" t="str">
        <v>H</v>
      </c>
      <c r="V706" t="str">
        <v>H</v>
      </c>
      <c r="W706" t="str">
        <v>H</v>
      </c>
    </row>
    <row r="707" spans="1:23">
      <c r="A707" s="30">
        <v>44991</v>
      </c>
      <c r="B707" s="29">
        <v>53400</v>
      </c>
      <c r="C707" s="29">
        <v>54000</v>
      </c>
      <c r="D707" s="29">
        <v>53500</v>
      </c>
      <c r="E707" s="29">
        <v>51000</v>
      </c>
      <c r="F707" s="29">
        <v>55900</v>
      </c>
      <c r="G707" s="29" t="str">
        <v>-</v>
      </c>
      <c r="H707" s="29">
        <v>54500</v>
      </c>
      <c r="I707" s="29">
        <v>54100</v>
      </c>
      <c r="J707" s="29">
        <v>55800</v>
      </c>
      <c r="K707" s="29" t="str">
        <v>-</v>
      </c>
      <c r="L707" s="29">
        <v>54600</v>
      </c>
      <c r="M707" s="29">
        <v>56000</v>
      </c>
      <c r="N707" s="29">
        <v>52900</v>
      </c>
      <c r="O707" s="29">
        <v>52500</v>
      </c>
      <c r="P707" s="29">
        <v>50700</v>
      </c>
      <c r="Q707" s="29">
        <v>50800</v>
      </c>
      <c r="R707" s="29">
        <v>50800</v>
      </c>
      <c r="S707">
        <v>53500</v>
      </c>
      <c r="T707">
        <v>54000</v>
      </c>
      <c r="U707">
        <v>53300</v>
      </c>
      <c r="V707">
        <v>57300</v>
      </c>
      <c r="W707">
        <v>59500</v>
      </c>
    </row>
    <row r="708" spans="1:23">
      <c r="A708" s="30">
        <v>44992</v>
      </c>
      <c r="B708" s="29">
        <v>53600</v>
      </c>
      <c r="C708" s="29">
        <v>54000</v>
      </c>
      <c r="D708" s="29">
        <v>53200</v>
      </c>
      <c r="E708" s="29" t="str">
        <v>-</v>
      </c>
      <c r="F708" s="29">
        <v>56200</v>
      </c>
      <c r="G708" s="29" t="str">
        <v>-</v>
      </c>
      <c r="H708" s="29">
        <v>54500</v>
      </c>
      <c r="I708" s="29" t="str">
        <v>-</v>
      </c>
      <c r="J708" s="29" t="str">
        <v>-</v>
      </c>
      <c r="K708" s="29" t="str">
        <v>-</v>
      </c>
      <c r="L708" s="29">
        <v>54600</v>
      </c>
      <c r="M708" s="29" t="str">
        <v>-</v>
      </c>
      <c r="N708" s="29">
        <v>52600</v>
      </c>
      <c r="O708" s="29" t="str">
        <v>-</v>
      </c>
      <c r="P708" s="29">
        <v>50400</v>
      </c>
      <c r="Q708" s="29">
        <v>50800</v>
      </c>
      <c r="R708" s="29">
        <v>50600</v>
      </c>
      <c r="S708" t="str">
        <v>-</v>
      </c>
      <c r="T708">
        <v>54000</v>
      </c>
      <c r="U708">
        <v>53300</v>
      </c>
      <c r="V708">
        <v>57300</v>
      </c>
      <c r="W708">
        <v>59500</v>
      </c>
    </row>
    <row r="709" spans="1:23">
      <c r="A709" s="30">
        <v>44993</v>
      </c>
      <c r="B709" s="29" t="str">
        <v>H</v>
      </c>
      <c r="C709" s="29" t="str">
        <v>H</v>
      </c>
      <c r="D709" s="29" t="str">
        <v>H</v>
      </c>
      <c r="E709" s="29" t="str">
        <v>H</v>
      </c>
      <c r="F709" s="29" t="str">
        <v>H</v>
      </c>
      <c r="G709" s="29" t="str">
        <v>H</v>
      </c>
      <c r="H709" s="29" t="str">
        <v>H</v>
      </c>
      <c r="I709" s="29" t="str">
        <v>H</v>
      </c>
      <c r="J709" s="29" t="str">
        <v>H</v>
      </c>
      <c r="K709" s="29" t="str">
        <v>H</v>
      </c>
      <c r="L709" s="29" t="str">
        <v>H</v>
      </c>
      <c r="M709" s="29" t="str">
        <v>H</v>
      </c>
      <c r="N709" s="29" t="str">
        <v>H</v>
      </c>
      <c r="O709" s="29" t="str">
        <v>H</v>
      </c>
      <c r="P709" s="29" t="str">
        <v>H</v>
      </c>
      <c r="Q709" s="29" t="str">
        <v>H</v>
      </c>
      <c r="R709" s="29" t="str">
        <v>H</v>
      </c>
      <c r="S709" t="str">
        <v>H</v>
      </c>
      <c r="T709" t="str">
        <v>H</v>
      </c>
      <c r="U709" t="str">
        <v>H</v>
      </c>
      <c r="V709" t="str">
        <v>H</v>
      </c>
      <c r="W709" t="str">
        <v>H</v>
      </c>
    </row>
    <row r="710" spans="1:23">
      <c r="A710" s="30">
        <v>44994</v>
      </c>
      <c r="B710" s="29" t="str">
        <v>H</v>
      </c>
      <c r="C710" s="29" t="str">
        <v>H</v>
      </c>
      <c r="D710" s="29" t="str">
        <v>H</v>
      </c>
      <c r="E710" s="29" t="str">
        <v>H</v>
      </c>
      <c r="F710" s="29" t="str">
        <v>H</v>
      </c>
      <c r="G710" s="29" t="str">
        <v>H</v>
      </c>
      <c r="H710" s="29" t="str">
        <v>H</v>
      </c>
      <c r="I710" s="29" t="str">
        <v>H</v>
      </c>
      <c r="J710" s="29" t="str">
        <v>H</v>
      </c>
      <c r="K710" s="29" t="str">
        <v>H</v>
      </c>
      <c r="L710" s="29" t="str">
        <v>H</v>
      </c>
      <c r="M710" s="29" t="str">
        <v>H</v>
      </c>
      <c r="N710" s="29" t="str">
        <v>H</v>
      </c>
      <c r="O710" s="29" t="str">
        <v>H</v>
      </c>
      <c r="P710" s="29" t="str">
        <v>H</v>
      </c>
      <c r="Q710" s="29" t="str">
        <v>H</v>
      </c>
      <c r="R710" s="29" t="str">
        <v>H</v>
      </c>
      <c r="S710" t="str">
        <v>H</v>
      </c>
      <c r="T710" t="str">
        <v>H</v>
      </c>
      <c r="U710" t="str">
        <v>H</v>
      </c>
      <c r="V710" t="str">
        <v>H</v>
      </c>
      <c r="W710" t="str">
        <v>H</v>
      </c>
    </row>
    <row r="711" spans="1:23">
      <c r="A711" s="30">
        <v>44995</v>
      </c>
      <c r="B711" s="29">
        <v>53800</v>
      </c>
      <c r="C711" s="29">
        <v>54000</v>
      </c>
      <c r="D711" s="29">
        <v>53800</v>
      </c>
      <c r="E711" s="29">
        <v>51300</v>
      </c>
      <c r="F711" s="29">
        <v>56400</v>
      </c>
      <c r="G711" s="29" t="str">
        <v>-</v>
      </c>
      <c r="H711" s="29">
        <v>54000</v>
      </c>
      <c r="I711" s="29">
        <v>53700</v>
      </c>
      <c r="J711" s="29">
        <v>55800</v>
      </c>
      <c r="K711" s="29" t="str">
        <v>-</v>
      </c>
      <c r="L711" s="29">
        <v>54600</v>
      </c>
      <c r="M711" s="29">
        <v>56600</v>
      </c>
      <c r="N711" s="29">
        <v>52600</v>
      </c>
      <c r="O711" s="29">
        <v>52500</v>
      </c>
      <c r="P711" s="29">
        <v>50600</v>
      </c>
      <c r="Q711" s="29">
        <v>50700</v>
      </c>
      <c r="R711" s="29">
        <v>50600</v>
      </c>
      <c r="S711">
        <v>53800</v>
      </c>
      <c r="T711">
        <v>54000</v>
      </c>
      <c r="U711">
        <v>53300</v>
      </c>
      <c r="V711">
        <v>57300</v>
      </c>
      <c r="W711">
        <v>59500</v>
      </c>
    </row>
    <row r="712" spans="1:23">
      <c r="A712" s="30">
        <v>44996</v>
      </c>
      <c r="B712" s="29">
        <v>53500</v>
      </c>
      <c r="C712" s="29">
        <v>54000</v>
      </c>
      <c r="D712" s="29">
        <v>53200</v>
      </c>
      <c r="E712" s="29">
        <v>51200</v>
      </c>
      <c r="F712" s="29">
        <v>56400</v>
      </c>
      <c r="G712" s="29" t="str">
        <v>-</v>
      </c>
      <c r="H712" s="29">
        <v>54000</v>
      </c>
      <c r="I712" s="29">
        <v>53000</v>
      </c>
      <c r="J712" s="29">
        <v>55700</v>
      </c>
      <c r="K712" s="29" t="str">
        <v>-</v>
      </c>
      <c r="L712" s="29">
        <v>54300</v>
      </c>
      <c r="M712" s="29">
        <v>56600</v>
      </c>
      <c r="N712" s="29">
        <v>52500</v>
      </c>
      <c r="O712" s="29">
        <v>52500</v>
      </c>
      <c r="P712" s="29">
        <v>50300</v>
      </c>
      <c r="Q712" s="29">
        <v>50700</v>
      </c>
      <c r="R712" s="29">
        <v>50500</v>
      </c>
      <c r="S712">
        <v>53700</v>
      </c>
      <c r="T712">
        <v>54000</v>
      </c>
      <c r="U712">
        <v>53300</v>
      </c>
      <c r="V712">
        <v>56800</v>
      </c>
      <c r="W712">
        <v>59200</v>
      </c>
    </row>
    <row r="713" spans="1:23">
      <c r="A713" s="30">
        <v>44997</v>
      </c>
      <c r="B713" s="29" t="str">
        <v>H</v>
      </c>
      <c r="C713" s="29" t="str">
        <v>H</v>
      </c>
      <c r="D713" s="29" t="str">
        <v>H</v>
      </c>
      <c r="E713" s="29" t="str">
        <v>H</v>
      </c>
      <c r="F713" s="29" t="str">
        <v>H</v>
      </c>
      <c r="G713" s="29" t="str">
        <v>H</v>
      </c>
      <c r="H713" s="29" t="str">
        <v>H</v>
      </c>
      <c r="I713" s="29" t="str">
        <v>H</v>
      </c>
      <c r="J713" s="29" t="str">
        <v>H</v>
      </c>
      <c r="K713" s="29" t="str">
        <v>H</v>
      </c>
      <c r="L713" s="29" t="str">
        <v>H</v>
      </c>
      <c r="M713" s="29" t="str">
        <v>H</v>
      </c>
      <c r="N713" s="29" t="str">
        <v>H</v>
      </c>
      <c r="O713" s="29" t="str">
        <v>H</v>
      </c>
      <c r="P713" s="29" t="str">
        <v>H</v>
      </c>
      <c r="Q713" s="29" t="str">
        <v>H</v>
      </c>
      <c r="R713" s="29" t="str">
        <v>H</v>
      </c>
      <c r="S713" t="str">
        <v>H</v>
      </c>
      <c r="T713" t="str">
        <v>H</v>
      </c>
      <c r="U713" t="str">
        <v>H</v>
      </c>
      <c r="V713" t="str">
        <v>H</v>
      </c>
      <c r="W713" t="str">
        <v>H</v>
      </c>
    </row>
    <row r="714" spans="1:23">
      <c r="A714" s="30">
        <v>44998</v>
      </c>
      <c r="B714" s="29">
        <v>53500</v>
      </c>
      <c r="C714" s="29">
        <v>54000</v>
      </c>
      <c r="D714" s="29">
        <v>53200</v>
      </c>
      <c r="E714" s="29">
        <v>51400</v>
      </c>
      <c r="F714" s="29">
        <v>56400</v>
      </c>
      <c r="G714" s="29" t="str">
        <v>-</v>
      </c>
      <c r="H714" s="29">
        <v>54000</v>
      </c>
      <c r="I714" s="29">
        <v>53500</v>
      </c>
      <c r="J714" s="29">
        <v>55500</v>
      </c>
      <c r="K714" s="29" t="str">
        <v>-</v>
      </c>
      <c r="L714" s="29">
        <v>54300</v>
      </c>
      <c r="M714" s="29">
        <v>56600</v>
      </c>
      <c r="N714" s="29">
        <v>52500</v>
      </c>
      <c r="O714" s="29">
        <v>52500</v>
      </c>
      <c r="P714" s="29">
        <v>50500</v>
      </c>
      <c r="Q714" s="29">
        <v>50600</v>
      </c>
      <c r="R714" s="29">
        <v>50500</v>
      </c>
      <c r="S714">
        <v>53900</v>
      </c>
      <c r="T714">
        <v>54000</v>
      </c>
      <c r="U714">
        <v>53300</v>
      </c>
      <c r="V714">
        <v>56800</v>
      </c>
      <c r="W714">
        <v>59200</v>
      </c>
    </row>
    <row r="715" spans="1:23">
      <c r="A715" s="30">
        <v>44999</v>
      </c>
      <c r="B715" s="29">
        <v>53500</v>
      </c>
      <c r="C715" s="29">
        <v>54000</v>
      </c>
      <c r="D715" s="29">
        <v>53500</v>
      </c>
      <c r="E715" s="29">
        <v>51500</v>
      </c>
      <c r="F715" s="29">
        <v>56400</v>
      </c>
      <c r="G715" s="29" t="str">
        <v>-</v>
      </c>
      <c r="H715" s="29">
        <v>54000</v>
      </c>
      <c r="I715" s="29">
        <v>53500</v>
      </c>
      <c r="J715" s="29">
        <v>55500</v>
      </c>
      <c r="K715" s="29" t="str">
        <v>-</v>
      </c>
      <c r="L715" s="29">
        <v>54400</v>
      </c>
      <c r="M715" s="29">
        <v>56600</v>
      </c>
      <c r="N715" s="29">
        <v>52600</v>
      </c>
      <c r="O715" s="29">
        <v>52800</v>
      </c>
      <c r="P715" s="29">
        <v>50500</v>
      </c>
      <c r="Q715" s="29">
        <v>50500</v>
      </c>
      <c r="R715" s="29">
        <v>50500</v>
      </c>
      <c r="S715">
        <v>54000</v>
      </c>
      <c r="T715">
        <v>54000</v>
      </c>
      <c r="U715">
        <v>53300</v>
      </c>
      <c r="V715">
        <v>56800</v>
      </c>
      <c r="W715">
        <v>59200</v>
      </c>
    </row>
    <row r="716" spans="1:23">
      <c r="A716" s="30">
        <v>45000</v>
      </c>
      <c r="B716" s="29">
        <v>53100</v>
      </c>
      <c r="C716" s="29">
        <v>54000</v>
      </c>
      <c r="D716" s="29">
        <v>53100</v>
      </c>
      <c r="E716" s="29">
        <v>51000</v>
      </c>
      <c r="F716" s="29">
        <v>56200</v>
      </c>
      <c r="G716" s="29" t="str">
        <v>-</v>
      </c>
      <c r="H716" s="29">
        <v>53800</v>
      </c>
      <c r="I716" s="29">
        <v>53300</v>
      </c>
      <c r="J716" s="29">
        <v>55400</v>
      </c>
      <c r="K716" s="29" t="str">
        <v>-</v>
      </c>
      <c r="L716" s="29">
        <v>54100</v>
      </c>
      <c r="M716" s="29">
        <v>56600</v>
      </c>
      <c r="N716" s="29">
        <v>52300</v>
      </c>
      <c r="O716" s="29">
        <v>52500</v>
      </c>
      <c r="P716" s="29">
        <v>50000</v>
      </c>
      <c r="Q716" s="29">
        <v>50300</v>
      </c>
      <c r="R716" s="29">
        <v>50100</v>
      </c>
      <c r="S716">
        <v>53500</v>
      </c>
      <c r="T716">
        <v>53800</v>
      </c>
      <c r="U716">
        <v>53300</v>
      </c>
      <c r="V716">
        <v>56400</v>
      </c>
      <c r="W716">
        <v>58900</v>
      </c>
    </row>
    <row r="717" spans="1:23">
      <c r="A717" s="30">
        <v>45001</v>
      </c>
      <c r="B717" s="29">
        <v>52900</v>
      </c>
      <c r="C717" s="29">
        <v>54000</v>
      </c>
      <c r="D717" s="29">
        <v>52900</v>
      </c>
      <c r="E717" s="29">
        <v>50500</v>
      </c>
      <c r="F717" s="29">
        <v>56200</v>
      </c>
      <c r="G717" s="29" t="str">
        <v>-</v>
      </c>
      <c r="H717" s="29">
        <v>53500</v>
      </c>
      <c r="I717" s="29">
        <v>53100</v>
      </c>
      <c r="J717" s="29">
        <v>55300</v>
      </c>
      <c r="K717" s="29" t="str">
        <v>-</v>
      </c>
      <c r="L717" s="29">
        <v>53800</v>
      </c>
      <c r="M717" s="29">
        <v>56400</v>
      </c>
      <c r="N717" s="29">
        <v>51900</v>
      </c>
      <c r="O717" s="29">
        <v>52100</v>
      </c>
      <c r="P717" s="29">
        <v>49700</v>
      </c>
      <c r="Q717" s="29">
        <v>50000</v>
      </c>
      <c r="R717" s="29">
        <v>49900</v>
      </c>
      <c r="S717">
        <v>53000</v>
      </c>
      <c r="T717">
        <v>53400</v>
      </c>
      <c r="U717">
        <v>53300</v>
      </c>
      <c r="V717">
        <v>56000</v>
      </c>
      <c r="W717">
        <v>58600</v>
      </c>
    </row>
    <row r="718" spans="1:23">
      <c r="A718" s="30">
        <v>45002</v>
      </c>
      <c r="B718" s="29">
        <v>52900</v>
      </c>
      <c r="C718" s="29">
        <v>54000</v>
      </c>
      <c r="D718" s="29">
        <v>52900</v>
      </c>
      <c r="E718" s="29">
        <v>50500</v>
      </c>
      <c r="F718" s="29">
        <v>56100</v>
      </c>
      <c r="G718" s="29" t="str">
        <v>-</v>
      </c>
      <c r="H718" s="29">
        <v>53500</v>
      </c>
      <c r="I718" s="29">
        <v>53200</v>
      </c>
      <c r="J718" s="29">
        <v>55300</v>
      </c>
      <c r="K718" s="29" t="str">
        <v>-</v>
      </c>
      <c r="L718" s="29">
        <v>53800</v>
      </c>
      <c r="M718" s="29">
        <v>56400</v>
      </c>
      <c r="N718" s="29">
        <v>52000</v>
      </c>
      <c r="O718" s="29">
        <v>52300</v>
      </c>
      <c r="P718" s="29">
        <v>50000</v>
      </c>
      <c r="Q718" s="29">
        <v>50200</v>
      </c>
      <c r="R718" s="29">
        <v>50100</v>
      </c>
      <c r="S718">
        <v>53000</v>
      </c>
      <c r="T718">
        <v>53600</v>
      </c>
      <c r="U718">
        <v>53300</v>
      </c>
      <c r="V718">
        <v>56000</v>
      </c>
      <c r="W718">
        <v>58600</v>
      </c>
    </row>
    <row r="719" spans="1:23">
      <c r="A719" s="30">
        <v>45003</v>
      </c>
      <c r="B719" s="29">
        <v>52700</v>
      </c>
      <c r="C719" s="29">
        <v>53800</v>
      </c>
      <c r="D719" s="29">
        <v>52500</v>
      </c>
      <c r="E719" s="29">
        <v>50200</v>
      </c>
      <c r="F719" s="29">
        <v>55900</v>
      </c>
      <c r="G719" s="29" t="str">
        <v>-</v>
      </c>
      <c r="H719" s="29">
        <v>53500</v>
      </c>
      <c r="I719" s="29">
        <v>52700</v>
      </c>
      <c r="J719" s="29">
        <v>55200</v>
      </c>
      <c r="K719" s="29" t="str">
        <v>-</v>
      </c>
      <c r="L719" s="29">
        <v>53500</v>
      </c>
      <c r="M719" s="29">
        <v>56100</v>
      </c>
      <c r="N719" s="29">
        <v>51500</v>
      </c>
      <c r="O719" s="29">
        <v>52000</v>
      </c>
      <c r="P719" s="29">
        <v>50000</v>
      </c>
      <c r="Q719" s="29">
        <v>50000</v>
      </c>
      <c r="R719" s="29">
        <v>50000</v>
      </c>
      <c r="S719">
        <v>52700</v>
      </c>
      <c r="T719">
        <v>53500</v>
      </c>
      <c r="U719">
        <v>53300</v>
      </c>
      <c r="V719">
        <v>55900</v>
      </c>
      <c r="W719">
        <v>58600</v>
      </c>
    </row>
    <row r="720" spans="1:23">
      <c r="A720" s="30">
        <v>45004</v>
      </c>
      <c r="B720" s="29" t="str">
        <v>H</v>
      </c>
      <c r="C720" s="29" t="str">
        <v>H</v>
      </c>
      <c r="D720" s="29" t="str">
        <v>H</v>
      </c>
      <c r="E720" s="29" t="str">
        <v>H</v>
      </c>
      <c r="F720" s="29" t="str">
        <v>H</v>
      </c>
      <c r="G720" s="29" t="str">
        <v>H</v>
      </c>
      <c r="H720" s="29" t="str">
        <v>H</v>
      </c>
      <c r="I720" s="29" t="str">
        <v>H</v>
      </c>
      <c r="J720" s="29" t="str">
        <v>H</v>
      </c>
      <c r="K720" s="29" t="str">
        <v>H</v>
      </c>
      <c r="L720" s="29" t="str">
        <v>H</v>
      </c>
      <c r="M720" s="29" t="str">
        <v>H</v>
      </c>
      <c r="N720" s="29" t="str">
        <v>H</v>
      </c>
      <c r="O720" s="29" t="str">
        <v>H</v>
      </c>
      <c r="P720" s="29" t="str">
        <v>H</v>
      </c>
      <c r="Q720" s="29" t="str">
        <v>H</v>
      </c>
      <c r="R720" s="29" t="str">
        <v>H</v>
      </c>
      <c r="S720" t="str">
        <v>H</v>
      </c>
      <c r="T720" t="str">
        <v>H</v>
      </c>
      <c r="U720" t="str">
        <v>H</v>
      </c>
      <c r="V720" t="str">
        <v>H</v>
      </c>
      <c r="W720" t="str">
        <v>H</v>
      </c>
    </row>
    <row r="721" spans="1:23">
      <c r="A721" s="30">
        <v>45005</v>
      </c>
      <c r="B721" s="29">
        <v>52400</v>
      </c>
      <c r="C721" s="29">
        <v>53700</v>
      </c>
      <c r="D721" s="29">
        <v>52100</v>
      </c>
      <c r="E721" s="29">
        <v>50200</v>
      </c>
      <c r="F721" s="29">
        <v>55500</v>
      </c>
      <c r="G721" s="29" t="str">
        <v>-</v>
      </c>
      <c r="H721" s="29">
        <v>53000</v>
      </c>
      <c r="I721" s="29">
        <v>52300</v>
      </c>
      <c r="J721" s="29">
        <v>54900</v>
      </c>
      <c r="K721" s="29" t="str">
        <v>-</v>
      </c>
      <c r="L721" s="29">
        <v>53400</v>
      </c>
      <c r="M721" s="29">
        <v>55500</v>
      </c>
      <c r="N721" s="29">
        <v>51200</v>
      </c>
      <c r="O721" s="29">
        <v>51700</v>
      </c>
      <c r="P721" s="29">
        <v>49400</v>
      </c>
      <c r="Q721" s="29">
        <v>50000</v>
      </c>
      <c r="R721" s="29">
        <v>49900</v>
      </c>
      <c r="S721">
        <v>52700</v>
      </c>
      <c r="T721">
        <v>53300</v>
      </c>
      <c r="U721">
        <v>53300</v>
      </c>
      <c r="V721">
        <v>55700</v>
      </c>
      <c r="W721">
        <v>58200</v>
      </c>
    </row>
    <row r="722" spans="1:23">
      <c r="A722" s="30">
        <v>45006</v>
      </c>
      <c r="B722" s="29">
        <v>52000</v>
      </c>
      <c r="C722" s="29">
        <v>53700</v>
      </c>
      <c r="D722" s="29">
        <v>51700</v>
      </c>
      <c r="E722" s="29">
        <v>50200</v>
      </c>
      <c r="F722" s="29">
        <v>54900</v>
      </c>
      <c r="G722" s="29" t="str">
        <v>-</v>
      </c>
      <c r="H722" s="29">
        <v>52500</v>
      </c>
      <c r="I722" s="29">
        <v>52200</v>
      </c>
      <c r="J722" s="29">
        <v>54900</v>
      </c>
      <c r="K722" s="29" t="str">
        <v>-</v>
      </c>
      <c r="L722" s="29">
        <v>52900</v>
      </c>
      <c r="M722" s="29">
        <v>55500</v>
      </c>
      <c r="N722" s="29">
        <v>51000</v>
      </c>
      <c r="O722" s="29">
        <v>51700</v>
      </c>
      <c r="P722" s="29">
        <v>49200</v>
      </c>
      <c r="Q722" s="29">
        <v>50000</v>
      </c>
      <c r="R722" s="29">
        <v>49700</v>
      </c>
      <c r="S722">
        <v>52700</v>
      </c>
      <c r="T722">
        <v>53300</v>
      </c>
      <c r="U722">
        <v>52800</v>
      </c>
      <c r="V722">
        <v>55200</v>
      </c>
      <c r="W722">
        <v>57800</v>
      </c>
    </row>
    <row r="723" spans="1:23">
      <c r="A723" s="30">
        <v>45007</v>
      </c>
      <c r="B723" s="29">
        <v>52400</v>
      </c>
      <c r="C723" s="29">
        <v>53500</v>
      </c>
      <c r="D723" s="29">
        <v>51900</v>
      </c>
      <c r="E723" s="29">
        <v>50400</v>
      </c>
      <c r="F723" s="29">
        <v>55200</v>
      </c>
      <c r="G723" s="29" t="str">
        <v>-</v>
      </c>
      <c r="H723" s="29">
        <v>53000</v>
      </c>
      <c r="I723" s="29">
        <v>52200</v>
      </c>
      <c r="J723" s="29">
        <v>54900</v>
      </c>
      <c r="K723" s="29" t="str">
        <v>-</v>
      </c>
      <c r="L723" s="29">
        <v>53000</v>
      </c>
      <c r="M723" s="29">
        <v>55500</v>
      </c>
      <c r="N723" s="29">
        <v>51500</v>
      </c>
      <c r="O723" s="29">
        <v>52000</v>
      </c>
      <c r="P723" s="29">
        <v>49800</v>
      </c>
      <c r="Q723" s="29">
        <v>50100</v>
      </c>
      <c r="R723" s="29">
        <v>50000</v>
      </c>
      <c r="S723">
        <v>52900</v>
      </c>
      <c r="T723">
        <v>53100</v>
      </c>
      <c r="U723">
        <v>52800</v>
      </c>
      <c r="V723">
        <v>55200</v>
      </c>
      <c r="W723">
        <v>57800</v>
      </c>
    </row>
    <row r="724" spans="1:23">
      <c r="A724" s="30">
        <v>45008</v>
      </c>
      <c r="B724" s="29">
        <v>52400</v>
      </c>
      <c r="C724" s="29">
        <v>54000</v>
      </c>
      <c r="D724" s="29">
        <v>51900</v>
      </c>
      <c r="E724" s="29">
        <v>50300</v>
      </c>
      <c r="F724" s="29">
        <v>55200</v>
      </c>
      <c r="G724" s="29" t="str">
        <v>-</v>
      </c>
      <c r="H724" s="29">
        <v>52800</v>
      </c>
      <c r="I724" s="29">
        <v>52000</v>
      </c>
      <c r="J724" s="29">
        <v>54900</v>
      </c>
      <c r="K724" s="29" t="str">
        <v>-</v>
      </c>
      <c r="L724" s="29">
        <v>53000</v>
      </c>
      <c r="M724" s="29">
        <v>55500</v>
      </c>
      <c r="N724" s="29">
        <v>51200</v>
      </c>
      <c r="O724" s="29">
        <v>51500</v>
      </c>
      <c r="P724" s="29">
        <v>49400</v>
      </c>
      <c r="Q724" s="29">
        <v>50000</v>
      </c>
      <c r="R724" s="29">
        <v>49800</v>
      </c>
      <c r="S724">
        <v>52800</v>
      </c>
      <c r="T724">
        <v>52900</v>
      </c>
      <c r="U724">
        <v>52800</v>
      </c>
      <c r="V724">
        <v>55200</v>
      </c>
      <c r="W724">
        <v>57800</v>
      </c>
    </row>
    <row r="725" spans="1:23">
      <c r="A725" s="30">
        <v>45009</v>
      </c>
      <c r="B725" s="29">
        <v>52400</v>
      </c>
      <c r="C725" s="29">
        <v>54500</v>
      </c>
      <c r="D725" s="29">
        <v>52000</v>
      </c>
      <c r="E725" s="29">
        <v>50700</v>
      </c>
      <c r="F725" s="29">
        <v>55200</v>
      </c>
      <c r="G725" s="29" t="str">
        <v>-</v>
      </c>
      <c r="H725" s="29">
        <v>52500</v>
      </c>
      <c r="I725" s="29">
        <v>52200</v>
      </c>
      <c r="J725" s="29">
        <v>54900</v>
      </c>
      <c r="K725" s="29" t="str">
        <v>-</v>
      </c>
      <c r="L725" s="29">
        <v>53200</v>
      </c>
      <c r="M725" s="29">
        <v>55500</v>
      </c>
      <c r="N725" s="29">
        <v>51200</v>
      </c>
      <c r="O725" s="29" t="str">
        <v>-</v>
      </c>
      <c r="P725" s="29">
        <v>49850</v>
      </c>
      <c r="Q725" s="29">
        <v>50100</v>
      </c>
      <c r="R725" s="29">
        <v>50000</v>
      </c>
      <c r="S725">
        <v>53200</v>
      </c>
      <c r="T725">
        <v>53000</v>
      </c>
      <c r="U725">
        <v>52800</v>
      </c>
      <c r="V725">
        <v>55200</v>
      </c>
      <c r="W725">
        <v>57800</v>
      </c>
    </row>
    <row r="726" spans="1:23">
      <c r="A726" s="30">
        <v>45010</v>
      </c>
      <c r="B726" s="29">
        <v>52400</v>
      </c>
      <c r="C726" s="29">
        <v>54500</v>
      </c>
      <c r="D726" s="29">
        <v>52000</v>
      </c>
      <c r="E726" s="29">
        <v>50500</v>
      </c>
      <c r="F726" s="29">
        <v>55300</v>
      </c>
      <c r="G726" s="29" t="str">
        <v>-</v>
      </c>
      <c r="H726" s="29">
        <v>52500</v>
      </c>
      <c r="I726" s="29">
        <v>52200</v>
      </c>
      <c r="J726" s="29">
        <v>54900</v>
      </c>
      <c r="K726" s="29" t="str">
        <v>-</v>
      </c>
      <c r="L726" s="29">
        <v>53200</v>
      </c>
      <c r="M726" s="29">
        <v>55500</v>
      </c>
      <c r="N726" s="29">
        <v>51200</v>
      </c>
      <c r="O726" s="29">
        <v>51200</v>
      </c>
      <c r="P726" s="29">
        <v>49600</v>
      </c>
      <c r="Q726" s="29">
        <v>50200</v>
      </c>
      <c r="R726" s="29">
        <v>50000</v>
      </c>
      <c r="S726">
        <v>53000</v>
      </c>
      <c r="T726">
        <v>53000</v>
      </c>
      <c r="U726">
        <v>52800</v>
      </c>
      <c r="V726">
        <v>55200</v>
      </c>
      <c r="W726">
        <v>57800</v>
      </c>
    </row>
    <row r="727" spans="1:23">
      <c r="A727" s="30">
        <v>45011</v>
      </c>
      <c r="B727" s="29" t="str">
        <v>H</v>
      </c>
      <c r="C727" s="29" t="str">
        <v>H</v>
      </c>
      <c r="D727" s="29" t="str">
        <v>H</v>
      </c>
      <c r="E727" s="29" t="str">
        <v>H</v>
      </c>
      <c r="F727" s="29" t="str">
        <v>H</v>
      </c>
      <c r="G727" s="29" t="str">
        <v>H</v>
      </c>
      <c r="H727" s="29" t="str">
        <v>H</v>
      </c>
      <c r="I727" s="29" t="str">
        <v>H</v>
      </c>
      <c r="J727" s="29" t="str">
        <v>H</v>
      </c>
      <c r="K727" s="29" t="str">
        <v>H</v>
      </c>
      <c r="L727" s="29" t="str">
        <v>H</v>
      </c>
      <c r="M727" s="29" t="str">
        <v>H</v>
      </c>
      <c r="N727" s="29" t="str">
        <v>H</v>
      </c>
      <c r="O727" s="29" t="str">
        <v>H</v>
      </c>
      <c r="P727" s="29" t="str">
        <v>H</v>
      </c>
      <c r="Q727" s="29" t="str">
        <v>H</v>
      </c>
      <c r="R727" s="29" t="str">
        <v>H</v>
      </c>
      <c r="S727" t="str">
        <v>H</v>
      </c>
      <c r="T727" t="str">
        <v>H</v>
      </c>
      <c r="U727" t="str">
        <v>H</v>
      </c>
      <c r="V727" t="str">
        <v>H</v>
      </c>
      <c r="W727" t="str">
        <v>H</v>
      </c>
    </row>
    <row r="728" spans="1:23">
      <c r="A728" s="30">
        <v>45012</v>
      </c>
      <c r="B728" s="29">
        <v>53200</v>
      </c>
      <c r="C728" s="29">
        <v>54500</v>
      </c>
      <c r="D728" s="29">
        <v>52500</v>
      </c>
      <c r="E728" s="29">
        <v>50800</v>
      </c>
      <c r="F728" s="29">
        <v>55300</v>
      </c>
      <c r="G728" s="29" t="str">
        <v>-</v>
      </c>
      <c r="H728" s="29">
        <v>52500</v>
      </c>
      <c r="I728" s="29">
        <v>52300</v>
      </c>
      <c r="J728" s="29">
        <v>54900</v>
      </c>
      <c r="K728" s="29" t="str">
        <v>-</v>
      </c>
      <c r="L728" s="29">
        <v>53300</v>
      </c>
      <c r="M728" s="29">
        <v>55500</v>
      </c>
      <c r="N728" s="29">
        <v>51500</v>
      </c>
      <c r="O728" s="29">
        <v>51700</v>
      </c>
      <c r="P728" s="29">
        <v>50000</v>
      </c>
      <c r="Q728" s="29">
        <v>50200</v>
      </c>
      <c r="R728" s="29">
        <v>50100</v>
      </c>
      <c r="S728">
        <v>53300</v>
      </c>
      <c r="T728">
        <v>53100</v>
      </c>
      <c r="U728">
        <v>52800</v>
      </c>
      <c r="V728">
        <v>55600</v>
      </c>
      <c r="W728">
        <v>57800</v>
      </c>
    </row>
    <row r="729" spans="1:23">
      <c r="A729" s="30">
        <v>45013</v>
      </c>
      <c r="B729" s="29">
        <v>53500</v>
      </c>
      <c r="C729" s="29">
        <v>54500</v>
      </c>
      <c r="D729" s="29">
        <v>52500</v>
      </c>
      <c r="E729" s="29">
        <v>50500</v>
      </c>
      <c r="F729" s="29">
        <v>55600</v>
      </c>
      <c r="G729" s="29" t="str">
        <v>-</v>
      </c>
      <c r="H729" s="29">
        <v>53000</v>
      </c>
      <c r="I729" s="29">
        <v>52300</v>
      </c>
      <c r="J729" s="29">
        <v>55200</v>
      </c>
      <c r="K729" s="29" t="str">
        <v>-</v>
      </c>
      <c r="L729" s="29">
        <v>53200</v>
      </c>
      <c r="M729" s="29">
        <v>55500</v>
      </c>
      <c r="N729" s="29">
        <v>51300</v>
      </c>
      <c r="O729" s="29">
        <v>51700</v>
      </c>
      <c r="P729" s="29">
        <v>49700</v>
      </c>
      <c r="Q729" s="29">
        <v>50200</v>
      </c>
      <c r="R729" s="29">
        <v>50000</v>
      </c>
      <c r="S729">
        <v>53100</v>
      </c>
      <c r="T729">
        <v>53100</v>
      </c>
      <c r="U729">
        <v>52800</v>
      </c>
      <c r="V729">
        <v>55600</v>
      </c>
      <c r="W729">
        <v>57800</v>
      </c>
    </row>
    <row r="730" spans="1:23">
      <c r="A730" s="30">
        <v>45014</v>
      </c>
      <c r="B730" s="29">
        <v>53500</v>
      </c>
      <c r="C730" s="29">
        <v>54500</v>
      </c>
      <c r="D730" s="29">
        <v>52700</v>
      </c>
      <c r="E730" s="29">
        <v>50700</v>
      </c>
      <c r="F730" s="29">
        <v>55600</v>
      </c>
      <c r="G730" s="29" t="str">
        <v>-</v>
      </c>
      <c r="H730" s="29">
        <v>53000</v>
      </c>
      <c r="I730" s="29">
        <v>52500</v>
      </c>
      <c r="J730" s="29">
        <v>55200</v>
      </c>
      <c r="K730" s="29" t="str">
        <v>-</v>
      </c>
      <c r="L730" s="29">
        <v>53300</v>
      </c>
      <c r="M730" s="29">
        <v>55500</v>
      </c>
      <c r="N730" s="29">
        <v>51500</v>
      </c>
      <c r="O730" s="29">
        <v>52300</v>
      </c>
      <c r="P730" s="29">
        <v>50000</v>
      </c>
      <c r="Q730" s="29">
        <v>50200</v>
      </c>
      <c r="R730" s="29">
        <v>50100</v>
      </c>
      <c r="S730">
        <v>53200</v>
      </c>
      <c r="T730">
        <v>53100</v>
      </c>
      <c r="U730">
        <v>52800</v>
      </c>
      <c r="V730">
        <v>55600</v>
      </c>
      <c r="W730">
        <v>57800</v>
      </c>
    </row>
    <row r="731" spans="1:23">
      <c r="A731" s="30">
        <v>45015</v>
      </c>
      <c r="B731" s="29">
        <v>53500</v>
      </c>
      <c r="C731" s="29">
        <v>54500</v>
      </c>
      <c r="D731" s="29">
        <v>52400</v>
      </c>
      <c r="E731" s="29">
        <v>50500</v>
      </c>
      <c r="F731" s="29">
        <v>55800</v>
      </c>
      <c r="G731" s="29" t="str">
        <v>-</v>
      </c>
      <c r="H731" s="29">
        <v>52500</v>
      </c>
      <c r="I731" s="29">
        <v>52400</v>
      </c>
      <c r="J731" s="29">
        <v>55200</v>
      </c>
      <c r="K731" s="29" t="str">
        <v>-</v>
      </c>
      <c r="L731" s="29">
        <v>53100</v>
      </c>
      <c r="M731" s="29">
        <v>55500</v>
      </c>
      <c r="N731" s="29">
        <v>51200</v>
      </c>
      <c r="O731" s="29">
        <v>51700</v>
      </c>
      <c r="P731" s="29">
        <v>50000</v>
      </c>
      <c r="Q731" s="29">
        <v>50200</v>
      </c>
      <c r="R731" s="29">
        <v>49900</v>
      </c>
      <c r="S731">
        <v>53000</v>
      </c>
      <c r="T731">
        <v>53000</v>
      </c>
      <c r="U731">
        <v>52800</v>
      </c>
      <c r="V731">
        <v>55600</v>
      </c>
      <c r="W731">
        <v>57800</v>
      </c>
    </row>
    <row r="732" spans="1:23">
      <c r="A732" s="30">
        <v>45016</v>
      </c>
      <c r="B732" s="29">
        <v>53500</v>
      </c>
      <c r="C732" s="29">
        <v>54500</v>
      </c>
      <c r="D732" s="29">
        <v>52200</v>
      </c>
      <c r="E732" s="29">
        <v>50800</v>
      </c>
      <c r="F732" s="29">
        <v>56200</v>
      </c>
      <c r="G732" s="29" t="str">
        <v>-</v>
      </c>
      <c r="H732" s="29">
        <v>53000</v>
      </c>
      <c r="I732" s="29">
        <v>52500</v>
      </c>
      <c r="J732" s="29">
        <v>55500</v>
      </c>
      <c r="K732" s="29" t="str">
        <v>-</v>
      </c>
      <c r="L732" s="29">
        <v>53300</v>
      </c>
      <c r="M732" s="29">
        <v>55500</v>
      </c>
      <c r="N732" s="29">
        <v>51400</v>
      </c>
      <c r="O732" s="29">
        <v>51900</v>
      </c>
      <c r="P732" s="29">
        <v>50000</v>
      </c>
      <c r="Q732" s="29">
        <v>50300</v>
      </c>
      <c r="R732" s="29">
        <v>50100</v>
      </c>
      <c r="S732">
        <v>53300</v>
      </c>
      <c r="T732">
        <v>53000</v>
      </c>
      <c r="U732">
        <v>52800</v>
      </c>
      <c r="V732">
        <v>55600</v>
      </c>
      <c r="W732">
        <v>57800</v>
      </c>
    </row>
    <row r="733" spans="1:23">
      <c r="A733" s="30">
        <v>45017</v>
      </c>
      <c r="B733" s="29">
        <v>53900</v>
      </c>
      <c r="C733" s="29">
        <v>54500</v>
      </c>
      <c r="D733" s="29">
        <v>52600</v>
      </c>
      <c r="E733" s="29">
        <v>51200</v>
      </c>
      <c r="F733" s="29">
        <v>56300</v>
      </c>
      <c r="G733" s="29" t="str">
        <v>-</v>
      </c>
      <c r="H733" s="29">
        <v>53500</v>
      </c>
      <c r="I733" s="29">
        <v>53100</v>
      </c>
      <c r="J733" s="29">
        <v>55500</v>
      </c>
      <c r="K733" s="29" t="str">
        <v>-</v>
      </c>
      <c r="L733" s="29">
        <v>53400</v>
      </c>
      <c r="M733" s="29">
        <v>55500</v>
      </c>
      <c r="N733" s="29">
        <v>51700</v>
      </c>
      <c r="O733" s="29">
        <v>52300</v>
      </c>
      <c r="P733" s="29">
        <v>50300</v>
      </c>
      <c r="Q733" s="29">
        <v>50400</v>
      </c>
      <c r="R733" s="29">
        <v>50400</v>
      </c>
      <c r="S733">
        <v>53700</v>
      </c>
      <c r="T733">
        <v>53300</v>
      </c>
      <c r="U733">
        <v>52800</v>
      </c>
      <c r="V733">
        <v>55600</v>
      </c>
      <c r="W733">
        <v>57900</v>
      </c>
    </row>
    <row r="734" spans="1:23">
      <c r="A734" s="30">
        <v>45018</v>
      </c>
      <c r="B734" s="29" t="str">
        <v>H</v>
      </c>
      <c r="C734" s="29" t="str">
        <v>H</v>
      </c>
      <c r="D734" s="29" t="str">
        <v>H</v>
      </c>
      <c r="E734" s="29" t="str">
        <v>H</v>
      </c>
      <c r="F734" s="29" t="str">
        <v>H</v>
      </c>
      <c r="G734" s="29" t="str">
        <v>H</v>
      </c>
      <c r="H734" s="29" t="str">
        <v>H</v>
      </c>
      <c r="I734" s="29" t="str">
        <v>H</v>
      </c>
      <c r="J734" s="29" t="str">
        <v>H</v>
      </c>
      <c r="K734" s="29" t="str">
        <v>H</v>
      </c>
      <c r="L734" s="29" t="str">
        <v>H</v>
      </c>
      <c r="M734" s="29" t="str">
        <v>H</v>
      </c>
      <c r="N734" s="29" t="str">
        <v>H</v>
      </c>
      <c r="O734" s="29" t="str">
        <v>H</v>
      </c>
      <c r="P734" s="29" t="str">
        <v>H</v>
      </c>
      <c r="Q734" s="29" t="str">
        <v>H</v>
      </c>
      <c r="R734" s="29" t="str">
        <v>H</v>
      </c>
      <c r="S734" t="str">
        <v>H</v>
      </c>
      <c r="T734" t="str">
        <v>H</v>
      </c>
      <c r="U734" t="str">
        <v>H</v>
      </c>
      <c r="V734" t="str">
        <v>H</v>
      </c>
      <c r="W734" t="str">
        <v>H</v>
      </c>
    </row>
    <row r="735" spans="1:23">
      <c r="A735" s="30">
        <v>45019</v>
      </c>
      <c r="B735" s="29">
        <v>54300</v>
      </c>
      <c r="C735" s="29">
        <v>54500</v>
      </c>
      <c r="D735" s="29">
        <v>52500</v>
      </c>
      <c r="E735" s="29">
        <v>51000</v>
      </c>
      <c r="F735" s="29">
        <v>56300</v>
      </c>
      <c r="G735" s="29" t="str">
        <v>-</v>
      </c>
      <c r="H735" s="29">
        <v>53500</v>
      </c>
      <c r="I735" s="29">
        <v>53100</v>
      </c>
      <c r="J735" s="29">
        <v>55500</v>
      </c>
      <c r="K735" s="29" t="str">
        <v>-</v>
      </c>
      <c r="L735" s="29">
        <v>53400</v>
      </c>
      <c r="M735" s="29">
        <v>55500</v>
      </c>
      <c r="N735" s="29">
        <v>51500</v>
      </c>
      <c r="O735" s="29">
        <v>52300</v>
      </c>
      <c r="P735" s="29">
        <v>50000</v>
      </c>
      <c r="Q735" s="29">
        <v>50300</v>
      </c>
      <c r="R735" s="29">
        <v>50300</v>
      </c>
      <c r="S735">
        <v>53500</v>
      </c>
      <c r="T735">
        <v>53300</v>
      </c>
      <c r="U735">
        <v>52800</v>
      </c>
      <c r="V735">
        <v>55800</v>
      </c>
      <c r="W735">
        <v>58300</v>
      </c>
    </row>
    <row r="736" spans="1:23">
      <c r="A736" s="30">
        <v>45020</v>
      </c>
      <c r="B736" s="29">
        <v>54300</v>
      </c>
      <c r="C736" s="29">
        <v>54500</v>
      </c>
      <c r="D736" s="29">
        <v>52500</v>
      </c>
      <c r="E736" s="29">
        <v>51300</v>
      </c>
      <c r="F736" s="29">
        <v>56300</v>
      </c>
      <c r="G736" s="29" t="str">
        <v>-</v>
      </c>
      <c r="H736" s="29">
        <v>53500</v>
      </c>
      <c r="I736" s="29">
        <v>53200</v>
      </c>
      <c r="J736" s="29">
        <v>55500</v>
      </c>
      <c r="K736" s="29" t="str">
        <v>-</v>
      </c>
      <c r="L736" s="29">
        <v>53600</v>
      </c>
      <c r="M736" s="29">
        <v>55500</v>
      </c>
      <c r="N736" s="29">
        <v>51700</v>
      </c>
      <c r="O736" s="29">
        <v>52300</v>
      </c>
      <c r="P736" s="29">
        <v>50200</v>
      </c>
      <c r="Q736" s="29">
        <v>50300</v>
      </c>
      <c r="R736" s="29">
        <v>50500</v>
      </c>
      <c r="S736">
        <v>53800</v>
      </c>
      <c r="T736">
        <v>53300</v>
      </c>
      <c r="U736">
        <v>52800</v>
      </c>
      <c r="V736">
        <v>55800</v>
      </c>
      <c r="W736">
        <v>58300</v>
      </c>
    </row>
    <row r="737" spans="1:23">
      <c r="A737" s="30">
        <v>45021</v>
      </c>
      <c r="B737" s="29">
        <v>54500</v>
      </c>
      <c r="C737" s="29">
        <v>54500</v>
      </c>
      <c r="D737" s="29">
        <v>52800</v>
      </c>
      <c r="E737" s="29">
        <v>51500</v>
      </c>
      <c r="F737" s="29">
        <v>56300</v>
      </c>
      <c r="G737" s="29" t="str">
        <v>-</v>
      </c>
      <c r="H737" s="29">
        <v>54000</v>
      </c>
      <c r="I737" s="29">
        <v>53500</v>
      </c>
      <c r="J737" s="29">
        <v>55500</v>
      </c>
      <c r="K737" s="29" t="str">
        <v>-</v>
      </c>
      <c r="L737" s="29">
        <v>54000</v>
      </c>
      <c r="M737" s="29">
        <v>55500</v>
      </c>
      <c r="N737" s="29">
        <v>51800</v>
      </c>
      <c r="O737" s="29">
        <v>52500</v>
      </c>
      <c r="P737" s="29">
        <v>50400</v>
      </c>
      <c r="Q737" s="29">
        <v>50600</v>
      </c>
      <c r="R737" s="29">
        <v>50700</v>
      </c>
      <c r="S737">
        <v>54000</v>
      </c>
      <c r="T737">
        <v>53700</v>
      </c>
      <c r="U737">
        <v>53500</v>
      </c>
      <c r="V737">
        <v>56200</v>
      </c>
      <c r="W737">
        <v>58400</v>
      </c>
    </row>
    <row r="738" spans="1:23">
      <c r="A738" s="30">
        <v>45022</v>
      </c>
      <c r="B738" s="29">
        <v>54500</v>
      </c>
      <c r="C738" s="29">
        <v>54500</v>
      </c>
      <c r="D738" s="29">
        <v>52700</v>
      </c>
      <c r="E738" s="29">
        <v>51500</v>
      </c>
      <c r="F738" s="29">
        <v>56800</v>
      </c>
      <c r="G738" s="29" t="str">
        <v>-</v>
      </c>
      <c r="H738" s="29">
        <v>54000</v>
      </c>
      <c r="I738" s="29">
        <v>53500</v>
      </c>
      <c r="J738" s="29">
        <v>55800</v>
      </c>
      <c r="K738" s="29" t="str">
        <v>-</v>
      </c>
      <c r="L738" s="29">
        <v>54000</v>
      </c>
      <c r="M738" s="29">
        <v>55500</v>
      </c>
      <c r="N738" s="29">
        <v>51600</v>
      </c>
      <c r="O738" s="29">
        <v>52500</v>
      </c>
      <c r="P738" s="29">
        <v>50200</v>
      </c>
      <c r="Q738" s="29">
        <v>50500</v>
      </c>
      <c r="R738" s="29">
        <v>50700</v>
      </c>
      <c r="S738">
        <v>54000</v>
      </c>
      <c r="T738">
        <v>53700</v>
      </c>
      <c r="U738">
        <v>53500</v>
      </c>
      <c r="V738">
        <v>56300</v>
      </c>
      <c r="W738">
        <v>58800</v>
      </c>
    </row>
    <row r="739" spans="1:23">
      <c r="A739" s="30">
        <v>45023</v>
      </c>
      <c r="B739" s="29">
        <v>54200</v>
      </c>
      <c r="C739" s="29">
        <v>54500</v>
      </c>
      <c r="D739" s="29">
        <v>52700</v>
      </c>
      <c r="E739" s="29">
        <v>51300</v>
      </c>
      <c r="F739" s="29">
        <v>56800</v>
      </c>
      <c r="G739" s="29" t="str">
        <v>-</v>
      </c>
      <c r="H739" s="29">
        <v>53500</v>
      </c>
      <c r="I739" s="29">
        <v>53200</v>
      </c>
      <c r="J739" s="29">
        <v>55800</v>
      </c>
      <c r="K739" s="29" t="str">
        <v>-</v>
      </c>
      <c r="L739" s="29">
        <v>53700</v>
      </c>
      <c r="M739" s="29">
        <v>55500</v>
      </c>
      <c r="N739" s="29">
        <v>51500</v>
      </c>
      <c r="O739" s="29">
        <v>52500</v>
      </c>
      <c r="P739" s="29">
        <v>50000</v>
      </c>
      <c r="Q739" s="29">
        <v>50300</v>
      </c>
      <c r="R739" s="29">
        <v>50500</v>
      </c>
      <c r="S739">
        <v>53800</v>
      </c>
      <c r="T739">
        <v>53600</v>
      </c>
      <c r="U739">
        <v>53500</v>
      </c>
      <c r="V739">
        <v>56400</v>
      </c>
      <c r="W739">
        <v>58800</v>
      </c>
    </row>
    <row r="740" spans="1:23">
      <c r="A740" s="30">
        <v>45024</v>
      </c>
      <c r="B740" s="29">
        <v>53800</v>
      </c>
      <c r="C740" s="29">
        <v>54500</v>
      </c>
      <c r="D740" s="29">
        <v>52700</v>
      </c>
      <c r="E740" s="29">
        <v>51200</v>
      </c>
      <c r="F740" s="29">
        <v>56800</v>
      </c>
      <c r="G740" s="29" t="str">
        <v>-</v>
      </c>
      <c r="H740" s="29">
        <v>53500</v>
      </c>
      <c r="I740" s="29">
        <v>53200</v>
      </c>
      <c r="J740" s="29">
        <v>55700</v>
      </c>
      <c r="K740" s="29" t="str">
        <v>-</v>
      </c>
      <c r="L740" s="29">
        <v>53700</v>
      </c>
      <c r="M740" s="29">
        <v>55400</v>
      </c>
      <c r="N740" s="29">
        <v>51000</v>
      </c>
      <c r="O740" s="29">
        <v>52500</v>
      </c>
      <c r="P740" s="29">
        <v>50200</v>
      </c>
      <c r="Q740" s="29">
        <v>50300</v>
      </c>
      <c r="R740" s="29">
        <v>50500</v>
      </c>
      <c r="S740">
        <v>53700</v>
      </c>
      <c r="T740">
        <v>53300</v>
      </c>
      <c r="U740">
        <v>53500</v>
      </c>
      <c r="V740">
        <v>56400</v>
      </c>
      <c r="W740">
        <v>58800</v>
      </c>
    </row>
    <row r="741" spans="1:23">
      <c r="A741" s="30">
        <v>45025</v>
      </c>
      <c r="B741" s="29" t="str">
        <v>H</v>
      </c>
      <c r="C741" s="29" t="str">
        <v>H</v>
      </c>
      <c r="D741" s="29" t="str">
        <v>H</v>
      </c>
      <c r="E741" s="29" t="str">
        <v>H</v>
      </c>
      <c r="F741" s="29" t="str">
        <v>H</v>
      </c>
      <c r="G741" s="29" t="str">
        <v>H</v>
      </c>
      <c r="H741" s="29" t="str">
        <v>H</v>
      </c>
      <c r="I741" s="29" t="str">
        <v>H</v>
      </c>
      <c r="J741" s="29" t="str">
        <v>H</v>
      </c>
      <c r="K741" s="29" t="str">
        <v>H</v>
      </c>
      <c r="L741" s="29" t="str">
        <v>H</v>
      </c>
      <c r="M741" s="29" t="str">
        <v>H</v>
      </c>
      <c r="N741" s="29" t="str">
        <v>H</v>
      </c>
      <c r="O741" s="29" t="str">
        <v>H</v>
      </c>
      <c r="P741" s="29" t="str">
        <v>H</v>
      </c>
      <c r="Q741" s="29" t="str">
        <v>H</v>
      </c>
      <c r="R741" s="29" t="str">
        <v>H</v>
      </c>
      <c r="S741" t="str">
        <v>H</v>
      </c>
      <c r="T741" t="str">
        <v>H</v>
      </c>
      <c r="U741" t="str">
        <v>H</v>
      </c>
      <c r="V741" t="str">
        <v>H</v>
      </c>
      <c r="W741" t="str">
        <v>H</v>
      </c>
    </row>
    <row r="742" spans="1:23">
      <c r="A742" s="30">
        <v>45026</v>
      </c>
      <c r="B742" s="29">
        <v>53800</v>
      </c>
      <c r="C742" s="29">
        <v>54300</v>
      </c>
      <c r="D742" s="29">
        <v>52500</v>
      </c>
      <c r="E742" s="29">
        <v>51200</v>
      </c>
      <c r="F742" s="29">
        <v>56800</v>
      </c>
      <c r="G742" s="29" t="str">
        <v>-</v>
      </c>
      <c r="H742" s="29">
        <v>53500</v>
      </c>
      <c r="I742" s="29">
        <v>53000</v>
      </c>
      <c r="J742" s="29">
        <v>55500</v>
      </c>
      <c r="K742" s="29" t="str">
        <v>-</v>
      </c>
      <c r="L742" s="29">
        <v>53300</v>
      </c>
      <c r="M742" s="29">
        <v>55000</v>
      </c>
      <c r="N742" s="29">
        <v>50800</v>
      </c>
      <c r="O742" s="29">
        <v>52100</v>
      </c>
      <c r="P742" s="29">
        <v>49700</v>
      </c>
      <c r="Q742" s="29">
        <v>50100</v>
      </c>
      <c r="R742" s="29">
        <v>50200</v>
      </c>
      <c r="S742">
        <v>53700</v>
      </c>
      <c r="T742">
        <v>53000</v>
      </c>
      <c r="U742">
        <v>53500</v>
      </c>
      <c r="V742">
        <v>56400</v>
      </c>
      <c r="W742">
        <v>58800</v>
      </c>
    </row>
    <row r="743" spans="1:23">
      <c r="A743" s="30">
        <v>45027</v>
      </c>
      <c r="B743" s="29">
        <v>53600</v>
      </c>
      <c r="C743" s="29">
        <v>54300</v>
      </c>
      <c r="D743" s="29">
        <v>52400</v>
      </c>
      <c r="E743" s="29">
        <v>51000</v>
      </c>
      <c r="F743" s="29">
        <v>56800</v>
      </c>
      <c r="G743" s="29" t="str">
        <v>-</v>
      </c>
      <c r="H743" s="29">
        <v>53500</v>
      </c>
      <c r="I743" s="29">
        <v>52800</v>
      </c>
      <c r="J743" s="29">
        <v>55500</v>
      </c>
      <c r="K743" s="29" t="str">
        <v>-</v>
      </c>
      <c r="L743" s="29">
        <v>53200</v>
      </c>
      <c r="M743" s="29">
        <v>54600</v>
      </c>
      <c r="N743" s="29">
        <v>50500</v>
      </c>
      <c r="O743" s="29">
        <v>52000</v>
      </c>
      <c r="P743" s="29">
        <v>49500</v>
      </c>
      <c r="Q743" s="29">
        <v>49900</v>
      </c>
      <c r="R743" s="29">
        <v>50100</v>
      </c>
      <c r="S743">
        <v>53500</v>
      </c>
      <c r="T743">
        <v>52800</v>
      </c>
      <c r="U743">
        <v>53500</v>
      </c>
      <c r="V743">
        <v>56400</v>
      </c>
      <c r="W743">
        <v>58800</v>
      </c>
    </row>
    <row r="744" spans="1:23">
      <c r="A744" s="30">
        <v>45028</v>
      </c>
      <c r="B744" s="29">
        <v>53600</v>
      </c>
      <c r="C744" s="29">
        <v>54300</v>
      </c>
      <c r="D744" s="29">
        <v>52200</v>
      </c>
      <c r="E744" s="29">
        <v>50800</v>
      </c>
      <c r="F744" s="29">
        <v>56800</v>
      </c>
      <c r="G744" s="29" t="str">
        <v>-</v>
      </c>
      <c r="H744" s="29">
        <v>53500</v>
      </c>
      <c r="I744" s="29">
        <v>52800</v>
      </c>
      <c r="J744" s="29">
        <v>55300</v>
      </c>
      <c r="K744" s="29" t="str">
        <v>-</v>
      </c>
      <c r="L744" s="29">
        <v>53400</v>
      </c>
      <c r="M744" s="29">
        <v>54600</v>
      </c>
      <c r="N744" s="29">
        <v>50600</v>
      </c>
      <c r="O744" s="29">
        <v>52000</v>
      </c>
      <c r="P744" s="29">
        <v>50000</v>
      </c>
      <c r="Q744" s="29">
        <v>50100</v>
      </c>
      <c r="R744" s="29">
        <v>50400</v>
      </c>
      <c r="S744">
        <v>53300</v>
      </c>
      <c r="T744">
        <v>52800</v>
      </c>
      <c r="U744">
        <v>53500</v>
      </c>
      <c r="V744">
        <v>56000</v>
      </c>
      <c r="W744">
        <v>58600</v>
      </c>
    </row>
    <row r="745" spans="1:23">
      <c r="A745" s="30">
        <v>45029</v>
      </c>
      <c r="B745" s="29">
        <v>53600</v>
      </c>
      <c r="C745" s="29">
        <v>54300</v>
      </c>
      <c r="D745" s="29">
        <v>52400</v>
      </c>
      <c r="E745" s="29">
        <v>51200</v>
      </c>
      <c r="F745" s="29">
        <v>56800</v>
      </c>
      <c r="G745" s="29" t="str">
        <v>-</v>
      </c>
      <c r="H745" s="29">
        <v>53500</v>
      </c>
      <c r="I745" s="29">
        <v>53000</v>
      </c>
      <c r="J745" s="29">
        <v>55000</v>
      </c>
      <c r="K745" s="29" t="str">
        <v>-</v>
      </c>
      <c r="L745" s="29">
        <v>53400</v>
      </c>
      <c r="M745" s="29">
        <v>54600</v>
      </c>
      <c r="N745" s="29">
        <v>51000</v>
      </c>
      <c r="O745" s="29">
        <v>52000</v>
      </c>
      <c r="P745" s="29">
        <v>49950</v>
      </c>
      <c r="Q745" s="29">
        <v>50200</v>
      </c>
      <c r="R745" s="29">
        <v>50500</v>
      </c>
      <c r="S745">
        <v>53700</v>
      </c>
      <c r="T745">
        <v>52900</v>
      </c>
      <c r="U745">
        <v>53500</v>
      </c>
      <c r="V745">
        <v>56000</v>
      </c>
      <c r="W745">
        <v>58600</v>
      </c>
    </row>
    <row r="746" spans="1:23">
      <c r="A746" s="30">
        <v>45030</v>
      </c>
      <c r="B746" s="29">
        <v>53800</v>
      </c>
      <c r="C746" s="29" t="str">
        <v>-</v>
      </c>
      <c r="D746" s="29">
        <v>52400</v>
      </c>
      <c r="E746" s="29">
        <v>51500</v>
      </c>
      <c r="F746" s="29">
        <v>56600</v>
      </c>
      <c r="G746" s="29" t="str">
        <v>-</v>
      </c>
      <c r="H746" s="29">
        <v>54000</v>
      </c>
      <c r="I746" s="29">
        <v>53300</v>
      </c>
      <c r="J746" s="29">
        <v>55000</v>
      </c>
      <c r="K746" s="29" t="str">
        <v>-</v>
      </c>
      <c r="L746" s="29">
        <v>53700</v>
      </c>
      <c r="M746" s="29">
        <v>54600</v>
      </c>
      <c r="N746" s="29">
        <v>51300</v>
      </c>
      <c r="O746" s="29">
        <v>52600</v>
      </c>
      <c r="P746" s="29">
        <v>50500</v>
      </c>
      <c r="Q746" s="29">
        <v>50900</v>
      </c>
      <c r="R746" s="29">
        <v>50700</v>
      </c>
      <c r="S746">
        <v>54000</v>
      </c>
      <c r="T746">
        <v>53500</v>
      </c>
      <c r="U746">
        <v>53500</v>
      </c>
      <c r="V746">
        <v>56000</v>
      </c>
      <c r="W746">
        <v>58600</v>
      </c>
    </row>
    <row r="747" spans="1:23">
      <c r="A747" s="30">
        <v>45031</v>
      </c>
      <c r="B747" s="29">
        <v>53800</v>
      </c>
      <c r="C747" s="29">
        <v>54500</v>
      </c>
      <c r="D747" s="29">
        <v>52400</v>
      </c>
      <c r="E747" s="29">
        <v>51300</v>
      </c>
      <c r="F747" s="29">
        <v>56600</v>
      </c>
      <c r="G747" s="29" t="str">
        <v>-</v>
      </c>
      <c r="H747" s="29">
        <v>54000</v>
      </c>
      <c r="I747" s="29">
        <v>53200</v>
      </c>
      <c r="J747" s="29">
        <v>55000</v>
      </c>
      <c r="K747" s="29" t="str">
        <v>-</v>
      </c>
      <c r="L747" s="29">
        <v>53700</v>
      </c>
      <c r="M747" s="29">
        <v>54600</v>
      </c>
      <c r="N747" s="29">
        <v>51300</v>
      </c>
      <c r="O747" s="29">
        <v>52600</v>
      </c>
      <c r="P747" s="29">
        <v>50550</v>
      </c>
      <c r="Q747" s="29">
        <v>50900</v>
      </c>
      <c r="R747" s="29">
        <v>50700</v>
      </c>
      <c r="S747">
        <v>53800</v>
      </c>
      <c r="T747">
        <v>53500</v>
      </c>
      <c r="U747">
        <v>53500</v>
      </c>
      <c r="V747">
        <v>56000</v>
      </c>
      <c r="W747">
        <v>58600</v>
      </c>
    </row>
    <row r="748" spans="1:23">
      <c r="A748" s="30">
        <v>45032</v>
      </c>
      <c r="B748" s="29" t="str">
        <v>H</v>
      </c>
      <c r="C748" s="29" t="str">
        <v>H</v>
      </c>
      <c r="D748" s="29" t="str">
        <v>H</v>
      </c>
      <c r="E748" s="29" t="str">
        <v>H</v>
      </c>
      <c r="F748" s="29" t="str">
        <v>H</v>
      </c>
      <c r="G748" s="29" t="str">
        <v>H</v>
      </c>
      <c r="H748" s="29" t="str">
        <v>H</v>
      </c>
      <c r="I748" s="29" t="str">
        <v>H</v>
      </c>
      <c r="J748" s="29" t="str">
        <v>H</v>
      </c>
      <c r="K748" s="29" t="str">
        <v>H</v>
      </c>
      <c r="L748" s="29" t="str">
        <v>H</v>
      </c>
      <c r="M748" s="29" t="str">
        <v>H</v>
      </c>
      <c r="N748" s="29" t="str">
        <v>H</v>
      </c>
      <c r="O748" s="29" t="str">
        <v>H</v>
      </c>
      <c r="P748" s="29" t="str">
        <v>H</v>
      </c>
      <c r="Q748" s="29" t="str">
        <v>H</v>
      </c>
      <c r="R748" s="29" t="str">
        <v>H</v>
      </c>
      <c r="S748" t="str">
        <v>H</v>
      </c>
      <c r="T748" t="str">
        <v>H</v>
      </c>
      <c r="U748" t="str">
        <v>H</v>
      </c>
      <c r="V748" t="str">
        <v>H</v>
      </c>
      <c r="W748" t="str">
        <v>H</v>
      </c>
    </row>
    <row r="749" spans="1:23">
      <c r="A749" s="30">
        <v>45033</v>
      </c>
      <c r="B749" s="29">
        <v>53800</v>
      </c>
      <c r="C749" s="29">
        <v>54300</v>
      </c>
      <c r="D749" s="29">
        <v>52900</v>
      </c>
      <c r="E749" s="29">
        <v>51700</v>
      </c>
      <c r="F749" s="29">
        <v>56600</v>
      </c>
      <c r="G749" s="29" t="str">
        <v>-</v>
      </c>
      <c r="H749" s="29">
        <v>54000</v>
      </c>
      <c r="I749" s="29">
        <v>53400</v>
      </c>
      <c r="J749" s="29">
        <v>55000</v>
      </c>
      <c r="K749" s="29" t="str">
        <v>-</v>
      </c>
      <c r="L749" s="29">
        <v>53900</v>
      </c>
      <c r="M749" s="29">
        <v>54600</v>
      </c>
      <c r="N749" s="29">
        <v>51500</v>
      </c>
      <c r="O749" s="29">
        <v>52600</v>
      </c>
      <c r="P749" s="29">
        <v>50500</v>
      </c>
      <c r="Q749" s="29">
        <v>50900</v>
      </c>
      <c r="R749" s="29">
        <v>50800</v>
      </c>
      <c r="S749">
        <v>54200</v>
      </c>
      <c r="T749">
        <v>53800</v>
      </c>
      <c r="U749">
        <v>53500</v>
      </c>
      <c r="V749">
        <v>56000</v>
      </c>
      <c r="W749">
        <v>58600</v>
      </c>
    </row>
    <row r="750" spans="1:23">
      <c r="A750" s="30">
        <v>45034</v>
      </c>
      <c r="B750" s="29">
        <v>53900</v>
      </c>
      <c r="C750" s="29">
        <v>54200</v>
      </c>
      <c r="D750" s="29">
        <v>52700</v>
      </c>
      <c r="E750" s="29">
        <v>51400</v>
      </c>
      <c r="F750" s="29">
        <v>56600</v>
      </c>
      <c r="G750" s="29" t="str">
        <v>-</v>
      </c>
      <c r="H750" s="29">
        <v>54000</v>
      </c>
      <c r="I750" s="29">
        <v>53400</v>
      </c>
      <c r="J750" s="29">
        <v>55000</v>
      </c>
      <c r="K750" s="29" t="str">
        <v>-</v>
      </c>
      <c r="L750" s="29">
        <v>53900</v>
      </c>
      <c r="M750" s="29">
        <v>55000</v>
      </c>
      <c r="N750" s="29">
        <v>51600</v>
      </c>
      <c r="O750" s="29">
        <v>52700</v>
      </c>
      <c r="P750" s="29">
        <v>50500</v>
      </c>
      <c r="Q750" s="29">
        <v>50700</v>
      </c>
      <c r="R750" s="29">
        <v>50800</v>
      </c>
      <c r="S750">
        <v>53900</v>
      </c>
      <c r="T750">
        <v>53800</v>
      </c>
      <c r="U750">
        <v>53500</v>
      </c>
      <c r="V750">
        <v>56000</v>
      </c>
      <c r="W750">
        <v>58700</v>
      </c>
    </row>
    <row r="751" spans="1:23">
      <c r="A751" s="30">
        <v>45035</v>
      </c>
      <c r="B751" s="29">
        <v>53900</v>
      </c>
      <c r="C751" s="29">
        <v>54200</v>
      </c>
      <c r="D751" s="29">
        <v>52600</v>
      </c>
      <c r="E751" s="29">
        <v>51000</v>
      </c>
      <c r="F751" s="29">
        <v>56600</v>
      </c>
      <c r="G751" s="29" t="str">
        <v>-</v>
      </c>
      <c r="H751" s="29">
        <v>53500</v>
      </c>
      <c r="I751" s="29">
        <v>53200</v>
      </c>
      <c r="J751" s="29">
        <v>55000</v>
      </c>
      <c r="K751" s="29" t="str">
        <v>-</v>
      </c>
      <c r="L751" s="29">
        <v>53500</v>
      </c>
      <c r="M751" s="29">
        <v>55000</v>
      </c>
      <c r="N751" s="29">
        <v>51300</v>
      </c>
      <c r="O751" s="29">
        <v>52300</v>
      </c>
      <c r="P751" s="29">
        <v>50000</v>
      </c>
      <c r="Q751" s="29">
        <v>50600</v>
      </c>
      <c r="R751" s="29">
        <v>50500</v>
      </c>
      <c r="S751">
        <v>53500</v>
      </c>
      <c r="T751">
        <v>53700</v>
      </c>
      <c r="U751">
        <v>53500</v>
      </c>
      <c r="V751">
        <v>56000</v>
      </c>
      <c r="W751">
        <v>58700</v>
      </c>
    </row>
    <row r="752" spans="1:23">
      <c r="A752" s="30">
        <v>45036</v>
      </c>
      <c r="B752" s="29">
        <v>53800</v>
      </c>
      <c r="C752" s="29">
        <v>54200</v>
      </c>
      <c r="D752" s="29">
        <v>52600</v>
      </c>
      <c r="E752" s="29">
        <v>51000</v>
      </c>
      <c r="F752" s="29">
        <v>56600</v>
      </c>
      <c r="G752" s="29" t="str">
        <v>-</v>
      </c>
      <c r="H752" s="29">
        <v>53500</v>
      </c>
      <c r="I752" s="29">
        <v>53200</v>
      </c>
      <c r="J752" s="29">
        <v>55000</v>
      </c>
      <c r="K752" s="29" t="str">
        <v>-</v>
      </c>
      <c r="L752" s="29">
        <v>53300</v>
      </c>
      <c r="M752" s="29">
        <v>55000</v>
      </c>
      <c r="N752" s="29">
        <v>51600</v>
      </c>
      <c r="O752" s="29">
        <v>52300</v>
      </c>
      <c r="P752" s="29">
        <v>50100</v>
      </c>
      <c r="Q752" s="29">
        <v>50500</v>
      </c>
      <c r="R752" s="29">
        <v>50500</v>
      </c>
      <c r="S752">
        <v>53500</v>
      </c>
      <c r="T752">
        <v>53700</v>
      </c>
      <c r="U752">
        <v>53500</v>
      </c>
      <c r="V752">
        <v>56000</v>
      </c>
      <c r="W752">
        <v>58700</v>
      </c>
    </row>
    <row r="753" spans="1:23">
      <c r="A753" s="30">
        <v>45037</v>
      </c>
      <c r="B753" s="29">
        <v>53600</v>
      </c>
      <c r="C753" s="29">
        <v>54000</v>
      </c>
      <c r="D753" s="29">
        <v>52500</v>
      </c>
      <c r="E753" s="29">
        <v>50600</v>
      </c>
      <c r="F753" s="29">
        <v>56500</v>
      </c>
      <c r="G753" s="29" t="str">
        <v>-</v>
      </c>
      <c r="H753" s="29">
        <v>53500</v>
      </c>
      <c r="I753" s="29">
        <v>52800</v>
      </c>
      <c r="J753" s="29">
        <v>55000</v>
      </c>
      <c r="K753" s="29" t="str">
        <v>-</v>
      </c>
      <c r="L753" s="29">
        <v>53200</v>
      </c>
      <c r="M753" s="29">
        <v>55000</v>
      </c>
      <c r="N753" s="29">
        <v>51300</v>
      </c>
      <c r="O753" s="29">
        <v>52000</v>
      </c>
      <c r="P753" s="29">
        <v>50000</v>
      </c>
      <c r="Q753" s="29">
        <v>50300</v>
      </c>
      <c r="R753" s="29">
        <v>50100</v>
      </c>
      <c r="S753">
        <v>53200</v>
      </c>
      <c r="T753">
        <v>53000</v>
      </c>
      <c r="U753">
        <v>53500</v>
      </c>
      <c r="V753">
        <v>55800</v>
      </c>
      <c r="W753">
        <v>58500</v>
      </c>
    </row>
    <row r="754" spans="1:23">
      <c r="A754" s="30">
        <v>45038</v>
      </c>
      <c r="B754" s="29">
        <v>53500</v>
      </c>
      <c r="C754" s="29">
        <v>54000</v>
      </c>
      <c r="D754" s="29">
        <v>52500</v>
      </c>
      <c r="E754" s="29">
        <v>50500</v>
      </c>
      <c r="F754" s="29">
        <v>56500</v>
      </c>
      <c r="G754" s="29" t="str">
        <v>-</v>
      </c>
      <c r="H754" s="29">
        <v>53500</v>
      </c>
      <c r="I754" s="29">
        <v>52800</v>
      </c>
      <c r="J754" s="29">
        <v>55000</v>
      </c>
      <c r="K754" s="29" t="str">
        <v>-</v>
      </c>
      <c r="L754" s="29">
        <v>53200</v>
      </c>
      <c r="M754" s="29">
        <v>54600</v>
      </c>
      <c r="N754" s="29">
        <v>51300</v>
      </c>
      <c r="O754" s="29">
        <v>52000</v>
      </c>
      <c r="P754" s="29">
        <v>50000</v>
      </c>
      <c r="Q754" s="29">
        <v>50500</v>
      </c>
      <c r="R754" s="29">
        <v>50300</v>
      </c>
      <c r="S754">
        <v>53000</v>
      </c>
      <c r="T754">
        <v>53200</v>
      </c>
      <c r="U754">
        <v>53500</v>
      </c>
      <c r="V754">
        <v>55700</v>
      </c>
      <c r="W754">
        <v>58500</v>
      </c>
    </row>
    <row r="755" spans="1:23">
      <c r="A755" s="30">
        <v>45039</v>
      </c>
      <c r="B755" s="29" t="str">
        <v>H</v>
      </c>
      <c r="C755" s="29" t="str">
        <v>H</v>
      </c>
      <c r="D755" s="29" t="str">
        <v>H</v>
      </c>
      <c r="E755" s="29" t="str">
        <v>H</v>
      </c>
      <c r="F755" s="29" t="str">
        <v>H</v>
      </c>
      <c r="G755" s="29" t="str">
        <v>H</v>
      </c>
      <c r="H755" s="29" t="str">
        <v>H</v>
      </c>
      <c r="I755" s="29" t="str">
        <v>H</v>
      </c>
      <c r="J755" s="29" t="str">
        <v>H</v>
      </c>
      <c r="K755" s="29" t="str">
        <v>H</v>
      </c>
      <c r="L755" s="29" t="str">
        <v>H</v>
      </c>
      <c r="M755" s="29" t="str">
        <v>H</v>
      </c>
      <c r="N755" s="29" t="str">
        <v>H</v>
      </c>
      <c r="O755" s="29" t="str">
        <v>H</v>
      </c>
      <c r="P755" s="29" t="str">
        <v>H</v>
      </c>
      <c r="Q755" s="29" t="str">
        <v>H</v>
      </c>
      <c r="R755" s="29" t="str">
        <v>H</v>
      </c>
      <c r="S755" t="str">
        <v>H</v>
      </c>
      <c r="T755" t="str">
        <v>H</v>
      </c>
      <c r="U755" t="str">
        <v>H</v>
      </c>
      <c r="V755" t="str">
        <v>H</v>
      </c>
      <c r="W755" t="str">
        <v>H</v>
      </c>
    </row>
    <row r="756" spans="1:23">
      <c r="A756" s="30">
        <v>45040</v>
      </c>
      <c r="B756" s="29">
        <v>53200</v>
      </c>
      <c r="C756" s="29">
        <v>53800</v>
      </c>
      <c r="D756" s="29">
        <v>52300</v>
      </c>
      <c r="E756" s="29">
        <v>50300</v>
      </c>
      <c r="F756" s="29">
        <v>55800</v>
      </c>
      <c r="G756" s="29" t="str">
        <v>-</v>
      </c>
      <c r="H756" s="29">
        <v>53000</v>
      </c>
      <c r="I756" s="29">
        <v>52500</v>
      </c>
      <c r="J756" s="29">
        <v>54900</v>
      </c>
      <c r="K756" s="29" t="str">
        <v>-</v>
      </c>
      <c r="L756" s="29">
        <v>52900</v>
      </c>
      <c r="M756" s="29">
        <v>54400</v>
      </c>
      <c r="N756" s="29">
        <v>51000</v>
      </c>
      <c r="O756" s="29">
        <v>51800</v>
      </c>
      <c r="P756" s="29">
        <v>49650</v>
      </c>
      <c r="Q756" s="29">
        <v>49900</v>
      </c>
      <c r="R756" s="29">
        <v>50000</v>
      </c>
      <c r="S756">
        <v>52800</v>
      </c>
      <c r="T756">
        <v>53200</v>
      </c>
      <c r="U756">
        <v>53500</v>
      </c>
      <c r="V756">
        <v>55700</v>
      </c>
      <c r="W756">
        <v>58300</v>
      </c>
    </row>
    <row r="757" spans="1:23">
      <c r="A757" s="30">
        <v>45041</v>
      </c>
      <c r="B757" s="29">
        <v>52900</v>
      </c>
      <c r="C757" s="29">
        <v>53700</v>
      </c>
      <c r="D757" s="29">
        <v>52100</v>
      </c>
      <c r="E757" s="29">
        <v>50000</v>
      </c>
      <c r="F757" s="29">
        <v>55300</v>
      </c>
      <c r="G757" s="29" t="str">
        <v>-</v>
      </c>
      <c r="H757" s="29">
        <v>53000</v>
      </c>
      <c r="I757" s="29">
        <v>52200</v>
      </c>
      <c r="J757" s="29">
        <v>54500</v>
      </c>
      <c r="K757" s="29" t="str">
        <v>-</v>
      </c>
      <c r="L757" s="29">
        <v>52500</v>
      </c>
      <c r="M757" s="29">
        <v>54400</v>
      </c>
      <c r="N757" s="29">
        <v>50800</v>
      </c>
      <c r="O757" s="29">
        <v>51700</v>
      </c>
      <c r="P757" s="29">
        <v>49500</v>
      </c>
      <c r="Q757" s="29">
        <v>49800</v>
      </c>
      <c r="R757" s="29">
        <v>49800</v>
      </c>
      <c r="S757">
        <v>52500</v>
      </c>
      <c r="T757">
        <v>52400</v>
      </c>
      <c r="U757">
        <v>53300</v>
      </c>
      <c r="V757">
        <v>55500</v>
      </c>
      <c r="W757">
        <v>58100</v>
      </c>
    </row>
    <row r="758" spans="1:23">
      <c r="A758" s="30">
        <v>45042</v>
      </c>
      <c r="B758" s="29">
        <v>52900</v>
      </c>
      <c r="C758" s="29">
        <v>53700</v>
      </c>
      <c r="D758" s="29">
        <v>52100</v>
      </c>
      <c r="E758" s="29">
        <v>50000</v>
      </c>
      <c r="F758" s="29">
        <v>55100</v>
      </c>
      <c r="G758" s="29" t="str">
        <v>-</v>
      </c>
      <c r="H758" s="29">
        <v>52700</v>
      </c>
      <c r="I758" s="29">
        <v>52200</v>
      </c>
      <c r="J758" s="29">
        <v>54500</v>
      </c>
      <c r="K758" s="29" t="str">
        <v>-</v>
      </c>
      <c r="L758" s="29">
        <v>52500</v>
      </c>
      <c r="M758" s="29">
        <v>54400</v>
      </c>
      <c r="N758" s="29">
        <v>51000</v>
      </c>
      <c r="O758" s="29">
        <v>51700</v>
      </c>
      <c r="P758" s="29">
        <v>49500</v>
      </c>
      <c r="Q758" s="29">
        <v>49800</v>
      </c>
      <c r="R758" s="29">
        <v>49800</v>
      </c>
      <c r="S758">
        <v>52500</v>
      </c>
      <c r="T758">
        <v>52400</v>
      </c>
      <c r="U758">
        <v>53300</v>
      </c>
      <c r="V758">
        <v>55500</v>
      </c>
      <c r="W758">
        <v>58100</v>
      </c>
    </row>
    <row r="759" spans="1:23">
      <c r="A759" s="30">
        <v>45043</v>
      </c>
      <c r="B759" s="29">
        <v>52900</v>
      </c>
      <c r="C759" s="29">
        <v>53500</v>
      </c>
      <c r="D759" s="29">
        <v>52100</v>
      </c>
      <c r="E759" s="29">
        <v>49800</v>
      </c>
      <c r="F759" s="29">
        <v>55100</v>
      </c>
      <c r="G759" s="29" t="str">
        <v>-</v>
      </c>
      <c r="H759" s="29">
        <v>52500</v>
      </c>
      <c r="I759" s="29">
        <v>52200</v>
      </c>
      <c r="J759" s="29">
        <v>54500</v>
      </c>
      <c r="K759" s="29" t="str">
        <v>-</v>
      </c>
      <c r="L759" s="29">
        <v>52500</v>
      </c>
      <c r="M759" s="29">
        <v>54400</v>
      </c>
      <c r="N759" s="29">
        <v>50800</v>
      </c>
      <c r="O759" s="29">
        <v>51700</v>
      </c>
      <c r="P759" s="29">
        <v>49350</v>
      </c>
      <c r="Q759" s="29">
        <v>49700</v>
      </c>
      <c r="R759" s="29">
        <v>49800</v>
      </c>
      <c r="S759">
        <v>52300</v>
      </c>
      <c r="T759">
        <v>52300</v>
      </c>
      <c r="U759">
        <v>53300</v>
      </c>
      <c r="V759">
        <v>55500</v>
      </c>
      <c r="W759">
        <v>58100</v>
      </c>
    </row>
    <row r="760" spans="1:23">
      <c r="A760" s="30">
        <v>45044</v>
      </c>
      <c r="B760" s="29">
        <v>52700</v>
      </c>
      <c r="C760" s="29">
        <v>53500</v>
      </c>
      <c r="D760" s="29">
        <v>52100</v>
      </c>
      <c r="E760" s="29">
        <v>49800</v>
      </c>
      <c r="F760" s="29">
        <v>54800</v>
      </c>
      <c r="G760" s="29" t="str">
        <v>-</v>
      </c>
      <c r="H760" s="29">
        <v>52500</v>
      </c>
      <c r="I760" s="29">
        <v>52200</v>
      </c>
      <c r="J760" s="29">
        <v>54500</v>
      </c>
      <c r="K760" s="29" t="str">
        <v>-</v>
      </c>
      <c r="L760" s="29">
        <v>52500</v>
      </c>
      <c r="M760" s="29">
        <v>54400</v>
      </c>
      <c r="N760" s="29">
        <v>51000</v>
      </c>
      <c r="O760" s="29">
        <v>51800</v>
      </c>
      <c r="P760" s="29">
        <v>49450</v>
      </c>
      <c r="Q760" s="29">
        <v>49600</v>
      </c>
      <c r="R760" s="29">
        <v>49700</v>
      </c>
      <c r="S760">
        <v>52300</v>
      </c>
      <c r="T760">
        <v>52000</v>
      </c>
      <c r="U760">
        <v>53300</v>
      </c>
      <c r="V760">
        <v>55100</v>
      </c>
      <c r="W760">
        <v>57900</v>
      </c>
    </row>
    <row r="761" spans="1:23">
      <c r="A761" s="30">
        <v>45045</v>
      </c>
      <c r="B761" s="29">
        <v>52500</v>
      </c>
      <c r="C761" s="29">
        <v>53300</v>
      </c>
      <c r="D761" s="29">
        <v>52000</v>
      </c>
      <c r="E761" s="29">
        <v>49700</v>
      </c>
      <c r="F761" s="29">
        <v>54800</v>
      </c>
      <c r="G761" s="29" t="str">
        <v>-</v>
      </c>
      <c r="H761" s="29">
        <v>52500</v>
      </c>
      <c r="I761" s="29">
        <v>52100</v>
      </c>
      <c r="J761" s="29">
        <v>54500</v>
      </c>
      <c r="K761" s="29" t="str">
        <v>-</v>
      </c>
      <c r="L761" s="29">
        <v>52400</v>
      </c>
      <c r="M761" s="29">
        <v>54400</v>
      </c>
      <c r="N761" s="29">
        <v>50700</v>
      </c>
      <c r="O761" s="29">
        <v>51300</v>
      </c>
      <c r="P761" s="29">
        <v>49000</v>
      </c>
      <c r="Q761" s="29">
        <v>49500</v>
      </c>
      <c r="R761" s="29">
        <v>49700</v>
      </c>
      <c r="S761">
        <v>52200</v>
      </c>
      <c r="T761">
        <v>52000</v>
      </c>
      <c r="U761">
        <v>53300</v>
      </c>
      <c r="V761">
        <v>55000</v>
      </c>
      <c r="W761">
        <v>57700</v>
      </c>
    </row>
    <row r="762" spans="1:23">
      <c r="A762" s="30">
        <v>45046</v>
      </c>
      <c r="B762" s="29" t="str">
        <v>H</v>
      </c>
      <c r="C762" s="29" t="str">
        <v>H</v>
      </c>
      <c r="D762" s="29" t="str">
        <v>H</v>
      </c>
      <c r="E762" s="29" t="str">
        <v>H</v>
      </c>
      <c r="F762" s="29" t="str">
        <v>H</v>
      </c>
      <c r="G762" s="29" t="str">
        <v>H</v>
      </c>
      <c r="H762" s="29" t="str">
        <v>H</v>
      </c>
      <c r="I762" s="29" t="str">
        <v>H</v>
      </c>
      <c r="J762" s="29" t="str">
        <v>H</v>
      </c>
      <c r="K762" s="29" t="str">
        <v>H</v>
      </c>
      <c r="L762" s="29" t="str">
        <v>H</v>
      </c>
      <c r="M762" s="29" t="str">
        <v>H</v>
      </c>
      <c r="N762" s="29" t="str">
        <v>H</v>
      </c>
      <c r="O762" s="29" t="str">
        <v>H</v>
      </c>
      <c r="P762" s="29" t="str">
        <v>H</v>
      </c>
      <c r="Q762" s="29" t="str">
        <v>H</v>
      </c>
      <c r="R762" s="29" t="str">
        <v>H</v>
      </c>
      <c r="S762" t="str">
        <v>H</v>
      </c>
      <c r="T762" t="str">
        <v>H</v>
      </c>
      <c r="U762" t="str">
        <v>H</v>
      </c>
      <c r="V762" t="str">
        <v>H</v>
      </c>
      <c r="W762" t="str">
        <v>H</v>
      </c>
    </row>
    <row r="763" spans="1:23">
      <c r="A763" s="30">
        <v>45047</v>
      </c>
      <c r="B763" s="29">
        <v>52300</v>
      </c>
      <c r="C763" s="29">
        <v>53000</v>
      </c>
      <c r="D763" s="29">
        <v>51700</v>
      </c>
      <c r="E763" s="29">
        <v>49400</v>
      </c>
      <c r="F763" s="29">
        <v>54100</v>
      </c>
      <c r="G763" s="29" t="str">
        <v>-</v>
      </c>
      <c r="H763" s="29">
        <v>52000</v>
      </c>
      <c r="I763" s="29">
        <v>52000</v>
      </c>
      <c r="J763" s="29">
        <v>54000</v>
      </c>
      <c r="K763" s="29" t="str">
        <v>-</v>
      </c>
      <c r="L763" s="29">
        <v>52200</v>
      </c>
      <c r="M763" s="29">
        <v>54300</v>
      </c>
      <c r="N763" s="29">
        <v>50400</v>
      </c>
      <c r="O763" s="29">
        <v>51300</v>
      </c>
      <c r="P763" s="29">
        <v>48900</v>
      </c>
      <c r="Q763" s="29">
        <v>49100</v>
      </c>
      <c r="R763" s="29">
        <v>49700</v>
      </c>
      <c r="S763">
        <v>51900</v>
      </c>
      <c r="T763">
        <v>51700</v>
      </c>
      <c r="U763">
        <v>53300</v>
      </c>
      <c r="V763">
        <v>54800</v>
      </c>
      <c r="W763">
        <v>57300</v>
      </c>
    </row>
    <row r="764" spans="1:23">
      <c r="A764" s="30">
        <v>45048</v>
      </c>
      <c r="B764" s="29">
        <v>52100</v>
      </c>
      <c r="C764" s="29">
        <v>53000</v>
      </c>
      <c r="D764" s="29">
        <v>51200</v>
      </c>
      <c r="E764" s="29">
        <v>48800</v>
      </c>
      <c r="F764" s="29">
        <v>54100</v>
      </c>
      <c r="G764" s="29" t="str">
        <v>-</v>
      </c>
      <c r="H764" s="29">
        <v>52000</v>
      </c>
      <c r="I764" s="29">
        <v>51500</v>
      </c>
      <c r="J764" s="29">
        <v>53800</v>
      </c>
      <c r="K764" s="29" t="str">
        <v>-</v>
      </c>
      <c r="L764" s="29">
        <v>52000</v>
      </c>
      <c r="M764" s="29">
        <v>53600</v>
      </c>
      <c r="N764" s="29">
        <v>50000</v>
      </c>
      <c r="O764" s="29">
        <v>50400</v>
      </c>
      <c r="P764" s="29">
        <v>48600</v>
      </c>
      <c r="Q764" s="29">
        <v>48800</v>
      </c>
      <c r="R764" s="29">
        <v>49100</v>
      </c>
      <c r="S764">
        <v>51300</v>
      </c>
      <c r="T764">
        <v>51200</v>
      </c>
      <c r="U764">
        <v>52800</v>
      </c>
      <c r="V764">
        <v>54600</v>
      </c>
      <c r="W764">
        <v>57100</v>
      </c>
    </row>
    <row r="765" spans="1:23">
      <c r="A765" s="30">
        <v>45049</v>
      </c>
      <c r="B765" s="29">
        <v>51900</v>
      </c>
      <c r="C765" s="29">
        <v>53000</v>
      </c>
      <c r="D765" s="29">
        <v>51200</v>
      </c>
      <c r="E765" s="29">
        <v>49000</v>
      </c>
      <c r="F765" s="29">
        <v>54000</v>
      </c>
      <c r="G765" s="29" t="str">
        <v>-</v>
      </c>
      <c r="H765" s="29">
        <v>51500</v>
      </c>
      <c r="I765" s="29">
        <v>51500</v>
      </c>
      <c r="J765" s="29">
        <v>53500</v>
      </c>
      <c r="K765" s="29" t="str">
        <v>-</v>
      </c>
      <c r="L765" s="29">
        <v>52000</v>
      </c>
      <c r="M765" s="29">
        <v>52800</v>
      </c>
      <c r="N765" s="29">
        <v>50000</v>
      </c>
      <c r="O765" s="29">
        <v>50400</v>
      </c>
      <c r="P765" s="29">
        <v>48400</v>
      </c>
      <c r="Q765" s="29">
        <v>48500</v>
      </c>
      <c r="R765" s="29">
        <v>48900</v>
      </c>
      <c r="S765">
        <v>51500</v>
      </c>
      <c r="T765">
        <v>51200</v>
      </c>
      <c r="U765">
        <v>52800</v>
      </c>
      <c r="V765">
        <v>54300</v>
      </c>
      <c r="W765">
        <v>56800</v>
      </c>
    </row>
    <row r="766" spans="1:23">
      <c r="A766" s="30">
        <v>45050</v>
      </c>
      <c r="B766" s="29">
        <v>51700</v>
      </c>
      <c r="C766" s="29">
        <v>53000</v>
      </c>
      <c r="D766" s="29">
        <v>51000</v>
      </c>
      <c r="E766" s="29">
        <v>48500</v>
      </c>
      <c r="F766" s="29">
        <v>54000</v>
      </c>
      <c r="G766" s="29" t="str">
        <v>-</v>
      </c>
      <c r="H766" s="29">
        <v>51500</v>
      </c>
      <c r="I766" s="29">
        <v>51300</v>
      </c>
      <c r="J766" s="29">
        <v>53500</v>
      </c>
      <c r="K766" s="29" t="str">
        <v>-</v>
      </c>
      <c r="L766" s="29">
        <v>51600</v>
      </c>
      <c r="M766" s="29">
        <v>52800</v>
      </c>
      <c r="N766" s="29">
        <v>49800</v>
      </c>
      <c r="O766" s="29">
        <v>50200</v>
      </c>
      <c r="P766" s="29">
        <v>48200</v>
      </c>
      <c r="Q766" s="29">
        <v>48000</v>
      </c>
      <c r="R766" s="29">
        <v>48700</v>
      </c>
      <c r="S766">
        <v>51000</v>
      </c>
      <c r="T766">
        <v>51000</v>
      </c>
      <c r="U766">
        <v>52800</v>
      </c>
      <c r="V766">
        <v>54200</v>
      </c>
      <c r="W766">
        <v>56800</v>
      </c>
    </row>
    <row r="767" spans="1:23">
      <c r="A767" s="30">
        <v>45051</v>
      </c>
      <c r="B767" s="29">
        <v>51400</v>
      </c>
      <c r="C767" s="29">
        <v>52700</v>
      </c>
      <c r="D767" s="29">
        <v>50800</v>
      </c>
      <c r="E767" s="29">
        <v>48200</v>
      </c>
      <c r="F767" s="29">
        <v>53700</v>
      </c>
      <c r="G767" s="29" t="str">
        <v>-</v>
      </c>
      <c r="H767" s="29">
        <v>50500</v>
      </c>
      <c r="I767" s="29">
        <v>50900</v>
      </c>
      <c r="J767" s="29">
        <v>53000</v>
      </c>
      <c r="K767" s="29" t="str">
        <v>-</v>
      </c>
      <c r="L767" s="29">
        <v>51400</v>
      </c>
      <c r="M767" s="29">
        <v>52400</v>
      </c>
      <c r="N767" s="29">
        <v>49500</v>
      </c>
      <c r="O767" s="29">
        <v>50000</v>
      </c>
      <c r="P767" s="29">
        <v>47600</v>
      </c>
      <c r="Q767" s="29">
        <v>47500</v>
      </c>
      <c r="R767" s="29">
        <v>48300</v>
      </c>
      <c r="S767">
        <v>50700</v>
      </c>
      <c r="T767">
        <v>50500</v>
      </c>
      <c r="U767">
        <v>52600</v>
      </c>
      <c r="V767">
        <v>54100</v>
      </c>
      <c r="W767">
        <v>56700</v>
      </c>
    </row>
    <row r="768" spans="1:23">
      <c r="A768" s="30">
        <v>45052</v>
      </c>
      <c r="B768" s="29">
        <v>51100</v>
      </c>
      <c r="C768" s="29">
        <v>52500</v>
      </c>
      <c r="D768" s="29">
        <v>50500</v>
      </c>
      <c r="E768" s="29">
        <v>47900</v>
      </c>
      <c r="F768" s="29">
        <v>53100</v>
      </c>
      <c r="G768" s="29" t="str">
        <v>-</v>
      </c>
      <c r="H768" s="29">
        <v>50500</v>
      </c>
      <c r="I768" s="29">
        <v>50200</v>
      </c>
      <c r="J768" s="29">
        <v>52500</v>
      </c>
      <c r="K768" s="29" t="str">
        <v>-</v>
      </c>
      <c r="L768" s="29">
        <v>51100</v>
      </c>
      <c r="M768" s="29">
        <v>52400</v>
      </c>
      <c r="N768" s="29">
        <v>49100</v>
      </c>
      <c r="O768" s="29">
        <v>49600</v>
      </c>
      <c r="P768" s="29">
        <v>47600</v>
      </c>
      <c r="Q768" s="29">
        <v>47300</v>
      </c>
      <c r="R768" s="29">
        <v>47900</v>
      </c>
      <c r="S768">
        <v>50400</v>
      </c>
      <c r="T768">
        <v>50000</v>
      </c>
      <c r="U768">
        <v>52600</v>
      </c>
      <c r="V768">
        <v>53800</v>
      </c>
      <c r="W768">
        <v>56500</v>
      </c>
    </row>
    <row r="769" spans="1:23">
      <c r="A769" s="30">
        <v>45053</v>
      </c>
      <c r="B769" s="29" t="str">
        <v>H</v>
      </c>
      <c r="C769" s="29" t="str">
        <v>H</v>
      </c>
      <c r="D769" s="29" t="str">
        <v>H</v>
      </c>
      <c r="E769" s="29" t="str">
        <v>H</v>
      </c>
      <c r="F769" s="29" t="str">
        <v>H</v>
      </c>
      <c r="G769" s="29" t="str">
        <v>H</v>
      </c>
      <c r="H769" s="29" t="str">
        <v>H</v>
      </c>
      <c r="I769" s="29" t="str">
        <v>H</v>
      </c>
      <c r="J769" s="29" t="str">
        <v>H</v>
      </c>
      <c r="K769" s="29" t="str">
        <v>H</v>
      </c>
      <c r="L769" s="29" t="str">
        <v>H</v>
      </c>
      <c r="M769" s="29" t="str">
        <v>H</v>
      </c>
      <c r="N769" s="29" t="str">
        <v>H</v>
      </c>
      <c r="O769" s="29" t="str">
        <v>H</v>
      </c>
      <c r="P769" s="29" t="str">
        <v>H</v>
      </c>
      <c r="Q769" s="29" t="str">
        <v>H</v>
      </c>
      <c r="R769" s="29" t="str">
        <v>H</v>
      </c>
      <c r="S769" t="str">
        <v>H</v>
      </c>
      <c r="T769" t="str">
        <v>H</v>
      </c>
      <c r="U769" t="str">
        <v>H</v>
      </c>
      <c r="V769" t="str">
        <v>H</v>
      </c>
      <c r="W769" t="str">
        <v>H</v>
      </c>
    </row>
    <row r="770" spans="1:23">
      <c r="A770" s="30">
        <v>45054</v>
      </c>
      <c r="B770" s="29">
        <v>51500</v>
      </c>
      <c r="C770" s="29">
        <v>52500</v>
      </c>
      <c r="D770" s="29">
        <v>50700</v>
      </c>
      <c r="E770" s="29">
        <v>48200</v>
      </c>
      <c r="F770" s="29">
        <v>53100</v>
      </c>
      <c r="G770" s="29" t="str">
        <v>-</v>
      </c>
      <c r="H770" s="29">
        <v>51000</v>
      </c>
      <c r="I770" s="29">
        <v>50300</v>
      </c>
      <c r="J770" s="29">
        <v>52800</v>
      </c>
      <c r="K770" s="29" t="str">
        <v>-</v>
      </c>
      <c r="L770" s="29">
        <v>51500</v>
      </c>
      <c r="M770" s="29">
        <v>52400</v>
      </c>
      <c r="N770" s="29">
        <v>49700</v>
      </c>
      <c r="O770" s="29">
        <v>49800</v>
      </c>
      <c r="P770" s="29">
        <v>47600</v>
      </c>
      <c r="Q770" s="29">
        <v>47500</v>
      </c>
      <c r="R770" s="29">
        <v>48200</v>
      </c>
      <c r="S770">
        <v>50700</v>
      </c>
      <c r="T770">
        <v>50300</v>
      </c>
      <c r="U770">
        <v>52600</v>
      </c>
      <c r="V770">
        <v>53500</v>
      </c>
      <c r="W770">
        <v>56000</v>
      </c>
    </row>
    <row r="771" spans="1:23">
      <c r="A771" s="30">
        <v>45055</v>
      </c>
      <c r="B771" s="29">
        <v>51700</v>
      </c>
      <c r="C771" s="29">
        <v>52500</v>
      </c>
      <c r="D771" s="29">
        <v>51000</v>
      </c>
      <c r="E771" s="29">
        <v>48500</v>
      </c>
      <c r="F771" s="29">
        <v>54000</v>
      </c>
      <c r="G771" s="29" t="str">
        <v>-</v>
      </c>
      <c r="H771" s="29">
        <v>51000</v>
      </c>
      <c r="I771" s="29">
        <v>50500</v>
      </c>
      <c r="J771" s="29">
        <v>52800</v>
      </c>
      <c r="K771" s="29" t="str">
        <v>-</v>
      </c>
      <c r="L771" s="29">
        <v>51500</v>
      </c>
      <c r="M771" s="29">
        <v>52800</v>
      </c>
      <c r="N771" s="29">
        <v>49800</v>
      </c>
      <c r="O771" s="29">
        <v>50000</v>
      </c>
      <c r="P771" s="29">
        <v>47700</v>
      </c>
      <c r="Q771" s="29">
        <v>47800</v>
      </c>
      <c r="R771" s="29">
        <v>48300</v>
      </c>
      <c r="S771">
        <v>51000</v>
      </c>
      <c r="T771">
        <v>50500</v>
      </c>
      <c r="U771">
        <v>52600</v>
      </c>
      <c r="V771">
        <v>53500</v>
      </c>
      <c r="W771">
        <v>56000</v>
      </c>
    </row>
    <row r="772" spans="1:23">
      <c r="A772" s="30">
        <v>45056</v>
      </c>
      <c r="B772" s="29">
        <v>52000</v>
      </c>
      <c r="C772" s="29">
        <v>52800</v>
      </c>
      <c r="D772" s="29">
        <v>51400</v>
      </c>
      <c r="E772" s="29">
        <v>49000</v>
      </c>
      <c r="F772" s="29">
        <v>54000</v>
      </c>
      <c r="G772" s="29" t="str">
        <v>-</v>
      </c>
      <c r="H772" s="29">
        <v>51500</v>
      </c>
      <c r="I772" s="29">
        <v>51300</v>
      </c>
      <c r="J772" s="29">
        <v>53400</v>
      </c>
      <c r="K772" s="29" t="str">
        <v>-</v>
      </c>
      <c r="L772" s="29">
        <v>52000</v>
      </c>
      <c r="M772" s="29">
        <v>53300</v>
      </c>
      <c r="N772" s="29">
        <v>50300</v>
      </c>
      <c r="O772" s="29">
        <v>50300</v>
      </c>
      <c r="P772" s="29">
        <v>48200</v>
      </c>
      <c r="Q772" s="29">
        <v>48200</v>
      </c>
      <c r="R772" s="29">
        <v>48700</v>
      </c>
      <c r="S772">
        <v>51500</v>
      </c>
      <c r="T772">
        <v>51000</v>
      </c>
      <c r="U772">
        <v>52600</v>
      </c>
      <c r="V772">
        <v>53500</v>
      </c>
      <c r="W772">
        <v>56000</v>
      </c>
    </row>
    <row r="773" spans="1:23">
      <c r="A773" s="30">
        <v>45057</v>
      </c>
      <c r="B773" s="29">
        <v>52000</v>
      </c>
      <c r="C773" s="29">
        <v>52800</v>
      </c>
      <c r="D773" s="29">
        <v>51400</v>
      </c>
      <c r="E773" s="29">
        <v>48600</v>
      </c>
      <c r="F773" s="29">
        <v>54300</v>
      </c>
      <c r="G773" s="29" t="str">
        <v>-</v>
      </c>
      <c r="H773" s="29">
        <v>51000</v>
      </c>
      <c r="I773" s="29">
        <v>51300</v>
      </c>
      <c r="J773" s="29">
        <v>53700</v>
      </c>
      <c r="K773" s="29" t="str">
        <v>-</v>
      </c>
      <c r="L773" s="29">
        <v>52000</v>
      </c>
      <c r="M773" s="29">
        <v>53500</v>
      </c>
      <c r="N773" s="29">
        <v>50300</v>
      </c>
      <c r="O773" s="29">
        <v>50300</v>
      </c>
      <c r="P773" s="29">
        <v>47700</v>
      </c>
      <c r="Q773" s="29">
        <v>47800</v>
      </c>
      <c r="R773" s="29">
        <v>48500</v>
      </c>
      <c r="S773">
        <v>51100</v>
      </c>
      <c r="T773">
        <v>50900</v>
      </c>
      <c r="U773">
        <v>52600</v>
      </c>
      <c r="V773">
        <v>53600</v>
      </c>
      <c r="W773">
        <v>56000</v>
      </c>
    </row>
    <row r="774" spans="1:23">
      <c r="A774" s="30">
        <v>45058</v>
      </c>
      <c r="B774" s="29">
        <v>51700</v>
      </c>
      <c r="C774" s="29">
        <v>52500</v>
      </c>
      <c r="D774" s="29">
        <v>51100</v>
      </c>
      <c r="E774" s="29">
        <v>48600</v>
      </c>
      <c r="F774" s="29">
        <v>54300</v>
      </c>
      <c r="G774" s="29" t="str">
        <v>-</v>
      </c>
      <c r="H774" s="29">
        <v>51000</v>
      </c>
      <c r="I774" s="29">
        <v>51300</v>
      </c>
      <c r="J774" s="29">
        <v>53700</v>
      </c>
      <c r="K774" s="29" t="str">
        <v>-</v>
      </c>
      <c r="L774" s="29">
        <v>51800</v>
      </c>
      <c r="M774" s="29">
        <v>53900</v>
      </c>
      <c r="N774" s="29">
        <v>50300</v>
      </c>
      <c r="O774" s="29">
        <v>50300</v>
      </c>
      <c r="P774" s="29">
        <v>48000</v>
      </c>
      <c r="Q774" s="29">
        <v>47700</v>
      </c>
      <c r="R774" s="29">
        <v>48300</v>
      </c>
      <c r="S774">
        <v>51100</v>
      </c>
      <c r="T774">
        <v>50700</v>
      </c>
      <c r="U774">
        <v>52600</v>
      </c>
      <c r="V774">
        <v>53600</v>
      </c>
      <c r="W774">
        <v>56000</v>
      </c>
    </row>
    <row r="775" spans="1:23">
      <c r="A775" s="30">
        <v>45059</v>
      </c>
      <c r="B775" s="29">
        <v>51500</v>
      </c>
      <c r="C775" s="29">
        <v>52500</v>
      </c>
      <c r="D775" s="29">
        <v>51400</v>
      </c>
      <c r="E775" s="29">
        <v>48600</v>
      </c>
      <c r="F775" s="29">
        <v>54300</v>
      </c>
      <c r="G775" s="29" t="str">
        <v>-</v>
      </c>
      <c r="H775" s="29">
        <v>51000</v>
      </c>
      <c r="I775" s="29">
        <v>51400</v>
      </c>
      <c r="J775" s="29">
        <v>53700</v>
      </c>
      <c r="K775" s="29" t="str">
        <v>-</v>
      </c>
      <c r="L775" s="29">
        <v>52000</v>
      </c>
      <c r="M775" s="29">
        <v>54100</v>
      </c>
      <c r="N775" s="29">
        <v>50200</v>
      </c>
      <c r="O775" s="29">
        <v>50300</v>
      </c>
      <c r="P775" s="29">
        <v>47950</v>
      </c>
      <c r="Q775" s="29">
        <v>47500</v>
      </c>
      <c r="R775" s="29">
        <v>48300</v>
      </c>
      <c r="S775">
        <v>51100</v>
      </c>
      <c r="T775">
        <v>50500</v>
      </c>
      <c r="U775">
        <v>52600</v>
      </c>
      <c r="V775">
        <v>53500</v>
      </c>
      <c r="W775">
        <v>56000</v>
      </c>
    </row>
    <row r="776" spans="1:23">
      <c r="A776" s="30">
        <v>45060</v>
      </c>
      <c r="B776" s="29" t="str">
        <v>H</v>
      </c>
      <c r="C776" s="29" t="str">
        <v>H</v>
      </c>
      <c r="D776" s="29" t="str">
        <v>H</v>
      </c>
      <c r="E776" s="29" t="str">
        <v>H</v>
      </c>
      <c r="F776" s="29" t="str">
        <v>H</v>
      </c>
      <c r="G776" s="29" t="str">
        <v>H</v>
      </c>
      <c r="H776" s="29" t="str">
        <v>H</v>
      </c>
      <c r="I776" s="29" t="str">
        <v>H</v>
      </c>
      <c r="J776" s="29" t="str">
        <v>H</v>
      </c>
      <c r="K776" s="29" t="str">
        <v>H</v>
      </c>
      <c r="L776" s="29" t="str">
        <v>H</v>
      </c>
      <c r="M776" s="29" t="str">
        <v>H</v>
      </c>
      <c r="N776" s="29" t="str">
        <v>H</v>
      </c>
      <c r="O776" s="29" t="str">
        <v>H</v>
      </c>
      <c r="P776" s="29" t="str">
        <v>H</v>
      </c>
      <c r="Q776" s="29" t="str">
        <v>H</v>
      </c>
      <c r="R776" s="29" t="str">
        <v>H</v>
      </c>
      <c r="S776" t="str">
        <v>H</v>
      </c>
      <c r="T776" t="str">
        <v>H</v>
      </c>
      <c r="U776" t="str">
        <v>H</v>
      </c>
      <c r="V776" t="str">
        <v>H</v>
      </c>
      <c r="W776" t="str">
        <v>H</v>
      </c>
    </row>
    <row r="777" spans="1:23">
      <c r="A777" s="30">
        <v>45061</v>
      </c>
      <c r="B777" s="29">
        <v>52000</v>
      </c>
      <c r="C777" s="29">
        <v>52500</v>
      </c>
      <c r="D777" s="29">
        <v>52000</v>
      </c>
      <c r="E777" s="29">
        <v>48600</v>
      </c>
      <c r="F777" s="29">
        <v>54300</v>
      </c>
      <c r="G777" s="29" t="str">
        <v>-</v>
      </c>
      <c r="H777" s="29">
        <v>51000</v>
      </c>
      <c r="I777" s="29">
        <v>51800</v>
      </c>
      <c r="J777" s="29">
        <v>53700</v>
      </c>
      <c r="K777" s="29" t="str">
        <v>-</v>
      </c>
      <c r="L777" s="29">
        <v>52400</v>
      </c>
      <c r="M777" s="29">
        <v>54100</v>
      </c>
      <c r="N777" s="29">
        <v>50800</v>
      </c>
      <c r="O777" s="29">
        <v>50400</v>
      </c>
      <c r="P777" s="29">
        <v>47900</v>
      </c>
      <c r="Q777" s="29">
        <v>48100</v>
      </c>
      <c r="R777" s="29">
        <v>48500</v>
      </c>
      <c r="S777">
        <v>51100</v>
      </c>
      <c r="T777">
        <v>50800</v>
      </c>
      <c r="U777">
        <v>52600</v>
      </c>
      <c r="V777">
        <v>53500</v>
      </c>
      <c r="W777">
        <v>56000</v>
      </c>
    </row>
    <row r="778" spans="1:23">
      <c r="A778" s="30">
        <v>45062</v>
      </c>
      <c r="B778" s="29">
        <v>52200</v>
      </c>
      <c r="C778" s="29">
        <v>52500</v>
      </c>
      <c r="D778" s="29">
        <v>52600</v>
      </c>
      <c r="E778" s="29">
        <v>48600</v>
      </c>
      <c r="F778" s="29">
        <v>54300</v>
      </c>
      <c r="G778" s="29" t="str">
        <v>-</v>
      </c>
      <c r="H778" s="29">
        <v>51000</v>
      </c>
      <c r="I778" s="29">
        <v>52200</v>
      </c>
      <c r="J778" s="29">
        <v>53700</v>
      </c>
      <c r="K778" s="29" t="str">
        <v>-</v>
      </c>
      <c r="L778" s="29">
        <v>52600</v>
      </c>
      <c r="M778" s="29">
        <v>54100</v>
      </c>
      <c r="N778" s="29">
        <v>51300</v>
      </c>
      <c r="O778" s="29">
        <v>50400</v>
      </c>
      <c r="P778" s="29">
        <v>48000</v>
      </c>
      <c r="Q778" s="29">
        <v>48300</v>
      </c>
      <c r="R778" s="29">
        <v>48700</v>
      </c>
      <c r="S778">
        <v>51100</v>
      </c>
      <c r="T778">
        <v>51000</v>
      </c>
      <c r="U778">
        <v>52600</v>
      </c>
      <c r="V778">
        <v>53500</v>
      </c>
      <c r="W778">
        <v>56000</v>
      </c>
    </row>
    <row r="779" spans="1:23">
      <c r="A779" s="30">
        <v>45063</v>
      </c>
      <c r="B779" s="29">
        <v>52700</v>
      </c>
      <c r="C779" s="29">
        <v>52500</v>
      </c>
      <c r="D779" s="29">
        <v>52700</v>
      </c>
      <c r="E779" s="29">
        <v>49000</v>
      </c>
      <c r="F779" s="29">
        <v>54300</v>
      </c>
      <c r="G779" s="29" t="str">
        <v>-</v>
      </c>
      <c r="H779" s="29">
        <v>51500</v>
      </c>
      <c r="I779" s="29">
        <v>52600</v>
      </c>
      <c r="J779" s="29">
        <v>53700</v>
      </c>
      <c r="K779" s="29" t="str">
        <v>-</v>
      </c>
      <c r="L779" s="29">
        <v>53200</v>
      </c>
      <c r="M779" s="29">
        <v>54100</v>
      </c>
      <c r="N779" s="29">
        <v>51500</v>
      </c>
      <c r="O779" s="29">
        <v>50700</v>
      </c>
      <c r="P779" s="29">
        <v>48500</v>
      </c>
      <c r="Q779" s="29">
        <v>48400</v>
      </c>
      <c r="R779" s="29">
        <v>48800</v>
      </c>
      <c r="S779">
        <v>51500</v>
      </c>
      <c r="T779">
        <v>51300</v>
      </c>
      <c r="U779">
        <v>52600</v>
      </c>
      <c r="V779">
        <v>53500</v>
      </c>
      <c r="W779">
        <v>56000</v>
      </c>
    </row>
    <row r="780" spans="1:23">
      <c r="A780" s="30">
        <v>45064</v>
      </c>
      <c r="B780" s="29">
        <v>52700</v>
      </c>
      <c r="C780" s="29">
        <v>52500</v>
      </c>
      <c r="D780" s="29">
        <v>52300</v>
      </c>
      <c r="E780" s="29">
        <v>48500</v>
      </c>
      <c r="F780" s="29">
        <v>54300</v>
      </c>
      <c r="G780" s="29" t="str">
        <v>-</v>
      </c>
      <c r="H780" s="29">
        <v>51500</v>
      </c>
      <c r="I780" s="29">
        <v>52600</v>
      </c>
      <c r="J780" s="29">
        <v>53400</v>
      </c>
      <c r="K780" s="29" t="str">
        <v>-</v>
      </c>
      <c r="L780" s="29">
        <v>53100</v>
      </c>
      <c r="M780" s="29">
        <v>54100</v>
      </c>
      <c r="N780" s="29">
        <v>51300</v>
      </c>
      <c r="O780" s="29">
        <v>50500</v>
      </c>
      <c r="P780" s="29">
        <v>48050</v>
      </c>
      <c r="Q780" s="29">
        <v>48300</v>
      </c>
      <c r="R780" s="29">
        <v>48600</v>
      </c>
      <c r="S780">
        <v>51000</v>
      </c>
      <c r="T780">
        <v>51300</v>
      </c>
      <c r="U780">
        <v>52600</v>
      </c>
      <c r="V780">
        <v>53400</v>
      </c>
      <c r="W780">
        <v>55800</v>
      </c>
    </row>
    <row r="781" spans="1:23">
      <c r="A781" s="30">
        <v>45065</v>
      </c>
      <c r="B781" s="29">
        <v>52500</v>
      </c>
      <c r="C781" s="29">
        <v>52300</v>
      </c>
      <c r="D781" s="29">
        <v>52300</v>
      </c>
      <c r="E781" s="29">
        <v>48300</v>
      </c>
      <c r="F781" s="29">
        <v>54200</v>
      </c>
      <c r="G781" s="29" t="str">
        <v>-</v>
      </c>
      <c r="H781" s="29">
        <v>51500</v>
      </c>
      <c r="I781" s="29">
        <v>52600</v>
      </c>
      <c r="J781" s="29">
        <v>53300</v>
      </c>
      <c r="K781" s="29" t="str">
        <v>-</v>
      </c>
      <c r="L781" s="29">
        <v>53100</v>
      </c>
      <c r="M781" s="29">
        <v>53800</v>
      </c>
      <c r="N781" s="29">
        <v>51200</v>
      </c>
      <c r="O781" s="29">
        <v>50000</v>
      </c>
      <c r="P781" s="29">
        <v>47800</v>
      </c>
      <c r="Q781" s="29">
        <v>48100</v>
      </c>
      <c r="R781" s="29">
        <v>48300</v>
      </c>
      <c r="S781">
        <v>50800</v>
      </c>
      <c r="T781">
        <v>51200</v>
      </c>
      <c r="U781">
        <v>52600</v>
      </c>
      <c r="V781">
        <v>53200</v>
      </c>
      <c r="W781">
        <v>55800</v>
      </c>
    </row>
    <row r="782" spans="1:23">
      <c r="A782" s="30">
        <v>45066</v>
      </c>
      <c r="B782" s="29">
        <v>52200</v>
      </c>
      <c r="C782" s="29">
        <v>52300</v>
      </c>
      <c r="D782" s="29">
        <v>52200</v>
      </c>
      <c r="E782" s="29">
        <v>47800</v>
      </c>
      <c r="F782" s="29">
        <v>54000</v>
      </c>
      <c r="G782" s="29" t="str">
        <v>-</v>
      </c>
      <c r="H782" s="29">
        <v>51000</v>
      </c>
      <c r="I782" s="29">
        <v>51900</v>
      </c>
      <c r="J782" s="29">
        <v>53200</v>
      </c>
      <c r="K782" s="29" t="str">
        <v>-</v>
      </c>
      <c r="L782" s="29">
        <v>52800</v>
      </c>
      <c r="M782" s="29">
        <v>53500</v>
      </c>
      <c r="N782" s="29">
        <v>51000</v>
      </c>
      <c r="O782" s="29">
        <v>49800</v>
      </c>
      <c r="P782" s="29">
        <v>47600</v>
      </c>
      <c r="Q782" s="29">
        <v>48000</v>
      </c>
      <c r="R782" s="29">
        <v>48000</v>
      </c>
      <c r="S782">
        <v>50300</v>
      </c>
      <c r="T782">
        <v>51200</v>
      </c>
      <c r="U782">
        <v>52600</v>
      </c>
      <c r="V782">
        <v>53000</v>
      </c>
      <c r="W782">
        <v>55500</v>
      </c>
    </row>
    <row r="783" spans="1:23">
      <c r="A783" s="30">
        <v>45067</v>
      </c>
      <c r="B783" s="29" t="str">
        <v>H</v>
      </c>
      <c r="C783" s="29" t="str">
        <v>H</v>
      </c>
      <c r="D783" s="29" t="str">
        <v>H</v>
      </c>
      <c r="E783" s="29" t="str">
        <v>H</v>
      </c>
      <c r="F783" s="29" t="str">
        <v>H</v>
      </c>
      <c r="G783" s="29" t="str">
        <v>H</v>
      </c>
      <c r="H783" s="29" t="str">
        <v>H</v>
      </c>
      <c r="I783" s="29" t="str">
        <v>H</v>
      </c>
      <c r="J783" s="29" t="str">
        <v>H</v>
      </c>
      <c r="K783" s="29" t="str">
        <v>H</v>
      </c>
      <c r="L783" s="29" t="str">
        <v>H</v>
      </c>
      <c r="M783" s="29" t="str">
        <v>H</v>
      </c>
      <c r="N783" s="29" t="str">
        <v>H</v>
      </c>
      <c r="O783" s="29" t="str">
        <v>H</v>
      </c>
      <c r="P783" s="29" t="str">
        <v>H</v>
      </c>
      <c r="Q783" s="29" t="str">
        <v>H</v>
      </c>
      <c r="R783" s="29" t="str">
        <v>H</v>
      </c>
      <c r="S783" t="str">
        <v>H</v>
      </c>
      <c r="T783" t="str">
        <v>H</v>
      </c>
      <c r="U783" t="str">
        <v>H</v>
      </c>
      <c r="V783" t="str">
        <v>H</v>
      </c>
      <c r="W783" t="str">
        <v>H</v>
      </c>
    </row>
    <row r="784" spans="1:23">
      <c r="A784" s="30">
        <v>45068</v>
      </c>
      <c r="B784" s="29">
        <v>51600</v>
      </c>
      <c r="C784" s="29">
        <v>52000</v>
      </c>
      <c r="D784" s="29">
        <v>51800</v>
      </c>
      <c r="E784" s="29">
        <v>47600</v>
      </c>
      <c r="F784" s="29">
        <v>53700</v>
      </c>
      <c r="G784" s="29" t="str">
        <v>-</v>
      </c>
      <c r="H784" s="29">
        <v>51000</v>
      </c>
      <c r="I784" s="29">
        <v>51300</v>
      </c>
      <c r="J784" s="29">
        <v>53200</v>
      </c>
      <c r="K784" s="29" t="str">
        <v>-</v>
      </c>
      <c r="L784" s="29">
        <v>52500</v>
      </c>
      <c r="M784" s="29">
        <v>53500</v>
      </c>
      <c r="N784" s="29">
        <v>50800</v>
      </c>
      <c r="O784" s="29">
        <v>49800</v>
      </c>
      <c r="P784" s="29">
        <v>47500</v>
      </c>
      <c r="Q784" s="29">
        <v>47700</v>
      </c>
      <c r="R784" s="29">
        <v>47800</v>
      </c>
      <c r="S784">
        <v>50100</v>
      </c>
      <c r="T784">
        <v>50600</v>
      </c>
      <c r="U784">
        <v>52600</v>
      </c>
      <c r="V784">
        <v>52800</v>
      </c>
      <c r="W784">
        <v>55300</v>
      </c>
    </row>
    <row r="785" spans="1:23">
      <c r="A785" s="30">
        <v>45069</v>
      </c>
      <c r="B785" s="29">
        <v>51300</v>
      </c>
      <c r="C785" s="29">
        <v>51800</v>
      </c>
      <c r="D785" s="29">
        <v>51800</v>
      </c>
      <c r="E785" s="29">
        <v>47200</v>
      </c>
      <c r="F785" s="29">
        <v>53700</v>
      </c>
      <c r="G785" s="29" t="str">
        <v>-</v>
      </c>
      <c r="H785" s="29">
        <v>51000</v>
      </c>
      <c r="I785" s="29">
        <v>51300</v>
      </c>
      <c r="J785" s="29">
        <v>53000</v>
      </c>
      <c r="K785" s="29" t="str">
        <v>-</v>
      </c>
      <c r="L785" s="29">
        <v>52400</v>
      </c>
      <c r="M785" s="29">
        <v>53500</v>
      </c>
      <c r="N785" s="29">
        <v>50700</v>
      </c>
      <c r="O785" s="29">
        <v>49600</v>
      </c>
      <c r="P785" s="29">
        <v>47300</v>
      </c>
      <c r="Q785" s="29">
        <v>47500</v>
      </c>
      <c r="R785" s="29">
        <v>47800</v>
      </c>
      <c r="S785">
        <v>49700</v>
      </c>
      <c r="T785">
        <v>50300</v>
      </c>
      <c r="U785">
        <v>51800</v>
      </c>
      <c r="V785">
        <v>52600</v>
      </c>
      <c r="W785">
        <v>55100</v>
      </c>
    </row>
    <row r="786" spans="1:23">
      <c r="A786" s="30">
        <v>45070</v>
      </c>
      <c r="B786" s="29">
        <v>51200</v>
      </c>
      <c r="C786" s="29">
        <v>51500</v>
      </c>
      <c r="D786" s="29">
        <v>51800</v>
      </c>
      <c r="E786" s="29">
        <v>47100</v>
      </c>
      <c r="F786" s="29">
        <v>53200</v>
      </c>
      <c r="G786" s="29" t="str">
        <v>-</v>
      </c>
      <c r="H786" s="29">
        <v>50500</v>
      </c>
      <c r="I786" s="29">
        <v>51200</v>
      </c>
      <c r="J786" s="29">
        <v>52800</v>
      </c>
      <c r="K786" s="29" t="str">
        <v>-</v>
      </c>
      <c r="L786" s="29">
        <v>52400</v>
      </c>
      <c r="M786" s="29">
        <v>53500</v>
      </c>
      <c r="N786" s="29">
        <v>50500</v>
      </c>
      <c r="O786" s="29">
        <v>49500</v>
      </c>
      <c r="P786" s="29">
        <v>47200</v>
      </c>
      <c r="Q786" s="29">
        <v>47400</v>
      </c>
      <c r="R786" s="29">
        <v>47500</v>
      </c>
      <c r="S786">
        <v>49600</v>
      </c>
      <c r="T786">
        <v>50000</v>
      </c>
      <c r="U786">
        <v>51800</v>
      </c>
      <c r="V786">
        <v>52600</v>
      </c>
      <c r="W786">
        <v>55100</v>
      </c>
    </row>
    <row r="787" spans="1:23">
      <c r="A787" s="30">
        <v>45071</v>
      </c>
      <c r="B787" s="29">
        <v>51600</v>
      </c>
      <c r="C787" s="29">
        <v>51500</v>
      </c>
      <c r="D787" s="29">
        <v>51800</v>
      </c>
      <c r="E787" s="29">
        <v>47300</v>
      </c>
      <c r="F787" s="29">
        <v>53200</v>
      </c>
      <c r="G787" s="29" t="str">
        <v>-</v>
      </c>
      <c r="H787" s="29">
        <v>50500</v>
      </c>
      <c r="I787" s="29">
        <v>51300</v>
      </c>
      <c r="J787" s="29">
        <v>52800</v>
      </c>
      <c r="K787" s="29" t="str">
        <v>-</v>
      </c>
      <c r="L787" s="29">
        <v>52600</v>
      </c>
      <c r="M787" s="29">
        <v>53500</v>
      </c>
      <c r="N787" s="29">
        <v>51000</v>
      </c>
      <c r="O787" s="29">
        <v>49500</v>
      </c>
      <c r="P787" s="29">
        <v>47500</v>
      </c>
      <c r="Q787" s="29">
        <v>47500</v>
      </c>
      <c r="R787" s="29">
        <v>47800</v>
      </c>
      <c r="S787">
        <v>49800</v>
      </c>
      <c r="T787">
        <v>50200</v>
      </c>
      <c r="U787">
        <v>51800</v>
      </c>
      <c r="V787">
        <v>52400</v>
      </c>
      <c r="W787">
        <v>55000</v>
      </c>
    </row>
    <row r="788" spans="1:23">
      <c r="A788" s="30">
        <v>45072</v>
      </c>
      <c r="B788" s="29">
        <v>51500</v>
      </c>
      <c r="C788" s="29">
        <v>51500</v>
      </c>
      <c r="D788" s="29">
        <v>51500</v>
      </c>
      <c r="E788" s="29">
        <v>46900</v>
      </c>
      <c r="F788" s="29">
        <v>52900</v>
      </c>
      <c r="G788" s="29" t="str">
        <v>-</v>
      </c>
      <c r="H788" s="29">
        <v>50000</v>
      </c>
      <c r="I788" s="29">
        <v>51200</v>
      </c>
      <c r="J788" s="29">
        <v>52700</v>
      </c>
      <c r="K788" s="29" t="str">
        <v>-</v>
      </c>
      <c r="L788" s="29">
        <v>52400</v>
      </c>
      <c r="M788" s="29">
        <v>53500</v>
      </c>
      <c r="N788" s="29">
        <v>50600</v>
      </c>
      <c r="O788" s="29">
        <v>49500</v>
      </c>
      <c r="P788" s="29">
        <v>47300</v>
      </c>
      <c r="Q788" s="29">
        <v>47400</v>
      </c>
      <c r="R788" s="29">
        <v>47600</v>
      </c>
      <c r="S788">
        <v>49400</v>
      </c>
      <c r="T788">
        <v>50200</v>
      </c>
      <c r="U788">
        <v>51800</v>
      </c>
      <c r="V788">
        <v>52400</v>
      </c>
      <c r="W788">
        <v>55000</v>
      </c>
    </row>
    <row r="789" spans="1:23">
      <c r="A789" s="30">
        <v>45073</v>
      </c>
      <c r="B789" s="29">
        <v>51500</v>
      </c>
      <c r="C789" s="29">
        <v>51500</v>
      </c>
      <c r="D789" s="29">
        <v>51500</v>
      </c>
      <c r="E789" s="29">
        <v>47000</v>
      </c>
      <c r="F789" s="29">
        <v>52800</v>
      </c>
      <c r="G789" s="29" t="str">
        <v>-</v>
      </c>
      <c r="H789" s="29">
        <v>50000</v>
      </c>
      <c r="I789" s="29">
        <v>51000</v>
      </c>
      <c r="J789" s="29">
        <v>52700</v>
      </c>
      <c r="K789" s="29" t="str">
        <v>-</v>
      </c>
      <c r="L789" s="29">
        <v>52400</v>
      </c>
      <c r="M789" s="29">
        <v>52900</v>
      </c>
      <c r="N789" s="29">
        <v>50700</v>
      </c>
      <c r="O789" s="29">
        <v>49500</v>
      </c>
      <c r="P789" s="29">
        <v>47100</v>
      </c>
      <c r="Q789" s="29">
        <v>47200</v>
      </c>
      <c r="R789" s="29">
        <v>47400</v>
      </c>
      <c r="S789">
        <v>49500</v>
      </c>
      <c r="T789">
        <v>49800</v>
      </c>
      <c r="U789">
        <v>51800</v>
      </c>
      <c r="V789">
        <v>52300</v>
      </c>
      <c r="W789">
        <v>55000</v>
      </c>
    </row>
    <row r="790" spans="1:23">
      <c r="A790" s="30">
        <v>45074</v>
      </c>
      <c r="B790" s="29" t="str">
        <v>H</v>
      </c>
      <c r="C790" s="29" t="str">
        <v>H</v>
      </c>
      <c r="D790" s="29" t="str">
        <v>H</v>
      </c>
      <c r="E790" s="29" t="str">
        <v>H</v>
      </c>
      <c r="F790" s="29" t="str">
        <v>H</v>
      </c>
      <c r="G790" s="29" t="str">
        <v>H</v>
      </c>
      <c r="H790" s="29" t="str">
        <v>H</v>
      </c>
      <c r="I790" s="29" t="str">
        <v>H</v>
      </c>
      <c r="J790" s="29" t="str">
        <v>H</v>
      </c>
      <c r="K790" s="29" t="str">
        <v>H</v>
      </c>
      <c r="L790" s="29" t="str">
        <v>H</v>
      </c>
      <c r="M790" s="29" t="str">
        <v>H</v>
      </c>
      <c r="N790" s="29" t="str">
        <v>H</v>
      </c>
      <c r="O790" s="29" t="str">
        <v>H</v>
      </c>
      <c r="P790" s="29" t="str">
        <v>H</v>
      </c>
      <c r="Q790" s="29" t="str">
        <v>H</v>
      </c>
      <c r="R790" s="29" t="str">
        <v>H</v>
      </c>
      <c r="S790" t="str">
        <v>H</v>
      </c>
      <c r="T790" t="str">
        <v>H</v>
      </c>
      <c r="U790" t="str">
        <v>H</v>
      </c>
      <c r="V790" t="str">
        <v>H</v>
      </c>
      <c r="W790" t="str">
        <v>H</v>
      </c>
    </row>
    <row r="791" spans="1:23">
      <c r="A791" s="30">
        <v>45075</v>
      </c>
      <c r="B791" s="29">
        <v>51300</v>
      </c>
      <c r="C791" s="29">
        <v>51500</v>
      </c>
      <c r="D791" s="29">
        <v>51300</v>
      </c>
      <c r="E791" s="29">
        <v>46600</v>
      </c>
      <c r="F791" s="29">
        <v>52800</v>
      </c>
      <c r="G791" s="29" t="str">
        <v>-</v>
      </c>
      <c r="H791" s="29">
        <v>50000</v>
      </c>
      <c r="I791" s="29">
        <v>50800</v>
      </c>
      <c r="J791" s="29">
        <v>52700</v>
      </c>
      <c r="K791" s="29" t="str">
        <v>-</v>
      </c>
      <c r="L791" s="29">
        <v>52300</v>
      </c>
      <c r="M791" s="29">
        <v>52900</v>
      </c>
      <c r="N791" s="29">
        <v>50300</v>
      </c>
      <c r="O791" s="29">
        <v>49100</v>
      </c>
      <c r="P791" s="29">
        <v>47000</v>
      </c>
      <c r="Q791" s="29">
        <v>47000</v>
      </c>
      <c r="R791" s="29">
        <v>47000</v>
      </c>
      <c r="S791">
        <v>49100</v>
      </c>
      <c r="T791">
        <v>49600</v>
      </c>
      <c r="U791">
        <v>51800</v>
      </c>
      <c r="V791">
        <v>52200</v>
      </c>
      <c r="W791">
        <v>54800</v>
      </c>
    </row>
    <row r="792" spans="1:23">
      <c r="A792" s="30">
        <v>45076</v>
      </c>
      <c r="B792" s="29">
        <v>51200</v>
      </c>
      <c r="C792" s="29">
        <v>51500</v>
      </c>
      <c r="D792" s="29">
        <v>51000</v>
      </c>
      <c r="E792" s="29">
        <v>46600</v>
      </c>
      <c r="F792" s="29">
        <v>52300</v>
      </c>
      <c r="G792" s="29" t="str">
        <v>-</v>
      </c>
      <c r="H792" s="29">
        <v>49500</v>
      </c>
      <c r="I792" s="29">
        <v>50700</v>
      </c>
      <c r="J792" s="29">
        <v>52200</v>
      </c>
      <c r="K792" s="29" t="str">
        <v>-</v>
      </c>
      <c r="L792" s="29">
        <v>52300</v>
      </c>
      <c r="M792" s="29">
        <v>52400</v>
      </c>
      <c r="N792" s="29">
        <v>50000</v>
      </c>
      <c r="O792" s="29">
        <v>48500</v>
      </c>
      <c r="P792" s="29">
        <v>46700</v>
      </c>
      <c r="Q792" s="29">
        <v>47000</v>
      </c>
      <c r="R792" s="29">
        <v>47200</v>
      </c>
      <c r="S792">
        <v>49100</v>
      </c>
      <c r="T792">
        <v>49600</v>
      </c>
      <c r="U792">
        <v>51800</v>
      </c>
      <c r="V792">
        <v>52000</v>
      </c>
      <c r="W792">
        <v>54700</v>
      </c>
    </row>
    <row r="793" spans="1:23">
      <c r="A793" s="30">
        <v>45077</v>
      </c>
      <c r="B793" s="29">
        <v>51200</v>
      </c>
      <c r="C793" s="29">
        <v>51500</v>
      </c>
      <c r="D793" s="29">
        <v>51000</v>
      </c>
      <c r="E793" s="29">
        <v>46500</v>
      </c>
      <c r="F793" s="29">
        <v>52200</v>
      </c>
      <c r="G793" s="29" t="str">
        <v>-</v>
      </c>
      <c r="H793" s="29">
        <v>49000</v>
      </c>
      <c r="I793" s="29">
        <v>50500</v>
      </c>
      <c r="J793" s="29">
        <v>51700</v>
      </c>
      <c r="K793" s="29" t="str">
        <v>-</v>
      </c>
      <c r="L793" s="29">
        <v>52200</v>
      </c>
      <c r="M793" s="29">
        <v>52100</v>
      </c>
      <c r="N793" s="29">
        <v>50000</v>
      </c>
      <c r="O793" s="29">
        <v>48300</v>
      </c>
      <c r="P793" s="29">
        <v>46700</v>
      </c>
      <c r="Q793" s="29">
        <v>46800</v>
      </c>
      <c r="R793" s="29">
        <v>47000</v>
      </c>
      <c r="S793">
        <v>49000</v>
      </c>
      <c r="T793">
        <v>49600</v>
      </c>
      <c r="U793">
        <v>51800</v>
      </c>
      <c r="V793">
        <v>51700</v>
      </c>
      <c r="W793">
        <v>54500</v>
      </c>
    </row>
    <row r="794" spans="1:23">
      <c r="A794" s="30">
        <v>45078</v>
      </c>
      <c r="B794" s="29">
        <v>51000</v>
      </c>
      <c r="C794" s="29">
        <v>51000</v>
      </c>
      <c r="D794" s="29">
        <v>50800</v>
      </c>
      <c r="E794" s="29">
        <v>46300</v>
      </c>
      <c r="F794" s="29">
        <v>51800</v>
      </c>
      <c r="G794" s="29" t="str">
        <v>-</v>
      </c>
      <c r="H794" s="29">
        <v>49000</v>
      </c>
      <c r="I794" s="29">
        <v>50400</v>
      </c>
      <c r="J794" s="29">
        <v>51300</v>
      </c>
      <c r="K794" s="29" t="str">
        <v>-</v>
      </c>
      <c r="L794" s="29">
        <v>52200</v>
      </c>
      <c r="M794" s="29">
        <v>52100</v>
      </c>
      <c r="N794" s="29">
        <v>50000</v>
      </c>
      <c r="O794" s="29">
        <v>48300</v>
      </c>
      <c r="P794" s="29">
        <v>46500</v>
      </c>
      <c r="Q794" s="29">
        <v>47000</v>
      </c>
      <c r="R794" s="29">
        <v>46800</v>
      </c>
      <c r="S794">
        <v>48800</v>
      </c>
      <c r="T794">
        <v>49300</v>
      </c>
      <c r="U794">
        <v>51300</v>
      </c>
      <c r="V794">
        <v>51700</v>
      </c>
      <c r="W794">
        <v>54500</v>
      </c>
    </row>
    <row r="795" spans="1:23">
      <c r="A795" s="30">
        <v>45079</v>
      </c>
      <c r="B795" s="29">
        <v>50800</v>
      </c>
      <c r="C795" s="29">
        <v>51000</v>
      </c>
      <c r="D795" s="29">
        <v>50700</v>
      </c>
      <c r="E795" s="29">
        <v>46300</v>
      </c>
      <c r="F795" s="29">
        <v>51600</v>
      </c>
      <c r="G795" s="29" t="str">
        <v>-</v>
      </c>
      <c r="H795" s="29">
        <v>48500</v>
      </c>
      <c r="I795" s="29">
        <v>50200</v>
      </c>
      <c r="J795" s="29">
        <v>51200</v>
      </c>
      <c r="K795" s="29" t="str">
        <v>-</v>
      </c>
      <c r="L795" s="29">
        <v>51800</v>
      </c>
      <c r="M795" s="29">
        <v>51800</v>
      </c>
      <c r="N795" s="29">
        <v>49700</v>
      </c>
      <c r="O795" s="29">
        <v>48100</v>
      </c>
      <c r="P795" s="29">
        <v>46500</v>
      </c>
      <c r="Q795" s="29">
        <v>46700</v>
      </c>
      <c r="R795" s="29">
        <v>46700</v>
      </c>
      <c r="S795">
        <v>48800</v>
      </c>
      <c r="T795">
        <v>49300</v>
      </c>
      <c r="U795">
        <v>51300</v>
      </c>
      <c r="V795">
        <v>51500</v>
      </c>
      <c r="W795">
        <v>54200</v>
      </c>
    </row>
    <row r="796" spans="1:23">
      <c r="A796" s="30">
        <v>45080</v>
      </c>
      <c r="B796" s="29">
        <v>50800</v>
      </c>
      <c r="C796" s="29">
        <v>50800</v>
      </c>
      <c r="D796" s="29">
        <v>50700</v>
      </c>
      <c r="E796" s="29">
        <v>46500</v>
      </c>
      <c r="F796" s="29">
        <v>51600</v>
      </c>
      <c r="G796" s="29" t="str">
        <v>-</v>
      </c>
      <c r="H796" s="29">
        <v>48500</v>
      </c>
      <c r="I796" s="29">
        <v>50200</v>
      </c>
      <c r="J796" s="29">
        <v>51200</v>
      </c>
      <c r="K796" s="29" t="str">
        <v>-</v>
      </c>
      <c r="L796" s="29">
        <v>51800</v>
      </c>
      <c r="M796" s="29">
        <v>51600</v>
      </c>
      <c r="N796" s="29">
        <v>49700</v>
      </c>
      <c r="O796" s="29">
        <v>48100</v>
      </c>
      <c r="P796" s="29">
        <v>46500</v>
      </c>
      <c r="Q796" s="29">
        <v>46800</v>
      </c>
      <c r="R796" s="29">
        <v>46700</v>
      </c>
      <c r="S796">
        <v>49000</v>
      </c>
      <c r="T796">
        <v>49400</v>
      </c>
      <c r="U796">
        <v>51300</v>
      </c>
      <c r="V796">
        <v>51300</v>
      </c>
      <c r="W796">
        <v>54100</v>
      </c>
    </row>
    <row r="797" spans="1:23">
      <c r="A797" s="30">
        <v>45081</v>
      </c>
      <c r="B797" s="29" t="str">
        <v>H</v>
      </c>
      <c r="C797" s="29" t="str">
        <v>H</v>
      </c>
      <c r="D797" s="29" t="str">
        <v>H</v>
      </c>
      <c r="E797" s="29" t="str">
        <v>H</v>
      </c>
      <c r="F797" s="29" t="str">
        <v>H</v>
      </c>
      <c r="G797" s="29" t="str">
        <v>H</v>
      </c>
      <c r="H797" s="29" t="str">
        <v>H</v>
      </c>
      <c r="I797" s="29" t="str">
        <v>H</v>
      </c>
      <c r="J797" s="29" t="str">
        <v>H</v>
      </c>
      <c r="K797" s="29" t="str">
        <v>H</v>
      </c>
      <c r="L797" s="29" t="str">
        <v>H</v>
      </c>
      <c r="M797" s="29" t="str">
        <v>H</v>
      </c>
      <c r="N797" s="29" t="str">
        <v>H</v>
      </c>
      <c r="O797" s="29" t="str">
        <v>H</v>
      </c>
      <c r="P797" s="29" t="str">
        <v>H</v>
      </c>
      <c r="Q797" s="29" t="str">
        <v>H</v>
      </c>
      <c r="R797" s="29" t="str">
        <v>H</v>
      </c>
      <c r="S797" t="str">
        <v>H</v>
      </c>
      <c r="T797" t="str">
        <v>H</v>
      </c>
      <c r="U797" t="str">
        <v>H</v>
      </c>
      <c r="V797" t="str">
        <v>H</v>
      </c>
      <c r="W797" t="str">
        <v>H</v>
      </c>
    </row>
    <row r="798" spans="1:23">
      <c r="A798" s="30">
        <v>45082</v>
      </c>
      <c r="B798" s="29">
        <v>50900</v>
      </c>
      <c r="C798" s="29">
        <v>50700</v>
      </c>
      <c r="D798" s="29">
        <v>50700</v>
      </c>
      <c r="E798" s="29">
        <v>46800</v>
      </c>
      <c r="F798" s="29">
        <v>51600</v>
      </c>
      <c r="G798" s="29" t="str">
        <v>-</v>
      </c>
      <c r="H798" s="29">
        <v>48000</v>
      </c>
      <c r="I798" s="29">
        <v>50300</v>
      </c>
      <c r="J798" s="29">
        <v>51200</v>
      </c>
      <c r="K798" s="29" t="str">
        <v>-</v>
      </c>
      <c r="L798" s="29">
        <v>51800</v>
      </c>
      <c r="M798" s="29">
        <v>51400</v>
      </c>
      <c r="N798" s="29">
        <v>49600</v>
      </c>
      <c r="O798" s="29">
        <v>47900</v>
      </c>
      <c r="P798" s="29">
        <v>46400</v>
      </c>
      <c r="Q798" s="29">
        <v>47200</v>
      </c>
      <c r="R798" s="29">
        <v>46700</v>
      </c>
      <c r="S798">
        <v>49300</v>
      </c>
      <c r="T798">
        <v>49600</v>
      </c>
      <c r="U798">
        <v>51300</v>
      </c>
      <c r="V798">
        <v>51000</v>
      </c>
      <c r="W798">
        <v>53600</v>
      </c>
    </row>
    <row r="799" spans="1:23">
      <c r="A799" s="30">
        <v>45083</v>
      </c>
      <c r="B799" s="29">
        <v>51100</v>
      </c>
      <c r="C799" s="29">
        <v>50500</v>
      </c>
      <c r="D799" s="29">
        <v>51000</v>
      </c>
      <c r="E799" s="29">
        <v>47200</v>
      </c>
      <c r="F799" s="29">
        <v>51600</v>
      </c>
      <c r="G799" s="29" t="str">
        <v>-</v>
      </c>
      <c r="H799" s="29">
        <v>48000</v>
      </c>
      <c r="I799" s="29">
        <v>50500</v>
      </c>
      <c r="J799" s="29">
        <v>52000</v>
      </c>
      <c r="K799" s="29" t="str">
        <v>-</v>
      </c>
      <c r="L799" s="29">
        <v>52000</v>
      </c>
      <c r="M799" s="29">
        <v>51400</v>
      </c>
      <c r="N799" s="29">
        <v>50000</v>
      </c>
      <c r="O799" s="29">
        <v>48000</v>
      </c>
      <c r="P799" s="29">
        <v>46700</v>
      </c>
      <c r="Q799" s="29">
        <v>47500</v>
      </c>
      <c r="R799" s="29">
        <v>46900</v>
      </c>
      <c r="S799">
        <v>49700</v>
      </c>
      <c r="T799">
        <v>50100</v>
      </c>
      <c r="U799">
        <v>51300</v>
      </c>
      <c r="V799">
        <v>51000</v>
      </c>
      <c r="W799">
        <v>53600</v>
      </c>
    </row>
    <row r="800" spans="1:23">
      <c r="A800" s="30">
        <v>45084</v>
      </c>
      <c r="B800" s="29">
        <v>51200</v>
      </c>
      <c r="C800" s="29">
        <v>50500</v>
      </c>
      <c r="D800" s="29">
        <v>51200</v>
      </c>
      <c r="E800" s="29">
        <v>47700</v>
      </c>
      <c r="F800" s="29">
        <v>51600</v>
      </c>
      <c r="G800" s="29" t="str">
        <v>-</v>
      </c>
      <c r="H800" s="29">
        <v>49000</v>
      </c>
      <c r="I800" s="29">
        <v>51000</v>
      </c>
      <c r="J800" s="29">
        <v>52000</v>
      </c>
      <c r="K800" s="29" t="str">
        <v>-</v>
      </c>
      <c r="L800" s="29">
        <v>52200</v>
      </c>
      <c r="M800" s="29">
        <v>51500</v>
      </c>
      <c r="N800" s="29">
        <v>50400</v>
      </c>
      <c r="O800" s="29">
        <v>48500</v>
      </c>
      <c r="P800" s="29">
        <v>47100</v>
      </c>
      <c r="Q800" s="29">
        <v>47700</v>
      </c>
      <c r="R800" s="29">
        <v>47300</v>
      </c>
      <c r="S800">
        <v>50200</v>
      </c>
      <c r="T800">
        <v>50300</v>
      </c>
      <c r="U800">
        <v>51800</v>
      </c>
      <c r="V800">
        <v>51200</v>
      </c>
      <c r="W800">
        <v>53600</v>
      </c>
    </row>
    <row r="801" spans="1:23">
      <c r="A801" s="30">
        <v>45085</v>
      </c>
      <c r="B801" s="29">
        <v>51400</v>
      </c>
      <c r="C801" s="29">
        <v>50500</v>
      </c>
      <c r="D801" s="29">
        <v>51400</v>
      </c>
      <c r="E801" s="29">
        <v>47500</v>
      </c>
      <c r="F801" s="29">
        <v>51600</v>
      </c>
      <c r="G801" s="29" t="str">
        <v>-</v>
      </c>
      <c r="H801" s="29">
        <v>49000</v>
      </c>
      <c r="I801" s="29">
        <v>51200</v>
      </c>
      <c r="J801" s="29">
        <v>52000</v>
      </c>
      <c r="K801" s="29" t="str">
        <v>-</v>
      </c>
      <c r="L801" s="29">
        <v>52400</v>
      </c>
      <c r="M801" s="29">
        <v>51500</v>
      </c>
      <c r="N801" s="29">
        <v>50500</v>
      </c>
      <c r="O801" s="29">
        <v>48500</v>
      </c>
      <c r="P801" s="29">
        <v>47200</v>
      </c>
      <c r="Q801" s="29">
        <v>47600</v>
      </c>
      <c r="R801" s="29">
        <v>47500</v>
      </c>
      <c r="S801">
        <v>50000</v>
      </c>
      <c r="T801">
        <v>50300</v>
      </c>
      <c r="U801">
        <v>51800</v>
      </c>
      <c r="V801">
        <v>51200</v>
      </c>
      <c r="W801">
        <v>53600</v>
      </c>
    </row>
    <row r="802" spans="1:23">
      <c r="A802" s="30">
        <v>45086</v>
      </c>
      <c r="B802" s="29">
        <v>51400</v>
      </c>
      <c r="C802" s="29">
        <v>50300</v>
      </c>
      <c r="D802" s="29">
        <v>51200</v>
      </c>
      <c r="E802" s="29">
        <v>47500</v>
      </c>
      <c r="F802" s="29">
        <v>51600</v>
      </c>
      <c r="G802" s="29" t="str">
        <v>-</v>
      </c>
      <c r="H802" s="29">
        <v>49000</v>
      </c>
      <c r="I802" s="29">
        <v>51200</v>
      </c>
      <c r="J802" s="29">
        <v>51800</v>
      </c>
      <c r="K802" s="29" t="str">
        <v>-</v>
      </c>
      <c r="L802" s="29">
        <v>52200</v>
      </c>
      <c r="M802" s="29">
        <v>51500</v>
      </c>
      <c r="N802" s="29">
        <v>50500</v>
      </c>
      <c r="O802" s="29">
        <v>48800</v>
      </c>
      <c r="P802" s="29">
        <v>47000</v>
      </c>
      <c r="Q802" s="29">
        <v>47600</v>
      </c>
      <c r="R802" s="29">
        <v>47700</v>
      </c>
      <c r="S802">
        <v>50000</v>
      </c>
      <c r="T802">
        <v>50300</v>
      </c>
      <c r="U802">
        <v>51800</v>
      </c>
      <c r="V802">
        <v>51000</v>
      </c>
      <c r="W802">
        <v>53400</v>
      </c>
    </row>
    <row r="803" spans="1:23">
      <c r="A803" s="30">
        <v>45087</v>
      </c>
      <c r="B803" s="29">
        <v>51400</v>
      </c>
      <c r="C803" s="29">
        <v>50300</v>
      </c>
      <c r="D803" s="29">
        <v>51400</v>
      </c>
      <c r="E803" s="29">
        <v>47500</v>
      </c>
      <c r="F803" s="29">
        <v>51500</v>
      </c>
      <c r="G803" s="29" t="str">
        <v>-</v>
      </c>
      <c r="H803" s="29">
        <v>49000</v>
      </c>
      <c r="I803" s="29">
        <v>51200</v>
      </c>
      <c r="J803" s="29">
        <v>51800</v>
      </c>
      <c r="K803" s="29" t="str">
        <v>-</v>
      </c>
      <c r="L803" s="29">
        <v>52400</v>
      </c>
      <c r="M803" s="29">
        <v>51200</v>
      </c>
      <c r="N803" s="29">
        <v>50500</v>
      </c>
      <c r="O803" s="29">
        <v>48800</v>
      </c>
      <c r="P803" s="29">
        <v>46900</v>
      </c>
      <c r="Q803" s="29">
        <v>47500</v>
      </c>
      <c r="R803" s="29">
        <v>47700</v>
      </c>
      <c r="S803">
        <v>50000</v>
      </c>
      <c r="T803">
        <v>50300</v>
      </c>
      <c r="U803">
        <v>51800</v>
      </c>
      <c r="V803">
        <v>51000</v>
      </c>
      <c r="W803">
        <v>53400</v>
      </c>
    </row>
    <row r="804" spans="1:23">
      <c r="A804" s="30">
        <v>45088</v>
      </c>
      <c r="B804" s="29" t="str">
        <v>H</v>
      </c>
      <c r="C804" s="29" t="str">
        <v>H</v>
      </c>
      <c r="D804" s="29" t="str">
        <v>H</v>
      </c>
      <c r="E804" s="29" t="str">
        <v>H</v>
      </c>
      <c r="F804" s="29" t="str">
        <v>H</v>
      </c>
      <c r="G804" s="29" t="str">
        <v>H</v>
      </c>
      <c r="H804" s="29" t="str">
        <v>H</v>
      </c>
      <c r="I804" s="29" t="str">
        <v>H</v>
      </c>
      <c r="J804" s="29" t="str">
        <v>H</v>
      </c>
      <c r="K804" s="29" t="str">
        <v>H</v>
      </c>
      <c r="L804" s="29" t="str">
        <v>H</v>
      </c>
      <c r="M804" s="29" t="str">
        <v>H</v>
      </c>
      <c r="N804" s="29" t="str">
        <v>H</v>
      </c>
      <c r="O804" s="29" t="str">
        <v>H</v>
      </c>
      <c r="P804" s="29" t="str">
        <v>H</v>
      </c>
      <c r="Q804" s="29" t="str">
        <v>H</v>
      </c>
      <c r="R804" s="29" t="str">
        <v>H</v>
      </c>
      <c r="S804" t="str">
        <v>H</v>
      </c>
      <c r="T804" t="str">
        <v>H</v>
      </c>
      <c r="U804" t="str">
        <v>H</v>
      </c>
      <c r="V804" t="str">
        <v>H</v>
      </c>
      <c r="W804" t="str">
        <v>H</v>
      </c>
    </row>
    <row r="805" spans="1:23">
      <c r="A805" s="30">
        <v>45089</v>
      </c>
      <c r="B805" s="29">
        <v>51400</v>
      </c>
      <c r="C805" s="29">
        <v>50200</v>
      </c>
      <c r="D805" s="29">
        <v>51500</v>
      </c>
      <c r="E805" s="29">
        <v>47800</v>
      </c>
      <c r="F805" s="29">
        <v>51500</v>
      </c>
      <c r="G805" s="29" t="str">
        <v>-</v>
      </c>
      <c r="H805" s="29">
        <v>49000</v>
      </c>
      <c r="I805" s="29">
        <v>51500</v>
      </c>
      <c r="J805" s="29">
        <v>51800</v>
      </c>
      <c r="K805" s="29" t="str">
        <v>-</v>
      </c>
      <c r="L805" s="29">
        <v>52700</v>
      </c>
      <c r="M805" s="29">
        <v>51200</v>
      </c>
      <c r="N805" s="29">
        <v>50600</v>
      </c>
      <c r="O805" s="29">
        <v>49200</v>
      </c>
      <c r="P805" s="29">
        <v>46900</v>
      </c>
      <c r="Q805" s="29">
        <v>47800</v>
      </c>
      <c r="R805" s="29">
        <v>47500</v>
      </c>
      <c r="S805">
        <v>50300</v>
      </c>
      <c r="T805">
        <v>50400</v>
      </c>
      <c r="U805">
        <v>51800</v>
      </c>
      <c r="V805">
        <v>51000</v>
      </c>
      <c r="W805">
        <v>53400</v>
      </c>
    </row>
    <row r="806" spans="1:23">
      <c r="A806" s="30">
        <v>45090</v>
      </c>
      <c r="B806" s="29">
        <v>51400</v>
      </c>
      <c r="C806" s="29">
        <v>50200</v>
      </c>
      <c r="D806" s="29">
        <v>51500</v>
      </c>
      <c r="E806" s="29">
        <v>48100</v>
      </c>
      <c r="F806" s="29">
        <v>51500</v>
      </c>
      <c r="G806" s="29" t="str">
        <v>-</v>
      </c>
      <c r="H806" s="29">
        <v>49000</v>
      </c>
      <c r="I806" s="29">
        <v>52000</v>
      </c>
      <c r="J806" s="29">
        <v>51800</v>
      </c>
      <c r="K806" s="29" t="str">
        <v>-</v>
      </c>
      <c r="L806" s="29">
        <v>52900</v>
      </c>
      <c r="M806" s="29">
        <v>51200</v>
      </c>
      <c r="N806" s="29">
        <v>50700</v>
      </c>
      <c r="O806" s="29">
        <v>49800</v>
      </c>
      <c r="P806" s="29">
        <v>47300</v>
      </c>
      <c r="Q806" s="29">
        <v>47800</v>
      </c>
      <c r="R806" s="29">
        <v>47800</v>
      </c>
      <c r="S806">
        <v>50600</v>
      </c>
      <c r="T806">
        <v>50500</v>
      </c>
      <c r="U806">
        <v>52300</v>
      </c>
      <c r="V806">
        <v>51000</v>
      </c>
      <c r="W806">
        <v>53400</v>
      </c>
    </row>
    <row r="807" spans="1:23">
      <c r="A807" s="30">
        <v>45091</v>
      </c>
      <c r="B807" s="29">
        <v>51400</v>
      </c>
      <c r="C807" s="29">
        <v>50000</v>
      </c>
      <c r="D807" s="29">
        <v>51600</v>
      </c>
      <c r="E807" s="29">
        <v>47800</v>
      </c>
      <c r="F807" s="29">
        <v>51500</v>
      </c>
      <c r="G807" s="29" t="str">
        <v>-</v>
      </c>
      <c r="H807" s="29">
        <v>49000</v>
      </c>
      <c r="I807" s="29">
        <v>52000</v>
      </c>
      <c r="J807" s="29">
        <v>51800</v>
      </c>
      <c r="K807" s="29" t="str">
        <v>-</v>
      </c>
      <c r="L807" s="29">
        <v>52800</v>
      </c>
      <c r="M807" s="29">
        <v>51200</v>
      </c>
      <c r="N807" s="29">
        <v>50600</v>
      </c>
      <c r="O807" s="29">
        <v>49500</v>
      </c>
      <c r="P807" s="29">
        <v>47200</v>
      </c>
      <c r="Q807" s="29">
        <v>47700</v>
      </c>
      <c r="R807" s="29">
        <v>47600</v>
      </c>
      <c r="S807">
        <v>50500</v>
      </c>
      <c r="T807">
        <v>50600</v>
      </c>
      <c r="U807">
        <v>52300</v>
      </c>
      <c r="V807">
        <v>51000</v>
      </c>
      <c r="W807">
        <v>53400</v>
      </c>
    </row>
    <row r="808" spans="1:23">
      <c r="A808" s="30">
        <v>45092</v>
      </c>
      <c r="B808" s="29">
        <v>51400</v>
      </c>
      <c r="C808" s="29">
        <v>50000</v>
      </c>
      <c r="D808" s="29">
        <v>51800</v>
      </c>
      <c r="E808" s="29">
        <v>47500</v>
      </c>
      <c r="F808" s="29">
        <v>51500</v>
      </c>
      <c r="G808" s="29" t="str">
        <v>-</v>
      </c>
      <c r="H808" s="29">
        <v>49000</v>
      </c>
      <c r="I808" s="29">
        <v>51600</v>
      </c>
      <c r="J808" s="29">
        <v>51700</v>
      </c>
      <c r="K808" s="29" t="str">
        <v>-</v>
      </c>
      <c r="L808" s="29">
        <v>52700</v>
      </c>
      <c r="M808" s="29">
        <v>51000</v>
      </c>
      <c r="N808" s="29">
        <v>50500</v>
      </c>
      <c r="O808" s="29">
        <v>49200</v>
      </c>
      <c r="P808" s="29">
        <v>47000</v>
      </c>
      <c r="Q808" s="29">
        <v>47500</v>
      </c>
      <c r="R808" s="29">
        <v>47500</v>
      </c>
      <c r="S808">
        <v>50000</v>
      </c>
      <c r="T808">
        <v>50300</v>
      </c>
      <c r="U808">
        <v>52300</v>
      </c>
      <c r="V808">
        <v>50800</v>
      </c>
      <c r="W808">
        <v>53400</v>
      </c>
    </row>
    <row r="809" spans="1:23">
      <c r="A809" s="30">
        <v>45093</v>
      </c>
      <c r="B809" s="29">
        <v>51400</v>
      </c>
      <c r="C809" s="29">
        <v>50000</v>
      </c>
      <c r="D809" s="29">
        <v>51800</v>
      </c>
      <c r="E809" s="29">
        <v>47600</v>
      </c>
      <c r="F809" s="29">
        <v>51500</v>
      </c>
      <c r="G809" s="29" t="str">
        <v>-</v>
      </c>
      <c r="H809" s="29">
        <v>49000</v>
      </c>
      <c r="I809" s="29">
        <v>51500</v>
      </c>
      <c r="J809" s="29">
        <v>51700</v>
      </c>
      <c r="K809" s="29" t="str">
        <v>-</v>
      </c>
      <c r="L809" s="29">
        <v>52700</v>
      </c>
      <c r="M809" s="29">
        <v>50800</v>
      </c>
      <c r="N809" s="29">
        <v>50500</v>
      </c>
      <c r="O809" s="29">
        <v>49200</v>
      </c>
      <c r="P809" s="29">
        <v>46800</v>
      </c>
      <c r="Q809" s="29">
        <v>47700</v>
      </c>
      <c r="R809" s="29">
        <v>47500</v>
      </c>
      <c r="S809">
        <v>50100</v>
      </c>
      <c r="T809">
        <v>50300</v>
      </c>
      <c r="U809">
        <v>52300</v>
      </c>
      <c r="V809">
        <v>50700</v>
      </c>
      <c r="W809">
        <v>53300</v>
      </c>
    </row>
    <row r="810" spans="1:23">
      <c r="A810" s="30">
        <v>45094</v>
      </c>
      <c r="B810" s="29">
        <v>51400</v>
      </c>
      <c r="C810" s="29">
        <v>49800</v>
      </c>
      <c r="D810" s="29">
        <v>51800</v>
      </c>
      <c r="E810" s="29">
        <v>47600</v>
      </c>
      <c r="F810" s="29">
        <v>51500</v>
      </c>
      <c r="G810" s="29" t="str">
        <v>-</v>
      </c>
      <c r="H810" s="29">
        <v>49000</v>
      </c>
      <c r="I810" s="29">
        <v>51500</v>
      </c>
      <c r="J810" s="29">
        <v>51700</v>
      </c>
      <c r="K810" s="29" t="str">
        <v>-</v>
      </c>
      <c r="L810" s="29">
        <v>52800</v>
      </c>
      <c r="M810" s="29">
        <v>50800</v>
      </c>
      <c r="N810" s="29">
        <v>50600</v>
      </c>
      <c r="O810" s="29">
        <v>49200</v>
      </c>
      <c r="P810" s="29">
        <v>47000</v>
      </c>
      <c r="Q810" s="29">
        <v>47700</v>
      </c>
      <c r="R810" s="29">
        <v>47500</v>
      </c>
      <c r="S810">
        <v>50100</v>
      </c>
      <c r="T810">
        <v>50300</v>
      </c>
      <c r="U810">
        <v>52300</v>
      </c>
      <c r="V810">
        <v>50700</v>
      </c>
      <c r="W810">
        <v>53300</v>
      </c>
    </row>
    <row r="811" spans="1:23">
      <c r="A811" s="30">
        <v>45095</v>
      </c>
      <c r="B811" s="29" t="str">
        <v>H</v>
      </c>
      <c r="C811" s="29" t="str">
        <v>H</v>
      </c>
      <c r="D811" s="29" t="str">
        <v>H</v>
      </c>
      <c r="E811" s="29" t="str">
        <v>H</v>
      </c>
      <c r="F811" s="29" t="str">
        <v>H</v>
      </c>
      <c r="G811" s="29" t="str">
        <v>H</v>
      </c>
      <c r="H811" s="29" t="str">
        <v>H</v>
      </c>
      <c r="I811" s="29" t="str">
        <v>H</v>
      </c>
      <c r="J811" s="29" t="str">
        <v>H</v>
      </c>
      <c r="K811" s="29" t="str">
        <v>H</v>
      </c>
      <c r="L811" s="29" t="str">
        <v>H</v>
      </c>
      <c r="M811" s="29" t="str">
        <v>H</v>
      </c>
      <c r="N811" s="29" t="str">
        <v>H</v>
      </c>
      <c r="O811" s="29" t="str">
        <v>H</v>
      </c>
      <c r="P811" s="29" t="str">
        <v>H</v>
      </c>
      <c r="Q811" s="29" t="str">
        <v>H</v>
      </c>
      <c r="R811" s="29" t="str">
        <v>H</v>
      </c>
      <c r="S811" t="str">
        <v>H</v>
      </c>
      <c r="T811" t="str">
        <v>H</v>
      </c>
      <c r="U811" t="str">
        <v>H</v>
      </c>
      <c r="V811" t="str">
        <v>H</v>
      </c>
      <c r="W811" t="str">
        <v>H</v>
      </c>
    </row>
    <row r="812" spans="1:23">
      <c r="A812" s="30">
        <v>45096</v>
      </c>
      <c r="B812" s="29">
        <v>51300</v>
      </c>
      <c r="C812" s="29">
        <v>49800</v>
      </c>
      <c r="D812" s="29">
        <v>51500</v>
      </c>
      <c r="E812" s="29">
        <v>47400</v>
      </c>
      <c r="F812" s="29">
        <v>51200</v>
      </c>
      <c r="G812" s="29" t="str">
        <v>-</v>
      </c>
      <c r="H812" s="29">
        <v>49000</v>
      </c>
      <c r="I812" s="29">
        <v>51300</v>
      </c>
      <c r="J812" s="29">
        <v>51500</v>
      </c>
      <c r="K812" s="29" t="str">
        <v>-</v>
      </c>
      <c r="L812" s="29">
        <v>52700</v>
      </c>
      <c r="M812" s="29">
        <v>50800</v>
      </c>
      <c r="N812" s="29">
        <v>50500</v>
      </c>
      <c r="O812" s="29">
        <v>48700</v>
      </c>
      <c r="P812" s="29">
        <v>46900</v>
      </c>
      <c r="Q812" s="29">
        <v>47600</v>
      </c>
      <c r="R812" s="29">
        <v>47400</v>
      </c>
      <c r="S812">
        <v>50000</v>
      </c>
      <c r="T812">
        <v>50300</v>
      </c>
      <c r="U812">
        <v>52300</v>
      </c>
      <c r="V812">
        <v>50500</v>
      </c>
      <c r="W812">
        <v>53200</v>
      </c>
    </row>
    <row r="813" spans="1:23">
      <c r="A813" s="30">
        <v>45097</v>
      </c>
      <c r="B813" s="29">
        <v>51200</v>
      </c>
      <c r="C813" s="29">
        <v>49500</v>
      </c>
      <c r="D813" s="29">
        <v>51100</v>
      </c>
      <c r="E813" s="29">
        <v>47100</v>
      </c>
      <c r="F813" s="29">
        <v>51000</v>
      </c>
      <c r="G813" s="29" t="str">
        <v>-</v>
      </c>
      <c r="H813" s="29">
        <v>49000</v>
      </c>
      <c r="I813" s="29">
        <v>51000</v>
      </c>
      <c r="J813" s="29">
        <v>51500</v>
      </c>
      <c r="K813" s="29" t="str">
        <v>-</v>
      </c>
      <c r="L813" s="29">
        <v>52400</v>
      </c>
      <c r="M813" s="29">
        <v>50800</v>
      </c>
      <c r="N813" s="29">
        <v>50300</v>
      </c>
      <c r="O813" s="29">
        <v>48700</v>
      </c>
      <c r="P813" s="29">
        <v>46700</v>
      </c>
      <c r="Q813" s="29">
        <v>47200</v>
      </c>
      <c r="R813" s="29">
        <v>47000</v>
      </c>
      <c r="S813">
        <v>49600</v>
      </c>
      <c r="T813">
        <v>50000</v>
      </c>
      <c r="U813">
        <v>52300</v>
      </c>
      <c r="V813">
        <v>50500</v>
      </c>
      <c r="W813">
        <v>53200</v>
      </c>
    </row>
    <row r="814" spans="1:23">
      <c r="A814" s="30">
        <v>45098</v>
      </c>
      <c r="B814" s="29">
        <v>51100</v>
      </c>
      <c r="C814" s="29">
        <v>49500</v>
      </c>
      <c r="D814" s="29">
        <v>51100</v>
      </c>
      <c r="E814" s="29">
        <v>46900</v>
      </c>
      <c r="F814" s="29">
        <v>50900</v>
      </c>
      <c r="G814" s="29" t="str">
        <v>-</v>
      </c>
      <c r="H814" s="29">
        <v>49000</v>
      </c>
      <c r="I814" s="29">
        <v>50800</v>
      </c>
      <c r="J814" s="29">
        <v>51500</v>
      </c>
      <c r="K814" s="29" t="str">
        <v>-</v>
      </c>
      <c r="L814" s="29">
        <v>52200</v>
      </c>
      <c r="M814" s="29">
        <v>50800</v>
      </c>
      <c r="N814" s="29">
        <v>50000</v>
      </c>
      <c r="O814" s="29">
        <v>48700</v>
      </c>
      <c r="P814" s="29">
        <v>46600</v>
      </c>
      <c r="Q814" s="29">
        <v>47100</v>
      </c>
      <c r="R814" s="29">
        <v>47000</v>
      </c>
      <c r="S814">
        <v>49400</v>
      </c>
      <c r="T814">
        <v>49800</v>
      </c>
      <c r="U814">
        <v>51800</v>
      </c>
      <c r="V814">
        <v>50500</v>
      </c>
      <c r="W814">
        <v>53200</v>
      </c>
    </row>
    <row r="815" spans="1:23">
      <c r="A815" s="30">
        <v>45099</v>
      </c>
      <c r="B815" s="29">
        <v>50900</v>
      </c>
      <c r="C815" s="29">
        <v>49500</v>
      </c>
      <c r="D815" s="29">
        <v>51000</v>
      </c>
      <c r="E815" s="29">
        <v>46600</v>
      </c>
      <c r="F815" s="29">
        <v>50900</v>
      </c>
      <c r="G815" s="29" t="str">
        <v>-</v>
      </c>
      <c r="H815" s="29">
        <v>48500</v>
      </c>
      <c r="I815" s="29">
        <v>50300</v>
      </c>
      <c r="J815" s="29">
        <v>51500</v>
      </c>
      <c r="K815" s="29" t="str">
        <v>-</v>
      </c>
      <c r="L815" s="29">
        <v>52100</v>
      </c>
      <c r="M815" s="29">
        <v>50800</v>
      </c>
      <c r="N815" s="29">
        <v>50000</v>
      </c>
      <c r="O815" s="29">
        <v>48500</v>
      </c>
      <c r="P815" s="29">
        <v>46500</v>
      </c>
      <c r="Q815" s="29">
        <v>47000</v>
      </c>
      <c r="R815" s="29">
        <v>46800</v>
      </c>
      <c r="S815">
        <v>49100</v>
      </c>
      <c r="T815">
        <v>49500</v>
      </c>
      <c r="U815">
        <v>51800</v>
      </c>
      <c r="V815">
        <v>50200</v>
      </c>
      <c r="W815">
        <v>53000</v>
      </c>
    </row>
    <row r="816" spans="1:23">
      <c r="A816" s="30">
        <v>45100</v>
      </c>
      <c r="B816" s="29">
        <v>50600</v>
      </c>
      <c r="C816" s="29">
        <v>49500</v>
      </c>
      <c r="D816" s="29">
        <v>50800</v>
      </c>
      <c r="E816" s="29">
        <v>46400</v>
      </c>
      <c r="F816" s="29">
        <v>50800</v>
      </c>
      <c r="G816" s="29" t="str">
        <v>-</v>
      </c>
      <c r="H816" s="29">
        <v>48500</v>
      </c>
      <c r="I816" s="29">
        <v>50300</v>
      </c>
      <c r="J816" s="29">
        <v>50900</v>
      </c>
      <c r="K816" s="29" t="str">
        <v>-</v>
      </c>
      <c r="L816" s="29">
        <v>51800</v>
      </c>
      <c r="M816" s="29">
        <v>50700</v>
      </c>
      <c r="N816" s="29">
        <v>49700</v>
      </c>
      <c r="O816" s="29">
        <v>48300</v>
      </c>
      <c r="P816" s="29">
        <v>46400</v>
      </c>
      <c r="Q816" s="29">
        <v>46900</v>
      </c>
      <c r="R816" s="29">
        <v>46700</v>
      </c>
      <c r="S816">
        <v>48900</v>
      </c>
      <c r="T816">
        <v>49500</v>
      </c>
      <c r="U816">
        <v>51800</v>
      </c>
      <c r="V816">
        <v>50000</v>
      </c>
      <c r="W816">
        <v>52700</v>
      </c>
    </row>
    <row r="817" spans="1:23">
      <c r="A817" s="30">
        <v>45101</v>
      </c>
      <c r="B817" s="29">
        <v>50600</v>
      </c>
      <c r="C817" s="29">
        <v>49500</v>
      </c>
      <c r="D817" s="29">
        <v>50900</v>
      </c>
      <c r="E817" s="29">
        <v>46500</v>
      </c>
      <c r="F817" s="29">
        <v>50800</v>
      </c>
      <c r="G817" s="29" t="str">
        <v>-</v>
      </c>
      <c r="H817" s="29">
        <v>48500</v>
      </c>
      <c r="I817" s="29">
        <v>50600</v>
      </c>
      <c r="J817" s="29">
        <v>50900</v>
      </c>
      <c r="K817" s="29" t="str">
        <v>-</v>
      </c>
      <c r="L817" s="29">
        <v>52200</v>
      </c>
      <c r="M817" s="29">
        <v>50300</v>
      </c>
      <c r="N817" s="29">
        <v>49900</v>
      </c>
      <c r="O817" s="29">
        <v>48300</v>
      </c>
      <c r="P817" s="29">
        <v>46600</v>
      </c>
      <c r="Q817" s="29">
        <v>47100</v>
      </c>
      <c r="R817" s="29">
        <v>46800</v>
      </c>
      <c r="S817">
        <v>49000</v>
      </c>
      <c r="T817">
        <v>49700</v>
      </c>
      <c r="U817">
        <v>51800</v>
      </c>
      <c r="V817">
        <v>50000</v>
      </c>
      <c r="W817">
        <v>52700</v>
      </c>
    </row>
    <row r="818" spans="1:23">
      <c r="A818" s="30">
        <v>45102</v>
      </c>
      <c r="B818" s="29" t="str">
        <v>H</v>
      </c>
      <c r="C818" s="29" t="str">
        <v>H</v>
      </c>
      <c r="D818" s="29" t="str">
        <v>H</v>
      </c>
      <c r="E818" s="29" t="str">
        <v>H</v>
      </c>
      <c r="F818" s="29" t="str">
        <v>H</v>
      </c>
      <c r="G818" s="29" t="str">
        <v>H</v>
      </c>
      <c r="H818" s="29" t="str">
        <v>H</v>
      </c>
      <c r="I818" s="29" t="str">
        <v>H</v>
      </c>
      <c r="J818" s="29" t="str">
        <v>H</v>
      </c>
      <c r="K818" s="29" t="str">
        <v>H</v>
      </c>
      <c r="L818" s="29" t="str">
        <v>H</v>
      </c>
      <c r="M818" s="29" t="str">
        <v>H</v>
      </c>
      <c r="N818" s="29" t="str">
        <v>H</v>
      </c>
      <c r="O818" s="29" t="str">
        <v>H</v>
      </c>
      <c r="P818" s="29" t="str">
        <v>H</v>
      </c>
      <c r="Q818" s="29" t="str">
        <v>H</v>
      </c>
      <c r="R818" s="29" t="str">
        <v>H</v>
      </c>
      <c r="S818" t="str">
        <v>H</v>
      </c>
      <c r="T818" t="str">
        <v>H</v>
      </c>
      <c r="U818" t="str">
        <v>H</v>
      </c>
      <c r="V818" t="str">
        <v>H</v>
      </c>
      <c r="W818" t="str">
        <v>H</v>
      </c>
    </row>
    <row r="819" spans="1:23">
      <c r="A819" s="30">
        <v>45103</v>
      </c>
      <c r="B819" s="29">
        <v>50400</v>
      </c>
      <c r="C819" s="29">
        <v>49200</v>
      </c>
      <c r="D819" s="29">
        <v>50500</v>
      </c>
      <c r="E819" s="29">
        <v>46500</v>
      </c>
      <c r="F819" s="29">
        <v>50400</v>
      </c>
      <c r="G819" s="29" t="str">
        <v>-</v>
      </c>
      <c r="H819" s="29">
        <v>48000</v>
      </c>
      <c r="I819" s="29">
        <v>50500</v>
      </c>
      <c r="J819" s="29">
        <v>50800</v>
      </c>
      <c r="K819" s="29" t="str">
        <v>-</v>
      </c>
      <c r="L819" s="29">
        <v>51900</v>
      </c>
      <c r="M819" s="29">
        <v>50000</v>
      </c>
      <c r="N819" s="29">
        <v>49500</v>
      </c>
      <c r="O819" s="29">
        <v>48100</v>
      </c>
      <c r="P819" s="29">
        <v>46500</v>
      </c>
      <c r="Q819" s="29">
        <v>46800</v>
      </c>
      <c r="R819" s="29">
        <v>46800</v>
      </c>
      <c r="S819">
        <v>49000</v>
      </c>
      <c r="T819">
        <v>49500</v>
      </c>
      <c r="U819">
        <v>51800</v>
      </c>
      <c r="V819">
        <v>49700</v>
      </c>
      <c r="W819">
        <v>52500</v>
      </c>
    </row>
    <row r="820" spans="1:23">
      <c r="A820" s="30">
        <v>45104</v>
      </c>
      <c r="B820" s="29">
        <v>50300</v>
      </c>
      <c r="C820" s="29">
        <v>49200</v>
      </c>
      <c r="D820" s="29">
        <v>50200</v>
      </c>
      <c r="E820" s="29">
        <v>46300</v>
      </c>
      <c r="F820" s="29">
        <v>50400</v>
      </c>
      <c r="G820" s="29" t="str">
        <v>-</v>
      </c>
      <c r="H820" s="29">
        <v>48000</v>
      </c>
      <c r="I820" s="29">
        <v>50100</v>
      </c>
      <c r="J820" s="29">
        <v>50800</v>
      </c>
      <c r="K820" s="29" t="str">
        <v>-</v>
      </c>
      <c r="L820" s="29">
        <v>51300</v>
      </c>
      <c r="M820" s="29">
        <v>49700</v>
      </c>
      <c r="N820" s="29">
        <v>49500</v>
      </c>
      <c r="O820" s="29">
        <v>48100</v>
      </c>
      <c r="P820" s="29">
        <v>46400</v>
      </c>
      <c r="Q820" s="29">
        <v>46600</v>
      </c>
      <c r="R820" s="29">
        <v>46500</v>
      </c>
      <c r="S820">
        <v>48800</v>
      </c>
      <c r="T820">
        <v>49300</v>
      </c>
      <c r="U820">
        <v>51800</v>
      </c>
      <c r="V820">
        <v>49700</v>
      </c>
      <c r="W820">
        <v>52500</v>
      </c>
    </row>
    <row r="821" spans="1:23">
      <c r="A821" s="30">
        <v>45105</v>
      </c>
      <c r="B821" s="29">
        <v>50000</v>
      </c>
      <c r="C821" s="29">
        <v>49000</v>
      </c>
      <c r="D821" s="29">
        <v>50200</v>
      </c>
      <c r="E821" s="29">
        <v>46100</v>
      </c>
      <c r="F821" s="29">
        <v>50300</v>
      </c>
      <c r="G821" s="29" t="str">
        <v>-</v>
      </c>
      <c r="H821" s="29">
        <v>47500</v>
      </c>
      <c r="I821" s="29">
        <v>50000</v>
      </c>
      <c r="J821" s="29">
        <v>50700</v>
      </c>
      <c r="K821" s="29" t="str">
        <v>-</v>
      </c>
      <c r="L821" s="29">
        <v>51300</v>
      </c>
      <c r="M821" s="29">
        <v>49400</v>
      </c>
      <c r="N821" s="29">
        <v>49300</v>
      </c>
      <c r="O821" s="29">
        <v>48100</v>
      </c>
      <c r="P821" s="29">
        <v>46400</v>
      </c>
      <c r="Q821" s="29">
        <v>46500</v>
      </c>
      <c r="R821" s="29">
        <v>46500</v>
      </c>
      <c r="S821">
        <v>48600</v>
      </c>
      <c r="T821">
        <v>48900</v>
      </c>
      <c r="U821">
        <v>51800</v>
      </c>
      <c r="V821">
        <v>49500</v>
      </c>
      <c r="W821">
        <v>52400</v>
      </c>
    </row>
    <row r="822" spans="1:23">
      <c r="A822" s="30">
        <v>45106</v>
      </c>
      <c r="B822" s="29">
        <v>50000</v>
      </c>
      <c r="C822" s="29">
        <v>49000</v>
      </c>
      <c r="D822" s="29">
        <v>49900</v>
      </c>
      <c r="E822" s="29">
        <v>46000</v>
      </c>
      <c r="F822" s="29">
        <v>49800</v>
      </c>
      <c r="G822" s="29" t="str">
        <v>-</v>
      </c>
      <c r="H822" s="29">
        <v>47500</v>
      </c>
      <c r="I822" s="29">
        <v>49800</v>
      </c>
      <c r="J822" s="29">
        <v>50100</v>
      </c>
      <c r="K822" s="29" t="str">
        <v>-</v>
      </c>
      <c r="L822" s="29">
        <v>51300</v>
      </c>
      <c r="M822" s="29">
        <v>48600</v>
      </c>
      <c r="N822" s="29">
        <v>49200</v>
      </c>
      <c r="O822" s="29">
        <v>47800</v>
      </c>
      <c r="P822" s="29">
        <v>46200</v>
      </c>
      <c r="Q822" s="29">
        <v>46500</v>
      </c>
      <c r="R822" s="29">
        <v>46300</v>
      </c>
      <c r="S822">
        <v>48600</v>
      </c>
      <c r="T822">
        <v>49000</v>
      </c>
      <c r="U822">
        <v>51300</v>
      </c>
      <c r="V822">
        <v>49500</v>
      </c>
      <c r="W822">
        <v>52400</v>
      </c>
    </row>
    <row r="823" spans="1:23">
      <c r="A823" s="30">
        <v>45107</v>
      </c>
      <c r="B823" s="29">
        <v>49800</v>
      </c>
      <c r="C823" s="29">
        <v>49000</v>
      </c>
      <c r="D823" s="29">
        <v>50100</v>
      </c>
      <c r="E823" s="29">
        <v>46200</v>
      </c>
      <c r="F823" s="29">
        <v>49800</v>
      </c>
      <c r="G823" s="29" t="str">
        <v>-</v>
      </c>
      <c r="H823" s="29">
        <v>47500</v>
      </c>
      <c r="I823" s="29">
        <v>49900</v>
      </c>
      <c r="J823" s="29">
        <v>50100</v>
      </c>
      <c r="K823" s="29" t="str">
        <v>-</v>
      </c>
      <c r="L823" s="29">
        <v>51500</v>
      </c>
      <c r="M823" s="29">
        <v>48600</v>
      </c>
      <c r="N823" s="29">
        <v>49500</v>
      </c>
      <c r="O823" s="29">
        <v>47800</v>
      </c>
      <c r="P823" s="29">
        <v>46200</v>
      </c>
      <c r="Q823" s="29">
        <v>46500</v>
      </c>
      <c r="R823" s="29">
        <v>46500</v>
      </c>
      <c r="S823">
        <v>48700</v>
      </c>
      <c r="T823">
        <v>49000</v>
      </c>
      <c r="U823">
        <v>51300</v>
      </c>
      <c r="V823">
        <v>49300</v>
      </c>
      <c r="W823">
        <v>52200</v>
      </c>
    </row>
    <row r="824" spans="1:23">
      <c r="A824" s="30">
        <v>45108</v>
      </c>
      <c r="B824" s="29">
        <v>49800</v>
      </c>
      <c r="C824" s="29">
        <v>49000</v>
      </c>
      <c r="D824" s="29">
        <v>50100</v>
      </c>
      <c r="E824" s="29">
        <v>46100</v>
      </c>
      <c r="F824" s="29">
        <v>49600</v>
      </c>
      <c r="G824" s="29" t="str">
        <v>-</v>
      </c>
      <c r="H824" s="29">
        <v>48000</v>
      </c>
      <c r="I824" s="29">
        <v>49800</v>
      </c>
      <c r="J824" s="29">
        <v>49700</v>
      </c>
      <c r="K824" s="29" t="str">
        <v>-</v>
      </c>
      <c r="L824" s="29">
        <v>51500</v>
      </c>
      <c r="M824" s="29">
        <v>48400</v>
      </c>
      <c r="N824" s="29">
        <v>49500</v>
      </c>
      <c r="O824" s="29">
        <v>47800</v>
      </c>
      <c r="P824" s="29">
        <v>46200</v>
      </c>
      <c r="Q824" s="29">
        <v>46000</v>
      </c>
      <c r="R824" s="29">
        <v>46500</v>
      </c>
      <c r="S824">
        <v>48600</v>
      </c>
      <c r="T824">
        <v>48700</v>
      </c>
      <c r="U824">
        <v>51300</v>
      </c>
      <c r="V824">
        <v>49300</v>
      </c>
      <c r="W824">
        <v>52200</v>
      </c>
    </row>
    <row r="825" spans="1:23">
      <c r="A825" s="30">
        <v>45109</v>
      </c>
      <c r="B825" s="29" t="str">
        <v>H</v>
      </c>
      <c r="C825" s="29" t="str">
        <v>H</v>
      </c>
      <c r="D825" s="29" t="str">
        <v>H</v>
      </c>
      <c r="E825" s="29" t="str">
        <v>H</v>
      </c>
      <c r="F825" s="29" t="str">
        <v>H</v>
      </c>
      <c r="G825" s="29" t="str">
        <v>H</v>
      </c>
      <c r="H825" s="29" t="str">
        <v>H</v>
      </c>
      <c r="I825" s="29" t="str">
        <v>H</v>
      </c>
      <c r="J825" s="29" t="str">
        <v>H</v>
      </c>
      <c r="K825" s="29" t="str">
        <v>H</v>
      </c>
      <c r="L825" s="29" t="str">
        <v>H</v>
      </c>
      <c r="M825" s="29" t="str">
        <v>H</v>
      </c>
      <c r="N825" s="29" t="str">
        <v>H</v>
      </c>
      <c r="O825" s="29" t="str">
        <v>H</v>
      </c>
      <c r="P825" s="29" t="str">
        <v>H</v>
      </c>
      <c r="Q825" s="29" t="str">
        <v>H</v>
      </c>
      <c r="R825" s="29" t="str">
        <v>H</v>
      </c>
      <c r="S825" t="str">
        <v>H</v>
      </c>
      <c r="T825" t="str">
        <v>H</v>
      </c>
      <c r="U825" t="str">
        <v>H</v>
      </c>
      <c r="V825" t="str">
        <v>H</v>
      </c>
      <c r="W825" t="str">
        <v>H</v>
      </c>
    </row>
    <row r="826" spans="1:23">
      <c r="A826" s="30">
        <v>45110</v>
      </c>
      <c r="B826" s="29">
        <v>49700</v>
      </c>
      <c r="C826" s="29">
        <v>49000</v>
      </c>
      <c r="D826" s="29">
        <v>50000</v>
      </c>
      <c r="E826" s="29">
        <v>45700</v>
      </c>
      <c r="F826" s="29">
        <v>49100</v>
      </c>
      <c r="G826" s="29" t="str">
        <v>-</v>
      </c>
      <c r="H826" s="29">
        <v>47500</v>
      </c>
      <c r="I826" s="29">
        <v>49600</v>
      </c>
      <c r="J826" s="29">
        <v>49700</v>
      </c>
      <c r="K826" s="29" t="str">
        <v>-</v>
      </c>
      <c r="L826" s="29">
        <v>51300</v>
      </c>
      <c r="M826" s="29">
        <v>48400</v>
      </c>
      <c r="N826" s="29">
        <v>49200</v>
      </c>
      <c r="O826" s="29">
        <v>47600</v>
      </c>
      <c r="P826" s="29">
        <v>45600</v>
      </c>
      <c r="Q826" s="29">
        <v>45900</v>
      </c>
      <c r="R826" s="29">
        <v>46000</v>
      </c>
      <c r="S826">
        <v>48200</v>
      </c>
      <c r="T826">
        <v>48600</v>
      </c>
      <c r="U826">
        <v>51000</v>
      </c>
      <c r="V826">
        <v>49200</v>
      </c>
      <c r="W826">
        <v>52000</v>
      </c>
    </row>
    <row r="827" spans="1:23">
      <c r="A827" s="30">
        <v>45111</v>
      </c>
      <c r="B827" s="29">
        <v>48800</v>
      </c>
      <c r="C827" s="29">
        <v>48900</v>
      </c>
      <c r="D827" s="29">
        <v>49600</v>
      </c>
      <c r="E827" s="29">
        <v>45400</v>
      </c>
      <c r="F827" s="29">
        <v>49000</v>
      </c>
      <c r="G827" s="29" t="str">
        <v>-</v>
      </c>
      <c r="H827" s="29">
        <v>47000</v>
      </c>
      <c r="I827" s="29">
        <v>49300</v>
      </c>
      <c r="J827" s="29">
        <v>49500</v>
      </c>
      <c r="K827" s="29" t="str">
        <v>-</v>
      </c>
      <c r="L827" s="29">
        <v>51200</v>
      </c>
      <c r="M827" s="29">
        <v>48400</v>
      </c>
      <c r="N827" s="29">
        <v>49000</v>
      </c>
      <c r="O827" s="29">
        <v>47400</v>
      </c>
      <c r="P827" s="29">
        <v>45000</v>
      </c>
      <c r="Q827" s="29">
        <v>45700</v>
      </c>
      <c r="R827" s="29">
        <v>45700</v>
      </c>
      <c r="S827">
        <v>47600</v>
      </c>
      <c r="T827">
        <v>48500</v>
      </c>
      <c r="U827">
        <v>51000</v>
      </c>
      <c r="V827">
        <v>49200</v>
      </c>
      <c r="W827">
        <v>52000</v>
      </c>
    </row>
    <row r="828" spans="1:23">
      <c r="A828" s="30">
        <v>45112</v>
      </c>
      <c r="B828" s="29">
        <v>48800</v>
      </c>
      <c r="C828" s="29">
        <v>48500</v>
      </c>
      <c r="D828" s="29">
        <v>49600</v>
      </c>
      <c r="E828" s="29">
        <v>45400</v>
      </c>
      <c r="F828" s="29">
        <v>48900</v>
      </c>
      <c r="G828" s="29" t="str">
        <v>-</v>
      </c>
      <c r="H828" s="29">
        <v>47000</v>
      </c>
      <c r="I828" s="29">
        <v>49300</v>
      </c>
      <c r="J828" s="29">
        <v>49500</v>
      </c>
      <c r="K828" s="29" t="str">
        <v>-</v>
      </c>
      <c r="L828" s="29">
        <v>51200</v>
      </c>
      <c r="M828" s="29">
        <v>48200</v>
      </c>
      <c r="N828" s="29">
        <v>48800</v>
      </c>
      <c r="O828" s="29">
        <v>47400</v>
      </c>
      <c r="P828" s="29">
        <v>45200</v>
      </c>
      <c r="Q828" s="29">
        <v>45300</v>
      </c>
      <c r="R828" s="29">
        <v>45700</v>
      </c>
      <c r="S828">
        <v>47600</v>
      </c>
      <c r="T828">
        <v>48000</v>
      </c>
      <c r="U828">
        <v>51000</v>
      </c>
      <c r="V828">
        <v>49000</v>
      </c>
      <c r="W828">
        <v>51900</v>
      </c>
    </row>
    <row r="829" spans="1:23">
      <c r="A829" s="30">
        <v>45113</v>
      </c>
      <c r="B829" s="29">
        <v>48900</v>
      </c>
      <c r="C829" s="29">
        <v>48500</v>
      </c>
      <c r="D829" s="29">
        <v>49800</v>
      </c>
      <c r="E829" s="29">
        <v>45500</v>
      </c>
      <c r="F829" s="29">
        <v>48900</v>
      </c>
      <c r="G829" s="29" t="str">
        <v>-</v>
      </c>
      <c r="H829" s="29">
        <v>47000</v>
      </c>
      <c r="I829" s="29">
        <v>49400</v>
      </c>
      <c r="J829" s="29">
        <v>49500</v>
      </c>
      <c r="K829" s="29" t="str">
        <v>-</v>
      </c>
      <c r="L829" s="29">
        <v>51400</v>
      </c>
      <c r="M829" s="29">
        <v>47900</v>
      </c>
      <c r="N829" s="29">
        <v>49000</v>
      </c>
      <c r="O829" s="29">
        <v>47400</v>
      </c>
      <c r="P829" s="29">
        <v>45400</v>
      </c>
      <c r="Q829" s="29">
        <v>45500</v>
      </c>
      <c r="R829" s="29">
        <v>45700</v>
      </c>
      <c r="S829">
        <v>47700</v>
      </c>
      <c r="T829">
        <v>48300</v>
      </c>
      <c r="U829">
        <v>51000</v>
      </c>
      <c r="V829">
        <v>49000</v>
      </c>
      <c r="W829">
        <v>51900</v>
      </c>
    </row>
    <row r="830" spans="1:23">
      <c r="A830" s="30">
        <v>45114</v>
      </c>
      <c r="B830" s="29">
        <v>48900</v>
      </c>
      <c r="C830" s="29">
        <v>48500</v>
      </c>
      <c r="D830" s="29">
        <v>49500</v>
      </c>
      <c r="E830" s="29">
        <v>45300</v>
      </c>
      <c r="F830" s="29">
        <v>48900</v>
      </c>
      <c r="G830" s="29" t="str">
        <v>-</v>
      </c>
      <c r="H830" s="29">
        <v>47000</v>
      </c>
      <c r="I830" s="29">
        <v>49400</v>
      </c>
      <c r="J830" s="29">
        <v>49300</v>
      </c>
      <c r="K830" s="29" t="str">
        <v>-</v>
      </c>
      <c r="L830" s="29">
        <v>51300</v>
      </c>
      <c r="M830" s="29">
        <v>47600</v>
      </c>
      <c r="N830" s="29">
        <v>49000</v>
      </c>
      <c r="O830" s="29">
        <v>47000</v>
      </c>
      <c r="P830" s="29">
        <v>45000</v>
      </c>
      <c r="Q830" s="29">
        <v>45200</v>
      </c>
      <c r="R830" s="29">
        <v>45500</v>
      </c>
      <c r="S830">
        <v>47500</v>
      </c>
      <c r="T830">
        <v>48300</v>
      </c>
      <c r="U830">
        <v>51000</v>
      </c>
      <c r="V830">
        <v>49000</v>
      </c>
      <c r="W830">
        <v>51900</v>
      </c>
    </row>
    <row r="831" spans="1:23">
      <c r="A831" s="30">
        <v>45115</v>
      </c>
      <c r="B831" s="29">
        <v>48500</v>
      </c>
      <c r="C831" s="29">
        <v>48500</v>
      </c>
      <c r="D831" s="29">
        <v>49400</v>
      </c>
      <c r="E831" s="29">
        <v>45100</v>
      </c>
      <c r="F831" s="29">
        <v>48900</v>
      </c>
      <c r="G831" s="29" t="str">
        <v>-</v>
      </c>
      <c r="H831" s="29">
        <v>47000</v>
      </c>
      <c r="I831" s="29">
        <v>49200</v>
      </c>
      <c r="J831" s="29">
        <v>49300</v>
      </c>
      <c r="K831" s="29" t="str">
        <v>-</v>
      </c>
      <c r="L831" s="29">
        <v>51000</v>
      </c>
      <c r="M831" s="29">
        <v>47600</v>
      </c>
      <c r="N831" s="29">
        <v>48800</v>
      </c>
      <c r="O831" s="29">
        <v>47000</v>
      </c>
      <c r="P831" s="29">
        <v>44600</v>
      </c>
      <c r="Q831" s="29">
        <v>45000</v>
      </c>
      <c r="R831" s="29">
        <v>45300</v>
      </c>
      <c r="S831">
        <v>47100</v>
      </c>
      <c r="T831">
        <v>48100</v>
      </c>
      <c r="U831">
        <v>51000</v>
      </c>
      <c r="V831">
        <v>48500</v>
      </c>
      <c r="W831">
        <v>51500</v>
      </c>
    </row>
    <row r="832" spans="1:23">
      <c r="A832" s="30">
        <v>45116</v>
      </c>
      <c r="B832" s="29" t="str">
        <v>H</v>
      </c>
      <c r="C832" s="29" t="str">
        <v>H</v>
      </c>
      <c r="D832" s="29" t="str">
        <v>H</v>
      </c>
      <c r="E832" s="29" t="str">
        <v>H</v>
      </c>
      <c r="F832" s="29" t="str">
        <v>H</v>
      </c>
      <c r="G832" s="29" t="str">
        <v>H</v>
      </c>
      <c r="H832" s="29" t="str">
        <v>H</v>
      </c>
      <c r="I832" s="29" t="str">
        <v>H</v>
      </c>
      <c r="J832" s="29" t="str">
        <v>H</v>
      </c>
      <c r="K832" s="29" t="str">
        <v>H</v>
      </c>
      <c r="L832" s="29" t="str">
        <v>H</v>
      </c>
      <c r="M832" s="29" t="str">
        <v>H</v>
      </c>
      <c r="N832" s="29" t="str">
        <v>H</v>
      </c>
      <c r="O832" s="29" t="str">
        <v>H</v>
      </c>
      <c r="P832" s="29" t="str">
        <v>H</v>
      </c>
      <c r="Q832" s="29" t="str">
        <v>H</v>
      </c>
      <c r="R832" s="29" t="str">
        <v>H</v>
      </c>
      <c r="S832" t="str">
        <v>H</v>
      </c>
      <c r="T832" t="str">
        <v>H</v>
      </c>
      <c r="U832" t="str">
        <v>H</v>
      </c>
      <c r="V832" t="str">
        <v>H</v>
      </c>
      <c r="W832" t="str">
        <v>H</v>
      </c>
    </row>
    <row r="833" spans="1:23">
      <c r="A833" s="30">
        <v>45117</v>
      </c>
      <c r="B833" s="29">
        <v>48100</v>
      </c>
      <c r="C833" s="29">
        <v>48300</v>
      </c>
      <c r="D833" s="29">
        <v>48900</v>
      </c>
      <c r="E833" s="29">
        <v>44900</v>
      </c>
      <c r="F833" s="29">
        <v>48900</v>
      </c>
      <c r="G833" s="29" t="str">
        <v>-</v>
      </c>
      <c r="H833" s="29">
        <v>46500</v>
      </c>
      <c r="I833" s="29">
        <v>48800</v>
      </c>
      <c r="J833" s="29">
        <v>48700</v>
      </c>
      <c r="K833" s="29" t="str">
        <v>-</v>
      </c>
      <c r="L833" s="29">
        <v>50700</v>
      </c>
      <c r="M833" s="29">
        <v>47100</v>
      </c>
      <c r="N833" s="29">
        <v>48800</v>
      </c>
      <c r="O833" s="29">
        <v>47000</v>
      </c>
      <c r="P833" s="29">
        <v>44400</v>
      </c>
      <c r="Q833" s="29">
        <v>44800</v>
      </c>
      <c r="R833" s="29">
        <v>44800</v>
      </c>
      <c r="S833">
        <v>47000</v>
      </c>
      <c r="T833">
        <v>47500</v>
      </c>
      <c r="U833">
        <v>50800</v>
      </c>
      <c r="V833">
        <v>48200</v>
      </c>
      <c r="W833">
        <v>51200</v>
      </c>
    </row>
    <row r="834" spans="1:23">
      <c r="A834" s="30">
        <v>45118</v>
      </c>
      <c r="B834" s="29">
        <v>47600</v>
      </c>
      <c r="C834" s="29">
        <v>48200</v>
      </c>
      <c r="D834" s="29">
        <v>48900</v>
      </c>
      <c r="E834" s="29">
        <v>44500</v>
      </c>
      <c r="F834" s="29">
        <v>48700</v>
      </c>
      <c r="G834" s="29" t="str">
        <v>-</v>
      </c>
      <c r="H834" s="29">
        <v>46500</v>
      </c>
      <c r="I834" s="29">
        <v>48600</v>
      </c>
      <c r="J834" s="29">
        <v>48200</v>
      </c>
      <c r="K834" s="29" t="str">
        <v>-</v>
      </c>
      <c r="L834" s="29">
        <v>50400</v>
      </c>
      <c r="M834" s="29">
        <v>47100</v>
      </c>
      <c r="N834" s="29">
        <v>48500</v>
      </c>
      <c r="O834" s="29">
        <v>46600</v>
      </c>
      <c r="P834" s="29">
        <v>44000</v>
      </c>
      <c r="Q834" s="29">
        <v>44100</v>
      </c>
      <c r="R834" s="29">
        <v>44500</v>
      </c>
      <c r="S834">
        <v>46500</v>
      </c>
      <c r="T834">
        <v>47000</v>
      </c>
      <c r="U834">
        <v>50800</v>
      </c>
      <c r="V834">
        <v>48200</v>
      </c>
      <c r="W834">
        <v>51200</v>
      </c>
    </row>
    <row r="835" spans="1:23">
      <c r="A835" s="30">
        <v>45119</v>
      </c>
      <c r="B835" s="29">
        <v>47700</v>
      </c>
      <c r="C835" s="29">
        <v>48200</v>
      </c>
      <c r="D835" s="29">
        <v>48900</v>
      </c>
      <c r="E835" s="29">
        <v>44400</v>
      </c>
      <c r="F835" s="29">
        <v>48700</v>
      </c>
      <c r="G835" s="29" t="str">
        <v>-</v>
      </c>
      <c r="H835" s="29">
        <v>46500</v>
      </c>
      <c r="I835" s="29">
        <v>48500</v>
      </c>
      <c r="J835" s="29">
        <v>48200</v>
      </c>
      <c r="K835" s="29" t="str">
        <v>-</v>
      </c>
      <c r="L835" s="29">
        <v>50400</v>
      </c>
      <c r="M835" s="29">
        <v>47100</v>
      </c>
      <c r="N835" s="29">
        <v>48500</v>
      </c>
      <c r="O835" s="29">
        <v>46600</v>
      </c>
      <c r="P835" s="29">
        <v>44100</v>
      </c>
      <c r="Q835" s="29">
        <v>44300</v>
      </c>
      <c r="R835" s="29">
        <v>44500</v>
      </c>
      <c r="S835">
        <v>46500</v>
      </c>
      <c r="T835">
        <v>47000</v>
      </c>
      <c r="U835">
        <v>50800</v>
      </c>
      <c r="V835">
        <v>48000</v>
      </c>
      <c r="W835">
        <v>50800</v>
      </c>
    </row>
    <row r="836" spans="1:23">
      <c r="A836" s="30">
        <v>45120</v>
      </c>
      <c r="B836" s="29">
        <v>47600</v>
      </c>
      <c r="C836" s="29">
        <v>48000</v>
      </c>
      <c r="D836" s="29">
        <v>48900</v>
      </c>
      <c r="E836" s="29">
        <v>44200</v>
      </c>
      <c r="F836" s="29">
        <v>48700</v>
      </c>
      <c r="G836" s="29" t="str">
        <v>-</v>
      </c>
      <c r="H836" s="29">
        <v>46500</v>
      </c>
      <c r="I836" s="29">
        <v>48300</v>
      </c>
      <c r="J836" s="29">
        <v>48200</v>
      </c>
      <c r="K836" s="29" t="str">
        <v>-</v>
      </c>
      <c r="L836" s="29">
        <v>50300</v>
      </c>
      <c r="M836" s="29">
        <v>47100</v>
      </c>
      <c r="N836" s="29">
        <v>48500</v>
      </c>
      <c r="O836" s="29">
        <v>46500</v>
      </c>
      <c r="P836" s="29">
        <v>43900</v>
      </c>
      <c r="Q836" s="29">
        <v>44000</v>
      </c>
      <c r="R836" s="29">
        <v>44500</v>
      </c>
      <c r="S836">
        <v>46300</v>
      </c>
      <c r="T836">
        <v>46800</v>
      </c>
      <c r="U836">
        <v>50800</v>
      </c>
      <c r="V836">
        <v>47900</v>
      </c>
      <c r="W836">
        <v>50700</v>
      </c>
    </row>
    <row r="837" spans="1:23">
      <c r="A837" s="30">
        <v>45121</v>
      </c>
      <c r="B837" s="29">
        <v>47300</v>
      </c>
      <c r="C837" s="29">
        <v>48000</v>
      </c>
      <c r="D837" s="29">
        <v>48200</v>
      </c>
      <c r="E837" s="29">
        <v>43900</v>
      </c>
      <c r="F837" s="29">
        <v>48700</v>
      </c>
      <c r="G837" s="29" t="str">
        <v>-</v>
      </c>
      <c r="H837" s="29">
        <v>46500</v>
      </c>
      <c r="I837" s="29">
        <v>48000</v>
      </c>
      <c r="J837" s="29">
        <v>48000</v>
      </c>
      <c r="K837" s="29" t="str">
        <v>-</v>
      </c>
      <c r="L837" s="29">
        <v>50000</v>
      </c>
      <c r="M837" s="29">
        <v>47100</v>
      </c>
      <c r="N837" s="29">
        <v>48500</v>
      </c>
      <c r="O837" s="29">
        <v>46000</v>
      </c>
      <c r="P837" s="29">
        <v>43600</v>
      </c>
      <c r="Q837" s="29">
        <v>43600</v>
      </c>
      <c r="R837" s="29">
        <v>44000</v>
      </c>
      <c r="S837">
        <v>45900</v>
      </c>
      <c r="T837">
        <v>46200</v>
      </c>
      <c r="U837">
        <v>50000</v>
      </c>
      <c r="V837">
        <v>47900</v>
      </c>
      <c r="W837">
        <v>50700</v>
      </c>
    </row>
    <row r="838" spans="1:23">
      <c r="A838" s="30">
        <v>45122</v>
      </c>
      <c r="B838" s="29">
        <v>46900</v>
      </c>
      <c r="C838" s="29">
        <v>48000</v>
      </c>
      <c r="D838" s="29">
        <v>47900</v>
      </c>
      <c r="E838" s="29">
        <v>43800</v>
      </c>
      <c r="F838" s="29">
        <v>48200</v>
      </c>
      <c r="G838" s="29" t="str">
        <v>-</v>
      </c>
      <c r="H838" s="29">
        <v>46500</v>
      </c>
      <c r="I838" s="29">
        <v>47500</v>
      </c>
      <c r="J838" s="29">
        <v>47700</v>
      </c>
      <c r="K838" s="29" t="str">
        <v>-</v>
      </c>
      <c r="L838" s="29">
        <v>49600</v>
      </c>
      <c r="M838" s="29">
        <v>46800</v>
      </c>
      <c r="N838" s="29">
        <v>48200</v>
      </c>
      <c r="O838" s="29">
        <v>45700</v>
      </c>
      <c r="P838" s="29">
        <v>43500</v>
      </c>
      <c r="Q838" s="29">
        <v>43500</v>
      </c>
      <c r="R838" s="29">
        <v>44000</v>
      </c>
      <c r="S838">
        <v>45900</v>
      </c>
      <c r="T838">
        <v>46100</v>
      </c>
      <c r="U838">
        <v>50000</v>
      </c>
      <c r="V838">
        <v>47600</v>
      </c>
      <c r="W838">
        <v>50500</v>
      </c>
    </row>
    <row r="839" spans="1:23">
      <c r="A839" s="30">
        <v>45123</v>
      </c>
      <c r="B839" s="29" t="str">
        <v>H</v>
      </c>
      <c r="C839" s="29" t="str">
        <v>H</v>
      </c>
      <c r="D839" s="29" t="str">
        <v>H</v>
      </c>
      <c r="E839" s="29" t="str">
        <v>H</v>
      </c>
      <c r="F839" s="29" t="str">
        <v>H</v>
      </c>
      <c r="G839" s="29" t="str">
        <v>H</v>
      </c>
      <c r="H839" s="29" t="str">
        <v>H</v>
      </c>
      <c r="I839" s="29" t="str">
        <v>H</v>
      </c>
      <c r="J839" s="29" t="str">
        <v>H</v>
      </c>
      <c r="K839" s="29" t="str">
        <v>H</v>
      </c>
      <c r="L839" s="29" t="str">
        <v>H</v>
      </c>
      <c r="M839" s="29" t="str">
        <v>H</v>
      </c>
      <c r="N839" s="29" t="str">
        <v>H</v>
      </c>
      <c r="O839" s="29" t="str">
        <v>H</v>
      </c>
      <c r="P839" s="29" t="str">
        <v>H</v>
      </c>
      <c r="Q839" s="29" t="str">
        <v>H</v>
      </c>
      <c r="R839" s="29" t="str">
        <v>H</v>
      </c>
      <c r="S839" t="str">
        <v>H</v>
      </c>
      <c r="T839" t="str">
        <v>H</v>
      </c>
      <c r="U839" t="str">
        <v>H</v>
      </c>
      <c r="V839" t="str">
        <v>H</v>
      </c>
      <c r="W839" t="str">
        <v>H</v>
      </c>
    </row>
    <row r="840" spans="1:23">
      <c r="A840" s="30">
        <v>45124</v>
      </c>
      <c r="B840" s="29">
        <v>47600</v>
      </c>
      <c r="C840" s="29">
        <v>48000</v>
      </c>
      <c r="D840" s="29">
        <v>47900</v>
      </c>
      <c r="E840" s="29">
        <v>43700</v>
      </c>
      <c r="F840" s="29">
        <v>47700</v>
      </c>
      <c r="G840" s="29" t="str">
        <v>-</v>
      </c>
      <c r="H840" s="29">
        <v>46500</v>
      </c>
      <c r="I840" s="29">
        <v>47300</v>
      </c>
      <c r="J840" s="29">
        <v>47700</v>
      </c>
      <c r="K840" s="29" t="str">
        <v>-</v>
      </c>
      <c r="L840" s="29">
        <v>49500</v>
      </c>
      <c r="M840" s="29">
        <v>46800</v>
      </c>
      <c r="N840" s="29">
        <v>47700</v>
      </c>
      <c r="O840" s="29">
        <v>45500</v>
      </c>
      <c r="P840" s="29">
        <v>43300</v>
      </c>
      <c r="Q840" s="29">
        <v>43200</v>
      </c>
      <c r="R840" s="29">
        <v>43800</v>
      </c>
      <c r="S840">
        <v>45800</v>
      </c>
      <c r="T840">
        <v>45500</v>
      </c>
      <c r="U840">
        <v>50000</v>
      </c>
      <c r="V840">
        <v>47400</v>
      </c>
      <c r="W840">
        <v>50300</v>
      </c>
    </row>
    <row r="841" spans="1:23">
      <c r="A841" s="30">
        <v>45125</v>
      </c>
      <c r="B841" s="29">
        <v>47800</v>
      </c>
      <c r="C841" s="29">
        <v>48000</v>
      </c>
      <c r="D841" s="29">
        <v>48200</v>
      </c>
      <c r="E841" s="29">
        <v>43700</v>
      </c>
      <c r="F841" s="29">
        <v>47900</v>
      </c>
      <c r="G841" s="29" t="str">
        <v>-</v>
      </c>
      <c r="H841" s="29">
        <v>46500</v>
      </c>
      <c r="I841" s="29">
        <v>47400</v>
      </c>
      <c r="J841" s="29">
        <v>47700</v>
      </c>
      <c r="K841" s="29" t="str">
        <v>-</v>
      </c>
      <c r="L841" s="29">
        <v>49600</v>
      </c>
      <c r="M841" s="29">
        <v>46800</v>
      </c>
      <c r="N841" s="29">
        <v>47800</v>
      </c>
      <c r="O841" s="29">
        <v>45300</v>
      </c>
      <c r="P841" s="29">
        <v>43500</v>
      </c>
      <c r="Q841" s="29">
        <v>43500</v>
      </c>
      <c r="R841" s="29">
        <v>44200</v>
      </c>
      <c r="S841">
        <v>45800</v>
      </c>
      <c r="T841">
        <v>45800</v>
      </c>
      <c r="U841">
        <v>50000</v>
      </c>
      <c r="V841">
        <v>47400</v>
      </c>
      <c r="W841">
        <v>50300</v>
      </c>
    </row>
    <row r="842" spans="1:23">
      <c r="A842" s="30">
        <v>45126</v>
      </c>
      <c r="B842" s="29">
        <v>47800</v>
      </c>
      <c r="C842" s="29">
        <v>48000</v>
      </c>
      <c r="D842" s="29">
        <v>48200</v>
      </c>
      <c r="E842" s="29">
        <v>43600</v>
      </c>
      <c r="F842" s="29">
        <v>47900</v>
      </c>
      <c r="G842" s="29" t="str">
        <v>-</v>
      </c>
      <c r="H842" s="29">
        <v>46500</v>
      </c>
      <c r="I842" s="29">
        <v>47400</v>
      </c>
      <c r="J842" s="29">
        <v>47700</v>
      </c>
      <c r="K842" s="29" t="str">
        <v>-</v>
      </c>
      <c r="L842" s="29">
        <v>49500</v>
      </c>
      <c r="M842" s="29">
        <v>46800</v>
      </c>
      <c r="N842" s="29">
        <v>47700</v>
      </c>
      <c r="O842" s="29">
        <v>45300</v>
      </c>
      <c r="P842" s="29">
        <v>43200</v>
      </c>
      <c r="Q842" s="29">
        <v>43100</v>
      </c>
      <c r="R842" s="29">
        <v>44000</v>
      </c>
      <c r="S842">
        <v>45700</v>
      </c>
      <c r="T842">
        <v>45800</v>
      </c>
      <c r="U842">
        <v>50000</v>
      </c>
      <c r="V842">
        <v>47700</v>
      </c>
      <c r="W842">
        <v>50300</v>
      </c>
    </row>
    <row r="843" spans="1:23">
      <c r="A843" s="30">
        <v>45127</v>
      </c>
      <c r="B843" s="29">
        <v>47600</v>
      </c>
      <c r="C843" s="29">
        <v>48000</v>
      </c>
      <c r="D843" s="29">
        <v>47800</v>
      </c>
      <c r="E843" s="29">
        <v>43400</v>
      </c>
      <c r="F843" s="29">
        <v>47900</v>
      </c>
      <c r="G843" s="29" t="str">
        <v>-</v>
      </c>
      <c r="H843" s="29">
        <v>46000</v>
      </c>
      <c r="I843" s="29">
        <v>47000</v>
      </c>
      <c r="J843" s="29">
        <v>47500</v>
      </c>
      <c r="K843" s="29" t="str">
        <v>-</v>
      </c>
      <c r="L843" s="29">
        <v>49200</v>
      </c>
      <c r="M843" s="29">
        <v>46800</v>
      </c>
      <c r="N843" s="29">
        <v>47500</v>
      </c>
      <c r="O843" s="29">
        <v>44900</v>
      </c>
      <c r="P843" s="29">
        <v>42800</v>
      </c>
      <c r="Q843" s="29">
        <v>42800</v>
      </c>
      <c r="R843" s="29">
        <v>44000</v>
      </c>
      <c r="S843">
        <v>45400</v>
      </c>
      <c r="T843">
        <v>45700</v>
      </c>
      <c r="U843">
        <v>50000</v>
      </c>
      <c r="V843">
        <v>47700</v>
      </c>
      <c r="W843">
        <v>50300</v>
      </c>
    </row>
    <row r="844" spans="1:23">
      <c r="A844" s="30">
        <v>45128</v>
      </c>
      <c r="B844" s="29">
        <v>47000</v>
      </c>
      <c r="C844" s="29">
        <v>47800</v>
      </c>
      <c r="D844" s="29">
        <v>47800</v>
      </c>
      <c r="E844" s="29">
        <v>43400</v>
      </c>
      <c r="F844" s="29">
        <v>47800</v>
      </c>
      <c r="G844" s="29" t="str">
        <v>-</v>
      </c>
      <c r="H844" s="29">
        <v>46000</v>
      </c>
      <c r="I844" s="29">
        <v>47000</v>
      </c>
      <c r="J844" s="29">
        <v>47400</v>
      </c>
      <c r="K844" s="29" t="str">
        <v>-</v>
      </c>
      <c r="L844" s="29">
        <v>49200</v>
      </c>
      <c r="M844" s="29">
        <v>46300</v>
      </c>
      <c r="N844" s="29">
        <v>47300</v>
      </c>
      <c r="O844" s="29">
        <v>45000</v>
      </c>
      <c r="P844" s="29">
        <v>43000</v>
      </c>
      <c r="Q844" s="29">
        <v>43000</v>
      </c>
      <c r="R844" s="29">
        <v>43700</v>
      </c>
      <c r="S844">
        <v>45400</v>
      </c>
      <c r="T844">
        <v>46000</v>
      </c>
      <c r="U844">
        <v>50000</v>
      </c>
      <c r="V844">
        <v>47700</v>
      </c>
      <c r="W844">
        <v>50300</v>
      </c>
    </row>
    <row r="845" spans="1:23">
      <c r="A845" s="30">
        <v>45129</v>
      </c>
      <c r="B845" s="29">
        <v>46700</v>
      </c>
      <c r="C845" s="29">
        <v>47800</v>
      </c>
      <c r="D845" s="29">
        <v>47700</v>
      </c>
      <c r="E845" s="29">
        <v>43200</v>
      </c>
      <c r="F845" s="29">
        <v>47800</v>
      </c>
      <c r="G845" s="29" t="str">
        <v>-</v>
      </c>
      <c r="H845" s="29">
        <v>45500</v>
      </c>
      <c r="I845" s="29">
        <v>46800</v>
      </c>
      <c r="J845" s="29">
        <v>47400</v>
      </c>
      <c r="K845" s="29" t="str">
        <v>-</v>
      </c>
      <c r="L845" s="29">
        <v>49000</v>
      </c>
      <c r="M845" s="29">
        <v>46300</v>
      </c>
      <c r="N845" s="29">
        <v>47100</v>
      </c>
      <c r="O845" s="29">
        <v>45000</v>
      </c>
      <c r="P845" s="29">
        <v>42800</v>
      </c>
      <c r="Q845" s="29">
        <v>42800</v>
      </c>
      <c r="R845" s="29">
        <v>43500</v>
      </c>
      <c r="S845">
        <v>45200</v>
      </c>
      <c r="T845">
        <v>45800</v>
      </c>
      <c r="U845">
        <v>49800</v>
      </c>
      <c r="V845">
        <v>47700</v>
      </c>
      <c r="W845">
        <v>50300</v>
      </c>
    </row>
    <row r="846" spans="1:23">
      <c r="A846" s="30">
        <v>45130</v>
      </c>
      <c r="B846" s="29" t="str">
        <v>H</v>
      </c>
      <c r="C846" s="29" t="str">
        <v>H</v>
      </c>
      <c r="D846" s="29" t="str">
        <v>H</v>
      </c>
      <c r="E846" s="29" t="str">
        <v>H</v>
      </c>
      <c r="F846" s="29" t="str">
        <v>H</v>
      </c>
      <c r="G846" s="29" t="str">
        <v>H</v>
      </c>
      <c r="H846" s="29" t="str">
        <v>H</v>
      </c>
      <c r="I846" s="29" t="str">
        <v>H</v>
      </c>
      <c r="J846" s="29" t="str">
        <v>H</v>
      </c>
      <c r="K846" s="29" t="str">
        <v>H</v>
      </c>
      <c r="L846" s="29" t="str">
        <v>H</v>
      </c>
      <c r="M846" s="29" t="str">
        <v>H</v>
      </c>
      <c r="N846" s="29" t="str">
        <v>H</v>
      </c>
      <c r="O846" s="29" t="str">
        <v>H</v>
      </c>
      <c r="P846" s="29" t="str">
        <v>H</v>
      </c>
      <c r="Q846" s="29" t="str">
        <v>H</v>
      </c>
      <c r="R846" s="29" t="str">
        <v>H</v>
      </c>
      <c r="S846" t="str">
        <v>H</v>
      </c>
      <c r="T846" t="str">
        <v>H</v>
      </c>
      <c r="U846" t="str">
        <v>H</v>
      </c>
      <c r="V846" t="str">
        <v>H</v>
      </c>
      <c r="W846" t="str">
        <v>H</v>
      </c>
    </row>
    <row r="847" spans="1:23">
      <c r="A847" s="30">
        <v>45131</v>
      </c>
      <c r="B847" s="29">
        <v>46700</v>
      </c>
      <c r="C847" s="29">
        <v>47800</v>
      </c>
      <c r="D847" s="29">
        <v>47300</v>
      </c>
      <c r="E847" s="29">
        <v>43000</v>
      </c>
      <c r="F847" s="29">
        <v>47800</v>
      </c>
      <c r="G847" s="29" t="str">
        <v>-</v>
      </c>
      <c r="H847" s="29">
        <v>45500</v>
      </c>
      <c r="I847" s="29">
        <v>46400</v>
      </c>
      <c r="J847" s="29">
        <v>47300</v>
      </c>
      <c r="K847" s="29" t="str">
        <v>-</v>
      </c>
      <c r="L847" s="29">
        <v>48800</v>
      </c>
      <c r="M847" s="29">
        <v>46300</v>
      </c>
      <c r="N847" s="29">
        <v>46600</v>
      </c>
      <c r="O847" s="29">
        <v>44500</v>
      </c>
      <c r="P847" s="29">
        <v>42700</v>
      </c>
      <c r="Q847" s="29">
        <v>42700</v>
      </c>
      <c r="R847" s="29">
        <v>43300</v>
      </c>
      <c r="S847">
        <v>45000</v>
      </c>
      <c r="T847">
        <v>45500</v>
      </c>
      <c r="U847">
        <v>49800</v>
      </c>
      <c r="V847">
        <v>47500</v>
      </c>
      <c r="W847">
        <v>50300</v>
      </c>
    </row>
    <row r="848" spans="1:23">
      <c r="A848" s="30">
        <v>45132</v>
      </c>
      <c r="B848" s="29">
        <v>46700</v>
      </c>
      <c r="C848" s="29">
        <v>47500</v>
      </c>
      <c r="D848" s="29">
        <v>47300</v>
      </c>
      <c r="E848" s="29">
        <v>42700</v>
      </c>
      <c r="F848" s="29">
        <v>47800</v>
      </c>
      <c r="G848" s="29" t="str">
        <v>-</v>
      </c>
      <c r="H848" s="29">
        <v>45500</v>
      </c>
      <c r="I848" s="29">
        <v>46200</v>
      </c>
      <c r="J848" s="29">
        <v>47000</v>
      </c>
      <c r="K848" s="29" t="str">
        <v>-</v>
      </c>
      <c r="L848" s="29">
        <v>48400</v>
      </c>
      <c r="M848" s="29">
        <v>46300</v>
      </c>
      <c r="N848" s="29">
        <v>46100</v>
      </c>
      <c r="O848" s="29">
        <v>44500</v>
      </c>
      <c r="P848" s="29">
        <v>42500</v>
      </c>
      <c r="Q848" s="29">
        <v>42500</v>
      </c>
      <c r="R848" s="29">
        <v>43300</v>
      </c>
      <c r="S848">
        <v>44700</v>
      </c>
      <c r="T848">
        <v>45500</v>
      </c>
      <c r="U848">
        <v>49800</v>
      </c>
      <c r="V848">
        <v>47500</v>
      </c>
      <c r="W848">
        <v>50300</v>
      </c>
    </row>
    <row r="849" spans="1:23">
      <c r="A849" s="30">
        <v>45133</v>
      </c>
      <c r="B849" s="29">
        <v>46500</v>
      </c>
      <c r="C849" s="29">
        <v>47500</v>
      </c>
      <c r="D849" s="29">
        <v>47300</v>
      </c>
      <c r="E849" s="29">
        <v>42900</v>
      </c>
      <c r="F849" s="29">
        <v>47600</v>
      </c>
      <c r="G849" s="29" t="str">
        <v>-</v>
      </c>
      <c r="H849" s="29">
        <v>45500</v>
      </c>
      <c r="I849" s="29">
        <v>46200</v>
      </c>
      <c r="J849" s="29">
        <v>47000</v>
      </c>
      <c r="K849" s="29" t="str">
        <v>-</v>
      </c>
      <c r="L849" s="29">
        <v>48400</v>
      </c>
      <c r="M849" s="29">
        <v>46000</v>
      </c>
      <c r="N849" s="29">
        <v>46200</v>
      </c>
      <c r="O849" s="29">
        <v>44500</v>
      </c>
      <c r="P849" s="29">
        <v>42800</v>
      </c>
      <c r="Q849" s="29">
        <v>42800</v>
      </c>
      <c r="R849" s="29">
        <v>43300</v>
      </c>
      <c r="S849">
        <v>44900</v>
      </c>
      <c r="T849">
        <v>45800</v>
      </c>
      <c r="U849">
        <v>49800</v>
      </c>
      <c r="V849">
        <v>47300</v>
      </c>
      <c r="W849">
        <v>50100</v>
      </c>
    </row>
    <row r="850" spans="1:23">
      <c r="A850" s="30">
        <v>45134</v>
      </c>
      <c r="B850" s="29">
        <v>46500</v>
      </c>
      <c r="C850" s="29">
        <v>47500</v>
      </c>
      <c r="D850" s="29">
        <v>47200</v>
      </c>
      <c r="E850" s="29">
        <v>42700</v>
      </c>
      <c r="F850" s="29">
        <v>47600</v>
      </c>
      <c r="G850" s="29" t="str">
        <v>-</v>
      </c>
      <c r="H850" s="29">
        <v>45000</v>
      </c>
      <c r="I850" s="29">
        <v>46000</v>
      </c>
      <c r="J850" s="29">
        <v>47000</v>
      </c>
      <c r="K850" s="29" t="str">
        <v>-</v>
      </c>
      <c r="L850" s="29">
        <v>48200</v>
      </c>
      <c r="M850" s="29">
        <v>46000</v>
      </c>
      <c r="N850" s="29">
        <v>45800</v>
      </c>
      <c r="O850" s="29">
        <v>44500</v>
      </c>
      <c r="P850" s="29">
        <v>42700</v>
      </c>
      <c r="Q850" s="29">
        <v>42700</v>
      </c>
      <c r="R850" s="29">
        <v>43500</v>
      </c>
      <c r="S850">
        <v>44700</v>
      </c>
      <c r="T850">
        <v>45600</v>
      </c>
      <c r="U850">
        <v>49800</v>
      </c>
      <c r="V850">
        <v>47300</v>
      </c>
      <c r="W850">
        <v>49800</v>
      </c>
    </row>
    <row r="851" spans="1:23">
      <c r="A851" s="30">
        <v>45135</v>
      </c>
      <c r="B851" s="29">
        <v>46900</v>
      </c>
      <c r="C851" s="29">
        <v>47500</v>
      </c>
      <c r="D851" s="29">
        <v>47200</v>
      </c>
      <c r="E851" s="29">
        <v>43200</v>
      </c>
      <c r="F851" s="29">
        <v>47600</v>
      </c>
      <c r="G851" s="29" t="str">
        <v>-</v>
      </c>
      <c r="H851" s="29">
        <v>45000</v>
      </c>
      <c r="I851" s="29">
        <v>46400</v>
      </c>
      <c r="J851" s="29">
        <v>47000</v>
      </c>
      <c r="K851" s="29" t="str">
        <v>-</v>
      </c>
      <c r="L851" s="29">
        <v>48200</v>
      </c>
      <c r="M851" s="29">
        <v>46000</v>
      </c>
      <c r="N851" s="29">
        <v>45800</v>
      </c>
      <c r="O851" s="29">
        <v>44900</v>
      </c>
      <c r="P851" s="29">
        <v>43200</v>
      </c>
      <c r="Q851" s="29">
        <v>43400</v>
      </c>
      <c r="R851" s="29">
        <v>43500</v>
      </c>
      <c r="S851">
        <v>45100</v>
      </c>
      <c r="T851">
        <v>46000</v>
      </c>
      <c r="U851">
        <v>49800</v>
      </c>
      <c r="V851">
        <v>47200</v>
      </c>
      <c r="W851">
        <v>49800</v>
      </c>
    </row>
    <row r="852" spans="1:23">
      <c r="A852" s="30">
        <v>45136</v>
      </c>
      <c r="B852" s="29">
        <v>47000</v>
      </c>
      <c r="C852" s="29">
        <v>47500</v>
      </c>
      <c r="D852" s="29">
        <v>47400</v>
      </c>
      <c r="E852" s="29">
        <v>43800</v>
      </c>
      <c r="F852" s="29">
        <v>47800</v>
      </c>
      <c r="G852" s="29" t="str">
        <v>-</v>
      </c>
      <c r="H852" s="29">
        <v>45500</v>
      </c>
      <c r="I852" s="29">
        <v>46700</v>
      </c>
      <c r="J852" s="29">
        <v>47000</v>
      </c>
      <c r="K852" s="29" t="str">
        <v>-</v>
      </c>
      <c r="L852" s="29">
        <v>48700</v>
      </c>
      <c r="M852" s="29">
        <v>46000</v>
      </c>
      <c r="N852" s="29">
        <v>46200</v>
      </c>
      <c r="O852" s="29">
        <v>44900</v>
      </c>
      <c r="P852" s="29">
        <v>43500</v>
      </c>
      <c r="Q852" s="29">
        <v>43800</v>
      </c>
      <c r="R852" s="29">
        <v>43800</v>
      </c>
      <c r="S852">
        <v>45900</v>
      </c>
      <c r="T852">
        <v>46500</v>
      </c>
      <c r="U852">
        <v>49800</v>
      </c>
      <c r="V852">
        <v>47500</v>
      </c>
      <c r="W852">
        <v>49800</v>
      </c>
    </row>
    <row r="853" spans="1:23">
      <c r="A853" s="30">
        <v>45137</v>
      </c>
      <c r="B853" s="29" t="str">
        <v>H</v>
      </c>
      <c r="C853" s="29" t="str">
        <v>H</v>
      </c>
      <c r="D853" s="29" t="str">
        <v>H</v>
      </c>
      <c r="E853" s="29" t="str">
        <v>H</v>
      </c>
      <c r="F853" s="29" t="str">
        <v>H</v>
      </c>
      <c r="G853" s="29" t="str">
        <v>H</v>
      </c>
      <c r="H853" s="29" t="str">
        <v>H</v>
      </c>
      <c r="I853" s="29" t="str">
        <v>H</v>
      </c>
      <c r="J853" s="29" t="str">
        <v>H</v>
      </c>
      <c r="K853" s="29" t="str">
        <v>H</v>
      </c>
      <c r="L853" s="29" t="str">
        <v>H</v>
      </c>
      <c r="M853" s="29" t="str">
        <v>H</v>
      </c>
      <c r="N853" s="29" t="str">
        <v>H</v>
      </c>
      <c r="O853" s="29" t="str">
        <v>H</v>
      </c>
      <c r="P853" s="29" t="str">
        <v>H</v>
      </c>
      <c r="Q853" s="29" t="str">
        <v>H</v>
      </c>
      <c r="R853" s="29" t="str">
        <v>H</v>
      </c>
      <c r="S853" t="str">
        <v>H</v>
      </c>
      <c r="T853" t="str">
        <v>H</v>
      </c>
      <c r="U853" t="str">
        <v>H</v>
      </c>
      <c r="V853" t="str">
        <v>H</v>
      </c>
      <c r="W853" t="str">
        <v>H</v>
      </c>
    </row>
    <row r="854" spans="1:23">
      <c r="A854" s="30">
        <v>45138</v>
      </c>
      <c r="B854" s="29">
        <v>47000</v>
      </c>
      <c r="C854" s="29">
        <v>47500</v>
      </c>
      <c r="D854" s="29">
        <v>47300</v>
      </c>
      <c r="E854" s="29">
        <v>43800</v>
      </c>
      <c r="F854" s="29">
        <v>47800</v>
      </c>
      <c r="G854" s="29" t="str">
        <v>-</v>
      </c>
      <c r="H854" s="29">
        <v>45500</v>
      </c>
      <c r="I854" s="29">
        <v>46600</v>
      </c>
      <c r="J854" s="29">
        <v>47000</v>
      </c>
      <c r="K854" s="29" t="str">
        <v>-</v>
      </c>
      <c r="L854" s="29">
        <v>48700</v>
      </c>
      <c r="M854" s="29">
        <v>46000</v>
      </c>
      <c r="N854" s="29">
        <v>46100</v>
      </c>
      <c r="O854" s="29">
        <v>44900</v>
      </c>
      <c r="P854" s="29">
        <v>43700</v>
      </c>
      <c r="Q854" s="29">
        <v>44000</v>
      </c>
      <c r="R854" s="29">
        <v>44000</v>
      </c>
      <c r="S854">
        <v>45800</v>
      </c>
      <c r="T854">
        <v>46500</v>
      </c>
      <c r="U854">
        <v>49800</v>
      </c>
      <c r="V854">
        <v>47500</v>
      </c>
      <c r="W854">
        <v>49800</v>
      </c>
    </row>
    <row r="855" spans="1:23">
      <c r="A855" s="30">
        <v>45139</v>
      </c>
      <c r="B855" s="29">
        <v>47700</v>
      </c>
      <c r="C855" s="29">
        <v>48000</v>
      </c>
      <c r="D855" s="29">
        <v>47800</v>
      </c>
      <c r="E855" s="29">
        <v>44400</v>
      </c>
      <c r="F855" s="29">
        <v>48200</v>
      </c>
      <c r="G855" s="29" t="str">
        <v>-</v>
      </c>
      <c r="H855" s="29">
        <v>46000</v>
      </c>
      <c r="I855" s="29">
        <v>47400</v>
      </c>
      <c r="J855" s="29">
        <v>47500</v>
      </c>
      <c r="K855" s="29" t="str">
        <v>-</v>
      </c>
      <c r="L855" s="29">
        <v>49400</v>
      </c>
      <c r="M855" s="29">
        <v>47100</v>
      </c>
      <c r="N855" s="29">
        <v>46500</v>
      </c>
      <c r="O855" s="29">
        <v>45500</v>
      </c>
      <c r="P855" s="29">
        <v>44500</v>
      </c>
      <c r="Q855" s="29">
        <v>44700</v>
      </c>
      <c r="R855" s="29">
        <v>45000</v>
      </c>
      <c r="S855">
        <v>46600</v>
      </c>
      <c r="T855">
        <v>47000</v>
      </c>
      <c r="U855">
        <v>50300</v>
      </c>
      <c r="V855">
        <v>48400</v>
      </c>
      <c r="W855">
        <v>50200</v>
      </c>
    </row>
    <row r="856" spans="1:23">
      <c r="A856" s="30">
        <v>45140</v>
      </c>
      <c r="B856" s="29">
        <v>48000</v>
      </c>
      <c r="C856" s="29">
        <v>48000</v>
      </c>
      <c r="D856" s="29">
        <v>48000</v>
      </c>
      <c r="E856" s="29">
        <v>44700</v>
      </c>
      <c r="F856" s="29">
        <v>48300</v>
      </c>
      <c r="G856" s="29" t="str">
        <v>-</v>
      </c>
      <c r="H856" s="29">
        <v>46500</v>
      </c>
      <c r="I856" s="29">
        <v>47800</v>
      </c>
      <c r="J856" s="29">
        <v>47500</v>
      </c>
      <c r="K856" s="29" t="str">
        <v>-</v>
      </c>
      <c r="L856" s="29">
        <v>49700</v>
      </c>
      <c r="M856" s="29">
        <v>47400</v>
      </c>
      <c r="N856" s="29">
        <v>46800</v>
      </c>
      <c r="O856" s="29">
        <v>46200</v>
      </c>
      <c r="P856" s="29">
        <v>44700</v>
      </c>
      <c r="Q856" s="29">
        <v>44700</v>
      </c>
      <c r="R856" s="29">
        <v>45200</v>
      </c>
      <c r="S856">
        <v>46900</v>
      </c>
      <c r="T856">
        <v>47300</v>
      </c>
      <c r="U856">
        <v>50800</v>
      </c>
      <c r="V856">
        <v>48600</v>
      </c>
      <c r="W856">
        <v>50800</v>
      </c>
    </row>
    <row r="857" spans="1:23">
      <c r="A857" s="30">
        <v>45141</v>
      </c>
      <c r="B857" s="29">
        <v>48200</v>
      </c>
      <c r="C857" s="29">
        <v>48500</v>
      </c>
      <c r="D857" s="29">
        <v>48000</v>
      </c>
      <c r="E857" s="29">
        <v>44800</v>
      </c>
      <c r="F857" s="29">
        <v>48700</v>
      </c>
      <c r="G857" s="29" t="str">
        <v>-</v>
      </c>
      <c r="H857" s="29">
        <v>47500</v>
      </c>
      <c r="I857" s="29">
        <v>48000</v>
      </c>
      <c r="J857" s="29">
        <v>47700</v>
      </c>
      <c r="K857" s="29" t="str">
        <v>-</v>
      </c>
      <c r="L857" s="29">
        <v>49900</v>
      </c>
      <c r="M857" s="29">
        <v>47700</v>
      </c>
      <c r="N857" s="29">
        <v>47200</v>
      </c>
      <c r="O857" s="29">
        <v>46200</v>
      </c>
      <c r="P857" s="29">
        <v>44700</v>
      </c>
      <c r="Q857" s="29">
        <v>44900</v>
      </c>
      <c r="R857" s="29">
        <v>45300</v>
      </c>
      <c r="S857">
        <v>47000</v>
      </c>
      <c r="T857">
        <v>47600</v>
      </c>
      <c r="U857">
        <v>50800</v>
      </c>
      <c r="V857">
        <v>49000</v>
      </c>
      <c r="W857">
        <v>51600</v>
      </c>
    </row>
    <row r="858" spans="1:23">
      <c r="A858" s="30">
        <v>45142</v>
      </c>
      <c r="B858" s="29">
        <v>48200</v>
      </c>
      <c r="C858" s="29">
        <v>48600</v>
      </c>
      <c r="D858" s="29">
        <v>48000</v>
      </c>
      <c r="E858" s="29">
        <v>44500</v>
      </c>
      <c r="F858" s="29">
        <v>49000</v>
      </c>
      <c r="G858" s="29" t="str">
        <v>-</v>
      </c>
      <c r="H858" s="29">
        <v>47500</v>
      </c>
      <c r="I858" s="29">
        <v>48000</v>
      </c>
      <c r="J858" s="29">
        <v>47700</v>
      </c>
      <c r="K858" s="29" t="str">
        <v>-</v>
      </c>
      <c r="L858" s="29">
        <v>49800</v>
      </c>
      <c r="M858" s="29">
        <v>48000</v>
      </c>
      <c r="N858" s="29">
        <v>47100</v>
      </c>
      <c r="O858" s="29">
        <v>46200</v>
      </c>
      <c r="P858" s="29">
        <v>44500</v>
      </c>
      <c r="Q858" s="29">
        <v>44700</v>
      </c>
      <c r="R858" s="29">
        <v>45000</v>
      </c>
      <c r="S858">
        <v>46700</v>
      </c>
      <c r="T858">
        <v>47500</v>
      </c>
      <c r="U858">
        <v>50800</v>
      </c>
      <c r="V858">
        <v>49200</v>
      </c>
      <c r="W858">
        <v>52000</v>
      </c>
    </row>
    <row r="859" spans="1:23">
      <c r="A859" s="30">
        <v>45143</v>
      </c>
      <c r="B859" s="29">
        <v>48200</v>
      </c>
      <c r="C859" s="29">
        <v>48600</v>
      </c>
      <c r="D859" s="29">
        <v>47800</v>
      </c>
      <c r="E859" s="29">
        <v>44700</v>
      </c>
      <c r="F859" s="29">
        <v>49000</v>
      </c>
      <c r="G859" s="29" t="str">
        <v>-</v>
      </c>
      <c r="H859" s="29">
        <v>47000</v>
      </c>
      <c r="I859" s="29">
        <v>48200</v>
      </c>
      <c r="J859" s="29">
        <v>47700</v>
      </c>
      <c r="K859" s="29" t="str">
        <v>-</v>
      </c>
      <c r="L859" s="29">
        <v>49800</v>
      </c>
      <c r="M859" s="29">
        <v>48000</v>
      </c>
      <c r="N859" s="29">
        <v>47200</v>
      </c>
      <c r="O859" s="29">
        <v>46200</v>
      </c>
      <c r="P859" s="29">
        <v>44500</v>
      </c>
      <c r="Q859" s="29">
        <v>44600</v>
      </c>
      <c r="R859" s="29">
        <v>45000</v>
      </c>
      <c r="S859">
        <v>46900</v>
      </c>
      <c r="T859">
        <v>47500</v>
      </c>
      <c r="U859">
        <v>50800</v>
      </c>
      <c r="V859">
        <v>49200</v>
      </c>
      <c r="W859">
        <v>52000</v>
      </c>
    </row>
    <row r="860" spans="1:23">
      <c r="A860" s="30">
        <v>45144</v>
      </c>
      <c r="B860" s="29" t="str">
        <v>H</v>
      </c>
      <c r="C860" s="29" t="str">
        <v>H</v>
      </c>
      <c r="D860" s="29" t="str">
        <v>H</v>
      </c>
      <c r="E860" s="29" t="str">
        <v>H</v>
      </c>
      <c r="F860" s="29" t="str">
        <v>H</v>
      </c>
      <c r="G860" s="29" t="str">
        <v>H</v>
      </c>
      <c r="H860" s="29" t="str">
        <v>H</v>
      </c>
      <c r="I860" s="29" t="str">
        <v>H</v>
      </c>
      <c r="J860" s="29" t="str">
        <v>H</v>
      </c>
      <c r="K860" s="29" t="str">
        <v>H</v>
      </c>
      <c r="L860" s="29" t="str">
        <v>H</v>
      </c>
      <c r="M860" s="29" t="str">
        <v>H</v>
      </c>
      <c r="N860" s="29" t="str">
        <v>H</v>
      </c>
      <c r="O860" s="29" t="str">
        <v>H</v>
      </c>
      <c r="P860" s="29" t="str">
        <v>H</v>
      </c>
      <c r="Q860" s="29" t="str">
        <v>H</v>
      </c>
      <c r="R860" s="29" t="str">
        <v>H</v>
      </c>
      <c r="S860" t="str">
        <v>H</v>
      </c>
      <c r="T860" t="str">
        <v>H</v>
      </c>
      <c r="U860" t="str">
        <v>H</v>
      </c>
      <c r="V860" t="str">
        <v>H</v>
      </c>
      <c r="W860" t="str">
        <v>H</v>
      </c>
    </row>
    <row r="861" spans="1:23">
      <c r="A861" s="30">
        <v>45145</v>
      </c>
      <c r="B861" s="29">
        <v>48400</v>
      </c>
      <c r="C861" s="29">
        <v>48800</v>
      </c>
      <c r="D861" s="29">
        <v>48200</v>
      </c>
      <c r="E861" s="29">
        <v>45100</v>
      </c>
      <c r="F861" s="29">
        <v>49000</v>
      </c>
      <c r="G861" s="29" t="str">
        <v>-</v>
      </c>
      <c r="H861" s="29">
        <v>47000</v>
      </c>
      <c r="I861" s="29">
        <v>48400</v>
      </c>
      <c r="J861" s="29">
        <v>47700</v>
      </c>
      <c r="K861" s="29" t="str">
        <v>-</v>
      </c>
      <c r="L861" s="29">
        <v>50400</v>
      </c>
      <c r="M861" s="29">
        <v>48000</v>
      </c>
      <c r="N861" s="29">
        <v>47300</v>
      </c>
      <c r="O861" s="29">
        <v>46600</v>
      </c>
      <c r="P861" s="29">
        <v>44700</v>
      </c>
      <c r="Q861" s="29">
        <v>44600</v>
      </c>
      <c r="R861" s="29">
        <v>45000</v>
      </c>
      <c r="S861">
        <v>47300</v>
      </c>
      <c r="T861">
        <v>47500</v>
      </c>
      <c r="U861">
        <v>50800</v>
      </c>
      <c r="V861">
        <v>49400</v>
      </c>
      <c r="W861">
        <v>52400</v>
      </c>
    </row>
    <row r="862" spans="1:23">
      <c r="A862" s="30">
        <v>45146</v>
      </c>
      <c r="B862" s="29">
        <v>48400</v>
      </c>
      <c r="C862" s="29">
        <v>48800</v>
      </c>
      <c r="D862" s="29">
        <v>48000</v>
      </c>
      <c r="E862" s="29">
        <v>44800</v>
      </c>
      <c r="F862" s="29">
        <v>48900</v>
      </c>
      <c r="G862" s="29" t="str">
        <v>-</v>
      </c>
      <c r="H862" s="29">
        <v>47000</v>
      </c>
      <c r="I862" s="29">
        <v>48200</v>
      </c>
      <c r="J862" s="29">
        <v>47700</v>
      </c>
      <c r="K862" s="29" t="str">
        <v>-</v>
      </c>
      <c r="L862" s="29">
        <v>50300</v>
      </c>
      <c r="M862" s="29">
        <v>48000</v>
      </c>
      <c r="N862" s="29">
        <v>47100</v>
      </c>
      <c r="O862" s="29">
        <v>46600</v>
      </c>
      <c r="P862" s="29">
        <v>44400</v>
      </c>
      <c r="Q862" s="29">
        <v>44400</v>
      </c>
      <c r="R862" s="29">
        <v>45000</v>
      </c>
      <c r="S862">
        <v>47000</v>
      </c>
      <c r="T862">
        <v>47300</v>
      </c>
      <c r="U862">
        <v>50800</v>
      </c>
      <c r="V862">
        <v>49400</v>
      </c>
      <c r="W862">
        <v>52400</v>
      </c>
    </row>
    <row r="863" spans="1:23">
      <c r="A863" s="30">
        <v>45147</v>
      </c>
      <c r="B863" s="29">
        <v>48400</v>
      </c>
      <c r="C863" s="29">
        <v>48500</v>
      </c>
      <c r="D863" s="29">
        <v>48000</v>
      </c>
      <c r="E863" s="29">
        <v>44600</v>
      </c>
      <c r="F863" s="29">
        <v>48800</v>
      </c>
      <c r="G863" s="29" t="str">
        <v>-</v>
      </c>
      <c r="H863" s="29">
        <v>47000</v>
      </c>
      <c r="I863" s="29">
        <v>48400</v>
      </c>
      <c r="J863" s="29">
        <v>47700</v>
      </c>
      <c r="K863" s="29" t="str">
        <v>-</v>
      </c>
      <c r="L863" s="29">
        <v>50300</v>
      </c>
      <c r="M863" s="29">
        <v>47700</v>
      </c>
      <c r="N863" s="29">
        <v>47400</v>
      </c>
      <c r="O863" s="29">
        <v>46600</v>
      </c>
      <c r="P863" s="29">
        <v>44400</v>
      </c>
      <c r="Q863" s="29">
        <v>44200</v>
      </c>
      <c r="R863" s="29">
        <v>45000</v>
      </c>
      <c r="S863">
        <v>46800</v>
      </c>
      <c r="T863">
        <v>47300</v>
      </c>
      <c r="U863">
        <v>50800</v>
      </c>
      <c r="V863">
        <v>49400</v>
      </c>
      <c r="W863">
        <v>52400</v>
      </c>
    </row>
    <row r="864" spans="1:23">
      <c r="A864" s="30">
        <v>45148</v>
      </c>
      <c r="B864" s="29">
        <v>48300</v>
      </c>
      <c r="C864" s="29">
        <v>48500</v>
      </c>
      <c r="D864" s="29">
        <v>48000</v>
      </c>
      <c r="E864" s="29">
        <v>44300</v>
      </c>
      <c r="F864" s="29">
        <v>48800</v>
      </c>
      <c r="G864" s="29" t="str">
        <v>-</v>
      </c>
      <c r="H864" s="29">
        <v>47000</v>
      </c>
      <c r="I864" s="29">
        <v>48200</v>
      </c>
      <c r="J864" s="29">
        <v>47500</v>
      </c>
      <c r="K864" s="29" t="str">
        <v>-</v>
      </c>
      <c r="L864" s="29">
        <v>50200</v>
      </c>
      <c r="M864" s="29">
        <v>47500</v>
      </c>
      <c r="N864" s="29">
        <v>47400</v>
      </c>
      <c r="O864" s="29">
        <v>46200</v>
      </c>
      <c r="P864" s="29">
        <v>44000</v>
      </c>
      <c r="Q864" s="29">
        <v>44100</v>
      </c>
      <c r="R864" s="29">
        <v>44800</v>
      </c>
      <c r="S864">
        <v>46300</v>
      </c>
      <c r="T864">
        <v>47100</v>
      </c>
      <c r="U864">
        <v>50800</v>
      </c>
      <c r="V864">
        <v>49400</v>
      </c>
      <c r="W864">
        <v>52400</v>
      </c>
    </row>
    <row r="865" spans="1:23">
      <c r="A865" s="30">
        <v>45149</v>
      </c>
      <c r="B865" s="29">
        <v>48300</v>
      </c>
      <c r="C865" s="29">
        <v>48500</v>
      </c>
      <c r="D865" s="29">
        <v>48000</v>
      </c>
      <c r="E865" s="29">
        <v>44300</v>
      </c>
      <c r="F865" s="29">
        <v>48600</v>
      </c>
      <c r="G865" s="29" t="str">
        <v>-</v>
      </c>
      <c r="H865" s="29">
        <v>47000</v>
      </c>
      <c r="I865" s="29">
        <v>48200</v>
      </c>
      <c r="J865" s="29">
        <v>47500</v>
      </c>
      <c r="K865" s="29" t="str">
        <v>-</v>
      </c>
      <c r="L865" s="29">
        <v>50200</v>
      </c>
      <c r="M865" s="29">
        <v>47500</v>
      </c>
      <c r="N865" s="29">
        <v>47400</v>
      </c>
      <c r="O865" s="29">
        <v>46000</v>
      </c>
      <c r="P865" s="29">
        <v>44000</v>
      </c>
      <c r="Q865" s="29">
        <v>44100</v>
      </c>
      <c r="R865" s="29">
        <v>44800</v>
      </c>
      <c r="S865">
        <v>46300</v>
      </c>
      <c r="T865">
        <v>46800</v>
      </c>
      <c r="U865">
        <v>50800</v>
      </c>
      <c r="V865">
        <v>49400</v>
      </c>
      <c r="W865">
        <v>52400</v>
      </c>
    </row>
    <row r="866" spans="1:23">
      <c r="A866" s="30">
        <v>45150</v>
      </c>
      <c r="B866" s="29">
        <v>48300</v>
      </c>
      <c r="C866" s="29">
        <v>48500</v>
      </c>
      <c r="D866" s="29">
        <v>47800</v>
      </c>
      <c r="E866" s="29">
        <v>44300</v>
      </c>
      <c r="F866" s="29">
        <v>48600</v>
      </c>
      <c r="G866" s="29" t="str">
        <v>-</v>
      </c>
      <c r="H866" s="29">
        <v>47000</v>
      </c>
      <c r="I866" s="29">
        <v>48000</v>
      </c>
      <c r="J866" s="29">
        <v>47500</v>
      </c>
      <c r="K866" s="29" t="str">
        <v>-</v>
      </c>
      <c r="L866" s="29">
        <v>50000</v>
      </c>
      <c r="M866" s="29">
        <v>47500</v>
      </c>
      <c r="N866" s="29">
        <v>47200</v>
      </c>
      <c r="O866" s="29">
        <v>46000</v>
      </c>
      <c r="P866" s="29">
        <v>43700</v>
      </c>
      <c r="Q866" s="29">
        <v>44000</v>
      </c>
      <c r="R866" s="29">
        <v>44800</v>
      </c>
      <c r="S866">
        <v>46300</v>
      </c>
      <c r="T866">
        <v>46800</v>
      </c>
      <c r="U866">
        <v>50800</v>
      </c>
      <c r="V866">
        <v>49400</v>
      </c>
      <c r="W866">
        <v>52400</v>
      </c>
    </row>
    <row r="867" spans="1:23">
      <c r="A867" s="30">
        <v>45151</v>
      </c>
      <c r="B867" s="29" t="str">
        <v>H</v>
      </c>
      <c r="C867" s="29" t="str">
        <v>H</v>
      </c>
      <c r="D867" s="29" t="str">
        <v>H</v>
      </c>
      <c r="E867" s="29" t="str">
        <v>H</v>
      </c>
      <c r="F867" s="29" t="str">
        <v>H</v>
      </c>
      <c r="G867" s="29" t="str">
        <v>H</v>
      </c>
      <c r="H867" s="29" t="str">
        <v>H</v>
      </c>
      <c r="I867" s="29" t="str">
        <v>H</v>
      </c>
      <c r="J867" s="29" t="str">
        <v>H</v>
      </c>
      <c r="K867" s="29" t="str">
        <v>H</v>
      </c>
      <c r="L867" s="29" t="str">
        <v>H</v>
      </c>
      <c r="M867" s="29" t="str">
        <v>H</v>
      </c>
      <c r="N867" s="29" t="str">
        <v>H</v>
      </c>
      <c r="O867" s="29" t="str">
        <v>H</v>
      </c>
      <c r="P867" s="29" t="str">
        <v>H</v>
      </c>
      <c r="Q867" s="29" t="str">
        <v>H</v>
      </c>
      <c r="R867" s="29" t="str">
        <v>H</v>
      </c>
      <c r="S867" t="str">
        <v>H</v>
      </c>
      <c r="T867" t="str">
        <v>H</v>
      </c>
      <c r="U867" t="str">
        <v>H</v>
      </c>
      <c r="V867" t="str">
        <v>H</v>
      </c>
      <c r="W867" t="str">
        <v>H</v>
      </c>
    </row>
    <row r="868" spans="1:23">
      <c r="A868" s="30">
        <v>45152</v>
      </c>
      <c r="B868" s="29">
        <v>48300</v>
      </c>
      <c r="C868" s="29">
        <v>48500</v>
      </c>
      <c r="D868" s="29">
        <v>47900</v>
      </c>
      <c r="E868" s="29">
        <v>44200</v>
      </c>
      <c r="F868" s="29">
        <v>48500</v>
      </c>
      <c r="G868" s="29" t="str">
        <v>-</v>
      </c>
      <c r="H868" s="29">
        <v>46500</v>
      </c>
      <c r="I868" s="29">
        <v>48000</v>
      </c>
      <c r="J868" s="29">
        <v>47500</v>
      </c>
      <c r="K868" s="29" t="str">
        <v>-</v>
      </c>
      <c r="L868" s="29">
        <v>49500</v>
      </c>
      <c r="M868" s="29">
        <v>47500</v>
      </c>
      <c r="N868" s="29">
        <v>47200</v>
      </c>
      <c r="O868" s="29">
        <v>46000</v>
      </c>
      <c r="P868" s="29">
        <v>43800</v>
      </c>
      <c r="Q868" s="29">
        <v>44200</v>
      </c>
      <c r="R868" s="29">
        <v>44500</v>
      </c>
      <c r="S868">
        <v>46200</v>
      </c>
      <c r="T868">
        <v>46800</v>
      </c>
      <c r="U868">
        <v>50800</v>
      </c>
      <c r="V868">
        <v>49300</v>
      </c>
      <c r="W868">
        <v>52200</v>
      </c>
    </row>
    <row r="869" spans="1:23">
      <c r="A869" s="30">
        <v>45153</v>
      </c>
      <c r="B869" s="29" t="str">
        <v>H</v>
      </c>
      <c r="C869" s="29" t="str">
        <v>H</v>
      </c>
      <c r="D869" s="29" t="str">
        <v>H</v>
      </c>
      <c r="E869" s="29" t="str">
        <v>H</v>
      </c>
      <c r="F869" s="29" t="str">
        <v>H</v>
      </c>
      <c r="G869" s="29" t="str">
        <v>H</v>
      </c>
      <c r="H869" s="29" t="str">
        <v>H</v>
      </c>
      <c r="I869" s="29" t="str">
        <v>H</v>
      </c>
      <c r="J869" s="29" t="str">
        <v>H</v>
      </c>
      <c r="K869" s="29" t="str">
        <v>H</v>
      </c>
      <c r="L869" s="29" t="str">
        <v>H</v>
      </c>
      <c r="M869" s="29" t="str">
        <v>H</v>
      </c>
      <c r="N869" s="29" t="str">
        <v>H</v>
      </c>
      <c r="O869" s="29" t="str">
        <v>H</v>
      </c>
      <c r="P869" s="29" t="str">
        <v>H</v>
      </c>
      <c r="Q869" s="29" t="str">
        <v>H</v>
      </c>
      <c r="R869" s="29" t="str">
        <v>H</v>
      </c>
      <c r="S869" t="str">
        <v>H</v>
      </c>
      <c r="T869" t="str">
        <v>H</v>
      </c>
      <c r="U869" t="str">
        <v>H</v>
      </c>
      <c r="V869" t="str">
        <v>H</v>
      </c>
      <c r="W869" t="str">
        <v>H</v>
      </c>
    </row>
    <row r="870" spans="1:23">
      <c r="A870" s="30">
        <v>45154</v>
      </c>
      <c r="B870" s="29">
        <v>48800</v>
      </c>
      <c r="C870" s="29">
        <v>48500</v>
      </c>
      <c r="D870" s="29">
        <v>48000</v>
      </c>
      <c r="E870" s="29">
        <v>44700</v>
      </c>
      <c r="F870" s="29">
        <v>48500</v>
      </c>
      <c r="G870" s="29" t="str">
        <v>-</v>
      </c>
      <c r="H870" s="29">
        <v>46500</v>
      </c>
      <c r="I870" s="29">
        <v>48200</v>
      </c>
      <c r="J870" s="29">
        <v>48000</v>
      </c>
      <c r="K870" s="29" t="str">
        <v>-</v>
      </c>
      <c r="L870" s="29">
        <v>49800</v>
      </c>
      <c r="M870" s="29">
        <v>47700</v>
      </c>
      <c r="N870" s="29">
        <v>47200</v>
      </c>
      <c r="O870" s="29">
        <v>46000</v>
      </c>
      <c r="P870" s="29">
        <v>44700</v>
      </c>
      <c r="Q870" s="29">
        <v>44800</v>
      </c>
      <c r="R870" s="29">
        <v>45000</v>
      </c>
      <c r="S870">
        <v>46800</v>
      </c>
      <c r="T870">
        <v>46800</v>
      </c>
      <c r="U870">
        <v>50800</v>
      </c>
      <c r="V870">
        <v>49000</v>
      </c>
      <c r="W870">
        <v>52000</v>
      </c>
    </row>
    <row r="871" spans="1:23">
      <c r="A871" s="30">
        <v>45155</v>
      </c>
      <c r="B871" s="29">
        <v>49000</v>
      </c>
      <c r="C871" s="29">
        <v>48500</v>
      </c>
      <c r="D871" s="29">
        <v>49000</v>
      </c>
      <c r="E871" s="29">
        <v>45300</v>
      </c>
      <c r="F871" s="29">
        <v>49500</v>
      </c>
      <c r="G871" s="29" t="str">
        <v>-</v>
      </c>
      <c r="H871" s="29">
        <v>47000</v>
      </c>
      <c r="I871" s="29">
        <v>49000</v>
      </c>
      <c r="J871" s="29">
        <v>49300</v>
      </c>
      <c r="K871" s="29" t="str">
        <v>-</v>
      </c>
      <c r="L871" s="29">
        <v>50500</v>
      </c>
      <c r="M871" s="29">
        <v>48900</v>
      </c>
      <c r="N871" s="29">
        <v>48200</v>
      </c>
      <c r="O871" s="29">
        <v>46600</v>
      </c>
      <c r="P871" s="29">
        <v>45200</v>
      </c>
      <c r="Q871" s="29">
        <v>45600</v>
      </c>
      <c r="R871" s="29">
        <v>45800</v>
      </c>
      <c r="S871">
        <v>47400</v>
      </c>
      <c r="T871">
        <v>47800</v>
      </c>
      <c r="U871">
        <v>51300</v>
      </c>
      <c r="V871">
        <v>50000</v>
      </c>
      <c r="W871">
        <v>53000</v>
      </c>
    </row>
    <row r="872" spans="1:23">
      <c r="A872" s="30">
        <v>45156</v>
      </c>
      <c r="B872" s="29">
        <v>49200</v>
      </c>
      <c r="C872" s="29">
        <v>48500</v>
      </c>
      <c r="D872" s="29">
        <v>49200</v>
      </c>
      <c r="E872" s="29">
        <v>45500</v>
      </c>
      <c r="F872" s="29">
        <v>50200</v>
      </c>
      <c r="G872" s="29" t="str">
        <v>-</v>
      </c>
      <c r="H872" s="29">
        <v>47500</v>
      </c>
      <c r="I872" s="29">
        <v>49200</v>
      </c>
      <c r="J872" s="29">
        <v>49800</v>
      </c>
      <c r="K872" s="29" t="str">
        <v>-</v>
      </c>
      <c r="L872" s="29">
        <v>50700</v>
      </c>
      <c r="M872" s="29">
        <v>49500</v>
      </c>
      <c r="N872" s="29">
        <v>48200</v>
      </c>
      <c r="O872" s="29">
        <v>46800</v>
      </c>
      <c r="P872" s="29">
        <v>45500</v>
      </c>
      <c r="Q872" s="29">
        <v>46000</v>
      </c>
      <c r="R872" s="29">
        <v>46000</v>
      </c>
      <c r="S872">
        <v>47600</v>
      </c>
      <c r="T872">
        <v>48600</v>
      </c>
      <c r="U872">
        <v>51300</v>
      </c>
      <c r="V872">
        <v>50300</v>
      </c>
      <c r="W872">
        <v>53100</v>
      </c>
    </row>
    <row r="873" spans="1:23">
      <c r="A873" s="30">
        <v>45157</v>
      </c>
      <c r="B873" s="29">
        <v>49200</v>
      </c>
      <c r="C873" s="29">
        <v>48800</v>
      </c>
      <c r="D873" s="29">
        <v>49200</v>
      </c>
      <c r="E873" s="29">
        <v>45500</v>
      </c>
      <c r="F873" s="29">
        <v>50200</v>
      </c>
      <c r="G873" s="29" t="str">
        <v>-</v>
      </c>
      <c r="H873" s="29">
        <v>48000</v>
      </c>
      <c r="I873" s="29">
        <v>49200</v>
      </c>
      <c r="J873" s="29">
        <v>49800</v>
      </c>
      <c r="K873" s="29" t="str">
        <v>-</v>
      </c>
      <c r="L873" s="29">
        <v>50700</v>
      </c>
      <c r="M873" s="29">
        <v>49500</v>
      </c>
      <c r="N873" s="29">
        <v>48200</v>
      </c>
      <c r="O873" s="29">
        <v>47000</v>
      </c>
      <c r="P873" s="29">
        <v>45500</v>
      </c>
      <c r="Q873" s="29">
        <v>46000</v>
      </c>
      <c r="R873" s="29">
        <v>46000</v>
      </c>
      <c r="S873">
        <v>47600</v>
      </c>
      <c r="T873">
        <v>48600</v>
      </c>
      <c r="U873">
        <v>51300</v>
      </c>
      <c r="V873">
        <v>50300</v>
      </c>
      <c r="W873">
        <v>53100</v>
      </c>
    </row>
    <row r="874" spans="1:23">
      <c r="A874" s="30">
        <v>45158</v>
      </c>
      <c r="B874" s="29" t="str">
        <v>H</v>
      </c>
      <c r="C874" s="29" t="str">
        <v>H</v>
      </c>
      <c r="D874" s="29" t="str">
        <v>H</v>
      </c>
      <c r="E874" s="29" t="str">
        <v>H</v>
      </c>
      <c r="F874" s="29" t="str">
        <v>H</v>
      </c>
      <c r="G874" s="29" t="str">
        <v>H</v>
      </c>
      <c r="H874" s="29" t="str">
        <v>H</v>
      </c>
      <c r="I874" s="29" t="str">
        <v>H</v>
      </c>
      <c r="J874" s="29" t="str">
        <v>H</v>
      </c>
      <c r="K874" s="29" t="str">
        <v>H</v>
      </c>
      <c r="L874" s="29" t="str">
        <v>H</v>
      </c>
      <c r="M874" s="29" t="str">
        <v>H</v>
      </c>
      <c r="N874" s="29" t="str">
        <v>H</v>
      </c>
      <c r="O874" s="29" t="str">
        <v>H</v>
      </c>
      <c r="P874" s="29" t="str">
        <v>H</v>
      </c>
      <c r="Q874" s="29" t="str">
        <v>H</v>
      </c>
      <c r="R874" s="29" t="str">
        <v>H</v>
      </c>
      <c r="S874" t="str">
        <v>H</v>
      </c>
      <c r="T874" t="str">
        <v>H</v>
      </c>
      <c r="U874" t="str">
        <v>H</v>
      </c>
      <c r="V874" t="str">
        <v>H</v>
      </c>
      <c r="W874" t="str">
        <v>H</v>
      </c>
    </row>
    <row r="875" spans="1:23">
      <c r="A875" s="30">
        <v>45159</v>
      </c>
      <c r="B875" s="29">
        <v>48800</v>
      </c>
      <c r="C875" s="29">
        <v>49300</v>
      </c>
      <c r="D875" s="29">
        <v>48800</v>
      </c>
      <c r="E875" s="29">
        <v>45300</v>
      </c>
      <c r="F875" s="29">
        <v>50200</v>
      </c>
      <c r="G875" s="29" t="str">
        <v>-</v>
      </c>
      <c r="H875" s="29">
        <v>48000</v>
      </c>
      <c r="I875" s="29">
        <v>49000</v>
      </c>
      <c r="J875" s="29">
        <v>49800</v>
      </c>
      <c r="K875" s="29" t="str">
        <v>-</v>
      </c>
      <c r="L875" s="29">
        <v>50500</v>
      </c>
      <c r="M875" s="29">
        <v>49500</v>
      </c>
      <c r="N875" s="29">
        <v>48000</v>
      </c>
      <c r="O875" s="29">
        <v>47000</v>
      </c>
      <c r="P875" s="29">
        <v>45300</v>
      </c>
      <c r="Q875" s="29">
        <v>45900</v>
      </c>
      <c r="R875" s="29">
        <v>46000</v>
      </c>
      <c r="S875">
        <v>47400</v>
      </c>
      <c r="T875">
        <v>48500</v>
      </c>
      <c r="U875">
        <v>51300</v>
      </c>
      <c r="V875">
        <v>50100</v>
      </c>
      <c r="W875">
        <v>53000</v>
      </c>
    </row>
    <row r="876" spans="1:23">
      <c r="A876" s="30">
        <v>45160</v>
      </c>
      <c r="B876" s="29">
        <v>49000</v>
      </c>
      <c r="C876" s="29">
        <v>49200</v>
      </c>
      <c r="D876" s="29">
        <v>48400</v>
      </c>
      <c r="E876" s="29">
        <v>45500</v>
      </c>
      <c r="F876" s="29">
        <v>50200</v>
      </c>
      <c r="G876" s="29" t="str">
        <v>-</v>
      </c>
      <c r="H876" s="29">
        <v>47500</v>
      </c>
      <c r="I876" s="29">
        <v>49000</v>
      </c>
      <c r="J876" s="29">
        <v>49800</v>
      </c>
      <c r="K876" s="29" t="str">
        <v>-</v>
      </c>
      <c r="L876" s="29">
        <v>50500</v>
      </c>
      <c r="M876" s="29">
        <v>49500</v>
      </c>
      <c r="N876" s="29">
        <v>48200</v>
      </c>
      <c r="O876" s="29">
        <v>47300</v>
      </c>
      <c r="P876" s="29">
        <v>45400</v>
      </c>
      <c r="Q876" s="29">
        <v>45800</v>
      </c>
      <c r="R876" s="29">
        <v>46000</v>
      </c>
      <c r="S876">
        <v>47600</v>
      </c>
      <c r="T876">
        <v>48500</v>
      </c>
      <c r="U876">
        <v>51300</v>
      </c>
      <c r="V876">
        <v>50100</v>
      </c>
      <c r="W876">
        <v>53000</v>
      </c>
    </row>
    <row r="877" spans="1:23">
      <c r="A877" s="30">
        <v>45161</v>
      </c>
      <c r="B877" s="29">
        <v>49000</v>
      </c>
      <c r="C877" s="29">
        <v>49200</v>
      </c>
      <c r="D877" s="29">
        <v>48400</v>
      </c>
      <c r="E877" s="29">
        <v>45400</v>
      </c>
      <c r="F877" s="29">
        <v>50100</v>
      </c>
      <c r="G877" s="29" t="str">
        <v>-</v>
      </c>
      <c r="H877" s="29">
        <v>47500</v>
      </c>
      <c r="I877" s="29">
        <v>49000</v>
      </c>
      <c r="J877" s="29">
        <v>49800</v>
      </c>
      <c r="K877" s="29" t="str">
        <v>-</v>
      </c>
      <c r="L877" s="29">
        <v>50500</v>
      </c>
      <c r="M877" s="29">
        <v>49500</v>
      </c>
      <c r="N877" s="29">
        <v>48200</v>
      </c>
      <c r="O877" s="29">
        <v>47300</v>
      </c>
      <c r="P877" s="29">
        <v>45500</v>
      </c>
      <c r="Q877" s="29">
        <v>45800</v>
      </c>
      <c r="R877" s="29">
        <v>46000</v>
      </c>
      <c r="S877">
        <v>47500</v>
      </c>
      <c r="T877">
        <v>48500</v>
      </c>
      <c r="U877">
        <v>51300</v>
      </c>
      <c r="V877">
        <v>50100</v>
      </c>
      <c r="W877">
        <v>53000</v>
      </c>
    </row>
    <row r="878" spans="1:23">
      <c r="A878" s="30">
        <v>45162</v>
      </c>
      <c r="B878" s="29">
        <v>49500</v>
      </c>
      <c r="C878" s="29">
        <v>49200</v>
      </c>
      <c r="D878" s="29">
        <v>49000</v>
      </c>
      <c r="E878" s="29">
        <v>46100</v>
      </c>
      <c r="F878" s="29">
        <v>50300</v>
      </c>
      <c r="G878" s="29" t="str">
        <v>-</v>
      </c>
      <c r="H878" s="29">
        <v>48000</v>
      </c>
      <c r="I878" s="29">
        <v>49300</v>
      </c>
      <c r="J878" s="29">
        <v>49800</v>
      </c>
      <c r="K878" s="29" t="str">
        <v>-</v>
      </c>
      <c r="L878" s="29">
        <v>50700</v>
      </c>
      <c r="M878" s="29">
        <v>50100</v>
      </c>
      <c r="N878" s="29">
        <v>48300</v>
      </c>
      <c r="O878" s="29">
        <v>47900</v>
      </c>
      <c r="P878" s="29">
        <v>47000</v>
      </c>
      <c r="Q878" s="29">
        <v>46900</v>
      </c>
      <c r="R878" s="29">
        <v>47200</v>
      </c>
      <c r="S878">
        <v>48200</v>
      </c>
      <c r="T878">
        <v>49100</v>
      </c>
      <c r="U878" t="str">
        <v>-</v>
      </c>
      <c r="V878">
        <v>51000</v>
      </c>
      <c r="W878">
        <v>53900</v>
      </c>
    </row>
    <row r="879" spans="1:23">
      <c r="A879" s="30">
        <v>45163</v>
      </c>
      <c r="B879" s="29">
        <v>50000</v>
      </c>
      <c r="C879" s="29">
        <v>50000</v>
      </c>
      <c r="D879" s="29">
        <v>49200</v>
      </c>
      <c r="E879" s="29">
        <v>46800</v>
      </c>
      <c r="F879" s="29">
        <v>51300</v>
      </c>
      <c r="G879" s="29" t="str">
        <v>-</v>
      </c>
      <c r="H879" s="29">
        <v>49000</v>
      </c>
      <c r="I879" s="29">
        <v>50000</v>
      </c>
      <c r="J879" s="29">
        <v>50500</v>
      </c>
      <c r="K879" s="29" t="str">
        <v>-</v>
      </c>
      <c r="L879" s="29">
        <v>51100</v>
      </c>
      <c r="M879" s="29">
        <v>50500</v>
      </c>
      <c r="N879" s="29">
        <v>49000</v>
      </c>
      <c r="O879" s="29">
        <v>47900</v>
      </c>
      <c r="P879" s="29">
        <v>47400</v>
      </c>
      <c r="Q879" s="29">
        <v>47600</v>
      </c>
      <c r="R879" s="29">
        <v>47800</v>
      </c>
      <c r="S879">
        <v>49000</v>
      </c>
      <c r="T879">
        <v>50300</v>
      </c>
      <c r="U879">
        <v>52300</v>
      </c>
      <c r="V879">
        <v>52200</v>
      </c>
      <c r="W879">
        <v>55000</v>
      </c>
    </row>
    <row r="880" spans="1:23">
      <c r="A880" s="30">
        <v>45164</v>
      </c>
      <c r="B880" s="29">
        <v>50200</v>
      </c>
      <c r="C880" s="29">
        <v>50300</v>
      </c>
      <c r="D880" s="29">
        <v>49200</v>
      </c>
      <c r="E880" s="29">
        <v>46800</v>
      </c>
      <c r="F880" s="29">
        <v>51900</v>
      </c>
      <c r="G880" s="29" t="str">
        <v>-</v>
      </c>
      <c r="H880" s="29">
        <v>49000</v>
      </c>
      <c r="I880" s="29">
        <v>50000</v>
      </c>
      <c r="J880" s="29">
        <v>50700</v>
      </c>
      <c r="K880" s="29" t="str">
        <v>-</v>
      </c>
      <c r="L880" s="29">
        <v>51100</v>
      </c>
      <c r="M880" s="29">
        <v>50800</v>
      </c>
      <c r="N880" s="29">
        <v>48900</v>
      </c>
      <c r="O880" s="29">
        <v>47900</v>
      </c>
      <c r="P880" s="29">
        <v>47500</v>
      </c>
      <c r="Q880" s="29">
        <v>47600</v>
      </c>
      <c r="R880" s="29">
        <v>48300</v>
      </c>
      <c r="S880">
        <v>49000</v>
      </c>
      <c r="T880">
        <v>50300</v>
      </c>
      <c r="U880">
        <v>52300</v>
      </c>
      <c r="V880">
        <v>53000</v>
      </c>
      <c r="W880">
        <v>55000</v>
      </c>
    </row>
    <row r="881" spans="1:23">
      <c r="A881" s="30">
        <v>45165</v>
      </c>
      <c r="B881" s="29" t="str">
        <v>H</v>
      </c>
      <c r="C881" s="29" t="str">
        <v>H</v>
      </c>
      <c r="D881" s="29" t="str">
        <v>H</v>
      </c>
      <c r="E881" s="29" t="str">
        <v>H</v>
      </c>
      <c r="F881" s="29" t="str">
        <v>H</v>
      </c>
      <c r="G881" s="29" t="str">
        <v>H</v>
      </c>
      <c r="H881" s="29" t="str">
        <v>H</v>
      </c>
      <c r="I881" s="29" t="str">
        <v>H</v>
      </c>
      <c r="J881" s="29" t="str">
        <v>H</v>
      </c>
      <c r="K881" s="29" t="str">
        <v>H</v>
      </c>
      <c r="L881" s="29" t="str">
        <v>H</v>
      </c>
      <c r="M881" s="29" t="str">
        <v>H</v>
      </c>
      <c r="N881" s="29" t="str">
        <v>H</v>
      </c>
      <c r="O881" s="29" t="str">
        <v>H</v>
      </c>
      <c r="P881" s="29" t="str">
        <v>H</v>
      </c>
      <c r="Q881" s="29" t="str">
        <v>H</v>
      </c>
      <c r="R881" s="29" t="str">
        <v>H</v>
      </c>
      <c r="S881" t="str">
        <v>H</v>
      </c>
      <c r="T881" t="str">
        <v>H</v>
      </c>
      <c r="U881" t="str">
        <v>H</v>
      </c>
      <c r="V881" t="str">
        <v>H</v>
      </c>
      <c r="W881" t="str">
        <v>H</v>
      </c>
    </row>
    <row r="882" spans="1:23">
      <c r="A882" s="30">
        <v>45166</v>
      </c>
      <c r="B882" s="29">
        <v>50900</v>
      </c>
      <c r="C882" s="29">
        <v>50800</v>
      </c>
      <c r="D882" s="29">
        <v>50100</v>
      </c>
      <c r="E882" s="29">
        <v>47500</v>
      </c>
      <c r="F882" s="29">
        <v>52700</v>
      </c>
      <c r="G882" s="29" t="str">
        <v>-</v>
      </c>
      <c r="H882" s="29">
        <v>50500</v>
      </c>
      <c r="I882" s="29">
        <v>50300</v>
      </c>
      <c r="J882" s="29">
        <v>51500</v>
      </c>
      <c r="K882" s="29" t="str">
        <v>-</v>
      </c>
      <c r="L882" s="29">
        <v>51500</v>
      </c>
      <c r="M882" s="29">
        <v>51300</v>
      </c>
      <c r="N882" s="29">
        <v>49300</v>
      </c>
      <c r="O882" s="29">
        <v>48500</v>
      </c>
      <c r="P882" s="29">
        <v>48200</v>
      </c>
      <c r="Q882" s="29">
        <v>48200</v>
      </c>
      <c r="R882" s="29">
        <v>48500</v>
      </c>
      <c r="S882">
        <v>50000</v>
      </c>
      <c r="T882">
        <v>50700</v>
      </c>
      <c r="U882">
        <v>53800</v>
      </c>
      <c r="V882">
        <v>53100</v>
      </c>
      <c r="W882">
        <v>55300</v>
      </c>
    </row>
    <row r="883" spans="1:23">
      <c r="A883" s="30">
        <v>45167</v>
      </c>
      <c r="B883" s="29">
        <v>51500</v>
      </c>
      <c r="C883" s="29">
        <v>51500</v>
      </c>
      <c r="D883" s="29">
        <v>50200</v>
      </c>
      <c r="E883" s="29">
        <v>48000</v>
      </c>
      <c r="F883" s="29">
        <v>52800</v>
      </c>
      <c r="G883" s="29" t="str">
        <v>-</v>
      </c>
      <c r="H883" s="29">
        <v>51000</v>
      </c>
      <c r="I883" s="29">
        <v>50700</v>
      </c>
      <c r="J883" s="29">
        <v>51700</v>
      </c>
      <c r="K883" s="29" t="str">
        <v>-</v>
      </c>
      <c r="L883" s="29">
        <v>52000</v>
      </c>
      <c r="M883" s="29">
        <v>51300</v>
      </c>
      <c r="N883" s="29">
        <v>49700</v>
      </c>
      <c r="O883" s="29">
        <v>49200</v>
      </c>
      <c r="P883" s="29">
        <v>48500</v>
      </c>
      <c r="Q883" s="29">
        <v>48500</v>
      </c>
      <c r="R883" s="29">
        <v>48800</v>
      </c>
      <c r="S883">
        <v>50500</v>
      </c>
      <c r="T883">
        <v>51000</v>
      </c>
      <c r="U883">
        <v>53800</v>
      </c>
      <c r="V883">
        <v>53500</v>
      </c>
      <c r="W883">
        <v>55700</v>
      </c>
    </row>
    <row r="884" spans="1:23">
      <c r="A884" s="30">
        <v>45168</v>
      </c>
      <c r="B884" s="29" t="str">
        <v>H</v>
      </c>
      <c r="C884" s="29" t="str">
        <v>H</v>
      </c>
      <c r="D884" s="29" t="str">
        <v>H</v>
      </c>
      <c r="E884" s="29" t="str">
        <v>H</v>
      </c>
      <c r="F884" s="29" t="str">
        <v>H</v>
      </c>
      <c r="G884" s="29" t="str">
        <v>H</v>
      </c>
      <c r="H884" s="29" t="str">
        <v>H</v>
      </c>
      <c r="I884" s="29" t="str">
        <v>H</v>
      </c>
      <c r="J884" s="29" t="str">
        <v>H</v>
      </c>
      <c r="K884" s="29" t="str">
        <v>H</v>
      </c>
      <c r="L884" s="29" t="str">
        <v>H</v>
      </c>
      <c r="M884" s="29" t="str">
        <v>H</v>
      </c>
      <c r="N884" s="29" t="str">
        <v>H</v>
      </c>
      <c r="O884" s="29" t="str">
        <v>H</v>
      </c>
      <c r="P884" s="29" t="str">
        <v>H</v>
      </c>
      <c r="Q884" s="29" t="str">
        <v>H</v>
      </c>
      <c r="R884" s="29" t="str">
        <v>H</v>
      </c>
      <c r="S884" t="str">
        <v>H</v>
      </c>
      <c r="T884" t="str">
        <v>H</v>
      </c>
      <c r="U884" t="str">
        <v>H</v>
      </c>
      <c r="V884" t="str">
        <v>H</v>
      </c>
      <c r="W884" t="str">
        <v>H</v>
      </c>
    </row>
    <row r="885" spans="1:23">
      <c r="A885" s="30">
        <v>45169</v>
      </c>
      <c r="B885" s="29">
        <v>51700</v>
      </c>
      <c r="C885" s="29">
        <v>51500</v>
      </c>
      <c r="D885" s="29">
        <v>50200</v>
      </c>
      <c r="E885" s="29">
        <v>48000</v>
      </c>
      <c r="F885" s="29">
        <v>53000</v>
      </c>
      <c r="G885" s="29" t="str">
        <v>-</v>
      </c>
      <c r="H885" s="29">
        <v>50800</v>
      </c>
      <c r="I885" s="29">
        <v>50800</v>
      </c>
      <c r="J885" s="29">
        <v>51700</v>
      </c>
      <c r="K885" s="29" t="str">
        <v>-</v>
      </c>
      <c r="L885" s="29">
        <v>52000</v>
      </c>
      <c r="M885" s="29">
        <v>51500</v>
      </c>
      <c r="N885" s="29">
        <v>49700</v>
      </c>
      <c r="O885" s="29">
        <v>49200</v>
      </c>
      <c r="P885" s="29">
        <v>48500</v>
      </c>
      <c r="Q885" s="29">
        <v>48500</v>
      </c>
      <c r="R885" s="29">
        <v>48800</v>
      </c>
      <c r="S885">
        <v>50500</v>
      </c>
      <c r="T885">
        <v>51000</v>
      </c>
      <c r="U885">
        <v>53800</v>
      </c>
      <c r="V885">
        <v>53500</v>
      </c>
      <c r="W885">
        <v>55700</v>
      </c>
    </row>
    <row r="886" spans="1:23">
      <c r="A886" s="30">
        <v>45170</v>
      </c>
      <c r="B886" s="29">
        <v>51700</v>
      </c>
      <c r="C886" s="29">
        <v>51800</v>
      </c>
      <c r="D886" s="29">
        <v>51000</v>
      </c>
      <c r="E886" s="29">
        <v>47900</v>
      </c>
      <c r="F886" s="29">
        <v>53000</v>
      </c>
      <c r="G886" s="29" t="str">
        <v>-</v>
      </c>
      <c r="H886" s="29">
        <v>52000</v>
      </c>
      <c r="I886" s="29">
        <v>51000</v>
      </c>
      <c r="J886" s="29">
        <v>51700</v>
      </c>
      <c r="K886" s="29" t="str">
        <v>-</v>
      </c>
      <c r="L886" s="29">
        <v>52000</v>
      </c>
      <c r="M886" s="29">
        <v>51600</v>
      </c>
      <c r="N886" s="29">
        <v>50400</v>
      </c>
      <c r="O886" s="29">
        <v>49200</v>
      </c>
      <c r="P886" s="29">
        <v>48800</v>
      </c>
      <c r="Q886" s="29">
        <v>48300</v>
      </c>
      <c r="R886" s="29">
        <v>49000</v>
      </c>
      <c r="S886">
        <v>50400</v>
      </c>
      <c r="T886">
        <v>51000</v>
      </c>
      <c r="U886">
        <v>53800</v>
      </c>
      <c r="V886">
        <v>53500</v>
      </c>
      <c r="W886">
        <v>56200</v>
      </c>
    </row>
    <row r="887" spans="1:23">
      <c r="A887" s="30">
        <v>45171</v>
      </c>
      <c r="B887" s="29">
        <v>51700</v>
      </c>
      <c r="C887" s="29">
        <v>52000</v>
      </c>
      <c r="D887" s="29">
        <v>51300</v>
      </c>
      <c r="E887" s="29">
        <v>47800</v>
      </c>
      <c r="F887" s="29">
        <v>53800</v>
      </c>
      <c r="G887" s="29" t="str">
        <v>-</v>
      </c>
      <c r="H887" s="29">
        <v>52000</v>
      </c>
      <c r="I887" s="29">
        <v>50800</v>
      </c>
      <c r="J887" s="29">
        <v>51700</v>
      </c>
      <c r="K887" s="29" t="str">
        <v>-</v>
      </c>
      <c r="L887" s="29">
        <v>51900</v>
      </c>
      <c r="M887" s="29">
        <v>51600</v>
      </c>
      <c r="N887" s="29">
        <v>50300</v>
      </c>
      <c r="O887" s="29">
        <v>49200</v>
      </c>
      <c r="P887" s="29">
        <v>48500</v>
      </c>
      <c r="Q887" s="29">
        <v>48400</v>
      </c>
      <c r="R887" s="29">
        <v>49000</v>
      </c>
      <c r="S887">
        <v>50300</v>
      </c>
      <c r="T887">
        <v>51000</v>
      </c>
      <c r="U887">
        <v>53800</v>
      </c>
      <c r="V887">
        <v>53500</v>
      </c>
      <c r="W887">
        <v>56200</v>
      </c>
    </row>
    <row r="888" spans="1:23">
      <c r="A888" s="30">
        <v>45172</v>
      </c>
      <c r="B888" s="29" t="str">
        <v>H</v>
      </c>
      <c r="C888" s="29" t="str">
        <v>H</v>
      </c>
      <c r="D888" s="29" t="str">
        <v>H</v>
      </c>
      <c r="E888" s="29" t="str">
        <v>H</v>
      </c>
      <c r="F888" s="29" t="str">
        <v>H</v>
      </c>
      <c r="G888" s="29" t="str">
        <v>H</v>
      </c>
      <c r="H888" s="29" t="str">
        <v>H</v>
      </c>
      <c r="I888" s="29" t="str">
        <v>H</v>
      </c>
      <c r="J888" s="29" t="str">
        <v>H</v>
      </c>
      <c r="K888" s="29" t="str">
        <v>H</v>
      </c>
      <c r="L888" s="29" t="str">
        <v>H</v>
      </c>
      <c r="M888" s="29" t="str">
        <v>H</v>
      </c>
      <c r="N888" s="29" t="str">
        <v>H</v>
      </c>
      <c r="O888" s="29" t="str">
        <v>H</v>
      </c>
      <c r="P888" s="29" t="str">
        <v>H</v>
      </c>
      <c r="Q888" s="29" t="str">
        <v>H</v>
      </c>
      <c r="R888" s="29" t="str">
        <v>H</v>
      </c>
      <c r="S888" t="str">
        <v>H</v>
      </c>
      <c r="T888" t="str">
        <v>H</v>
      </c>
      <c r="U888" t="str">
        <v>H</v>
      </c>
      <c r="V888" t="str">
        <v>H</v>
      </c>
      <c r="W888" t="str">
        <v>H</v>
      </c>
    </row>
    <row r="889" spans="1:23">
      <c r="A889" s="30">
        <v>45173</v>
      </c>
      <c r="B889" s="29">
        <v>51600</v>
      </c>
      <c r="C889" s="29">
        <v>52300</v>
      </c>
      <c r="D889" s="29">
        <v>51300</v>
      </c>
      <c r="E889" s="29">
        <v>48000</v>
      </c>
      <c r="F889" s="29">
        <v>53900</v>
      </c>
      <c r="G889" s="29" t="str">
        <v>-</v>
      </c>
      <c r="H889" s="29">
        <v>52000</v>
      </c>
      <c r="I889" s="29">
        <v>50800</v>
      </c>
      <c r="J889" s="29">
        <v>51700</v>
      </c>
      <c r="K889" s="29" t="str">
        <v>-</v>
      </c>
      <c r="L889" s="29">
        <v>52000</v>
      </c>
      <c r="M889" s="29">
        <v>51600</v>
      </c>
      <c r="N889" s="29">
        <v>50700</v>
      </c>
      <c r="O889" s="29">
        <v>49200</v>
      </c>
      <c r="P889" s="29">
        <v>48700</v>
      </c>
      <c r="Q889" s="29">
        <v>48600</v>
      </c>
      <c r="R889" s="29">
        <v>49300</v>
      </c>
      <c r="S889">
        <v>50500</v>
      </c>
      <c r="T889">
        <v>51100</v>
      </c>
      <c r="U889">
        <v>53800</v>
      </c>
      <c r="V889">
        <v>53500</v>
      </c>
      <c r="W889">
        <v>56000</v>
      </c>
    </row>
    <row r="890" spans="1:23">
      <c r="A890" s="30">
        <v>45174</v>
      </c>
      <c r="B890" s="29">
        <v>51900</v>
      </c>
      <c r="C890" s="29">
        <v>52300</v>
      </c>
      <c r="D890" s="29">
        <v>51300</v>
      </c>
      <c r="E890" s="29">
        <v>48200</v>
      </c>
      <c r="F890" s="29">
        <v>53900</v>
      </c>
      <c r="G890" s="29" t="str">
        <v>-</v>
      </c>
      <c r="H890" s="29">
        <v>51500</v>
      </c>
      <c r="I890" s="29">
        <v>51000</v>
      </c>
      <c r="J890" s="29">
        <v>51700</v>
      </c>
      <c r="K890" s="29" t="str">
        <v>-</v>
      </c>
      <c r="L890" s="29">
        <v>52200</v>
      </c>
      <c r="M890" s="29">
        <v>52000</v>
      </c>
      <c r="N890" s="29">
        <v>51000</v>
      </c>
      <c r="O890" s="29">
        <v>49200</v>
      </c>
      <c r="P890" s="29">
        <v>48700</v>
      </c>
      <c r="Q890" s="29">
        <v>48700</v>
      </c>
      <c r="R890" s="29">
        <v>49300</v>
      </c>
      <c r="S890">
        <v>50700</v>
      </c>
      <c r="T890">
        <v>51100</v>
      </c>
      <c r="U890">
        <v>53800</v>
      </c>
      <c r="V890">
        <v>53500</v>
      </c>
      <c r="W890">
        <v>56000</v>
      </c>
    </row>
    <row r="891" spans="1:23">
      <c r="A891" s="30">
        <v>45175</v>
      </c>
      <c r="B891" s="29">
        <v>51700</v>
      </c>
      <c r="C891" s="29">
        <v>52300</v>
      </c>
      <c r="D891" s="29">
        <v>51300</v>
      </c>
      <c r="E891" s="29">
        <v>48000</v>
      </c>
      <c r="F891" s="29">
        <v>53900</v>
      </c>
      <c r="G891" s="29" t="str">
        <v>-</v>
      </c>
      <c r="H891" s="29">
        <v>51500</v>
      </c>
      <c r="I891" s="29">
        <v>50800</v>
      </c>
      <c r="J891" s="29">
        <v>51700</v>
      </c>
      <c r="K891" s="29" t="str">
        <v>-</v>
      </c>
      <c r="L891" s="29">
        <v>52100</v>
      </c>
      <c r="M891" s="29">
        <v>52200</v>
      </c>
      <c r="N891" s="29">
        <v>50800</v>
      </c>
      <c r="O891" s="29">
        <v>49200</v>
      </c>
      <c r="P891" s="29">
        <v>48500</v>
      </c>
      <c r="Q891" s="29">
        <v>48400</v>
      </c>
      <c r="R891" s="29">
        <v>49300</v>
      </c>
      <c r="S891">
        <v>50500</v>
      </c>
      <c r="T891">
        <v>51000</v>
      </c>
      <c r="U891">
        <v>53800</v>
      </c>
      <c r="V891">
        <v>53500</v>
      </c>
      <c r="W891">
        <v>56000</v>
      </c>
    </row>
    <row r="892" spans="1:23">
      <c r="A892" s="30">
        <v>45176</v>
      </c>
      <c r="B892" s="29" t="str">
        <v>-</v>
      </c>
      <c r="C892" s="29">
        <v>52200</v>
      </c>
      <c r="D892" s="29">
        <v>51100</v>
      </c>
      <c r="E892" s="29">
        <v>47800</v>
      </c>
      <c r="F892" s="29">
        <v>53900</v>
      </c>
      <c r="G892" s="29" t="str">
        <v>-</v>
      </c>
      <c r="H892" s="29">
        <v>51500</v>
      </c>
      <c r="I892" s="29">
        <v>50800</v>
      </c>
      <c r="J892" s="29">
        <v>51700</v>
      </c>
      <c r="K892" s="29" t="str">
        <v>-</v>
      </c>
      <c r="L892" s="29">
        <v>52000</v>
      </c>
      <c r="M892" s="29">
        <v>52200</v>
      </c>
      <c r="N892" s="29">
        <v>50600</v>
      </c>
      <c r="O892" s="29">
        <v>49200</v>
      </c>
      <c r="P892" s="29">
        <v>48500</v>
      </c>
      <c r="Q892" s="29">
        <v>48300</v>
      </c>
      <c r="R892" s="29">
        <v>49300</v>
      </c>
      <c r="S892">
        <v>50300</v>
      </c>
      <c r="T892">
        <v>50700</v>
      </c>
      <c r="U892">
        <v>53800</v>
      </c>
      <c r="V892">
        <v>53200</v>
      </c>
      <c r="W892">
        <v>55700</v>
      </c>
    </row>
    <row r="893" spans="1:23">
      <c r="A893" s="30">
        <v>45177</v>
      </c>
      <c r="B893" s="29">
        <v>51500</v>
      </c>
      <c r="C893" s="29">
        <v>52000</v>
      </c>
      <c r="D893" s="29">
        <v>51100</v>
      </c>
      <c r="E893" s="29">
        <v>47400</v>
      </c>
      <c r="F893" s="29">
        <v>53800</v>
      </c>
      <c r="G893" s="29" t="str">
        <v>-</v>
      </c>
      <c r="H893" s="29">
        <v>51000</v>
      </c>
      <c r="I893" s="29">
        <v>50500</v>
      </c>
      <c r="J893" s="29">
        <v>51700</v>
      </c>
      <c r="K893" s="29" t="str">
        <v>-</v>
      </c>
      <c r="L893" s="29">
        <v>51900</v>
      </c>
      <c r="M893" s="29">
        <v>52200</v>
      </c>
      <c r="N893" s="29">
        <v>50200</v>
      </c>
      <c r="O893" s="29">
        <v>48700</v>
      </c>
      <c r="P893" s="29">
        <v>48300</v>
      </c>
      <c r="Q893" s="29">
        <v>48200</v>
      </c>
      <c r="R893" s="29">
        <v>49000</v>
      </c>
      <c r="S893">
        <v>49900</v>
      </c>
      <c r="T893">
        <v>50600</v>
      </c>
      <c r="U893">
        <v>53800</v>
      </c>
      <c r="V893">
        <v>53200</v>
      </c>
      <c r="W893">
        <v>55700</v>
      </c>
    </row>
    <row r="894" spans="1:23">
      <c r="A894" s="30">
        <v>45178</v>
      </c>
      <c r="B894" s="29">
        <v>51500</v>
      </c>
      <c r="C894" s="29">
        <v>52000</v>
      </c>
      <c r="D894" s="29">
        <v>50800</v>
      </c>
      <c r="E894" s="29">
        <v>47200</v>
      </c>
      <c r="F894" s="29">
        <v>53700</v>
      </c>
      <c r="G894" s="29" t="str">
        <v>-</v>
      </c>
      <c r="H894" s="29">
        <v>51000</v>
      </c>
      <c r="I894" s="29">
        <v>50400</v>
      </c>
      <c r="J894" s="29">
        <v>51700</v>
      </c>
      <c r="K894" s="29" t="str">
        <v>-</v>
      </c>
      <c r="L894" s="29">
        <v>51600</v>
      </c>
      <c r="M894" s="29">
        <v>52200</v>
      </c>
      <c r="N894" s="29">
        <v>50200</v>
      </c>
      <c r="O894" s="29">
        <v>48700</v>
      </c>
      <c r="P894" s="29">
        <v>47500</v>
      </c>
      <c r="Q894" s="29">
        <v>47500</v>
      </c>
      <c r="R894" s="29">
        <v>48500</v>
      </c>
      <c r="S894">
        <v>49700</v>
      </c>
      <c r="T894">
        <v>50200</v>
      </c>
      <c r="U894">
        <v>53800</v>
      </c>
      <c r="V894">
        <v>53000</v>
      </c>
      <c r="W894">
        <v>55500</v>
      </c>
    </row>
    <row r="895" spans="1:23">
      <c r="A895" s="30">
        <v>45179</v>
      </c>
      <c r="B895" s="29" t="str">
        <v>H</v>
      </c>
      <c r="C895" s="29" t="str">
        <v>H</v>
      </c>
      <c r="D895" s="29" t="str">
        <v>H</v>
      </c>
      <c r="E895" s="29" t="str">
        <v>H</v>
      </c>
      <c r="F895" s="29" t="str">
        <v>H</v>
      </c>
      <c r="G895" s="29" t="str">
        <v>H</v>
      </c>
      <c r="H895" s="29" t="str">
        <v>H</v>
      </c>
      <c r="I895" s="29" t="str">
        <v>H</v>
      </c>
      <c r="J895" s="29" t="str">
        <v>H</v>
      </c>
      <c r="K895" s="29" t="str">
        <v>H</v>
      </c>
      <c r="L895" s="29" t="str">
        <v>H</v>
      </c>
      <c r="M895" s="29" t="str">
        <v>H</v>
      </c>
      <c r="N895" s="29" t="str">
        <v>H</v>
      </c>
      <c r="O895" s="29" t="str">
        <v>H</v>
      </c>
      <c r="P895" s="29" t="str">
        <v>H</v>
      </c>
      <c r="Q895" s="29" t="str">
        <v>H</v>
      </c>
      <c r="R895" s="29" t="str">
        <v>H</v>
      </c>
      <c r="S895" t="str">
        <v>H</v>
      </c>
      <c r="T895" t="str">
        <v>H</v>
      </c>
      <c r="U895" t="str">
        <v>H</v>
      </c>
      <c r="V895" t="str">
        <v>H</v>
      </c>
      <c r="W895" t="str">
        <v>H</v>
      </c>
    </row>
    <row r="896" spans="1:23">
      <c r="A896" s="30">
        <v>45180</v>
      </c>
      <c r="B896" s="29">
        <v>51500</v>
      </c>
      <c r="C896" s="29">
        <v>52000</v>
      </c>
      <c r="D896" s="29">
        <v>50500</v>
      </c>
      <c r="E896" s="29">
        <v>47000</v>
      </c>
      <c r="F896" s="29">
        <v>53000</v>
      </c>
      <c r="G896" s="29" t="str">
        <v>-</v>
      </c>
      <c r="H896" s="29">
        <v>50500</v>
      </c>
      <c r="I896" s="29">
        <v>50300</v>
      </c>
      <c r="J896" s="29">
        <v>51500</v>
      </c>
      <c r="K896" s="29" t="str">
        <v>-</v>
      </c>
      <c r="L896" s="29">
        <v>51500</v>
      </c>
      <c r="M896" s="29">
        <v>52200</v>
      </c>
      <c r="N896" s="29">
        <v>49900</v>
      </c>
      <c r="O896" s="29">
        <v>48500</v>
      </c>
      <c r="P896" s="29">
        <v>47400</v>
      </c>
      <c r="Q896" s="29">
        <v>47500</v>
      </c>
      <c r="R896" s="29">
        <v>48300</v>
      </c>
      <c r="S896">
        <v>49500</v>
      </c>
      <c r="T896">
        <v>50200</v>
      </c>
      <c r="U896">
        <v>53800</v>
      </c>
      <c r="V896">
        <v>53000</v>
      </c>
      <c r="W896">
        <v>55500</v>
      </c>
    </row>
    <row r="897" spans="1:23">
      <c r="A897" s="30">
        <v>45181</v>
      </c>
      <c r="B897" s="29">
        <v>51200</v>
      </c>
      <c r="C897" s="29">
        <v>51700</v>
      </c>
      <c r="D897" s="29">
        <v>50300</v>
      </c>
      <c r="E897" s="29">
        <v>46800</v>
      </c>
      <c r="F897" s="29">
        <v>52500</v>
      </c>
      <c r="G897" s="29" t="str">
        <v>-</v>
      </c>
      <c r="H897" s="29">
        <v>50500</v>
      </c>
      <c r="I897" s="29">
        <v>49800</v>
      </c>
      <c r="J897" s="29">
        <v>51800</v>
      </c>
      <c r="K897" s="29" t="str">
        <v>-</v>
      </c>
      <c r="L897" s="29">
        <v>51200</v>
      </c>
      <c r="M897" s="29">
        <v>51700</v>
      </c>
      <c r="N897" s="29">
        <v>49600</v>
      </c>
      <c r="O897" s="29">
        <v>48300</v>
      </c>
      <c r="P897" s="29">
        <v>46900</v>
      </c>
      <c r="Q897" s="29">
        <v>47000</v>
      </c>
      <c r="R897" s="29">
        <v>47800</v>
      </c>
      <c r="S897">
        <v>49300</v>
      </c>
      <c r="T897">
        <v>49700</v>
      </c>
      <c r="U897">
        <v>53300</v>
      </c>
      <c r="V897">
        <v>53000</v>
      </c>
      <c r="W897">
        <v>55500</v>
      </c>
    </row>
    <row r="898" spans="1:23">
      <c r="A898" s="30">
        <v>45182</v>
      </c>
      <c r="B898" s="29">
        <v>51200</v>
      </c>
      <c r="C898" s="29">
        <v>51500</v>
      </c>
      <c r="D898" s="29">
        <v>50500</v>
      </c>
      <c r="E898" s="29">
        <v>46800</v>
      </c>
      <c r="F898" s="29">
        <v>52800</v>
      </c>
      <c r="G898" s="29" t="str">
        <v>-</v>
      </c>
      <c r="H898" s="29">
        <v>51000</v>
      </c>
      <c r="I898" s="29">
        <v>50000</v>
      </c>
      <c r="J898" s="29">
        <v>51800</v>
      </c>
      <c r="K898" s="29" t="str">
        <v>-</v>
      </c>
      <c r="L898" s="29">
        <v>51300</v>
      </c>
      <c r="M898" s="29">
        <v>51700</v>
      </c>
      <c r="N898" s="29">
        <v>50000</v>
      </c>
      <c r="O898" s="29">
        <v>48300</v>
      </c>
      <c r="P898" s="29">
        <v>47200</v>
      </c>
      <c r="Q898" s="29">
        <v>47400</v>
      </c>
      <c r="R898" s="29">
        <v>47800</v>
      </c>
      <c r="S898">
        <v>49100</v>
      </c>
      <c r="T898">
        <v>50000</v>
      </c>
      <c r="U898">
        <v>53300</v>
      </c>
      <c r="V898">
        <v>53000</v>
      </c>
      <c r="W898">
        <v>55500</v>
      </c>
    </row>
    <row r="899" spans="1:23">
      <c r="A899" s="30">
        <v>45183</v>
      </c>
      <c r="B899" s="29">
        <v>51400</v>
      </c>
      <c r="C899" s="29">
        <v>51500</v>
      </c>
      <c r="D899" s="29">
        <v>50700</v>
      </c>
      <c r="E899" s="29">
        <v>47400</v>
      </c>
      <c r="F899" s="29">
        <v>53200</v>
      </c>
      <c r="G899" s="29" t="str">
        <v>-</v>
      </c>
      <c r="H899" s="29">
        <v>51000</v>
      </c>
      <c r="I899" s="29">
        <v>50000</v>
      </c>
      <c r="J899" s="29">
        <v>51800</v>
      </c>
      <c r="K899" s="29" t="str">
        <v>-</v>
      </c>
      <c r="L899" s="29">
        <v>51300</v>
      </c>
      <c r="M899" s="29">
        <v>51700</v>
      </c>
      <c r="N899" s="29">
        <v>50000</v>
      </c>
      <c r="O899" s="29">
        <v>48300</v>
      </c>
      <c r="P899" s="29">
        <v>47200</v>
      </c>
      <c r="Q899" s="29">
        <v>47400</v>
      </c>
      <c r="R899" s="29">
        <v>47800</v>
      </c>
      <c r="S899">
        <v>49700</v>
      </c>
      <c r="T899">
        <v>50000</v>
      </c>
      <c r="U899">
        <v>53300</v>
      </c>
      <c r="V899">
        <v>53000</v>
      </c>
      <c r="W899">
        <v>55500</v>
      </c>
    </row>
    <row r="900" spans="1:23">
      <c r="A900" s="30">
        <v>45184</v>
      </c>
      <c r="B900" s="29">
        <v>51500</v>
      </c>
      <c r="C900" s="29">
        <v>51500</v>
      </c>
      <c r="D900" s="29">
        <v>50900</v>
      </c>
      <c r="E900" s="29">
        <v>47800</v>
      </c>
      <c r="F900" s="29">
        <v>53500</v>
      </c>
      <c r="G900" s="29" t="str">
        <v>-</v>
      </c>
      <c r="H900" s="29">
        <v>51500</v>
      </c>
      <c r="I900" s="29">
        <v>50300</v>
      </c>
      <c r="J900" s="29">
        <v>51800</v>
      </c>
      <c r="K900" s="29" t="str">
        <v>-</v>
      </c>
      <c r="L900" s="29">
        <v>51700</v>
      </c>
      <c r="M900" s="29">
        <v>51700</v>
      </c>
      <c r="N900" s="29">
        <v>50300</v>
      </c>
      <c r="O900" s="29">
        <v>49200</v>
      </c>
      <c r="P900" s="29">
        <v>47500</v>
      </c>
      <c r="Q900" s="29">
        <v>47700</v>
      </c>
      <c r="R900" s="29">
        <v>48300</v>
      </c>
      <c r="S900">
        <v>50100</v>
      </c>
      <c r="T900">
        <v>50500</v>
      </c>
      <c r="U900">
        <v>53800</v>
      </c>
      <c r="V900">
        <v>53000</v>
      </c>
      <c r="W900">
        <v>55800</v>
      </c>
    </row>
    <row r="901" spans="1:23">
      <c r="A901" s="30">
        <v>45185</v>
      </c>
      <c r="B901" s="29">
        <v>51500</v>
      </c>
      <c r="C901" s="29">
        <v>51800</v>
      </c>
      <c r="D901" s="29">
        <v>50700</v>
      </c>
      <c r="E901" s="29">
        <v>47800</v>
      </c>
      <c r="F901" s="29">
        <v>53500</v>
      </c>
      <c r="G901" s="29" t="str">
        <v>-</v>
      </c>
      <c r="H901" s="29">
        <v>52000</v>
      </c>
      <c r="I901" s="29">
        <v>50300</v>
      </c>
      <c r="J901" s="29">
        <v>51800</v>
      </c>
      <c r="K901" s="29" t="str">
        <v>-</v>
      </c>
      <c r="L901" s="29">
        <v>51800</v>
      </c>
      <c r="M901" s="29">
        <v>51900</v>
      </c>
      <c r="N901" s="29">
        <v>50200</v>
      </c>
      <c r="O901" s="29">
        <v>49200</v>
      </c>
      <c r="P901" s="29">
        <v>47500</v>
      </c>
      <c r="Q901" s="29">
        <v>47700</v>
      </c>
      <c r="R901" s="29">
        <v>48300</v>
      </c>
      <c r="S901">
        <v>50100</v>
      </c>
      <c r="T901">
        <v>50500</v>
      </c>
      <c r="U901">
        <v>53800</v>
      </c>
      <c r="V901">
        <v>53200</v>
      </c>
      <c r="W901">
        <v>55800</v>
      </c>
    </row>
    <row r="902" spans="1:23">
      <c r="A902" s="30">
        <v>45186</v>
      </c>
      <c r="B902" s="29" t="str">
        <v>H</v>
      </c>
      <c r="C902" s="29" t="str">
        <v>H</v>
      </c>
      <c r="D902" s="29" t="str">
        <v>H</v>
      </c>
      <c r="E902" s="29" t="str">
        <v>H</v>
      </c>
      <c r="F902" s="29" t="str">
        <v>H</v>
      </c>
      <c r="G902" s="29" t="str">
        <v>H</v>
      </c>
      <c r="H902" s="29" t="str">
        <v>H</v>
      </c>
      <c r="I902" s="29" t="str">
        <v>H</v>
      </c>
      <c r="J902" s="29" t="str">
        <v>H</v>
      </c>
      <c r="K902" s="29" t="str">
        <v>H</v>
      </c>
      <c r="L902" s="29" t="str">
        <v>H</v>
      </c>
      <c r="M902" s="29" t="str">
        <v>H</v>
      </c>
      <c r="N902" s="29" t="str">
        <v>H</v>
      </c>
      <c r="O902" s="29" t="str">
        <v>H</v>
      </c>
      <c r="P902" s="29" t="str">
        <v>H</v>
      </c>
      <c r="Q902" s="29" t="str">
        <v>H</v>
      </c>
      <c r="R902" s="29" t="str">
        <v>H</v>
      </c>
      <c r="S902" t="str">
        <v>H</v>
      </c>
      <c r="T902" t="str">
        <v>H</v>
      </c>
      <c r="U902" t="str">
        <v>H</v>
      </c>
      <c r="V902" t="str">
        <v>H</v>
      </c>
      <c r="W902" t="str">
        <v>H</v>
      </c>
    </row>
    <row r="903" spans="1:23">
      <c r="A903" s="30">
        <v>45187</v>
      </c>
      <c r="B903" s="29">
        <v>51800</v>
      </c>
      <c r="C903" s="29">
        <v>51800</v>
      </c>
      <c r="D903" s="29">
        <v>51200</v>
      </c>
      <c r="E903" s="29">
        <v>48100</v>
      </c>
      <c r="F903" s="29">
        <v>53500</v>
      </c>
      <c r="G903" s="29" t="str">
        <v>-</v>
      </c>
      <c r="H903" s="29">
        <v>52000</v>
      </c>
      <c r="I903" s="29">
        <v>50800</v>
      </c>
      <c r="J903" s="29">
        <v>51800</v>
      </c>
      <c r="K903" s="29" t="str">
        <v>-</v>
      </c>
      <c r="L903" s="29">
        <v>52100</v>
      </c>
      <c r="M903" s="29">
        <v>52100</v>
      </c>
      <c r="N903" s="29">
        <v>50200</v>
      </c>
      <c r="O903" s="29">
        <v>49200</v>
      </c>
      <c r="P903" s="29">
        <v>47500</v>
      </c>
      <c r="Q903" s="29">
        <v>47700</v>
      </c>
      <c r="R903" s="29">
        <v>48300</v>
      </c>
      <c r="S903">
        <v>50400</v>
      </c>
      <c r="T903">
        <v>50500</v>
      </c>
      <c r="U903">
        <v>53800</v>
      </c>
      <c r="V903">
        <v>53300</v>
      </c>
      <c r="W903">
        <v>56200</v>
      </c>
    </row>
    <row r="904" spans="1:23">
      <c r="A904" s="30">
        <v>45188</v>
      </c>
      <c r="B904" s="29">
        <v>51800</v>
      </c>
      <c r="C904" s="29">
        <v>51800</v>
      </c>
      <c r="D904" s="29">
        <v>51200</v>
      </c>
      <c r="E904" s="29">
        <v>48200</v>
      </c>
      <c r="F904" s="29">
        <v>53500</v>
      </c>
      <c r="G904" s="29" t="str">
        <v>-</v>
      </c>
      <c r="H904" s="29">
        <v>52000</v>
      </c>
      <c r="I904" s="29">
        <v>50800</v>
      </c>
      <c r="J904" s="29">
        <v>51800</v>
      </c>
      <c r="K904" s="29" t="str">
        <v>-</v>
      </c>
      <c r="L904" s="29">
        <v>52300</v>
      </c>
      <c r="M904" s="29">
        <v>52100</v>
      </c>
      <c r="N904" s="29">
        <v>50200</v>
      </c>
      <c r="O904" s="29">
        <v>49500</v>
      </c>
      <c r="P904" s="29">
        <v>47600</v>
      </c>
      <c r="Q904" s="29">
        <v>47900</v>
      </c>
      <c r="R904" s="29">
        <v>48500</v>
      </c>
      <c r="S904">
        <v>50500</v>
      </c>
      <c r="T904">
        <v>50800</v>
      </c>
      <c r="U904">
        <v>53800</v>
      </c>
      <c r="V904">
        <v>53500</v>
      </c>
      <c r="W904">
        <v>56300</v>
      </c>
    </row>
    <row r="905" spans="1:23">
      <c r="A905" s="30">
        <v>45189</v>
      </c>
      <c r="B905" s="29">
        <v>51600</v>
      </c>
      <c r="C905" s="29">
        <v>51700</v>
      </c>
      <c r="D905" s="29">
        <v>51000</v>
      </c>
      <c r="E905" s="29">
        <v>47800</v>
      </c>
      <c r="F905" s="29">
        <v>53500</v>
      </c>
      <c r="G905" s="29" t="str">
        <v>-</v>
      </c>
      <c r="H905" s="29">
        <v>51500</v>
      </c>
      <c r="I905" s="29">
        <v>50700</v>
      </c>
      <c r="J905" s="29">
        <v>51800</v>
      </c>
      <c r="K905" s="29" t="str">
        <v>-</v>
      </c>
      <c r="L905" s="29">
        <v>52000</v>
      </c>
      <c r="M905" s="29">
        <v>52100</v>
      </c>
      <c r="N905" s="29">
        <v>50200</v>
      </c>
      <c r="O905" s="29">
        <v>49100</v>
      </c>
      <c r="P905" s="29">
        <v>47200</v>
      </c>
      <c r="Q905" s="29">
        <v>47600</v>
      </c>
      <c r="R905" s="29">
        <v>48200</v>
      </c>
      <c r="S905">
        <v>50100</v>
      </c>
      <c r="T905">
        <v>50800</v>
      </c>
      <c r="U905">
        <v>53800</v>
      </c>
      <c r="V905">
        <v>53700</v>
      </c>
      <c r="W905">
        <v>56600</v>
      </c>
    </row>
    <row r="906" spans="1:23">
      <c r="A906" s="30">
        <v>45190</v>
      </c>
      <c r="B906" s="29">
        <v>51300</v>
      </c>
      <c r="C906" s="29">
        <v>51700</v>
      </c>
      <c r="D906" s="29">
        <v>50600</v>
      </c>
      <c r="E906" s="29">
        <v>47100</v>
      </c>
      <c r="F906" s="29">
        <v>53500</v>
      </c>
      <c r="G906" s="29" t="str">
        <v>-</v>
      </c>
      <c r="H906" s="29">
        <v>51500</v>
      </c>
      <c r="I906" s="29">
        <v>50300</v>
      </c>
      <c r="J906" s="29">
        <v>51800</v>
      </c>
      <c r="K906" s="29" t="str">
        <v>-</v>
      </c>
      <c r="L906" s="29">
        <v>51700</v>
      </c>
      <c r="M906" s="29">
        <v>52100</v>
      </c>
      <c r="N906" s="29">
        <v>49700</v>
      </c>
      <c r="O906" s="29">
        <v>48700</v>
      </c>
      <c r="P906" s="29">
        <v>46900</v>
      </c>
      <c r="Q906" s="29">
        <v>47000</v>
      </c>
      <c r="R906" s="29">
        <v>47800</v>
      </c>
      <c r="S906">
        <v>49400</v>
      </c>
      <c r="T906">
        <v>50400</v>
      </c>
      <c r="U906">
        <v>53800</v>
      </c>
      <c r="V906">
        <v>53700</v>
      </c>
      <c r="W906">
        <v>56600</v>
      </c>
    </row>
    <row r="907" spans="1:23">
      <c r="A907" s="30">
        <v>45191</v>
      </c>
      <c r="B907" s="29">
        <v>51300</v>
      </c>
      <c r="C907" s="29">
        <v>51500</v>
      </c>
      <c r="D907" s="29">
        <v>50400</v>
      </c>
      <c r="E907" s="29">
        <v>46700</v>
      </c>
      <c r="F907" s="29">
        <v>53200</v>
      </c>
      <c r="G907" s="29" t="str">
        <v>-</v>
      </c>
      <c r="H907" s="29">
        <v>51500</v>
      </c>
      <c r="I907" s="29">
        <v>50200</v>
      </c>
      <c r="J907" s="29">
        <v>51500</v>
      </c>
      <c r="K907" s="29" t="str">
        <v>-</v>
      </c>
      <c r="L907" s="29">
        <v>51500</v>
      </c>
      <c r="M907" s="29">
        <v>52100</v>
      </c>
      <c r="N907" s="29">
        <v>49400</v>
      </c>
      <c r="O907" s="29">
        <v>48300</v>
      </c>
      <c r="P907" s="29">
        <v>46600</v>
      </c>
      <c r="Q907" s="29">
        <v>46900</v>
      </c>
      <c r="R907" s="29">
        <v>47500</v>
      </c>
      <c r="S907">
        <v>49000</v>
      </c>
      <c r="T907">
        <v>50000</v>
      </c>
      <c r="U907">
        <v>53800</v>
      </c>
      <c r="V907">
        <v>53400</v>
      </c>
      <c r="W907">
        <v>56400</v>
      </c>
    </row>
    <row r="908" spans="1:23">
      <c r="A908" s="30">
        <v>45192</v>
      </c>
      <c r="B908" s="29">
        <v>51000</v>
      </c>
      <c r="C908" s="29">
        <v>51500</v>
      </c>
      <c r="D908" s="29">
        <v>49700</v>
      </c>
      <c r="E908" s="29">
        <v>46400</v>
      </c>
      <c r="F908" s="29">
        <v>53200</v>
      </c>
      <c r="G908" s="29" t="str">
        <v>-</v>
      </c>
      <c r="H908" s="29">
        <v>51000</v>
      </c>
      <c r="I908" s="29">
        <v>50000</v>
      </c>
      <c r="J908" s="29">
        <v>51500</v>
      </c>
      <c r="K908" s="29" t="str">
        <v>-</v>
      </c>
      <c r="L908" s="29">
        <v>51200</v>
      </c>
      <c r="M908" s="29">
        <v>52100</v>
      </c>
      <c r="N908" s="29">
        <v>48800</v>
      </c>
      <c r="O908" s="29">
        <v>48000</v>
      </c>
      <c r="P908" s="29">
        <v>46300</v>
      </c>
      <c r="Q908" s="29">
        <v>46700</v>
      </c>
      <c r="R908" s="29">
        <v>47200</v>
      </c>
      <c r="S908">
        <v>48700</v>
      </c>
      <c r="T908">
        <v>49800</v>
      </c>
      <c r="U908">
        <v>53300</v>
      </c>
      <c r="V908">
        <v>53400</v>
      </c>
      <c r="W908">
        <v>56400</v>
      </c>
    </row>
    <row r="909" spans="1:23">
      <c r="A909" s="30">
        <v>45193</v>
      </c>
      <c r="B909" s="29" t="str">
        <v>H</v>
      </c>
      <c r="C909" s="29" t="str">
        <v>H</v>
      </c>
      <c r="D909" s="29" t="str">
        <v>H</v>
      </c>
      <c r="E909" s="29" t="str">
        <v>H</v>
      </c>
      <c r="F909" s="29" t="str">
        <v>H</v>
      </c>
      <c r="G909" s="29" t="str">
        <v>H</v>
      </c>
      <c r="H909" s="29" t="str">
        <v>H</v>
      </c>
      <c r="I909" s="29" t="str">
        <v>H</v>
      </c>
      <c r="J909" s="29" t="str">
        <v>H</v>
      </c>
      <c r="K909" s="29" t="str">
        <v>H</v>
      </c>
      <c r="L909" s="29" t="str">
        <v>H</v>
      </c>
      <c r="M909" s="29" t="str">
        <v>H</v>
      </c>
      <c r="N909" s="29" t="str">
        <v>H</v>
      </c>
      <c r="O909" s="29" t="str">
        <v>H</v>
      </c>
      <c r="P909" s="29" t="str">
        <v>H</v>
      </c>
      <c r="Q909" s="29" t="str">
        <v>H</v>
      </c>
      <c r="R909" s="29" t="str">
        <v>H</v>
      </c>
      <c r="S909" t="str">
        <v>H</v>
      </c>
      <c r="T909" t="str">
        <v>H</v>
      </c>
      <c r="U909" t="str">
        <v>H</v>
      </c>
      <c r="V909" t="str">
        <v>H</v>
      </c>
      <c r="W909" t="str">
        <v>H</v>
      </c>
    </row>
    <row r="910" spans="1:23">
      <c r="A910" s="30">
        <v>45194</v>
      </c>
      <c r="B910" s="29">
        <v>51000</v>
      </c>
      <c r="C910" s="29">
        <v>51500</v>
      </c>
      <c r="D910" s="29">
        <v>49700</v>
      </c>
      <c r="E910" s="29">
        <v>46900</v>
      </c>
      <c r="F910" s="29">
        <v>52900</v>
      </c>
      <c r="G910" s="29" t="str">
        <v>-</v>
      </c>
      <c r="H910" s="29">
        <v>51000</v>
      </c>
      <c r="I910" s="29">
        <v>49900</v>
      </c>
      <c r="J910" s="29">
        <v>51000</v>
      </c>
      <c r="K910" s="29" t="str">
        <v>-</v>
      </c>
      <c r="L910" s="29">
        <v>51200</v>
      </c>
      <c r="M910" s="29">
        <v>52100</v>
      </c>
      <c r="N910" s="29">
        <v>49000</v>
      </c>
      <c r="O910" s="29">
        <v>48000</v>
      </c>
      <c r="P910" s="29">
        <v>46500</v>
      </c>
      <c r="Q910" s="29">
        <v>46600</v>
      </c>
      <c r="R910" s="29">
        <v>47200</v>
      </c>
      <c r="S910">
        <v>49200</v>
      </c>
      <c r="T910">
        <v>50000</v>
      </c>
      <c r="U910">
        <v>53300</v>
      </c>
      <c r="V910">
        <v>53200</v>
      </c>
      <c r="W910">
        <v>56400</v>
      </c>
    </row>
    <row r="911" spans="1:23">
      <c r="A911" s="30">
        <v>45195</v>
      </c>
      <c r="B911" s="29">
        <v>51000</v>
      </c>
      <c r="C911" s="29">
        <v>51300</v>
      </c>
      <c r="D911" s="29">
        <v>49500</v>
      </c>
      <c r="E911" s="29">
        <v>46600</v>
      </c>
      <c r="F911" s="29">
        <v>52900</v>
      </c>
      <c r="G911" s="29" t="str">
        <v>-</v>
      </c>
      <c r="H911" s="29">
        <v>51000</v>
      </c>
      <c r="I911" s="29">
        <v>49600</v>
      </c>
      <c r="J911" s="29">
        <v>51000</v>
      </c>
      <c r="K911" s="29" t="str">
        <v>-</v>
      </c>
      <c r="L911" s="29">
        <v>51000</v>
      </c>
      <c r="M911" s="29">
        <v>52100</v>
      </c>
      <c r="N911" s="29">
        <v>48800</v>
      </c>
      <c r="O911" s="29">
        <v>47900</v>
      </c>
      <c r="P911" s="29">
        <v>46300</v>
      </c>
      <c r="Q911" s="29">
        <v>46200</v>
      </c>
      <c r="R911" s="29">
        <v>47000</v>
      </c>
      <c r="S911">
        <v>48900</v>
      </c>
      <c r="T911">
        <v>49800</v>
      </c>
      <c r="U911">
        <v>53300</v>
      </c>
      <c r="V911">
        <v>53200</v>
      </c>
      <c r="W911">
        <v>56400</v>
      </c>
    </row>
    <row r="912" spans="1:23">
      <c r="A912" s="30">
        <v>45196</v>
      </c>
      <c r="B912" s="29">
        <v>50700</v>
      </c>
      <c r="C912" s="29">
        <v>51200</v>
      </c>
      <c r="D912" s="29">
        <v>49000</v>
      </c>
      <c r="E912" s="29">
        <v>46300</v>
      </c>
      <c r="F912" s="29">
        <v>52800</v>
      </c>
      <c r="G912" s="29" t="str">
        <v>-</v>
      </c>
      <c r="H912" s="29">
        <v>50750</v>
      </c>
      <c r="I912" s="29">
        <v>49200</v>
      </c>
      <c r="J912" s="29">
        <v>51000</v>
      </c>
      <c r="K912" s="29" t="str">
        <v>-</v>
      </c>
      <c r="L912" s="29">
        <v>50800</v>
      </c>
      <c r="M912" s="29">
        <v>52100</v>
      </c>
      <c r="N912" s="29">
        <v>48700</v>
      </c>
      <c r="O912" s="29">
        <v>47700</v>
      </c>
      <c r="P912" s="29">
        <v>45800</v>
      </c>
      <c r="Q912" s="29">
        <v>46000</v>
      </c>
      <c r="R912" s="29">
        <v>46800</v>
      </c>
      <c r="S912">
        <v>48600</v>
      </c>
      <c r="T912">
        <v>49500</v>
      </c>
      <c r="U912">
        <v>52800</v>
      </c>
      <c r="V912">
        <v>53200</v>
      </c>
      <c r="W912">
        <v>56400</v>
      </c>
    </row>
    <row r="913" spans="1:23">
      <c r="A913" s="30">
        <v>45197</v>
      </c>
      <c r="B913" s="29">
        <v>50600</v>
      </c>
      <c r="C913" s="29">
        <v>51200</v>
      </c>
      <c r="D913" s="29">
        <v>49000</v>
      </c>
      <c r="E913" s="29">
        <v>46500</v>
      </c>
      <c r="F913" s="29">
        <v>52500</v>
      </c>
      <c r="G913" s="29" t="str">
        <v>-</v>
      </c>
      <c r="H913" s="29">
        <v>50500</v>
      </c>
      <c r="I913" s="29">
        <v>49200</v>
      </c>
      <c r="J913" s="29">
        <v>51000</v>
      </c>
      <c r="K913" s="29" t="str">
        <v>-</v>
      </c>
      <c r="L913" s="29">
        <v>50800</v>
      </c>
      <c r="M913" s="29">
        <v>52100</v>
      </c>
      <c r="N913" s="29">
        <v>48700</v>
      </c>
      <c r="O913" s="29">
        <v>47700</v>
      </c>
      <c r="P913" s="29">
        <v>45800</v>
      </c>
      <c r="Q913" s="29">
        <v>46000</v>
      </c>
      <c r="R913" s="29">
        <v>46800</v>
      </c>
      <c r="S913">
        <v>48800</v>
      </c>
      <c r="T913">
        <v>49300</v>
      </c>
      <c r="U913">
        <v>52800</v>
      </c>
      <c r="V913">
        <v>52800</v>
      </c>
      <c r="W913">
        <v>55600</v>
      </c>
    </row>
    <row r="914" spans="1:23">
      <c r="A914" s="30">
        <v>45198</v>
      </c>
      <c r="B914" s="29">
        <v>50400</v>
      </c>
      <c r="C914" s="29">
        <v>51000</v>
      </c>
      <c r="D914" s="29">
        <v>49000</v>
      </c>
      <c r="E914" s="29">
        <v>46000</v>
      </c>
      <c r="F914" s="29">
        <v>52500</v>
      </c>
      <c r="G914" s="29" t="str">
        <v>-</v>
      </c>
      <c r="H914" s="29">
        <v>50500</v>
      </c>
      <c r="I914" s="29">
        <v>49000</v>
      </c>
      <c r="J914" s="29">
        <v>51000</v>
      </c>
      <c r="K914" s="29" t="str">
        <v>-</v>
      </c>
      <c r="L914" s="29">
        <v>50700</v>
      </c>
      <c r="M914" s="29">
        <v>52100</v>
      </c>
      <c r="N914" s="29">
        <v>48400</v>
      </c>
      <c r="O914" s="29">
        <v>47500</v>
      </c>
      <c r="P914" s="29">
        <v>45500</v>
      </c>
      <c r="Q914" s="29">
        <v>45900</v>
      </c>
      <c r="R914" s="29">
        <v>46500</v>
      </c>
      <c r="S914">
        <v>48300</v>
      </c>
      <c r="T914">
        <v>49000</v>
      </c>
      <c r="U914">
        <v>52800</v>
      </c>
      <c r="V914">
        <v>52800</v>
      </c>
      <c r="W914">
        <v>55600</v>
      </c>
    </row>
    <row r="915" spans="1:23">
      <c r="A915" s="30">
        <v>45199</v>
      </c>
      <c r="B915" s="29">
        <v>50400</v>
      </c>
      <c r="C915" s="29">
        <v>51000</v>
      </c>
      <c r="D915" s="29">
        <v>49300</v>
      </c>
      <c r="E915" s="29">
        <v>46000</v>
      </c>
      <c r="F915" s="29">
        <v>51500</v>
      </c>
      <c r="G915" s="29" t="str">
        <v>-</v>
      </c>
      <c r="H915" s="29">
        <v>50500</v>
      </c>
      <c r="I915" s="29">
        <v>48800</v>
      </c>
      <c r="J915" s="29">
        <v>51000</v>
      </c>
      <c r="K915" s="29" t="str">
        <v>-</v>
      </c>
      <c r="L915" s="29">
        <v>50700</v>
      </c>
      <c r="M915" s="29">
        <v>52100</v>
      </c>
      <c r="N915" s="29">
        <v>48200</v>
      </c>
      <c r="O915" s="29">
        <v>47500</v>
      </c>
      <c r="P915" s="29">
        <v>45500</v>
      </c>
      <c r="Q915" s="29">
        <v>45900</v>
      </c>
      <c r="R915" s="29">
        <v>46500</v>
      </c>
      <c r="S915">
        <v>48300</v>
      </c>
      <c r="T915">
        <v>49000</v>
      </c>
      <c r="U915">
        <v>52800</v>
      </c>
      <c r="V915">
        <v>52400</v>
      </c>
      <c r="W915">
        <v>54800</v>
      </c>
    </row>
    <row r="916" spans="1:23">
      <c r="A916" s="30">
        <v>45200</v>
      </c>
      <c r="B916" s="29" t="str">
        <v>H</v>
      </c>
      <c r="C916" s="29" t="str">
        <v>H</v>
      </c>
      <c r="D916" s="29" t="str">
        <v>H</v>
      </c>
      <c r="E916" s="29" t="str">
        <v>H</v>
      </c>
      <c r="F916" s="29" t="str">
        <v>H</v>
      </c>
      <c r="G916" s="29" t="str">
        <v>H</v>
      </c>
      <c r="H916" s="29" t="str">
        <v>H</v>
      </c>
      <c r="I916" s="29" t="str">
        <v>H</v>
      </c>
      <c r="J916" s="29" t="str">
        <v>H</v>
      </c>
      <c r="K916" s="29" t="str">
        <v>H</v>
      </c>
      <c r="L916" s="29" t="str">
        <v>H</v>
      </c>
      <c r="M916" s="29" t="str">
        <v>H</v>
      </c>
      <c r="N916" s="29" t="str">
        <v>H</v>
      </c>
      <c r="O916" s="29" t="str">
        <v>H</v>
      </c>
      <c r="P916" s="29" t="str">
        <v>H</v>
      </c>
      <c r="Q916" s="29" t="str">
        <v>H</v>
      </c>
      <c r="R916" s="29" t="str">
        <v>H</v>
      </c>
      <c r="S916" t="str">
        <v>H</v>
      </c>
      <c r="T916" t="str">
        <v>H</v>
      </c>
      <c r="U916" t="str">
        <v>H</v>
      </c>
      <c r="V916" t="str">
        <v>H</v>
      </c>
      <c r="W916" t="str">
        <v>H</v>
      </c>
    </row>
    <row r="917" spans="1:23">
      <c r="A917" s="30">
        <v>45201</v>
      </c>
      <c r="B917" s="29" t="str">
        <v>H</v>
      </c>
      <c r="C917" s="29" t="str">
        <v>H</v>
      </c>
      <c r="D917" s="29" t="str">
        <v>H</v>
      </c>
      <c r="E917" s="29" t="str">
        <v>H</v>
      </c>
      <c r="F917" s="29" t="str">
        <v>H</v>
      </c>
      <c r="G917" s="29" t="str">
        <v>H</v>
      </c>
      <c r="H917" s="29" t="str">
        <v>H</v>
      </c>
      <c r="I917" s="29" t="str">
        <v>H</v>
      </c>
      <c r="J917" s="29" t="str">
        <v>H</v>
      </c>
      <c r="K917" s="29" t="str">
        <v>H</v>
      </c>
      <c r="L917" s="29" t="str">
        <v>H</v>
      </c>
      <c r="M917" s="29" t="str">
        <v>H</v>
      </c>
      <c r="N917" s="29" t="str">
        <v>H</v>
      </c>
      <c r="O917" s="29" t="str">
        <v>H</v>
      </c>
      <c r="P917" s="29" t="str">
        <v>H</v>
      </c>
      <c r="Q917" s="29" t="str">
        <v>H</v>
      </c>
      <c r="R917" s="29" t="str">
        <v>H</v>
      </c>
      <c r="S917" t="str">
        <v>H</v>
      </c>
      <c r="T917" t="str">
        <v>H</v>
      </c>
      <c r="U917" t="str">
        <v>H</v>
      </c>
      <c r="V917" t="str">
        <v>H</v>
      </c>
      <c r="W917" t="str">
        <v>H</v>
      </c>
    </row>
    <row r="918" spans="1:23">
      <c r="A918" s="30">
        <v>45202</v>
      </c>
      <c r="B918" s="29">
        <v>50200</v>
      </c>
      <c r="C918" s="29">
        <v>51000</v>
      </c>
      <c r="D918" s="29">
        <v>49100</v>
      </c>
      <c r="E918" s="29">
        <v>45800</v>
      </c>
      <c r="F918" s="29">
        <v>51200</v>
      </c>
      <c r="G918" s="29" t="str">
        <v>-</v>
      </c>
      <c r="H918" s="29">
        <v>50500</v>
      </c>
      <c r="I918" s="29">
        <v>48300</v>
      </c>
      <c r="J918" s="29">
        <v>50700</v>
      </c>
      <c r="K918" s="29" t="str">
        <v>-</v>
      </c>
      <c r="L918" s="29">
        <v>50500</v>
      </c>
      <c r="M918" s="29">
        <v>52000</v>
      </c>
      <c r="N918" s="29">
        <v>48000</v>
      </c>
      <c r="O918" s="29">
        <v>47500</v>
      </c>
      <c r="P918" s="29">
        <v>45300</v>
      </c>
      <c r="Q918" s="29">
        <v>45700</v>
      </c>
      <c r="R918" s="29">
        <v>46100</v>
      </c>
      <c r="S918">
        <v>48100</v>
      </c>
      <c r="T918">
        <v>48700</v>
      </c>
      <c r="U918">
        <v>52800</v>
      </c>
      <c r="V918">
        <v>51700</v>
      </c>
      <c r="W918">
        <v>54500</v>
      </c>
    </row>
    <row r="919" spans="1:23">
      <c r="A919" s="30">
        <v>45203</v>
      </c>
      <c r="B919" s="29">
        <v>50000</v>
      </c>
      <c r="C919" s="29">
        <v>51000</v>
      </c>
      <c r="D919" s="29">
        <v>49200</v>
      </c>
      <c r="E919" s="29">
        <v>46200</v>
      </c>
      <c r="F919" s="29">
        <v>51500</v>
      </c>
      <c r="G919" s="29" t="str">
        <v>-</v>
      </c>
      <c r="H919" s="29">
        <v>50500</v>
      </c>
      <c r="I919" s="29">
        <v>48400</v>
      </c>
      <c r="J919" s="29">
        <v>50700</v>
      </c>
      <c r="K919" s="29" t="str">
        <v>-</v>
      </c>
      <c r="L919" s="29">
        <v>50500</v>
      </c>
      <c r="M919" s="29">
        <v>51700</v>
      </c>
      <c r="N919" s="29">
        <v>48000</v>
      </c>
      <c r="O919" s="29">
        <v>47400</v>
      </c>
      <c r="P919" s="29">
        <v>45800</v>
      </c>
      <c r="Q919" s="29">
        <v>46300</v>
      </c>
      <c r="R919" s="29">
        <v>46300</v>
      </c>
      <c r="S919">
        <v>48500</v>
      </c>
      <c r="T919">
        <v>49200</v>
      </c>
      <c r="U919">
        <v>52800</v>
      </c>
      <c r="V919">
        <v>51700</v>
      </c>
      <c r="W919">
        <v>54500</v>
      </c>
    </row>
    <row r="920" spans="1:23">
      <c r="A920" s="30">
        <v>45204</v>
      </c>
      <c r="B920" s="29">
        <v>50300</v>
      </c>
      <c r="C920" s="29">
        <v>51300</v>
      </c>
      <c r="D920" s="29">
        <v>49200</v>
      </c>
      <c r="E920" s="29">
        <v>46300</v>
      </c>
      <c r="F920" s="29">
        <v>51600</v>
      </c>
      <c r="G920" s="29" t="str">
        <v>-</v>
      </c>
      <c r="H920" s="29">
        <v>51000</v>
      </c>
      <c r="I920" s="29">
        <v>48700</v>
      </c>
      <c r="J920" s="29">
        <v>51200</v>
      </c>
      <c r="K920" s="29" t="str">
        <v>-</v>
      </c>
      <c r="L920" s="29">
        <v>50800</v>
      </c>
      <c r="M920" s="29">
        <v>51700</v>
      </c>
      <c r="N920" s="29">
        <v>48300</v>
      </c>
      <c r="O920" s="29">
        <v>47800</v>
      </c>
      <c r="P920" s="29">
        <v>46500</v>
      </c>
      <c r="Q920" s="29">
        <v>47200</v>
      </c>
      <c r="R920" s="29">
        <v>46800</v>
      </c>
      <c r="S920">
        <v>48600</v>
      </c>
      <c r="T920">
        <v>49500</v>
      </c>
      <c r="U920">
        <v>52800</v>
      </c>
      <c r="V920">
        <v>51700</v>
      </c>
      <c r="W920">
        <v>54700</v>
      </c>
    </row>
    <row r="921" spans="1:23">
      <c r="A921" s="30">
        <v>45205</v>
      </c>
      <c r="B921" s="29">
        <v>50600</v>
      </c>
      <c r="C921" s="29">
        <v>51500</v>
      </c>
      <c r="D921" s="29">
        <v>49500</v>
      </c>
      <c r="E921" s="29">
        <v>47000</v>
      </c>
      <c r="F921" s="29">
        <v>52400</v>
      </c>
      <c r="G921" s="29" t="str">
        <v>-</v>
      </c>
      <c r="H921" s="29">
        <v>51000</v>
      </c>
      <c r="I921" s="29">
        <v>49200</v>
      </c>
      <c r="J921" s="29">
        <v>51700</v>
      </c>
      <c r="K921" s="29" t="str">
        <v>-</v>
      </c>
      <c r="L921" s="29">
        <v>51200</v>
      </c>
      <c r="M921" s="29">
        <v>51700</v>
      </c>
      <c r="N921" s="29">
        <v>48700</v>
      </c>
      <c r="O921" s="29">
        <v>47900</v>
      </c>
      <c r="P921" s="29">
        <v>46800</v>
      </c>
      <c r="Q921" s="29">
        <v>47300</v>
      </c>
      <c r="R921" s="29">
        <v>47300</v>
      </c>
      <c r="S921">
        <v>49300</v>
      </c>
      <c r="T921">
        <v>50000</v>
      </c>
      <c r="U921">
        <v>52800</v>
      </c>
      <c r="V921">
        <v>52300</v>
      </c>
      <c r="W921">
        <v>55600</v>
      </c>
    </row>
    <row r="922" spans="1:23">
      <c r="A922" s="30">
        <v>45206</v>
      </c>
      <c r="B922" s="29">
        <v>50600</v>
      </c>
      <c r="C922" s="29">
        <v>51500</v>
      </c>
      <c r="D922" s="29">
        <v>49400</v>
      </c>
      <c r="E922" s="29">
        <v>46500</v>
      </c>
      <c r="F922" s="29">
        <v>52400</v>
      </c>
      <c r="G922" s="29" t="str">
        <v>-</v>
      </c>
      <c r="H922" s="29">
        <v>51000</v>
      </c>
      <c r="I922" s="29">
        <v>49200</v>
      </c>
      <c r="J922" s="29">
        <v>51700</v>
      </c>
      <c r="K922" s="29" t="str">
        <v>-</v>
      </c>
      <c r="L922" s="29">
        <v>51000</v>
      </c>
      <c r="M922" s="29">
        <v>51700</v>
      </c>
      <c r="N922" s="29">
        <v>48500</v>
      </c>
      <c r="O922" s="29">
        <v>47800</v>
      </c>
      <c r="P922" s="29">
        <v>46300</v>
      </c>
      <c r="Q922" s="29">
        <v>47200</v>
      </c>
      <c r="R922" s="29">
        <v>47000</v>
      </c>
      <c r="S922">
        <v>48800</v>
      </c>
      <c r="T922">
        <v>50000</v>
      </c>
      <c r="U922">
        <v>52800</v>
      </c>
      <c r="V922">
        <v>52300</v>
      </c>
      <c r="W922">
        <v>55600</v>
      </c>
    </row>
    <row r="923" spans="1:23">
      <c r="A923" s="30">
        <v>45207</v>
      </c>
      <c r="B923" s="29" t="str">
        <v>H</v>
      </c>
      <c r="C923" s="29" t="str">
        <v>H</v>
      </c>
      <c r="D923" s="29" t="str">
        <v>H</v>
      </c>
      <c r="E923" s="29" t="str">
        <v>H</v>
      </c>
      <c r="F923" s="29" t="str">
        <v>H</v>
      </c>
      <c r="G923" s="29" t="str">
        <v>H</v>
      </c>
      <c r="H923" s="29" t="str">
        <v>H</v>
      </c>
      <c r="I923" s="29" t="str">
        <v>H</v>
      </c>
      <c r="J923" s="29" t="str">
        <v>H</v>
      </c>
      <c r="K923" s="29" t="str">
        <v>H</v>
      </c>
      <c r="L923" s="29" t="str">
        <v>H</v>
      </c>
      <c r="M923" s="29" t="str">
        <v>H</v>
      </c>
      <c r="N923" s="29" t="str">
        <v>H</v>
      </c>
      <c r="O923" s="29" t="str">
        <v>H</v>
      </c>
      <c r="P923" s="29" t="str">
        <v>H</v>
      </c>
      <c r="Q923" s="29" t="str">
        <v>H</v>
      </c>
      <c r="R923" s="29" t="str">
        <v>H</v>
      </c>
      <c r="S923" t="str">
        <v>H</v>
      </c>
      <c r="T923" t="str">
        <v>H</v>
      </c>
      <c r="U923" t="str">
        <v>H</v>
      </c>
      <c r="V923" t="str">
        <v>H</v>
      </c>
      <c r="W923" t="str">
        <v>H</v>
      </c>
    </row>
    <row r="924" spans="1:23">
      <c r="A924" s="30">
        <v>45208</v>
      </c>
      <c r="B924" s="29">
        <v>50600</v>
      </c>
      <c r="C924" s="29">
        <v>51000</v>
      </c>
      <c r="D924" s="29">
        <v>48400</v>
      </c>
      <c r="E924" s="29">
        <v>46100</v>
      </c>
      <c r="F924" s="29">
        <v>52400</v>
      </c>
      <c r="G924" s="29" t="str">
        <v>-</v>
      </c>
      <c r="H924" s="29">
        <v>50500</v>
      </c>
      <c r="I924" s="29">
        <v>49200</v>
      </c>
      <c r="J924" s="29">
        <v>51700</v>
      </c>
      <c r="K924" s="29" t="str">
        <v>-</v>
      </c>
      <c r="L924" s="29">
        <v>50900</v>
      </c>
      <c r="M924" s="29">
        <v>51700</v>
      </c>
      <c r="N924" s="29">
        <v>48000</v>
      </c>
      <c r="O924" s="29">
        <v>47500</v>
      </c>
      <c r="P924" s="29">
        <v>46100</v>
      </c>
      <c r="Q924" s="29">
        <v>46800</v>
      </c>
      <c r="R924" s="29">
        <v>46800</v>
      </c>
      <c r="S924">
        <v>48800</v>
      </c>
      <c r="T924">
        <v>49800</v>
      </c>
      <c r="U924">
        <v>52800</v>
      </c>
      <c r="V924">
        <v>52300</v>
      </c>
      <c r="W924">
        <v>55500</v>
      </c>
    </row>
    <row r="925" spans="1:23">
      <c r="A925" s="30">
        <v>45209</v>
      </c>
      <c r="B925" s="29">
        <v>50300</v>
      </c>
      <c r="C925" s="29">
        <v>51000</v>
      </c>
      <c r="D925" s="29">
        <v>48700</v>
      </c>
      <c r="E925" s="29">
        <v>45800</v>
      </c>
      <c r="F925" s="29">
        <v>52200</v>
      </c>
      <c r="G925" s="29" t="str">
        <v>-</v>
      </c>
      <c r="H925" s="29">
        <v>50500</v>
      </c>
      <c r="I925" s="29">
        <v>48800</v>
      </c>
      <c r="J925" s="29">
        <v>51300</v>
      </c>
      <c r="K925" s="29" t="str">
        <v>-</v>
      </c>
      <c r="L925" s="29">
        <v>50700</v>
      </c>
      <c r="M925" s="29">
        <v>51400</v>
      </c>
      <c r="N925" s="29">
        <v>48000</v>
      </c>
      <c r="O925" s="29">
        <v>47200</v>
      </c>
      <c r="P925" s="29">
        <v>45300</v>
      </c>
      <c r="Q925" s="29">
        <v>46500</v>
      </c>
      <c r="R925" s="29">
        <v>46300</v>
      </c>
      <c r="S925">
        <v>48100</v>
      </c>
      <c r="T925">
        <v>49500</v>
      </c>
      <c r="U925">
        <v>52800</v>
      </c>
      <c r="V925">
        <v>52300</v>
      </c>
      <c r="W925">
        <v>55500</v>
      </c>
    </row>
    <row r="926" spans="1:23">
      <c r="A926" s="30">
        <v>45210</v>
      </c>
      <c r="B926" s="29">
        <v>50200</v>
      </c>
      <c r="C926" s="29">
        <v>51000</v>
      </c>
      <c r="D926" s="29">
        <v>48900</v>
      </c>
      <c r="E926" s="29">
        <v>45700</v>
      </c>
      <c r="F926" s="29">
        <v>52200</v>
      </c>
      <c r="G926" s="29" t="str">
        <v>-</v>
      </c>
      <c r="H926" s="29">
        <v>50250</v>
      </c>
      <c r="I926" s="29">
        <v>48700</v>
      </c>
      <c r="J926" s="29">
        <v>51300</v>
      </c>
      <c r="K926" s="29" t="str">
        <v>-</v>
      </c>
      <c r="L926" s="29">
        <v>50600</v>
      </c>
      <c r="M926" s="29">
        <v>51400</v>
      </c>
      <c r="N926" s="29">
        <v>47800</v>
      </c>
      <c r="O926" s="29">
        <v>47200</v>
      </c>
      <c r="P926" s="29">
        <v>45500</v>
      </c>
      <c r="Q926" s="29">
        <v>46300</v>
      </c>
      <c r="R926" s="29">
        <v>46100</v>
      </c>
      <c r="S926">
        <v>48000</v>
      </c>
      <c r="T926">
        <v>49300</v>
      </c>
      <c r="U926">
        <v>52800</v>
      </c>
      <c r="V926">
        <v>52300</v>
      </c>
      <c r="W926">
        <v>55500</v>
      </c>
    </row>
    <row r="927" spans="1:23">
      <c r="A927" s="30">
        <v>45211</v>
      </c>
      <c r="B927" s="29">
        <v>50000</v>
      </c>
      <c r="C927" s="29">
        <v>50800</v>
      </c>
      <c r="D927" s="29">
        <v>48900</v>
      </c>
      <c r="E927" s="29">
        <v>45700</v>
      </c>
      <c r="F927" s="29">
        <v>51400</v>
      </c>
      <c r="G927" s="29" t="str">
        <v>-</v>
      </c>
      <c r="H927" s="29">
        <v>50000</v>
      </c>
      <c r="I927" s="29">
        <v>48200</v>
      </c>
      <c r="J927" s="29">
        <v>51000</v>
      </c>
      <c r="K927" s="29" t="str">
        <v>-</v>
      </c>
      <c r="L927" s="29">
        <v>50100</v>
      </c>
      <c r="M927" s="29">
        <v>51100</v>
      </c>
      <c r="N927" s="29">
        <v>47300</v>
      </c>
      <c r="O927" s="29">
        <v>46800</v>
      </c>
      <c r="P927" s="29">
        <v>45200</v>
      </c>
      <c r="Q927" s="29">
        <v>45800</v>
      </c>
      <c r="R927" s="29">
        <v>45900</v>
      </c>
      <c r="S927">
        <v>47900</v>
      </c>
      <c r="T927">
        <v>48800</v>
      </c>
      <c r="U927">
        <v>51800</v>
      </c>
      <c r="V927">
        <v>52000</v>
      </c>
      <c r="W927">
        <v>55400</v>
      </c>
    </row>
    <row r="928" spans="1:23">
      <c r="A928" s="30">
        <v>45212</v>
      </c>
      <c r="B928" s="29">
        <v>49700</v>
      </c>
      <c r="C928" s="29">
        <v>50800</v>
      </c>
      <c r="D928" s="29">
        <v>48200</v>
      </c>
      <c r="E928" s="29">
        <v>45100</v>
      </c>
      <c r="F928" s="29">
        <v>51400</v>
      </c>
      <c r="G928" s="29" t="str">
        <v>-</v>
      </c>
      <c r="H928" s="29">
        <v>49500</v>
      </c>
      <c r="I928" s="29">
        <v>47800</v>
      </c>
      <c r="J928" s="29">
        <v>50800</v>
      </c>
      <c r="K928" s="29" t="str">
        <v>-</v>
      </c>
      <c r="L928" s="29">
        <v>49800</v>
      </c>
      <c r="M928" s="29">
        <v>50900</v>
      </c>
      <c r="N928" s="29">
        <v>47000</v>
      </c>
      <c r="O928" s="29">
        <v>46800</v>
      </c>
      <c r="P928" s="29">
        <v>44500</v>
      </c>
      <c r="Q928" s="29">
        <v>45700</v>
      </c>
      <c r="R928" s="29">
        <v>45600</v>
      </c>
      <c r="S928">
        <v>47400</v>
      </c>
      <c r="T928">
        <v>48500</v>
      </c>
      <c r="U928">
        <v>51800</v>
      </c>
      <c r="V928">
        <v>51900</v>
      </c>
      <c r="W928">
        <v>55200</v>
      </c>
    </row>
    <row r="929" spans="1:23">
      <c r="A929" s="30">
        <v>45213</v>
      </c>
      <c r="B929" s="29">
        <v>49900</v>
      </c>
      <c r="C929" s="29">
        <v>51000</v>
      </c>
      <c r="D929" s="29">
        <v>48400</v>
      </c>
      <c r="E929" s="29">
        <v>45200</v>
      </c>
      <c r="F929" s="29">
        <v>51700</v>
      </c>
      <c r="G929" s="29" t="str">
        <v>-</v>
      </c>
      <c r="H929" s="29">
        <v>50500</v>
      </c>
      <c r="I929" s="29">
        <v>47800</v>
      </c>
      <c r="J929" s="29">
        <v>51000</v>
      </c>
      <c r="K929" s="29" t="str">
        <v>-</v>
      </c>
      <c r="L929" s="29">
        <v>49800</v>
      </c>
      <c r="M929" s="29">
        <v>51000</v>
      </c>
      <c r="N929" s="29">
        <v>47400</v>
      </c>
      <c r="O929" s="29">
        <v>47000</v>
      </c>
      <c r="P929" s="29">
        <v>45700</v>
      </c>
      <c r="Q929" s="29">
        <v>46500</v>
      </c>
      <c r="R929" s="29">
        <v>46800</v>
      </c>
      <c r="S929">
        <v>47500</v>
      </c>
      <c r="T929">
        <v>49000</v>
      </c>
      <c r="U929">
        <v>51800</v>
      </c>
      <c r="V929">
        <v>51800</v>
      </c>
      <c r="W929">
        <v>55000</v>
      </c>
    </row>
    <row r="930" spans="1:23">
      <c r="A930" s="30">
        <v>45214</v>
      </c>
      <c r="B930" s="29" t="str">
        <v>H</v>
      </c>
      <c r="C930" s="29" t="str">
        <v>H</v>
      </c>
      <c r="D930" s="29" t="str">
        <v>H</v>
      </c>
      <c r="E930" s="29" t="str">
        <v>H</v>
      </c>
      <c r="F930" s="29" t="str">
        <v>H</v>
      </c>
      <c r="G930" s="29" t="str">
        <v>H</v>
      </c>
      <c r="H930" s="29" t="str">
        <v>H</v>
      </c>
      <c r="I930" s="29" t="str">
        <v>H</v>
      </c>
      <c r="J930" s="29" t="str">
        <v>H</v>
      </c>
      <c r="K930" s="29" t="str">
        <v>H</v>
      </c>
      <c r="L930" s="29" t="str">
        <v>H</v>
      </c>
      <c r="M930" s="29" t="str">
        <v>H</v>
      </c>
      <c r="N930" s="29" t="str">
        <v>H</v>
      </c>
      <c r="O930" s="29" t="str">
        <v>H</v>
      </c>
      <c r="P930" s="29" t="str">
        <v>H</v>
      </c>
      <c r="Q930" s="29" t="str">
        <v>H</v>
      </c>
      <c r="R930" s="29" t="str">
        <v>H</v>
      </c>
      <c r="S930" t="str">
        <v>H</v>
      </c>
      <c r="T930" t="str">
        <v>H</v>
      </c>
      <c r="U930" t="str">
        <v>H</v>
      </c>
      <c r="V930" t="str">
        <v>H</v>
      </c>
      <c r="W930" t="str">
        <v>H</v>
      </c>
    </row>
    <row r="931" spans="1:23">
      <c r="A931" s="30">
        <v>45215</v>
      </c>
      <c r="B931" s="29">
        <v>49900</v>
      </c>
      <c r="C931" s="29">
        <v>50800</v>
      </c>
      <c r="D931" s="29">
        <v>48500</v>
      </c>
      <c r="E931" s="29">
        <v>45200</v>
      </c>
      <c r="F931" s="29">
        <v>51700</v>
      </c>
      <c r="G931" s="29" t="str">
        <v>-</v>
      </c>
      <c r="H931" s="29">
        <v>50000</v>
      </c>
      <c r="I931" s="29">
        <v>47700</v>
      </c>
      <c r="J931" s="29">
        <v>51000</v>
      </c>
      <c r="K931" s="29" t="str">
        <v>-</v>
      </c>
      <c r="L931" s="29">
        <v>49800</v>
      </c>
      <c r="M931" s="29">
        <v>51000</v>
      </c>
      <c r="N931" s="29">
        <v>47300</v>
      </c>
      <c r="O931" s="29">
        <v>47000</v>
      </c>
      <c r="P931" s="29">
        <v>45400</v>
      </c>
      <c r="Q931" s="29">
        <v>46200</v>
      </c>
      <c r="R931" s="29">
        <v>46300</v>
      </c>
      <c r="S931">
        <v>47500</v>
      </c>
      <c r="T931">
        <v>49000</v>
      </c>
      <c r="U931">
        <v>51800</v>
      </c>
      <c r="V931">
        <v>51700</v>
      </c>
      <c r="W931">
        <v>55000</v>
      </c>
    </row>
    <row r="932" spans="1:23">
      <c r="A932" s="30">
        <v>45216</v>
      </c>
      <c r="B932" s="29">
        <v>49700</v>
      </c>
      <c r="C932" s="29">
        <v>50500</v>
      </c>
      <c r="D932" s="29">
        <v>47900</v>
      </c>
      <c r="E932" s="29">
        <v>45000</v>
      </c>
      <c r="F932" s="29">
        <v>51700</v>
      </c>
      <c r="G932" s="29" t="str">
        <v>-</v>
      </c>
      <c r="H932" s="29">
        <v>49500</v>
      </c>
      <c r="I932" s="29">
        <v>47500</v>
      </c>
      <c r="J932" s="29">
        <v>51000</v>
      </c>
      <c r="K932" s="29" t="str">
        <v>-</v>
      </c>
      <c r="L932" s="29">
        <v>49500</v>
      </c>
      <c r="M932" s="29">
        <v>51000</v>
      </c>
      <c r="N932" s="29">
        <v>47300</v>
      </c>
      <c r="O932" s="29">
        <v>46500</v>
      </c>
      <c r="P932" s="29">
        <v>45000</v>
      </c>
      <c r="Q932" s="29">
        <v>46000</v>
      </c>
      <c r="R932" s="29">
        <v>45700</v>
      </c>
      <c r="S932">
        <v>47300</v>
      </c>
      <c r="T932">
        <v>48700</v>
      </c>
      <c r="U932">
        <v>51800</v>
      </c>
      <c r="V932">
        <v>51700</v>
      </c>
      <c r="W932">
        <v>55000</v>
      </c>
    </row>
    <row r="933" spans="1:23">
      <c r="A933" s="30">
        <v>45217</v>
      </c>
      <c r="B933" s="29">
        <v>49700</v>
      </c>
      <c r="C933" s="29">
        <v>50500</v>
      </c>
      <c r="D933" s="29">
        <v>47800</v>
      </c>
      <c r="E933" s="29">
        <v>44800</v>
      </c>
      <c r="F933" s="29">
        <v>51400</v>
      </c>
      <c r="G933" s="29" t="str">
        <v>-</v>
      </c>
      <c r="H933" s="29">
        <v>49500</v>
      </c>
      <c r="I933" s="29">
        <v>47400</v>
      </c>
      <c r="J933" s="29">
        <v>50800</v>
      </c>
      <c r="K933" s="29" t="str">
        <v>-</v>
      </c>
      <c r="L933" s="29">
        <v>49400</v>
      </c>
      <c r="M933" s="29">
        <v>50700</v>
      </c>
      <c r="N933" s="29">
        <v>47200</v>
      </c>
      <c r="O933" s="29">
        <v>46500</v>
      </c>
      <c r="P933" s="29">
        <v>45000</v>
      </c>
      <c r="Q933" s="29">
        <v>45700</v>
      </c>
      <c r="R933" s="29">
        <v>45400</v>
      </c>
      <c r="S933">
        <v>47100</v>
      </c>
      <c r="T933">
        <v>48700</v>
      </c>
      <c r="U933">
        <v>51800</v>
      </c>
      <c r="V933">
        <v>51700</v>
      </c>
      <c r="W933">
        <v>55000</v>
      </c>
    </row>
    <row r="934" spans="1:23">
      <c r="A934" s="30">
        <v>45218</v>
      </c>
      <c r="B934" s="29">
        <v>49500</v>
      </c>
      <c r="C934" s="29">
        <v>50500</v>
      </c>
      <c r="D934" s="29">
        <v>47500</v>
      </c>
      <c r="E934" s="29">
        <v>44600</v>
      </c>
      <c r="F934" s="29">
        <v>51400</v>
      </c>
      <c r="G934" s="29" t="str">
        <v>-</v>
      </c>
      <c r="H934" s="29">
        <v>49500</v>
      </c>
      <c r="I934" s="29">
        <v>47000</v>
      </c>
      <c r="J934" s="29">
        <v>50500</v>
      </c>
      <c r="K934" s="29" t="str">
        <v>-</v>
      </c>
      <c r="L934" s="29">
        <v>49000</v>
      </c>
      <c r="M934" s="29">
        <v>50700</v>
      </c>
      <c r="N934" s="29">
        <v>46800</v>
      </c>
      <c r="O934" s="29">
        <v>46200</v>
      </c>
      <c r="P934" s="29">
        <v>44700</v>
      </c>
      <c r="Q934" s="29">
        <v>45500</v>
      </c>
      <c r="R934" s="29">
        <v>45000</v>
      </c>
      <c r="S934">
        <v>47100</v>
      </c>
      <c r="T934">
        <v>48100</v>
      </c>
      <c r="U934">
        <v>51800</v>
      </c>
      <c r="V934">
        <v>51700</v>
      </c>
      <c r="W934">
        <v>54800</v>
      </c>
    </row>
    <row r="935" spans="1:23">
      <c r="A935" s="30">
        <v>45219</v>
      </c>
      <c r="B935" s="29">
        <v>49300</v>
      </c>
      <c r="C935" s="29">
        <v>50500</v>
      </c>
      <c r="D935" s="29">
        <v>47200</v>
      </c>
      <c r="E935" s="29">
        <v>44500</v>
      </c>
      <c r="F935" s="29">
        <v>51000</v>
      </c>
      <c r="G935" s="29" t="str">
        <v>-</v>
      </c>
      <c r="H935" s="29">
        <v>49000</v>
      </c>
      <c r="I935" s="29">
        <v>46700</v>
      </c>
      <c r="J935" s="29">
        <v>50200</v>
      </c>
      <c r="K935" s="29" t="str">
        <v>-</v>
      </c>
      <c r="L935" s="29">
        <v>48700</v>
      </c>
      <c r="M935" s="29">
        <v>50300</v>
      </c>
      <c r="N935" s="29">
        <v>46400</v>
      </c>
      <c r="O935" s="29">
        <v>46000</v>
      </c>
      <c r="P935" s="29">
        <v>44400</v>
      </c>
      <c r="Q935" s="29">
        <v>45300</v>
      </c>
      <c r="R935" s="29">
        <v>44700</v>
      </c>
      <c r="S935">
        <v>46800</v>
      </c>
      <c r="T935">
        <v>48000</v>
      </c>
      <c r="U935">
        <v>50300</v>
      </c>
      <c r="V935">
        <v>51500</v>
      </c>
      <c r="W935">
        <v>54700</v>
      </c>
    </row>
    <row r="936" spans="1:23">
      <c r="A936" s="30">
        <v>45220</v>
      </c>
      <c r="B936" s="29">
        <v>49000</v>
      </c>
      <c r="C936" s="29">
        <v>50500</v>
      </c>
      <c r="D936" s="29">
        <v>47200</v>
      </c>
      <c r="E936" s="29" t="str">
        <v>-</v>
      </c>
      <c r="F936" s="29">
        <v>51000</v>
      </c>
      <c r="G936" s="29" t="str">
        <v>-</v>
      </c>
      <c r="H936" s="29">
        <v>49000</v>
      </c>
      <c r="I936" s="29">
        <v>46700</v>
      </c>
      <c r="J936" s="29">
        <v>50200</v>
      </c>
      <c r="K936" s="29" t="str">
        <v>-</v>
      </c>
      <c r="L936" s="29">
        <v>48500</v>
      </c>
      <c r="M936" s="29">
        <v>49900</v>
      </c>
      <c r="N936" s="29">
        <v>46300</v>
      </c>
      <c r="O936" s="29">
        <v>46000</v>
      </c>
      <c r="P936" s="29">
        <v>44700</v>
      </c>
      <c r="Q936" s="29">
        <v>45500</v>
      </c>
      <c r="R936" s="29">
        <v>45200</v>
      </c>
      <c r="S936" t="str">
        <v>-</v>
      </c>
      <c r="T936">
        <v>48000</v>
      </c>
      <c r="U936">
        <v>50300</v>
      </c>
      <c r="V936">
        <v>51200</v>
      </c>
      <c r="W936">
        <v>54700</v>
      </c>
    </row>
    <row r="937" spans="1:23">
      <c r="A937" s="30">
        <v>45221</v>
      </c>
      <c r="B937" s="29" t="str">
        <v>H</v>
      </c>
      <c r="C937" s="29" t="str">
        <v>H</v>
      </c>
      <c r="D937" s="29" t="str">
        <v>H</v>
      </c>
      <c r="E937" s="29" t="str">
        <v>H</v>
      </c>
      <c r="F937" s="29" t="str">
        <v>H</v>
      </c>
      <c r="G937" s="29" t="str">
        <v>H</v>
      </c>
      <c r="H937" s="29" t="str">
        <v>H</v>
      </c>
      <c r="I937" s="29" t="str">
        <v>H</v>
      </c>
      <c r="J937" s="29" t="str">
        <v>H</v>
      </c>
      <c r="K937" s="29" t="str">
        <v>H</v>
      </c>
      <c r="L937" s="29" t="str">
        <v>H</v>
      </c>
      <c r="M937" s="29" t="str">
        <v>H</v>
      </c>
      <c r="N937" s="29" t="str">
        <v>H</v>
      </c>
      <c r="O937" s="29" t="str">
        <v>H</v>
      </c>
      <c r="P937" s="29" t="str">
        <v>H</v>
      </c>
      <c r="Q937" s="29" t="str">
        <v>H</v>
      </c>
      <c r="R937" s="29" t="str">
        <v>H</v>
      </c>
      <c r="S937" t="str">
        <v>H</v>
      </c>
      <c r="T937" t="str">
        <v>H</v>
      </c>
      <c r="U937" t="str">
        <v>H</v>
      </c>
      <c r="V937" t="str">
        <v>H</v>
      </c>
      <c r="W937" t="str">
        <v>H</v>
      </c>
    </row>
    <row r="938" spans="1:23">
      <c r="A938" s="30">
        <v>45222</v>
      </c>
      <c r="B938" s="29">
        <v>49000</v>
      </c>
      <c r="C938" s="29" t="str">
        <v>-</v>
      </c>
      <c r="D938" s="29">
        <v>46800</v>
      </c>
      <c r="E938" s="29" t="str">
        <v>-</v>
      </c>
      <c r="F938" s="29">
        <v>51000</v>
      </c>
      <c r="G938" s="29" t="str">
        <v>-</v>
      </c>
      <c r="H938" s="29">
        <v>48500</v>
      </c>
      <c r="I938" s="29">
        <v>46500</v>
      </c>
      <c r="J938" s="29">
        <v>50200</v>
      </c>
      <c r="K938" s="29" t="str">
        <v>-</v>
      </c>
      <c r="L938" s="29">
        <v>48300</v>
      </c>
      <c r="M938" s="29">
        <v>49900</v>
      </c>
      <c r="N938" s="29">
        <v>45800</v>
      </c>
      <c r="O938" s="29">
        <v>45700</v>
      </c>
      <c r="P938" s="29">
        <v>44300</v>
      </c>
      <c r="Q938" s="29">
        <v>44800</v>
      </c>
      <c r="R938" s="29" t="str">
        <v>-</v>
      </c>
      <c r="S938" t="str">
        <v>-</v>
      </c>
      <c r="T938">
        <v>48000</v>
      </c>
      <c r="U938" t="str">
        <v>-</v>
      </c>
      <c r="V938">
        <v>51100</v>
      </c>
      <c r="W938">
        <v>54300</v>
      </c>
    </row>
    <row r="939" spans="1:23">
      <c r="A939" s="30">
        <v>45223</v>
      </c>
      <c r="B939" s="29" t="str">
        <v>H</v>
      </c>
      <c r="C939" s="29" t="str">
        <v>H</v>
      </c>
      <c r="D939" s="29" t="str">
        <v>H</v>
      </c>
      <c r="E939" s="29" t="str">
        <v>H</v>
      </c>
      <c r="F939" s="29" t="str">
        <v>H</v>
      </c>
      <c r="G939" s="29" t="str">
        <v>H</v>
      </c>
      <c r="H939" s="29" t="str">
        <v>H</v>
      </c>
      <c r="I939" s="29" t="str">
        <v>H</v>
      </c>
      <c r="J939" s="29" t="str">
        <v>H</v>
      </c>
      <c r="K939" s="29" t="str">
        <v>H</v>
      </c>
      <c r="L939" s="29" t="str">
        <v>H</v>
      </c>
      <c r="M939" s="29" t="str">
        <v>H</v>
      </c>
      <c r="N939" s="29" t="str">
        <v>H</v>
      </c>
      <c r="O939" s="29" t="str">
        <v>H</v>
      </c>
      <c r="P939" s="29" t="str">
        <v>H</v>
      </c>
      <c r="Q939" s="29" t="str">
        <v>H</v>
      </c>
      <c r="R939" s="29" t="str">
        <v>H</v>
      </c>
      <c r="S939" t="str">
        <v>H</v>
      </c>
      <c r="T939" t="str">
        <v>H</v>
      </c>
      <c r="U939" t="str">
        <v>H</v>
      </c>
      <c r="V939" t="str">
        <v>H</v>
      </c>
      <c r="W939" t="str">
        <v>H</v>
      </c>
    </row>
    <row r="940" spans="1:23">
      <c r="A940" s="30">
        <v>45224</v>
      </c>
      <c r="B940" s="29">
        <v>48300</v>
      </c>
      <c r="C940" s="29">
        <v>50500</v>
      </c>
      <c r="D940" s="29">
        <v>46800</v>
      </c>
      <c r="E940" s="29">
        <v>44400</v>
      </c>
      <c r="F940" s="29">
        <v>50300</v>
      </c>
      <c r="G940" s="29" t="str">
        <v>-</v>
      </c>
      <c r="H940" s="29">
        <v>48000</v>
      </c>
      <c r="I940" s="29">
        <v>46700</v>
      </c>
      <c r="J940" s="29">
        <v>50200</v>
      </c>
      <c r="K940" s="29" t="str">
        <v>-</v>
      </c>
      <c r="L940" s="29">
        <v>48000</v>
      </c>
      <c r="M940" s="29">
        <v>49900</v>
      </c>
      <c r="N940" s="29">
        <v>46000</v>
      </c>
      <c r="O940" s="29">
        <v>45600</v>
      </c>
      <c r="P940" s="29">
        <v>44550</v>
      </c>
      <c r="Q940" s="29">
        <v>44800</v>
      </c>
      <c r="R940" s="29">
        <v>45000</v>
      </c>
      <c r="S940">
        <v>46700</v>
      </c>
      <c r="T940">
        <v>47800</v>
      </c>
      <c r="U940">
        <v>50300</v>
      </c>
      <c r="V940">
        <v>51100</v>
      </c>
      <c r="W940">
        <v>54300</v>
      </c>
    </row>
    <row r="941" spans="1:23">
      <c r="A941" s="30">
        <v>45225</v>
      </c>
      <c r="B941" s="29">
        <v>48500</v>
      </c>
      <c r="C941" s="29">
        <v>50500</v>
      </c>
      <c r="D941" s="29">
        <v>47250</v>
      </c>
      <c r="E941" s="29">
        <v>44500</v>
      </c>
      <c r="F941" s="29">
        <v>50300</v>
      </c>
      <c r="G941" s="29" t="str">
        <v>-</v>
      </c>
      <c r="H941" s="29">
        <v>48000</v>
      </c>
      <c r="I941" s="29">
        <v>47000</v>
      </c>
      <c r="J941" s="29">
        <v>50200</v>
      </c>
      <c r="K941" s="29" t="str">
        <v>-</v>
      </c>
      <c r="L941" s="29">
        <v>48100</v>
      </c>
      <c r="M941" s="29">
        <v>49900</v>
      </c>
      <c r="N941" s="29">
        <v>46200</v>
      </c>
      <c r="O941" s="29">
        <v>46200</v>
      </c>
      <c r="P941" s="29">
        <v>44600</v>
      </c>
      <c r="Q941" s="29">
        <v>45000</v>
      </c>
      <c r="R941" s="29">
        <v>45000</v>
      </c>
      <c r="S941">
        <v>46800</v>
      </c>
      <c r="T941">
        <v>48000</v>
      </c>
      <c r="U941">
        <v>50300</v>
      </c>
      <c r="V941">
        <v>51000</v>
      </c>
      <c r="W941">
        <v>54300</v>
      </c>
    </row>
    <row r="942" spans="1:23">
      <c r="A942" s="30">
        <v>45226</v>
      </c>
      <c r="B942" s="29">
        <v>48800</v>
      </c>
      <c r="C942" s="29">
        <v>50500</v>
      </c>
      <c r="D942" s="29">
        <v>47700</v>
      </c>
      <c r="E942" s="29">
        <v>45000</v>
      </c>
      <c r="F942" s="29">
        <v>50500</v>
      </c>
      <c r="G942" s="29" t="str">
        <v>-</v>
      </c>
      <c r="H942" s="29">
        <v>48500</v>
      </c>
      <c r="I942" s="29">
        <v>47400</v>
      </c>
      <c r="J942" s="29">
        <v>50400</v>
      </c>
      <c r="K942" s="29" t="str">
        <v>-</v>
      </c>
      <c r="L942" s="29">
        <v>48500</v>
      </c>
      <c r="M942" s="29">
        <v>49900</v>
      </c>
      <c r="N942" s="29">
        <v>47000</v>
      </c>
      <c r="O942" s="29">
        <v>46200</v>
      </c>
      <c r="P942" s="29">
        <v>45000</v>
      </c>
      <c r="Q942" s="29">
        <v>45500</v>
      </c>
      <c r="R942" s="29">
        <v>45500</v>
      </c>
      <c r="S942">
        <v>47300</v>
      </c>
      <c r="T942">
        <v>48200</v>
      </c>
      <c r="U942">
        <v>50300</v>
      </c>
      <c r="V942">
        <v>51000</v>
      </c>
      <c r="W942">
        <v>54100</v>
      </c>
    </row>
    <row r="943" spans="1:23">
      <c r="A943" s="30">
        <v>45227</v>
      </c>
      <c r="B943" s="29">
        <v>48800</v>
      </c>
      <c r="C943" s="29">
        <v>50500</v>
      </c>
      <c r="D943" s="29">
        <v>47700</v>
      </c>
      <c r="E943" s="29">
        <v>45000</v>
      </c>
      <c r="F943" s="29">
        <v>50500</v>
      </c>
      <c r="G943" s="29" t="str">
        <v>-</v>
      </c>
      <c r="H943" s="29">
        <v>49000</v>
      </c>
      <c r="I943" s="29">
        <v>47600</v>
      </c>
      <c r="J943" s="29">
        <v>50400</v>
      </c>
      <c r="K943" s="29" t="str">
        <v>-</v>
      </c>
      <c r="L943" s="29">
        <v>48800</v>
      </c>
      <c r="M943" s="29">
        <v>49900</v>
      </c>
      <c r="N943" s="29">
        <v>46800</v>
      </c>
      <c r="O943" s="29">
        <v>46200</v>
      </c>
      <c r="P943" s="29">
        <v>45000</v>
      </c>
      <c r="Q943" s="29">
        <v>45500</v>
      </c>
      <c r="R943" s="29">
        <v>45500</v>
      </c>
      <c r="S943">
        <v>47300</v>
      </c>
      <c r="T943">
        <v>48200</v>
      </c>
      <c r="U943">
        <v>50300</v>
      </c>
      <c r="V943">
        <v>51000</v>
      </c>
      <c r="W943">
        <v>54100</v>
      </c>
    </row>
    <row r="944" spans="1:23">
      <c r="A944" s="30">
        <v>45228</v>
      </c>
      <c r="B944" s="29" t="str">
        <v>H</v>
      </c>
      <c r="C944" s="29" t="str">
        <v>H</v>
      </c>
      <c r="D944" s="29" t="str">
        <v>H</v>
      </c>
      <c r="E944" s="29" t="str">
        <v>H</v>
      </c>
      <c r="F944" s="29" t="str">
        <v>H</v>
      </c>
      <c r="G944" s="29" t="str">
        <v>H</v>
      </c>
      <c r="H944" s="29" t="str">
        <v>H</v>
      </c>
      <c r="I944" s="29" t="str">
        <v>H</v>
      </c>
      <c r="J944" s="29" t="str">
        <v>H</v>
      </c>
      <c r="K944" s="29" t="str">
        <v>H</v>
      </c>
      <c r="L944" s="29" t="str">
        <v>H</v>
      </c>
      <c r="M944" s="29" t="str">
        <v>H</v>
      </c>
      <c r="N944" s="29" t="str">
        <v>H</v>
      </c>
      <c r="O944" s="29" t="str">
        <v>H</v>
      </c>
      <c r="P944" s="29" t="str">
        <v>H</v>
      </c>
      <c r="Q944" s="29" t="str">
        <v>H</v>
      </c>
      <c r="R944" s="29" t="str">
        <v>H</v>
      </c>
      <c r="S944" t="str">
        <v>H</v>
      </c>
      <c r="T944" t="str">
        <v>H</v>
      </c>
      <c r="U944" t="str">
        <v>H</v>
      </c>
      <c r="V944" t="str">
        <v>H</v>
      </c>
      <c r="W944" t="str">
        <v>H</v>
      </c>
    </row>
    <row r="945" spans="1:23">
      <c r="A945" s="30">
        <v>45229</v>
      </c>
      <c r="B945" s="29">
        <v>48900</v>
      </c>
      <c r="C945" s="29">
        <v>50500</v>
      </c>
      <c r="D945" s="29">
        <v>48300</v>
      </c>
      <c r="E945" s="29">
        <v>45200</v>
      </c>
      <c r="F945" s="29">
        <v>50500</v>
      </c>
      <c r="G945" s="29" t="str">
        <v>-</v>
      </c>
      <c r="H945" s="29">
        <v>49000</v>
      </c>
      <c r="I945" s="29">
        <v>48000</v>
      </c>
      <c r="J945" s="29">
        <v>50400</v>
      </c>
      <c r="K945" s="29" t="str">
        <v>-</v>
      </c>
      <c r="L945" s="29">
        <v>49400</v>
      </c>
      <c r="M945" s="29">
        <v>49900</v>
      </c>
      <c r="N945" s="29">
        <v>47500</v>
      </c>
      <c r="O945" s="29">
        <v>46600</v>
      </c>
      <c r="P945" s="29">
        <v>45000</v>
      </c>
      <c r="Q945" s="29">
        <v>45400</v>
      </c>
      <c r="R945" s="29">
        <v>45500</v>
      </c>
      <c r="S945">
        <v>47500</v>
      </c>
      <c r="T945">
        <v>48200</v>
      </c>
      <c r="U945">
        <v>50300</v>
      </c>
      <c r="V945">
        <v>50700</v>
      </c>
      <c r="W945">
        <v>53900</v>
      </c>
    </row>
    <row r="946" spans="1:23">
      <c r="A946" s="30">
        <v>45230</v>
      </c>
      <c r="B946" s="29">
        <v>48900</v>
      </c>
      <c r="C946" s="29">
        <v>50200</v>
      </c>
      <c r="D946" s="29">
        <v>48000</v>
      </c>
      <c r="E946" s="29">
        <v>45000</v>
      </c>
      <c r="F946" s="29">
        <v>50400</v>
      </c>
      <c r="G946" s="29" t="str">
        <v>-</v>
      </c>
      <c r="H946" s="29">
        <v>49000</v>
      </c>
      <c r="I946" s="29">
        <v>48000</v>
      </c>
      <c r="J946" s="29">
        <v>49700</v>
      </c>
      <c r="K946" s="29" t="str">
        <v>-</v>
      </c>
      <c r="L946" s="29">
        <v>49400</v>
      </c>
      <c r="M946" s="29">
        <v>49900</v>
      </c>
      <c r="N946" s="29">
        <v>47500</v>
      </c>
      <c r="O946" s="29">
        <v>46600</v>
      </c>
      <c r="P946" s="29">
        <v>44800</v>
      </c>
      <c r="Q946" s="29">
        <v>45200</v>
      </c>
      <c r="R946" s="29">
        <v>45200</v>
      </c>
      <c r="S946">
        <v>47300</v>
      </c>
      <c r="T946">
        <v>48200</v>
      </c>
      <c r="U946">
        <v>50300</v>
      </c>
      <c r="V946">
        <v>50700</v>
      </c>
      <c r="W946">
        <v>53900</v>
      </c>
    </row>
    <row r="947" spans="1:23">
      <c r="A947" s="30">
        <v>45231</v>
      </c>
      <c r="B947" s="29">
        <v>48900</v>
      </c>
      <c r="C947" s="29">
        <v>50000</v>
      </c>
      <c r="D947" s="29">
        <v>47700</v>
      </c>
      <c r="E947" s="29">
        <v>44800</v>
      </c>
      <c r="F947" s="29">
        <v>50400</v>
      </c>
      <c r="G947" s="29" t="str">
        <v>-</v>
      </c>
      <c r="H947" s="29">
        <v>48500</v>
      </c>
      <c r="I947" s="29">
        <v>47700</v>
      </c>
      <c r="J947" s="29">
        <v>49700</v>
      </c>
      <c r="K947" s="29" t="str">
        <v>-</v>
      </c>
      <c r="L947" s="29">
        <v>49200</v>
      </c>
      <c r="M947" s="29">
        <v>49800</v>
      </c>
      <c r="N947" s="29">
        <v>47200</v>
      </c>
      <c r="O947" s="29">
        <v>46200</v>
      </c>
      <c r="P947" s="29">
        <v>44200</v>
      </c>
      <c r="Q947" s="29">
        <v>44900</v>
      </c>
      <c r="R947" s="29">
        <v>45000</v>
      </c>
      <c r="S947">
        <v>47100</v>
      </c>
      <c r="T947">
        <v>48200</v>
      </c>
      <c r="U947">
        <v>50300</v>
      </c>
      <c r="V947">
        <v>50700</v>
      </c>
      <c r="W947">
        <v>53600</v>
      </c>
    </row>
    <row r="948" spans="1:23">
      <c r="A948" s="30">
        <v>45232</v>
      </c>
      <c r="B948" s="29">
        <v>48500</v>
      </c>
      <c r="C948" s="29">
        <v>49800</v>
      </c>
      <c r="D948" s="29">
        <v>47500</v>
      </c>
      <c r="E948" s="29">
        <v>44700</v>
      </c>
      <c r="F948" s="29">
        <v>49800</v>
      </c>
      <c r="G948" s="29" t="str">
        <v>-</v>
      </c>
      <c r="H948" s="29">
        <v>48500</v>
      </c>
      <c r="I948" s="29">
        <v>47500</v>
      </c>
      <c r="J948" s="29">
        <v>49700</v>
      </c>
      <c r="K948" s="29" t="str">
        <v>-</v>
      </c>
      <c r="L948" s="29">
        <v>49000</v>
      </c>
      <c r="M948" s="29">
        <v>49800</v>
      </c>
      <c r="N948" s="29">
        <v>46700</v>
      </c>
      <c r="O948" s="29">
        <v>46200</v>
      </c>
      <c r="P948" s="29">
        <v>44000</v>
      </c>
      <c r="Q948" s="29">
        <v>44800</v>
      </c>
      <c r="R948" s="29">
        <v>44700</v>
      </c>
      <c r="S948">
        <v>47000</v>
      </c>
      <c r="T948">
        <v>47400</v>
      </c>
      <c r="U948">
        <v>50300</v>
      </c>
      <c r="V948">
        <v>50700</v>
      </c>
      <c r="W948">
        <v>53600</v>
      </c>
    </row>
    <row r="949" spans="1:23">
      <c r="A949" s="30">
        <v>45233</v>
      </c>
      <c r="B949" s="29">
        <v>48500</v>
      </c>
      <c r="C949" s="29">
        <v>49800</v>
      </c>
      <c r="D949" s="29">
        <v>47600</v>
      </c>
      <c r="E949" s="29">
        <v>44700</v>
      </c>
      <c r="F949" s="29">
        <v>49600</v>
      </c>
      <c r="G949" s="29" t="str">
        <v>-</v>
      </c>
      <c r="H949" s="29">
        <v>48000</v>
      </c>
      <c r="I949" s="29">
        <v>47500</v>
      </c>
      <c r="J949" s="29">
        <v>49500</v>
      </c>
      <c r="K949" s="29" t="str">
        <v>-</v>
      </c>
      <c r="L949" s="29">
        <v>49200</v>
      </c>
      <c r="M949" s="29">
        <v>49800</v>
      </c>
      <c r="N949" s="29">
        <v>46600</v>
      </c>
      <c r="O949" s="29">
        <v>46200</v>
      </c>
      <c r="P949" s="29">
        <v>44000</v>
      </c>
      <c r="Q949" s="29">
        <v>44700</v>
      </c>
      <c r="R949" s="29">
        <v>44900</v>
      </c>
      <c r="S949">
        <v>47000</v>
      </c>
      <c r="T949">
        <v>47400</v>
      </c>
      <c r="U949">
        <v>50300</v>
      </c>
      <c r="V949">
        <v>50700</v>
      </c>
      <c r="W949">
        <v>53600</v>
      </c>
    </row>
    <row r="950" spans="1:23">
      <c r="A950" s="30">
        <v>45234</v>
      </c>
      <c r="B950" s="29">
        <v>48300</v>
      </c>
      <c r="C950" s="29">
        <v>49500</v>
      </c>
      <c r="D950" s="29">
        <v>47700</v>
      </c>
      <c r="E950" s="29">
        <v>44400</v>
      </c>
      <c r="F950" s="29">
        <v>49600</v>
      </c>
      <c r="G950" s="29" t="str">
        <v>-</v>
      </c>
      <c r="H950" s="29">
        <v>48000</v>
      </c>
      <c r="I950" s="29">
        <v>47200</v>
      </c>
      <c r="J950" s="29">
        <v>49500</v>
      </c>
      <c r="K950" s="29" t="str">
        <v>-</v>
      </c>
      <c r="L950" s="29">
        <v>49000</v>
      </c>
      <c r="M950" s="29">
        <v>49300</v>
      </c>
      <c r="N950" s="29">
        <v>46500</v>
      </c>
      <c r="O950" s="29">
        <v>46200</v>
      </c>
      <c r="P950" s="29">
        <v>43800</v>
      </c>
      <c r="Q950" s="29">
        <v>44400</v>
      </c>
      <c r="R950" s="29">
        <v>44700</v>
      </c>
      <c r="S950">
        <v>46700</v>
      </c>
      <c r="T950">
        <v>47000</v>
      </c>
      <c r="U950">
        <v>50300</v>
      </c>
      <c r="V950">
        <v>50700</v>
      </c>
      <c r="W950">
        <v>53600</v>
      </c>
    </row>
    <row r="951" spans="1:23">
      <c r="A951" s="30">
        <v>45235</v>
      </c>
      <c r="B951" s="29" t="str">
        <v>H</v>
      </c>
      <c r="C951" s="29" t="str">
        <v>H</v>
      </c>
      <c r="D951" s="29" t="str">
        <v>H</v>
      </c>
      <c r="E951" s="29" t="str">
        <v>H</v>
      </c>
      <c r="F951" s="29" t="str">
        <v>H</v>
      </c>
      <c r="G951" s="29" t="str">
        <v>H</v>
      </c>
      <c r="H951" s="29" t="str">
        <v>H</v>
      </c>
      <c r="I951" s="29" t="str">
        <v>H</v>
      </c>
      <c r="J951" s="29" t="str">
        <v>H</v>
      </c>
      <c r="K951" s="29" t="str">
        <v>H</v>
      </c>
      <c r="L951" s="29" t="str">
        <v>H</v>
      </c>
      <c r="M951" s="29" t="str">
        <v>H</v>
      </c>
      <c r="N951" s="29" t="str">
        <v>H</v>
      </c>
      <c r="O951" s="29" t="str">
        <v>H</v>
      </c>
      <c r="P951" s="29" t="str">
        <v>H</v>
      </c>
      <c r="Q951" s="29" t="str">
        <v>H</v>
      </c>
      <c r="R951" s="29" t="str">
        <v>H</v>
      </c>
      <c r="S951" t="str">
        <v>H</v>
      </c>
      <c r="T951" t="str">
        <v>H</v>
      </c>
      <c r="U951" t="str">
        <v>H</v>
      </c>
      <c r="V951" t="str">
        <v>H</v>
      </c>
      <c r="W951" t="str">
        <v>H</v>
      </c>
    </row>
    <row r="952" spans="1:23">
      <c r="A952" s="30">
        <v>45236</v>
      </c>
      <c r="B952" s="29">
        <v>48200</v>
      </c>
      <c r="C952" s="29">
        <v>49500</v>
      </c>
      <c r="D952" s="29">
        <v>46900</v>
      </c>
      <c r="E952" s="29">
        <v>44000</v>
      </c>
      <c r="F952" s="29">
        <v>49600</v>
      </c>
      <c r="G952" s="29" t="str">
        <v>-</v>
      </c>
      <c r="H952" s="29">
        <v>48000</v>
      </c>
      <c r="I952" s="29">
        <v>46800</v>
      </c>
      <c r="J952" s="29">
        <v>49500</v>
      </c>
      <c r="K952" s="29" t="str">
        <v>-</v>
      </c>
      <c r="L952" s="29">
        <v>48600</v>
      </c>
      <c r="M952" s="29">
        <v>49300</v>
      </c>
      <c r="N952" s="29">
        <v>46200</v>
      </c>
      <c r="O952" s="29">
        <v>45700</v>
      </c>
      <c r="P952" s="29">
        <v>43300</v>
      </c>
      <c r="Q952" s="29">
        <v>44100</v>
      </c>
      <c r="R952" s="29">
        <v>44200</v>
      </c>
      <c r="S952">
        <v>46300</v>
      </c>
      <c r="T952">
        <v>47000</v>
      </c>
      <c r="U952">
        <v>49800</v>
      </c>
      <c r="V952">
        <v>50300</v>
      </c>
      <c r="W952">
        <v>53000</v>
      </c>
    </row>
    <row r="953" spans="1:23">
      <c r="A953" s="30">
        <v>45237</v>
      </c>
      <c r="B953" s="29">
        <v>48000</v>
      </c>
      <c r="C953" s="29">
        <v>49300</v>
      </c>
      <c r="D953" s="29">
        <v>46600</v>
      </c>
      <c r="E953" s="29">
        <v>43900</v>
      </c>
      <c r="F953" s="29">
        <v>49500</v>
      </c>
      <c r="G953" s="29" t="str">
        <v>-</v>
      </c>
      <c r="H953" s="29">
        <v>47500</v>
      </c>
      <c r="I953" s="29">
        <v>46600</v>
      </c>
      <c r="J953" s="29">
        <v>49500</v>
      </c>
      <c r="K953" s="29" t="str">
        <v>-</v>
      </c>
      <c r="L953" s="29">
        <v>48300</v>
      </c>
      <c r="M953" s="29">
        <v>49000</v>
      </c>
      <c r="N953" s="29">
        <v>45700</v>
      </c>
      <c r="O953" s="29">
        <v>45700</v>
      </c>
      <c r="P953" s="29">
        <v>43300</v>
      </c>
      <c r="Q953" s="29">
        <v>43900</v>
      </c>
      <c r="R953" s="29">
        <v>44000</v>
      </c>
      <c r="S953">
        <v>46200</v>
      </c>
      <c r="T953">
        <v>46800</v>
      </c>
      <c r="U953">
        <v>49800</v>
      </c>
      <c r="V953">
        <v>50300</v>
      </c>
      <c r="W953">
        <v>53000</v>
      </c>
    </row>
    <row r="954" spans="1:23">
      <c r="A954" s="30">
        <v>45238</v>
      </c>
      <c r="B954" s="29">
        <v>47800</v>
      </c>
      <c r="C954" s="29">
        <v>49300</v>
      </c>
      <c r="D954" s="29">
        <v>46600</v>
      </c>
      <c r="E954" s="29">
        <v>44000</v>
      </c>
      <c r="F954" s="29">
        <v>49500</v>
      </c>
      <c r="G954" s="29" t="str">
        <v>-</v>
      </c>
      <c r="H954" s="29">
        <v>47500</v>
      </c>
      <c r="I954" s="29">
        <v>46800</v>
      </c>
      <c r="J954" s="29">
        <v>48700</v>
      </c>
      <c r="K954" s="29" t="str">
        <v>-</v>
      </c>
      <c r="L954" s="29">
        <v>48300</v>
      </c>
      <c r="M954" s="29">
        <v>48700</v>
      </c>
      <c r="N954" s="29">
        <v>46000</v>
      </c>
      <c r="O954" s="29">
        <v>45800</v>
      </c>
      <c r="P954" s="29">
        <v>43500</v>
      </c>
      <c r="Q954" s="29">
        <v>44300</v>
      </c>
      <c r="R954" s="29">
        <v>44300</v>
      </c>
      <c r="S954">
        <v>46200</v>
      </c>
      <c r="T954">
        <v>47000</v>
      </c>
      <c r="U954">
        <v>49800</v>
      </c>
      <c r="V954">
        <v>50100</v>
      </c>
      <c r="W954">
        <v>53000</v>
      </c>
    </row>
    <row r="955" spans="1:23">
      <c r="A955" s="30">
        <v>45239</v>
      </c>
      <c r="B955" s="29">
        <v>47800</v>
      </c>
      <c r="C955" s="29">
        <v>49300</v>
      </c>
      <c r="D955" s="29">
        <v>47000</v>
      </c>
      <c r="E955" s="29">
        <v>44300</v>
      </c>
      <c r="F955" s="29">
        <v>49500</v>
      </c>
      <c r="G955" s="29" t="str">
        <v>-</v>
      </c>
      <c r="H955" s="29">
        <v>47500</v>
      </c>
      <c r="I955" s="29">
        <v>46900</v>
      </c>
      <c r="J955" s="29">
        <v>48700</v>
      </c>
      <c r="K955" s="29" t="str">
        <v>-</v>
      </c>
      <c r="L955" s="29">
        <v>48300</v>
      </c>
      <c r="M955" s="29">
        <v>48700</v>
      </c>
      <c r="N955" s="29">
        <v>46000</v>
      </c>
      <c r="O955" s="29">
        <v>45700</v>
      </c>
      <c r="P955" s="29">
        <v>43500</v>
      </c>
      <c r="Q955" s="29">
        <v>44400</v>
      </c>
      <c r="R955" s="29">
        <v>44300</v>
      </c>
      <c r="S955">
        <v>46500</v>
      </c>
      <c r="T955">
        <v>47200</v>
      </c>
      <c r="U955">
        <v>49800</v>
      </c>
      <c r="V955">
        <v>49900</v>
      </c>
      <c r="W955">
        <v>53000</v>
      </c>
    </row>
    <row r="956" spans="1:23">
      <c r="A956" s="30">
        <v>45240</v>
      </c>
      <c r="B956" s="29">
        <v>48000</v>
      </c>
      <c r="C956" s="29">
        <v>49300</v>
      </c>
      <c r="D956" s="29">
        <v>47100</v>
      </c>
      <c r="E956" s="29">
        <v>44700</v>
      </c>
      <c r="F956" s="29">
        <v>49500</v>
      </c>
      <c r="G956" s="29" t="str">
        <v>-</v>
      </c>
      <c r="H956" s="29">
        <v>48000</v>
      </c>
      <c r="I956" s="29">
        <v>47400</v>
      </c>
      <c r="J956" s="29">
        <v>49300</v>
      </c>
      <c r="K956" s="29" t="str">
        <v>-</v>
      </c>
      <c r="L956" s="29">
        <v>48500</v>
      </c>
      <c r="M956" s="29">
        <v>49000</v>
      </c>
      <c r="N956" s="29">
        <v>46200</v>
      </c>
      <c r="O956" s="29">
        <v>46200</v>
      </c>
      <c r="P956" s="29">
        <v>44200</v>
      </c>
      <c r="Q956" s="29">
        <v>44600</v>
      </c>
      <c r="R956" s="29">
        <v>44800</v>
      </c>
      <c r="S956">
        <v>47000</v>
      </c>
      <c r="T956">
        <v>46400</v>
      </c>
      <c r="U956">
        <v>49800</v>
      </c>
      <c r="V956">
        <v>49900</v>
      </c>
      <c r="W956">
        <v>52500</v>
      </c>
    </row>
    <row r="957" spans="1:23">
      <c r="A957" s="30">
        <v>45241</v>
      </c>
      <c r="B957" s="29">
        <v>48000</v>
      </c>
      <c r="C957" s="29">
        <v>49500</v>
      </c>
      <c r="D957" s="29">
        <v>47300</v>
      </c>
      <c r="E957" s="29">
        <v>44700</v>
      </c>
      <c r="F957" s="29">
        <v>49600</v>
      </c>
      <c r="G957" s="29" t="str">
        <v>-</v>
      </c>
      <c r="H957" s="29">
        <v>47500</v>
      </c>
      <c r="I957" s="29">
        <v>47200</v>
      </c>
      <c r="J957" s="29">
        <v>49300</v>
      </c>
      <c r="K957" s="29" t="str">
        <v>-</v>
      </c>
      <c r="L957" s="29">
        <v>48500</v>
      </c>
      <c r="M957" s="29">
        <v>49200</v>
      </c>
      <c r="N957" s="29">
        <v>46200</v>
      </c>
      <c r="O957" s="29">
        <v>46200</v>
      </c>
      <c r="P957" s="29">
        <v>44000</v>
      </c>
      <c r="Q957" s="29">
        <v>44500</v>
      </c>
      <c r="R957" s="29">
        <v>44500</v>
      </c>
      <c r="S957">
        <v>47000</v>
      </c>
      <c r="T957">
        <v>47000</v>
      </c>
      <c r="U957">
        <v>49800</v>
      </c>
      <c r="V957">
        <v>49900</v>
      </c>
      <c r="W957">
        <v>52500</v>
      </c>
    </row>
    <row r="958" spans="1:23">
      <c r="A958" s="30">
        <v>45242</v>
      </c>
      <c r="B958" s="29" t="str">
        <v>H</v>
      </c>
      <c r="C958" s="29" t="str">
        <v>H</v>
      </c>
      <c r="D958" s="29" t="str">
        <v>H</v>
      </c>
      <c r="E958" s="29" t="str">
        <v>H</v>
      </c>
      <c r="F958" s="29" t="str">
        <v>H</v>
      </c>
      <c r="G958" s="29" t="str">
        <v>H</v>
      </c>
      <c r="H958" s="29" t="str">
        <v>H</v>
      </c>
      <c r="I958" s="29" t="str">
        <v>H</v>
      </c>
      <c r="J958" s="29" t="str">
        <v>H</v>
      </c>
      <c r="K958" s="29" t="str">
        <v>H</v>
      </c>
      <c r="L958" s="29" t="str">
        <v>H</v>
      </c>
      <c r="M958" s="29" t="str">
        <v>H</v>
      </c>
      <c r="N958" s="29" t="str">
        <v>H</v>
      </c>
      <c r="O958" s="29" t="str">
        <v>H</v>
      </c>
      <c r="P958" s="29" t="str">
        <v>H</v>
      </c>
      <c r="Q958" s="29" t="str">
        <v>H</v>
      </c>
      <c r="R958" s="29" t="str">
        <v>H</v>
      </c>
      <c r="S958" t="str">
        <v>H</v>
      </c>
      <c r="T958" t="str">
        <v>H</v>
      </c>
      <c r="U958" t="str">
        <v>H</v>
      </c>
      <c r="V958" t="str">
        <v>H</v>
      </c>
      <c r="W958" t="str">
        <v>H</v>
      </c>
    </row>
    <row r="959" spans="1:23">
      <c r="A959" s="30">
        <v>45243</v>
      </c>
      <c r="B959" s="29" t="str">
        <v>H</v>
      </c>
      <c r="C959" s="29" t="str">
        <v>H</v>
      </c>
      <c r="D959" s="29" t="str">
        <v>H</v>
      </c>
      <c r="E959" s="29" t="str">
        <v>H</v>
      </c>
      <c r="F959" s="29" t="str">
        <v>H</v>
      </c>
      <c r="G959" s="29" t="str">
        <v>H</v>
      </c>
      <c r="H959" s="29" t="str">
        <v>H</v>
      </c>
      <c r="I959" s="29" t="str">
        <v>H</v>
      </c>
      <c r="J959" s="29" t="str">
        <v>H</v>
      </c>
      <c r="K959" s="29" t="str">
        <v>H</v>
      </c>
      <c r="L959" s="29" t="str">
        <v>H</v>
      </c>
      <c r="M959" s="29" t="str">
        <v>H</v>
      </c>
      <c r="N959" s="29" t="str">
        <v>H</v>
      </c>
      <c r="O959" s="29" t="str">
        <v>H</v>
      </c>
      <c r="P959" s="29" t="str">
        <v>H</v>
      </c>
      <c r="Q959" s="29" t="str">
        <v>H</v>
      </c>
      <c r="R959" s="29" t="str">
        <v>H</v>
      </c>
      <c r="S959" t="str">
        <v>H</v>
      </c>
      <c r="T959" t="str">
        <v>H</v>
      </c>
      <c r="U959" t="str">
        <v>H</v>
      </c>
      <c r="V959" t="str">
        <v>H</v>
      </c>
      <c r="W959" t="str">
        <v>H</v>
      </c>
    </row>
    <row r="960" spans="1:23">
      <c r="A960" s="30">
        <v>45244</v>
      </c>
      <c r="B960" s="29" t="str">
        <v>-</v>
      </c>
      <c r="C960" s="29">
        <v>49500</v>
      </c>
      <c r="D960" s="29">
        <v>47200</v>
      </c>
      <c r="E960" s="29">
        <v>44500</v>
      </c>
      <c r="F960" s="29">
        <v>49800</v>
      </c>
      <c r="G960" s="29" t="str">
        <v>-</v>
      </c>
      <c r="H960" s="29">
        <v>47500</v>
      </c>
      <c r="I960" s="29">
        <v>47000</v>
      </c>
      <c r="J960" s="29">
        <v>49300</v>
      </c>
      <c r="K960" s="29" t="str">
        <v>-</v>
      </c>
      <c r="L960" s="29">
        <v>48400</v>
      </c>
      <c r="M960" s="29">
        <v>49200</v>
      </c>
      <c r="N960" s="29">
        <v>46200</v>
      </c>
      <c r="O960" s="29">
        <v>46200</v>
      </c>
      <c r="P960" s="29">
        <v>43700</v>
      </c>
      <c r="Q960" s="29">
        <v>44500</v>
      </c>
      <c r="R960" s="29">
        <v>44200</v>
      </c>
      <c r="S960">
        <v>46800</v>
      </c>
      <c r="T960">
        <v>47100</v>
      </c>
      <c r="U960">
        <v>49800</v>
      </c>
      <c r="V960">
        <v>49900</v>
      </c>
      <c r="W960">
        <v>52500</v>
      </c>
    </row>
    <row r="961" spans="1:23">
      <c r="A961" s="30">
        <v>45245</v>
      </c>
      <c r="B961" s="29" t="str">
        <v>-</v>
      </c>
      <c r="C961" s="29">
        <v>49500</v>
      </c>
      <c r="D961" s="29">
        <v>47300</v>
      </c>
      <c r="E961" s="29">
        <v>44300</v>
      </c>
      <c r="F961" s="29">
        <v>49800</v>
      </c>
      <c r="G961" s="29" t="str">
        <v>-</v>
      </c>
      <c r="H961" s="29">
        <v>48000</v>
      </c>
      <c r="I961" s="29">
        <v>47000</v>
      </c>
      <c r="J961" s="29">
        <v>49300</v>
      </c>
      <c r="K961" s="29" t="str">
        <v>-</v>
      </c>
      <c r="L961" s="29">
        <v>48300</v>
      </c>
      <c r="M961" s="29">
        <v>49200</v>
      </c>
      <c r="N961" s="29">
        <v>46000</v>
      </c>
      <c r="O961" s="29">
        <v>46200</v>
      </c>
      <c r="P961" s="29">
        <v>43900</v>
      </c>
      <c r="Q961" s="29">
        <v>44600</v>
      </c>
      <c r="R961" s="29">
        <v>44200</v>
      </c>
      <c r="S961">
        <v>46600</v>
      </c>
      <c r="T961">
        <v>47100</v>
      </c>
      <c r="U961">
        <v>49800</v>
      </c>
      <c r="V961">
        <v>49900</v>
      </c>
      <c r="W961">
        <v>52500</v>
      </c>
    </row>
    <row r="962" spans="1:23">
      <c r="A962" s="30">
        <v>45246</v>
      </c>
      <c r="B962" s="29">
        <v>48700</v>
      </c>
      <c r="C962" s="29">
        <v>49000</v>
      </c>
      <c r="D962" s="29">
        <v>47400</v>
      </c>
      <c r="E962" s="29">
        <v>44300</v>
      </c>
      <c r="F962" s="29">
        <v>49800</v>
      </c>
      <c r="G962" s="29" t="str">
        <v>-</v>
      </c>
      <c r="H962" s="29">
        <v>48000</v>
      </c>
      <c r="I962" s="29">
        <v>47000</v>
      </c>
      <c r="J962" s="29">
        <v>49300</v>
      </c>
      <c r="K962" s="29" t="str">
        <v>-</v>
      </c>
      <c r="L962" s="29">
        <v>48500</v>
      </c>
      <c r="M962" s="29">
        <v>49200</v>
      </c>
      <c r="N962" s="29">
        <v>46500</v>
      </c>
      <c r="O962" s="29">
        <v>46200</v>
      </c>
      <c r="P962" s="29">
        <v>44000</v>
      </c>
      <c r="Q962" s="29">
        <v>44700</v>
      </c>
      <c r="R962" s="29">
        <v>44500</v>
      </c>
      <c r="S962">
        <v>46600</v>
      </c>
      <c r="T962">
        <v>47100</v>
      </c>
      <c r="U962">
        <v>49800</v>
      </c>
      <c r="V962">
        <v>49900</v>
      </c>
      <c r="W962">
        <v>52500</v>
      </c>
    </row>
    <row r="963" spans="1:23">
      <c r="A963" s="30">
        <v>45247</v>
      </c>
      <c r="B963" s="29">
        <v>48700</v>
      </c>
      <c r="C963" s="29">
        <v>49000</v>
      </c>
      <c r="D963" s="29">
        <v>47300</v>
      </c>
      <c r="E963" s="29">
        <v>44200</v>
      </c>
      <c r="F963" s="29">
        <v>49800</v>
      </c>
      <c r="G963" s="29" t="str">
        <v>-</v>
      </c>
      <c r="H963" s="29">
        <v>47500</v>
      </c>
      <c r="I963" s="29">
        <v>46800</v>
      </c>
      <c r="J963" s="29">
        <v>49300</v>
      </c>
      <c r="K963" s="29" t="str">
        <v>-</v>
      </c>
      <c r="L963" s="29">
        <v>48500</v>
      </c>
      <c r="M963" s="29">
        <v>49200</v>
      </c>
      <c r="N963" s="29">
        <v>46400</v>
      </c>
      <c r="O963" s="29">
        <v>46200</v>
      </c>
      <c r="P963" s="29">
        <v>44000</v>
      </c>
      <c r="Q963" s="29">
        <v>44800</v>
      </c>
      <c r="R963" s="29">
        <v>44500</v>
      </c>
      <c r="S963">
        <v>46500</v>
      </c>
      <c r="T963">
        <v>47100</v>
      </c>
      <c r="U963">
        <v>49800</v>
      </c>
      <c r="V963">
        <v>49900</v>
      </c>
      <c r="W963">
        <v>52500</v>
      </c>
    </row>
    <row r="964" spans="1:23">
      <c r="A964" s="30">
        <v>45248</v>
      </c>
      <c r="B964" s="29">
        <v>48700</v>
      </c>
      <c r="C964" s="29">
        <v>49000</v>
      </c>
      <c r="D964" s="29">
        <v>47300</v>
      </c>
      <c r="E964" s="29">
        <v>44200</v>
      </c>
      <c r="F964" s="29">
        <v>49800</v>
      </c>
      <c r="G964" s="29" t="str">
        <v>-</v>
      </c>
      <c r="H964" s="29">
        <v>47500</v>
      </c>
      <c r="I964" s="29">
        <v>46800</v>
      </c>
      <c r="J964" s="29">
        <v>49300</v>
      </c>
      <c r="K964" s="29" t="str">
        <v>-</v>
      </c>
      <c r="L964" s="29">
        <v>48400</v>
      </c>
      <c r="M964" s="29">
        <v>49200</v>
      </c>
      <c r="N964" s="29">
        <v>46200</v>
      </c>
      <c r="O964" s="29" t="str">
        <v>-</v>
      </c>
      <c r="P964" s="29">
        <v>44000</v>
      </c>
      <c r="Q964" s="29">
        <v>44600</v>
      </c>
      <c r="R964" s="29">
        <v>44400</v>
      </c>
      <c r="S964">
        <v>46500</v>
      </c>
      <c r="T964">
        <v>47100</v>
      </c>
      <c r="U964">
        <v>49800</v>
      </c>
      <c r="V964">
        <v>49900</v>
      </c>
      <c r="W964">
        <v>52500</v>
      </c>
    </row>
    <row r="965" spans="1:23">
      <c r="A965" s="30">
        <v>45249</v>
      </c>
      <c r="B965" s="29" t="str">
        <v>H</v>
      </c>
      <c r="C965" s="29" t="str">
        <v>H</v>
      </c>
      <c r="D965" s="29" t="str">
        <v>H</v>
      </c>
      <c r="E965" s="29" t="str">
        <v>H</v>
      </c>
      <c r="F965" s="29" t="str">
        <v>H</v>
      </c>
      <c r="G965" s="29" t="str">
        <v>H</v>
      </c>
      <c r="H965" s="29" t="str">
        <v>H</v>
      </c>
      <c r="I965" s="29" t="str">
        <v>H</v>
      </c>
      <c r="J965" s="29" t="str">
        <v>H</v>
      </c>
      <c r="K965" s="29" t="str">
        <v>H</v>
      </c>
      <c r="L965" s="29" t="str">
        <v>H</v>
      </c>
      <c r="M965" s="29" t="str">
        <v>H</v>
      </c>
      <c r="N965" s="29" t="str">
        <v>H</v>
      </c>
      <c r="O965" s="29" t="str">
        <v>H</v>
      </c>
      <c r="P965" s="29" t="str">
        <v>H</v>
      </c>
      <c r="Q965" s="29" t="str">
        <v>H</v>
      </c>
      <c r="R965" s="29" t="str">
        <v>H</v>
      </c>
      <c r="S965" t="str">
        <v>H</v>
      </c>
      <c r="T965" t="str">
        <v>H</v>
      </c>
      <c r="U965" t="str">
        <v>H</v>
      </c>
      <c r="V965" t="str">
        <v>H</v>
      </c>
      <c r="W965" t="str">
        <v>H</v>
      </c>
    </row>
    <row r="966" spans="1:23">
      <c r="A966" s="30">
        <v>45250</v>
      </c>
      <c r="B966" s="29">
        <v>48600</v>
      </c>
      <c r="C966" s="29">
        <v>49000</v>
      </c>
      <c r="D966" s="29">
        <v>47300</v>
      </c>
      <c r="E966" s="29">
        <v>44200</v>
      </c>
      <c r="F966" s="29">
        <v>49400</v>
      </c>
      <c r="G966" s="29" t="str">
        <v>-</v>
      </c>
      <c r="H966" s="29">
        <v>47500</v>
      </c>
      <c r="I966" s="29">
        <v>46700</v>
      </c>
      <c r="J966" s="29">
        <v>49300</v>
      </c>
      <c r="K966" s="29" t="str">
        <v>-</v>
      </c>
      <c r="L966" s="29">
        <v>48200</v>
      </c>
      <c r="M966" s="29">
        <v>49200</v>
      </c>
      <c r="N966" s="29">
        <v>45800</v>
      </c>
      <c r="O966" s="29" t="str">
        <v>-</v>
      </c>
      <c r="P966" s="29">
        <v>44000</v>
      </c>
      <c r="Q966" s="29">
        <v>44600</v>
      </c>
      <c r="R966" s="29">
        <v>44400</v>
      </c>
      <c r="S966">
        <v>46500</v>
      </c>
      <c r="T966">
        <v>47100</v>
      </c>
      <c r="U966">
        <v>49800</v>
      </c>
      <c r="V966">
        <v>49400</v>
      </c>
      <c r="W966">
        <v>51800</v>
      </c>
    </row>
    <row r="967" spans="1:23">
      <c r="A967" s="30">
        <v>45251</v>
      </c>
      <c r="B967" s="29">
        <v>48300</v>
      </c>
      <c r="C967" s="29">
        <v>49000</v>
      </c>
      <c r="D967" s="29">
        <v>46800</v>
      </c>
      <c r="E967" s="29">
        <v>43800</v>
      </c>
      <c r="F967" s="29">
        <v>49200</v>
      </c>
      <c r="G967" s="29" t="str">
        <v>-</v>
      </c>
      <c r="H967" s="29">
        <v>47000</v>
      </c>
      <c r="I967" s="29">
        <v>46600</v>
      </c>
      <c r="J967" s="29">
        <v>49300</v>
      </c>
      <c r="K967" s="29" t="str">
        <v>-</v>
      </c>
      <c r="L967" s="29">
        <v>48200</v>
      </c>
      <c r="M967" s="29">
        <v>49200</v>
      </c>
      <c r="N967" s="29">
        <v>45800</v>
      </c>
      <c r="O967" s="29">
        <v>45800</v>
      </c>
      <c r="P967" s="29">
        <v>43800</v>
      </c>
      <c r="Q967" s="29">
        <v>44500</v>
      </c>
      <c r="R967" s="29">
        <v>44200</v>
      </c>
      <c r="S967">
        <v>46100</v>
      </c>
      <c r="T967">
        <v>47000</v>
      </c>
      <c r="U967">
        <v>49800</v>
      </c>
      <c r="V967">
        <v>49300</v>
      </c>
      <c r="W967">
        <v>51800</v>
      </c>
    </row>
    <row r="968" spans="1:23">
      <c r="A968" s="30">
        <v>45252</v>
      </c>
      <c r="B968" s="29">
        <v>48300</v>
      </c>
      <c r="C968" s="29">
        <v>49000</v>
      </c>
      <c r="D968" s="29">
        <v>46700</v>
      </c>
      <c r="E968" s="29">
        <v>43700</v>
      </c>
      <c r="F968" s="29">
        <v>49200</v>
      </c>
      <c r="G968" s="29" t="str">
        <v>-</v>
      </c>
      <c r="H968" s="29">
        <v>47000</v>
      </c>
      <c r="I968" s="29">
        <v>46400</v>
      </c>
      <c r="J968" s="29">
        <v>48500</v>
      </c>
      <c r="K968" s="29" t="str">
        <v>-</v>
      </c>
      <c r="L968" s="29">
        <v>48100</v>
      </c>
      <c r="M968" s="29">
        <v>48700</v>
      </c>
      <c r="N968" s="29">
        <v>45800</v>
      </c>
      <c r="O968" s="29">
        <v>45700</v>
      </c>
      <c r="P968" s="29">
        <v>43600</v>
      </c>
      <c r="Q968" s="29">
        <v>44200</v>
      </c>
      <c r="R968" s="29">
        <v>44000</v>
      </c>
      <c r="S968">
        <v>46000</v>
      </c>
      <c r="T968">
        <v>47000</v>
      </c>
      <c r="U968">
        <v>49800</v>
      </c>
      <c r="V968">
        <v>49000</v>
      </c>
      <c r="W968">
        <v>51800</v>
      </c>
    </row>
    <row r="969" spans="1:23">
      <c r="A969" s="30">
        <v>45253</v>
      </c>
      <c r="B969" s="29">
        <v>48700</v>
      </c>
      <c r="C969" s="29">
        <v>48800</v>
      </c>
      <c r="D969" s="29">
        <v>47000</v>
      </c>
      <c r="E969" s="29">
        <v>44000</v>
      </c>
      <c r="F969" s="29">
        <v>49200</v>
      </c>
      <c r="G969" s="29" t="str">
        <v>-</v>
      </c>
      <c r="H969" s="29">
        <v>47000</v>
      </c>
      <c r="I969" s="29">
        <v>46500</v>
      </c>
      <c r="J969" s="29">
        <v>49000</v>
      </c>
      <c r="K969" s="29" t="str">
        <v>-</v>
      </c>
      <c r="L969" s="29">
        <v>48400</v>
      </c>
      <c r="M969" s="29">
        <v>48700</v>
      </c>
      <c r="N969" s="29">
        <v>46300</v>
      </c>
      <c r="O969" s="29">
        <v>45800</v>
      </c>
      <c r="P969" s="29">
        <v>44000</v>
      </c>
      <c r="Q969" s="29">
        <v>44200</v>
      </c>
      <c r="R969" s="29">
        <v>44200</v>
      </c>
      <c r="S969">
        <v>46300</v>
      </c>
      <c r="T969">
        <v>47000</v>
      </c>
      <c r="U969">
        <v>49800</v>
      </c>
      <c r="V969">
        <v>49000</v>
      </c>
      <c r="W969">
        <v>51800</v>
      </c>
    </row>
    <row r="970" spans="1:23">
      <c r="A970" s="30">
        <v>45254</v>
      </c>
      <c r="B970" s="29">
        <v>48700</v>
      </c>
      <c r="C970" s="29">
        <v>49000</v>
      </c>
      <c r="D970" s="29">
        <v>47000</v>
      </c>
      <c r="E970" s="29">
        <v>43800</v>
      </c>
      <c r="F970" s="29">
        <v>49300</v>
      </c>
      <c r="G970" s="29" t="str">
        <v>-</v>
      </c>
      <c r="H970" s="29">
        <v>47000</v>
      </c>
      <c r="I970" s="29">
        <v>46500</v>
      </c>
      <c r="J970" s="29">
        <v>49000</v>
      </c>
      <c r="K970" s="29" t="str">
        <v>-</v>
      </c>
      <c r="L970" s="29">
        <v>48400</v>
      </c>
      <c r="M970" s="29">
        <v>48700</v>
      </c>
      <c r="N970" s="29">
        <v>46000</v>
      </c>
      <c r="O970" s="29">
        <v>45600</v>
      </c>
      <c r="P970" s="29">
        <v>43700</v>
      </c>
      <c r="Q970" s="29">
        <v>44200</v>
      </c>
      <c r="R970" s="29">
        <v>44000</v>
      </c>
      <c r="S970">
        <v>46100</v>
      </c>
      <c r="T970">
        <v>47000</v>
      </c>
      <c r="U970">
        <v>49800</v>
      </c>
      <c r="V970">
        <v>49000</v>
      </c>
      <c r="W970">
        <v>51800</v>
      </c>
    </row>
    <row r="971" spans="1:23">
      <c r="A971" s="30">
        <v>45255</v>
      </c>
      <c r="B971" s="29">
        <v>48500</v>
      </c>
      <c r="C971" s="29">
        <v>48700</v>
      </c>
      <c r="D971" s="29">
        <v>46800</v>
      </c>
      <c r="E971" s="29">
        <v>43600</v>
      </c>
      <c r="F971" s="29">
        <v>49300</v>
      </c>
      <c r="G971" s="29" t="str">
        <v>-</v>
      </c>
      <c r="H971" s="29">
        <v>47000</v>
      </c>
      <c r="I971" s="29">
        <v>46200</v>
      </c>
      <c r="J971" s="29">
        <v>49000</v>
      </c>
      <c r="K971" s="29" t="str">
        <v>-</v>
      </c>
      <c r="L971" s="29">
        <v>48200</v>
      </c>
      <c r="M971" s="29">
        <v>48700</v>
      </c>
      <c r="N971" s="29">
        <v>45600</v>
      </c>
      <c r="O971" s="29">
        <v>45300</v>
      </c>
      <c r="P971" s="29">
        <v>43300</v>
      </c>
      <c r="Q971" s="29">
        <v>44000</v>
      </c>
      <c r="R971" s="29">
        <v>43800</v>
      </c>
      <c r="S971">
        <v>45900</v>
      </c>
      <c r="T971">
        <v>46800</v>
      </c>
      <c r="U971">
        <v>49800</v>
      </c>
      <c r="V971">
        <v>49000</v>
      </c>
      <c r="W971">
        <v>51800</v>
      </c>
    </row>
    <row r="972" spans="1:23">
      <c r="A972" s="30">
        <v>45256</v>
      </c>
      <c r="B972" s="29" t="str">
        <v>H</v>
      </c>
      <c r="C972" s="29" t="str">
        <v>H</v>
      </c>
      <c r="D972" s="29" t="str">
        <v>H</v>
      </c>
      <c r="E972" s="29" t="str">
        <v>H</v>
      </c>
      <c r="F972" s="29" t="str">
        <v>H</v>
      </c>
      <c r="G972" s="29" t="str">
        <v>H</v>
      </c>
      <c r="H972" s="29" t="str">
        <v>H</v>
      </c>
      <c r="I972" s="29" t="str">
        <v>H</v>
      </c>
      <c r="J972" s="29" t="str">
        <v>H</v>
      </c>
      <c r="K972" s="29" t="str">
        <v>H</v>
      </c>
      <c r="L972" s="29" t="str">
        <v>H</v>
      </c>
      <c r="M972" s="29" t="str">
        <v>H</v>
      </c>
      <c r="N972" s="29" t="str">
        <v>H</v>
      </c>
      <c r="O972" s="29" t="str">
        <v>H</v>
      </c>
      <c r="P972" s="29" t="str">
        <v>H</v>
      </c>
      <c r="Q972" s="29" t="str">
        <v>H</v>
      </c>
      <c r="R972" s="29" t="str">
        <v>H</v>
      </c>
      <c r="S972" t="str">
        <v>H</v>
      </c>
      <c r="T972" t="str">
        <v>H</v>
      </c>
      <c r="U972" t="str">
        <v>H</v>
      </c>
      <c r="V972" t="str">
        <v>H</v>
      </c>
      <c r="W972" t="str">
        <v>H</v>
      </c>
    </row>
    <row r="973" spans="1:23">
      <c r="A973" s="30">
        <v>45257</v>
      </c>
      <c r="B973" s="29">
        <v>48000</v>
      </c>
      <c r="C973" s="29">
        <v>48800</v>
      </c>
      <c r="D973" s="29">
        <v>46500</v>
      </c>
      <c r="E973" s="29">
        <v>43200</v>
      </c>
      <c r="F973" s="29">
        <v>49300</v>
      </c>
      <c r="G973" s="29" t="str">
        <v>-</v>
      </c>
      <c r="H973" s="29">
        <v>47000</v>
      </c>
      <c r="I973" s="29">
        <v>45900</v>
      </c>
      <c r="J973" s="29">
        <v>49000</v>
      </c>
      <c r="K973" s="29" t="str">
        <v>-</v>
      </c>
      <c r="L973" s="29">
        <v>47800</v>
      </c>
      <c r="M973" s="29">
        <v>48700</v>
      </c>
      <c r="N973" s="29">
        <v>45600</v>
      </c>
      <c r="O973" s="29">
        <v>45100</v>
      </c>
      <c r="P973" s="29">
        <v>43000</v>
      </c>
      <c r="Q973" s="29">
        <v>43400</v>
      </c>
      <c r="R973" s="29">
        <v>43700</v>
      </c>
      <c r="S973">
        <v>45500</v>
      </c>
      <c r="T973">
        <v>46600</v>
      </c>
      <c r="U973">
        <v>48800</v>
      </c>
      <c r="V973">
        <v>48300</v>
      </c>
      <c r="W973">
        <v>51000</v>
      </c>
    </row>
    <row r="974" spans="1:23">
      <c r="A974" s="30">
        <v>45258</v>
      </c>
      <c r="B974" s="29">
        <v>47600</v>
      </c>
      <c r="C974" s="29">
        <v>48500</v>
      </c>
      <c r="D974" s="29">
        <v>46000</v>
      </c>
      <c r="E974" s="29">
        <v>43000</v>
      </c>
      <c r="F974" s="29">
        <v>48800</v>
      </c>
      <c r="G974" s="29" t="str">
        <v>-</v>
      </c>
      <c r="H974" s="29">
        <v>46500</v>
      </c>
      <c r="I974" s="29">
        <v>45500</v>
      </c>
      <c r="J974" s="29">
        <v>48800</v>
      </c>
      <c r="K974" s="29" t="str">
        <v>-</v>
      </c>
      <c r="L974" s="29">
        <v>47500</v>
      </c>
      <c r="M974" s="29">
        <v>48700</v>
      </c>
      <c r="N974" s="29">
        <v>45300</v>
      </c>
      <c r="O974" s="29">
        <v>44800</v>
      </c>
      <c r="P974" s="29">
        <v>42800</v>
      </c>
      <c r="Q974" s="29">
        <v>43200</v>
      </c>
      <c r="R974" s="29">
        <v>43600</v>
      </c>
      <c r="S974">
        <v>45300</v>
      </c>
      <c r="T974">
        <v>46200</v>
      </c>
      <c r="U974">
        <v>48800</v>
      </c>
      <c r="V974">
        <v>48100</v>
      </c>
      <c r="W974">
        <v>51000</v>
      </c>
    </row>
    <row r="975" spans="1:23">
      <c r="A975" s="30">
        <v>45259</v>
      </c>
      <c r="B975" s="29">
        <v>47400</v>
      </c>
      <c r="C975" s="29">
        <v>48500</v>
      </c>
      <c r="D975" s="29">
        <v>46200</v>
      </c>
      <c r="E975" s="29">
        <v>43100</v>
      </c>
      <c r="F975" s="29">
        <v>48800</v>
      </c>
      <c r="G975" s="29" t="str">
        <v>-</v>
      </c>
      <c r="H975" s="29">
        <v>47000</v>
      </c>
      <c r="I975" s="29">
        <v>45600</v>
      </c>
      <c r="J975" s="29">
        <v>48800</v>
      </c>
      <c r="K975" s="29" t="str">
        <v>-</v>
      </c>
      <c r="L975" s="29">
        <v>47500</v>
      </c>
      <c r="M975" s="29">
        <v>48700</v>
      </c>
      <c r="N975" s="29">
        <v>45500</v>
      </c>
      <c r="O975" s="29">
        <v>44900</v>
      </c>
      <c r="P975" s="29">
        <v>43200</v>
      </c>
      <c r="Q975" s="29">
        <v>43500</v>
      </c>
      <c r="R975" s="29">
        <v>43800</v>
      </c>
      <c r="S975">
        <v>45400</v>
      </c>
      <c r="T975">
        <v>46200</v>
      </c>
      <c r="U975">
        <v>48800</v>
      </c>
      <c r="V975">
        <v>48100</v>
      </c>
      <c r="W975">
        <v>51000</v>
      </c>
    </row>
    <row r="976" spans="1:23">
      <c r="A976" s="30">
        <v>45260</v>
      </c>
      <c r="B976" s="29">
        <v>47300</v>
      </c>
      <c r="C976" s="29">
        <v>48500</v>
      </c>
      <c r="D976" s="29">
        <v>46000</v>
      </c>
      <c r="E976" s="29">
        <v>42800</v>
      </c>
      <c r="F976" s="29">
        <v>48600</v>
      </c>
      <c r="G976" s="29" t="str">
        <v>-</v>
      </c>
      <c r="H976" s="29">
        <v>47000</v>
      </c>
      <c r="I976" s="29">
        <v>45400</v>
      </c>
      <c r="J976" s="29">
        <v>48000</v>
      </c>
      <c r="K976" s="29" t="str">
        <v>-</v>
      </c>
      <c r="L976" s="29">
        <v>47200</v>
      </c>
      <c r="M976" s="29">
        <v>48200</v>
      </c>
      <c r="N976" s="29">
        <v>45200</v>
      </c>
      <c r="O976" s="29">
        <v>44500</v>
      </c>
      <c r="P976" s="29">
        <v>43000</v>
      </c>
      <c r="Q976" s="29">
        <v>43300</v>
      </c>
      <c r="R976" s="29">
        <v>43300</v>
      </c>
      <c r="S976">
        <v>45000</v>
      </c>
      <c r="T976">
        <v>46200</v>
      </c>
      <c r="U976">
        <v>48800</v>
      </c>
      <c r="V976">
        <v>48100</v>
      </c>
      <c r="W976">
        <v>51000</v>
      </c>
    </row>
    <row r="977" spans="1:23">
      <c r="A977" s="30">
        <v>45261</v>
      </c>
      <c r="B977" s="29">
        <v>47300</v>
      </c>
      <c r="C977" s="29">
        <v>48500</v>
      </c>
      <c r="D977" s="29">
        <v>45800</v>
      </c>
      <c r="E977" s="29">
        <v>42700</v>
      </c>
      <c r="F977" s="29">
        <v>48600</v>
      </c>
      <c r="G977" s="29" t="str">
        <v>-</v>
      </c>
      <c r="H977" s="29">
        <v>46500</v>
      </c>
      <c r="I977" s="29">
        <v>45000</v>
      </c>
      <c r="J977" s="29">
        <v>48000</v>
      </c>
      <c r="K977" s="29" t="str">
        <v>-</v>
      </c>
      <c r="L977" s="29">
        <v>47000</v>
      </c>
      <c r="M977" s="29">
        <v>48200</v>
      </c>
      <c r="N977" s="29">
        <v>45000</v>
      </c>
      <c r="O977" s="29">
        <v>44500</v>
      </c>
      <c r="P977" s="29">
        <v>42500</v>
      </c>
      <c r="Q977" s="29">
        <v>43100</v>
      </c>
      <c r="R977" s="29">
        <v>43000</v>
      </c>
      <c r="S977">
        <v>45000</v>
      </c>
      <c r="T977">
        <v>46200</v>
      </c>
      <c r="U977">
        <v>48800</v>
      </c>
      <c r="V977">
        <v>48100</v>
      </c>
      <c r="W977">
        <v>51000</v>
      </c>
    </row>
    <row r="978" spans="1:23">
      <c r="A978" s="30">
        <v>45262</v>
      </c>
      <c r="B978" s="29">
        <v>47300</v>
      </c>
      <c r="C978" s="29">
        <v>48500</v>
      </c>
      <c r="D978" s="29">
        <v>46100</v>
      </c>
      <c r="E978" s="29">
        <v>42900</v>
      </c>
      <c r="F978" s="29">
        <v>48600</v>
      </c>
      <c r="G978" s="29" t="str">
        <v>-</v>
      </c>
      <c r="H978" s="29">
        <v>46500</v>
      </c>
      <c r="I978" s="29">
        <v>45600</v>
      </c>
      <c r="J978" s="29">
        <v>48000</v>
      </c>
      <c r="K978" s="29" t="str">
        <v>-</v>
      </c>
      <c r="L978" s="29">
        <v>47200</v>
      </c>
      <c r="M978" s="29">
        <v>48200</v>
      </c>
      <c r="N978" s="29">
        <v>45400</v>
      </c>
      <c r="O978" s="29">
        <v>44500</v>
      </c>
      <c r="P978" s="29">
        <v>42800</v>
      </c>
      <c r="Q978" s="29">
        <v>43000</v>
      </c>
      <c r="R978" s="29">
        <v>43300</v>
      </c>
      <c r="S978">
        <v>45200</v>
      </c>
      <c r="T978">
        <v>46000</v>
      </c>
      <c r="U978">
        <v>48800</v>
      </c>
      <c r="V978">
        <v>48100</v>
      </c>
      <c r="W978">
        <v>51000</v>
      </c>
    </row>
    <row r="979" spans="1:23">
      <c r="A979" s="30">
        <v>45263</v>
      </c>
      <c r="B979" s="29" t="str">
        <v>H</v>
      </c>
      <c r="C979" s="29" t="str">
        <v>H</v>
      </c>
      <c r="D979" s="29" t="str">
        <v>H</v>
      </c>
      <c r="E979" s="29" t="str">
        <v>H</v>
      </c>
      <c r="F979" s="29" t="str">
        <v>H</v>
      </c>
      <c r="G979" s="29" t="str">
        <v>H</v>
      </c>
      <c r="H979" s="29" t="str">
        <v>H</v>
      </c>
      <c r="I979" s="29" t="str">
        <v>H</v>
      </c>
      <c r="J979" s="29" t="str">
        <v>H</v>
      </c>
      <c r="K979" s="29" t="str">
        <v>H</v>
      </c>
      <c r="L979" s="29" t="str">
        <v>H</v>
      </c>
      <c r="M979" s="29" t="str">
        <v>H</v>
      </c>
      <c r="N979" s="29" t="str">
        <v>H</v>
      </c>
      <c r="O979" s="29" t="str">
        <v>H</v>
      </c>
      <c r="P979" s="29" t="str">
        <v>H</v>
      </c>
      <c r="Q979" s="29" t="str">
        <v>H</v>
      </c>
      <c r="R979" s="29" t="str">
        <v>H</v>
      </c>
      <c r="S979" t="str">
        <v>H</v>
      </c>
      <c r="T979" t="str">
        <v>H</v>
      </c>
      <c r="U979" t="str">
        <v>H</v>
      </c>
      <c r="V979" t="str">
        <v>H</v>
      </c>
      <c r="W979" t="str">
        <v>H</v>
      </c>
    </row>
    <row r="980" spans="1:23">
      <c r="A980" s="30">
        <v>45264</v>
      </c>
      <c r="B980" s="29">
        <v>47400</v>
      </c>
      <c r="C980" s="29" t="str">
        <v>-</v>
      </c>
      <c r="D980" s="29">
        <v>46000</v>
      </c>
      <c r="E980" s="29">
        <v>43000</v>
      </c>
      <c r="F980" s="29">
        <v>48500</v>
      </c>
      <c r="G980" s="29" t="str">
        <v>-</v>
      </c>
      <c r="H980" s="29">
        <v>46500</v>
      </c>
      <c r="I980" s="29">
        <v>45300</v>
      </c>
      <c r="J980" s="29">
        <v>48000</v>
      </c>
      <c r="K980" s="29" t="str">
        <v>-</v>
      </c>
      <c r="L980" s="29">
        <v>47000</v>
      </c>
      <c r="M980" s="29">
        <v>48200</v>
      </c>
      <c r="N980" s="29">
        <v>45400</v>
      </c>
      <c r="O980" s="29">
        <v>44300</v>
      </c>
      <c r="P980" s="29">
        <v>42800</v>
      </c>
      <c r="Q980" s="29">
        <v>43200</v>
      </c>
      <c r="R980" s="29">
        <v>43000</v>
      </c>
      <c r="S980">
        <v>45300</v>
      </c>
      <c r="T980">
        <v>46200</v>
      </c>
      <c r="U980">
        <v>48800</v>
      </c>
      <c r="V980">
        <v>48100</v>
      </c>
      <c r="W980">
        <v>51000</v>
      </c>
    </row>
    <row r="981" spans="1:23">
      <c r="A981" s="30">
        <v>45265</v>
      </c>
      <c r="B981" s="29">
        <v>47600</v>
      </c>
      <c r="C981" s="29" t="str">
        <v>-</v>
      </c>
      <c r="D981" s="29">
        <v>46200</v>
      </c>
      <c r="E981" s="29">
        <v>43200</v>
      </c>
      <c r="F981" s="29">
        <v>48700</v>
      </c>
      <c r="G981" s="29" t="str">
        <v>-</v>
      </c>
      <c r="H981" s="29">
        <v>46500</v>
      </c>
      <c r="I981" s="29">
        <v>45300</v>
      </c>
      <c r="J981" s="29">
        <v>48300</v>
      </c>
      <c r="K981" s="29" t="str">
        <v>-</v>
      </c>
      <c r="L981" s="29">
        <v>47200</v>
      </c>
      <c r="M981" s="29">
        <v>48200</v>
      </c>
      <c r="N981" s="29">
        <v>45500</v>
      </c>
      <c r="O981" s="29">
        <v>44500</v>
      </c>
      <c r="P981" s="29">
        <v>42700</v>
      </c>
      <c r="Q981" s="29">
        <v>43200</v>
      </c>
      <c r="R981" s="29">
        <v>43300</v>
      </c>
      <c r="S981">
        <v>45500</v>
      </c>
      <c r="T981">
        <v>46300</v>
      </c>
      <c r="U981">
        <v>48800</v>
      </c>
      <c r="V981">
        <v>48100</v>
      </c>
      <c r="W981">
        <v>51000</v>
      </c>
    </row>
    <row r="982" spans="1:23">
      <c r="A982" s="30">
        <v>45266</v>
      </c>
      <c r="B982" s="29">
        <v>47800</v>
      </c>
      <c r="C982" s="29" t="str">
        <v>-</v>
      </c>
      <c r="D982" s="29">
        <v>46400</v>
      </c>
      <c r="E982" s="29">
        <v>43700</v>
      </c>
      <c r="F982" s="29">
        <v>49200</v>
      </c>
      <c r="G982" s="29" t="str">
        <v>-</v>
      </c>
      <c r="H982" s="29">
        <v>46500</v>
      </c>
      <c r="I982" s="29">
        <v>45800</v>
      </c>
      <c r="J982" s="29">
        <v>48700</v>
      </c>
      <c r="K982" s="29" t="str">
        <v>-</v>
      </c>
      <c r="L982" s="29">
        <v>47500</v>
      </c>
      <c r="M982" s="29">
        <v>48300</v>
      </c>
      <c r="N982" s="29">
        <v>45600</v>
      </c>
      <c r="O982" s="29">
        <v>44900</v>
      </c>
      <c r="P982" s="29">
        <v>43000</v>
      </c>
      <c r="Q982" s="29">
        <v>43400</v>
      </c>
      <c r="R982" s="29">
        <v>43800</v>
      </c>
      <c r="S982">
        <v>46000</v>
      </c>
      <c r="T982">
        <v>46300</v>
      </c>
      <c r="U982">
        <v>48800</v>
      </c>
      <c r="V982">
        <v>48800</v>
      </c>
      <c r="W982">
        <v>52200</v>
      </c>
    </row>
    <row r="983" spans="1:23">
      <c r="A983" s="30">
        <v>45267</v>
      </c>
      <c r="B983" s="29">
        <v>47800</v>
      </c>
      <c r="C983" s="29">
        <v>48500</v>
      </c>
      <c r="D983" s="29">
        <v>46400</v>
      </c>
      <c r="E983" s="29">
        <v>43400</v>
      </c>
      <c r="F983" s="29">
        <v>49200</v>
      </c>
      <c r="G983" s="29" t="str">
        <v>-</v>
      </c>
      <c r="H983" s="29">
        <v>47000</v>
      </c>
      <c r="I983" s="29">
        <v>45600</v>
      </c>
      <c r="J983" s="29">
        <v>48700</v>
      </c>
      <c r="K983" s="29" t="str">
        <v>-</v>
      </c>
      <c r="L983" s="29">
        <v>47400</v>
      </c>
      <c r="M983" s="29">
        <v>48300</v>
      </c>
      <c r="N983" s="29">
        <v>45500</v>
      </c>
      <c r="O983" s="29">
        <v>44700</v>
      </c>
      <c r="P983" s="29">
        <v>42700</v>
      </c>
      <c r="Q983" s="29">
        <v>43200</v>
      </c>
      <c r="R983" s="29">
        <v>43500</v>
      </c>
      <c r="S983">
        <v>45700</v>
      </c>
      <c r="T983">
        <v>46300</v>
      </c>
      <c r="U983">
        <v>48800</v>
      </c>
      <c r="V983">
        <v>48800</v>
      </c>
      <c r="W983">
        <v>52200</v>
      </c>
    </row>
    <row r="984" spans="1:23">
      <c r="A984" s="30">
        <v>45268</v>
      </c>
      <c r="B984" s="29">
        <v>48200</v>
      </c>
      <c r="C984" s="29">
        <v>48800</v>
      </c>
      <c r="D984" s="29">
        <v>46600</v>
      </c>
      <c r="E984" s="29">
        <v>43800</v>
      </c>
      <c r="F984" s="29">
        <v>49800</v>
      </c>
      <c r="G984" s="29" t="str">
        <v>-</v>
      </c>
      <c r="H984" s="29">
        <v>47000</v>
      </c>
      <c r="I984" s="29">
        <v>46200</v>
      </c>
      <c r="J984" s="29">
        <v>49200</v>
      </c>
      <c r="K984" s="29" t="str">
        <v>-</v>
      </c>
      <c r="L984" s="29">
        <v>47800</v>
      </c>
      <c r="M984" s="29">
        <v>48500</v>
      </c>
      <c r="N984" s="29">
        <v>45600</v>
      </c>
      <c r="O984" s="29">
        <v>44900</v>
      </c>
      <c r="P984" s="29">
        <v>43200</v>
      </c>
      <c r="Q984" s="29">
        <v>43900</v>
      </c>
      <c r="R984" s="29">
        <v>44000</v>
      </c>
      <c r="S984">
        <v>46100</v>
      </c>
      <c r="T984">
        <v>47000</v>
      </c>
      <c r="U984" t="str">
        <v>-</v>
      </c>
      <c r="V984">
        <v>49000</v>
      </c>
      <c r="W984">
        <v>52200</v>
      </c>
    </row>
    <row r="985" spans="1:23">
      <c r="A985" s="30">
        <v>45269</v>
      </c>
      <c r="B985" s="29">
        <v>48500</v>
      </c>
      <c r="C985" s="29">
        <v>48800</v>
      </c>
      <c r="D985" s="29">
        <v>47100</v>
      </c>
      <c r="E985" s="29">
        <v>44000</v>
      </c>
      <c r="F985" s="29">
        <v>50000</v>
      </c>
      <c r="G985" s="29" t="str">
        <v>-</v>
      </c>
      <c r="H985" s="29">
        <v>47500</v>
      </c>
      <c r="I985" s="29">
        <v>46500</v>
      </c>
      <c r="J985" s="29">
        <v>49600</v>
      </c>
      <c r="K985" s="29" t="str">
        <v>-</v>
      </c>
      <c r="L985" s="29">
        <v>48200</v>
      </c>
      <c r="M985" s="29">
        <v>48800</v>
      </c>
      <c r="N985" s="29">
        <v>46100</v>
      </c>
      <c r="O985" s="29">
        <v>45300</v>
      </c>
      <c r="P985" s="29">
        <v>43500</v>
      </c>
      <c r="Q985" s="29">
        <v>44500</v>
      </c>
      <c r="R985" s="29">
        <v>44200</v>
      </c>
      <c r="S985">
        <v>46300</v>
      </c>
      <c r="T985">
        <v>47300</v>
      </c>
      <c r="U985">
        <v>48800</v>
      </c>
      <c r="V985">
        <v>49600</v>
      </c>
      <c r="W985">
        <v>52200</v>
      </c>
    </row>
    <row r="986" spans="1:23">
      <c r="A986" s="30">
        <v>45270</v>
      </c>
      <c r="B986" s="29" t="str">
        <v>H</v>
      </c>
      <c r="C986" s="29" t="str">
        <v>H</v>
      </c>
      <c r="D986" s="29" t="str">
        <v>H</v>
      </c>
      <c r="E986" s="29" t="str">
        <v>H</v>
      </c>
      <c r="F986" s="29" t="str">
        <v>H</v>
      </c>
      <c r="G986" s="29" t="str">
        <v>H</v>
      </c>
      <c r="H986" s="29" t="str">
        <v>H</v>
      </c>
      <c r="I986" s="29" t="str">
        <v>H</v>
      </c>
      <c r="J986" s="29" t="str">
        <v>H</v>
      </c>
      <c r="K986" s="29" t="str">
        <v>H</v>
      </c>
      <c r="L986" s="29" t="str">
        <v>H</v>
      </c>
      <c r="M986" s="29" t="str">
        <v>H</v>
      </c>
      <c r="N986" s="29" t="str">
        <v>H</v>
      </c>
      <c r="O986" s="29" t="str">
        <v>H</v>
      </c>
      <c r="P986" s="29" t="str">
        <v>H</v>
      </c>
      <c r="Q986" s="29" t="str">
        <v>H</v>
      </c>
      <c r="R986" s="29" t="str">
        <v>H</v>
      </c>
      <c r="S986" t="str">
        <v>H</v>
      </c>
      <c r="T986" t="str">
        <v>H</v>
      </c>
      <c r="U986" t="str">
        <v>H</v>
      </c>
      <c r="V986" t="str">
        <v>H</v>
      </c>
      <c r="W986" t="str">
        <v>H</v>
      </c>
    </row>
    <row r="987" spans="1:23">
      <c r="A987" s="30">
        <v>45271</v>
      </c>
      <c r="B987" s="29">
        <v>48500</v>
      </c>
      <c r="C987" s="29">
        <v>49000</v>
      </c>
      <c r="D987" s="29">
        <v>46600</v>
      </c>
      <c r="E987" s="29">
        <v>44200</v>
      </c>
      <c r="F987" s="29">
        <v>50300</v>
      </c>
      <c r="G987" s="29" t="str">
        <v>-</v>
      </c>
      <c r="H987" s="29">
        <v>47500</v>
      </c>
      <c r="I987" s="29">
        <v>46600</v>
      </c>
      <c r="J987" s="29">
        <v>49600</v>
      </c>
      <c r="K987" s="29" t="str">
        <v>-</v>
      </c>
      <c r="L987" s="29">
        <v>48200</v>
      </c>
      <c r="M987" s="29">
        <v>49100</v>
      </c>
      <c r="N987" s="29">
        <v>45700</v>
      </c>
      <c r="O987" s="29">
        <v>45100</v>
      </c>
      <c r="P987" s="29">
        <v>43200</v>
      </c>
      <c r="Q987" s="29">
        <v>44200</v>
      </c>
      <c r="R987" s="29">
        <v>44000</v>
      </c>
      <c r="S987">
        <v>46500</v>
      </c>
      <c r="T987">
        <v>47100</v>
      </c>
      <c r="U987">
        <v>48800</v>
      </c>
      <c r="V987">
        <v>49600</v>
      </c>
      <c r="W987">
        <v>52200</v>
      </c>
    </row>
    <row r="988" spans="1:23">
      <c r="A988" s="30">
        <v>45272</v>
      </c>
      <c r="B988" s="29">
        <v>48500</v>
      </c>
      <c r="C988" s="29">
        <v>49000</v>
      </c>
      <c r="D988" s="29">
        <v>47200</v>
      </c>
      <c r="E988" s="29">
        <v>44000</v>
      </c>
      <c r="F988" s="29">
        <v>50300</v>
      </c>
      <c r="G988" s="29" t="str">
        <v>-</v>
      </c>
      <c r="H988" s="29">
        <v>47500</v>
      </c>
      <c r="I988" s="29">
        <v>46700</v>
      </c>
      <c r="J988" s="29">
        <v>49600</v>
      </c>
      <c r="K988" s="29" t="str">
        <v>-</v>
      </c>
      <c r="L988" s="29">
        <v>48400</v>
      </c>
      <c r="M988" s="29">
        <v>49200</v>
      </c>
      <c r="N988" s="29">
        <v>45700</v>
      </c>
      <c r="O988" s="29">
        <v>45300</v>
      </c>
      <c r="P988" s="29">
        <v>43500</v>
      </c>
      <c r="Q988" s="29">
        <v>44500</v>
      </c>
      <c r="R988" s="29">
        <v>44300</v>
      </c>
      <c r="S988">
        <v>46300</v>
      </c>
      <c r="T988">
        <v>47300</v>
      </c>
      <c r="U988">
        <v>48800</v>
      </c>
      <c r="V988">
        <v>49600</v>
      </c>
      <c r="W988">
        <v>52200</v>
      </c>
    </row>
    <row r="989" spans="1:23">
      <c r="A989" s="30">
        <v>45273</v>
      </c>
      <c r="B989" s="29">
        <v>48500</v>
      </c>
      <c r="C989" s="29">
        <v>49000</v>
      </c>
      <c r="D989" s="29">
        <v>46800</v>
      </c>
      <c r="E989" s="29">
        <v>43700</v>
      </c>
      <c r="F989" s="29">
        <v>50300</v>
      </c>
      <c r="G989" s="29" t="str">
        <v>-</v>
      </c>
      <c r="H989" s="29">
        <v>47500</v>
      </c>
      <c r="I989" s="29">
        <v>46600</v>
      </c>
      <c r="J989" s="29">
        <v>49200</v>
      </c>
      <c r="K989" s="29" t="str">
        <v>-</v>
      </c>
      <c r="L989" s="29">
        <v>48400</v>
      </c>
      <c r="M989" s="29">
        <v>49200</v>
      </c>
      <c r="N989" s="29">
        <v>46000</v>
      </c>
      <c r="O989" s="29">
        <v>45300</v>
      </c>
      <c r="P989" s="29">
        <v>43200</v>
      </c>
      <c r="Q989" s="29">
        <v>44300</v>
      </c>
      <c r="R989" s="29">
        <v>44100</v>
      </c>
      <c r="S989">
        <v>46200</v>
      </c>
      <c r="T989">
        <v>47100</v>
      </c>
      <c r="U989">
        <v>48800</v>
      </c>
      <c r="V989">
        <v>49500</v>
      </c>
      <c r="W989">
        <v>52200</v>
      </c>
    </row>
    <row r="990" spans="1:23">
      <c r="A990" s="30">
        <v>45274</v>
      </c>
      <c r="B990" s="29">
        <v>48700</v>
      </c>
      <c r="C990" s="29">
        <v>49200</v>
      </c>
      <c r="D990" s="29">
        <v>47000</v>
      </c>
      <c r="E990" s="29">
        <v>44000</v>
      </c>
      <c r="F990" s="29">
        <v>50300</v>
      </c>
      <c r="G990" s="29" t="str">
        <v>-</v>
      </c>
      <c r="H990" s="29">
        <v>48000</v>
      </c>
      <c r="I990" s="29">
        <v>46800</v>
      </c>
      <c r="J990" s="29">
        <v>49200</v>
      </c>
      <c r="K990" s="29" t="str">
        <v>-</v>
      </c>
      <c r="L990" s="29">
        <v>48600</v>
      </c>
      <c r="M990" s="29">
        <v>49200</v>
      </c>
      <c r="N990" s="29">
        <v>46200</v>
      </c>
      <c r="O990" s="29">
        <v>45300</v>
      </c>
      <c r="P990" s="29">
        <v>43400</v>
      </c>
      <c r="Q990" s="29">
        <v>44400</v>
      </c>
      <c r="R990" s="29">
        <v>44300</v>
      </c>
      <c r="S990">
        <v>46500</v>
      </c>
      <c r="T990">
        <v>47100</v>
      </c>
      <c r="U990">
        <v>48800</v>
      </c>
      <c r="V990">
        <v>49500</v>
      </c>
      <c r="W990">
        <v>52200</v>
      </c>
    </row>
    <row r="991" spans="1:23">
      <c r="A991" s="30">
        <v>45275</v>
      </c>
      <c r="B991" s="29">
        <v>48700</v>
      </c>
      <c r="C991" s="29">
        <v>49200</v>
      </c>
      <c r="D991" s="29">
        <v>47100</v>
      </c>
      <c r="E991" s="29">
        <v>43900</v>
      </c>
      <c r="F991" s="29">
        <v>50200</v>
      </c>
      <c r="G991" s="29" t="str">
        <v>-</v>
      </c>
      <c r="H991" s="29">
        <v>47500</v>
      </c>
      <c r="I991" s="29">
        <v>47000</v>
      </c>
      <c r="J991" s="29">
        <v>49200</v>
      </c>
      <c r="K991" s="29" t="str">
        <v>-</v>
      </c>
      <c r="L991" s="29">
        <v>48600</v>
      </c>
      <c r="M991" s="29">
        <v>49400</v>
      </c>
      <c r="N991" s="29">
        <v>46300</v>
      </c>
      <c r="O991" s="29">
        <v>45200</v>
      </c>
      <c r="P991" s="29">
        <v>43000</v>
      </c>
      <c r="Q991" s="29">
        <v>44200</v>
      </c>
      <c r="R991" s="29">
        <v>44000</v>
      </c>
      <c r="S991">
        <v>46400</v>
      </c>
      <c r="T991">
        <v>47100</v>
      </c>
      <c r="U991">
        <v>48800</v>
      </c>
      <c r="V991">
        <v>49500</v>
      </c>
      <c r="W991">
        <v>52200</v>
      </c>
    </row>
    <row r="992" spans="1:23">
      <c r="A992" s="30">
        <v>45276</v>
      </c>
      <c r="B992" s="29">
        <v>48700</v>
      </c>
      <c r="C992" s="29">
        <v>49200</v>
      </c>
      <c r="D992" s="29">
        <v>47100</v>
      </c>
      <c r="E992" s="29">
        <v>43700</v>
      </c>
      <c r="F992" s="29">
        <v>50000</v>
      </c>
      <c r="G992" s="29" t="str">
        <v>-</v>
      </c>
      <c r="H992" s="29">
        <v>47500</v>
      </c>
      <c r="I992" s="29">
        <v>47000</v>
      </c>
      <c r="J992" s="29">
        <v>49200</v>
      </c>
      <c r="K992" s="29" t="str">
        <v>-</v>
      </c>
      <c r="L992" s="29">
        <v>48600</v>
      </c>
      <c r="M992" s="29">
        <v>49400</v>
      </c>
      <c r="N992" s="29">
        <v>46100</v>
      </c>
      <c r="O992" s="29">
        <v>45100</v>
      </c>
      <c r="P992" s="29">
        <v>42800</v>
      </c>
      <c r="Q992" s="29">
        <v>43900</v>
      </c>
      <c r="R992" s="29">
        <v>43800</v>
      </c>
      <c r="S992">
        <v>46500</v>
      </c>
      <c r="T992">
        <v>46900</v>
      </c>
      <c r="U992">
        <v>48800</v>
      </c>
      <c r="V992">
        <v>49400</v>
      </c>
      <c r="W992">
        <v>52000</v>
      </c>
    </row>
    <row r="993" spans="1:23">
      <c r="A993" s="30">
        <v>45277</v>
      </c>
      <c r="B993" s="29" t="str">
        <v>H</v>
      </c>
      <c r="C993" s="29" t="str">
        <v>H</v>
      </c>
      <c r="D993" s="29" t="str">
        <v>H</v>
      </c>
      <c r="E993" s="29" t="str">
        <v>H</v>
      </c>
      <c r="F993" s="29" t="str">
        <v>H</v>
      </c>
      <c r="G993" s="29" t="str">
        <v>H</v>
      </c>
      <c r="H993" s="29" t="str">
        <v>H</v>
      </c>
      <c r="I993" s="29" t="str">
        <v>H</v>
      </c>
      <c r="J993" s="29" t="str">
        <v>H</v>
      </c>
      <c r="K993" s="29" t="str">
        <v>H</v>
      </c>
      <c r="L993" s="29" t="str">
        <v>H</v>
      </c>
      <c r="M993" s="29" t="str">
        <v>H</v>
      </c>
      <c r="N993" s="29" t="str">
        <v>H</v>
      </c>
      <c r="O993" s="29" t="str">
        <v>H</v>
      </c>
      <c r="P993" s="29" t="str">
        <v>H</v>
      </c>
      <c r="Q993" s="29" t="str">
        <v>H</v>
      </c>
      <c r="R993" s="29" t="str">
        <v>H</v>
      </c>
      <c r="S993" t="str">
        <v>H</v>
      </c>
      <c r="T993" t="str">
        <v>H</v>
      </c>
      <c r="U993" t="str">
        <v>H</v>
      </c>
      <c r="V993" t="str">
        <v>H</v>
      </c>
      <c r="W993" t="str">
        <v>H</v>
      </c>
    </row>
    <row r="994" spans="1:23">
      <c r="A994" s="30">
        <v>45278</v>
      </c>
      <c r="B994" s="29">
        <v>48500</v>
      </c>
      <c r="C994" s="29">
        <v>49000</v>
      </c>
      <c r="D994" s="29">
        <v>47100</v>
      </c>
      <c r="E994" s="29">
        <v>43800</v>
      </c>
      <c r="F994" s="29">
        <v>49900</v>
      </c>
      <c r="G994" s="29" t="str">
        <v>-</v>
      </c>
      <c r="H994" s="29">
        <v>47500</v>
      </c>
      <c r="I994" s="29">
        <v>46900</v>
      </c>
      <c r="J994" s="29">
        <v>48800</v>
      </c>
      <c r="K994" s="29" t="str">
        <v>-</v>
      </c>
      <c r="L994" s="29">
        <v>48700</v>
      </c>
      <c r="M994" s="29">
        <v>49300</v>
      </c>
      <c r="N994" s="29">
        <v>46400</v>
      </c>
      <c r="O994" s="29">
        <v>45300</v>
      </c>
      <c r="P994" s="29">
        <v>43000</v>
      </c>
      <c r="Q994" s="29">
        <v>43800</v>
      </c>
      <c r="R994" s="29">
        <v>43800</v>
      </c>
      <c r="S994">
        <v>46000</v>
      </c>
      <c r="T994">
        <v>47000</v>
      </c>
      <c r="U994">
        <v>48800</v>
      </c>
      <c r="V994">
        <v>49400</v>
      </c>
      <c r="W994">
        <v>52000</v>
      </c>
    </row>
    <row r="995" spans="1:23">
      <c r="A995" s="30">
        <v>45279</v>
      </c>
      <c r="B995" s="29">
        <v>48500</v>
      </c>
      <c r="C995" s="29">
        <v>49000</v>
      </c>
      <c r="D995" s="29">
        <v>47200</v>
      </c>
      <c r="E995" s="29">
        <v>43700</v>
      </c>
      <c r="F995" s="29">
        <v>49800</v>
      </c>
      <c r="G995" s="29" t="str">
        <v>-</v>
      </c>
      <c r="H995" s="29">
        <v>47500</v>
      </c>
      <c r="I995" s="29">
        <v>46700</v>
      </c>
      <c r="J995" s="29">
        <v>48800</v>
      </c>
      <c r="K995" s="29" t="str">
        <v>-</v>
      </c>
      <c r="L995" s="29">
        <v>48500</v>
      </c>
      <c r="M995" s="29">
        <v>48900</v>
      </c>
      <c r="N995" s="29">
        <v>46300</v>
      </c>
      <c r="O995" s="29">
        <v>45100</v>
      </c>
      <c r="P995" s="29">
        <v>42800</v>
      </c>
      <c r="Q995" s="29">
        <v>43500</v>
      </c>
      <c r="R995" s="29">
        <v>43800</v>
      </c>
      <c r="S995">
        <v>45900</v>
      </c>
      <c r="T995">
        <v>46700</v>
      </c>
      <c r="U995">
        <v>48800</v>
      </c>
      <c r="V995">
        <v>49400</v>
      </c>
      <c r="W995">
        <v>52000</v>
      </c>
    </row>
    <row r="996" spans="1:23">
      <c r="A996" s="30">
        <v>45280</v>
      </c>
      <c r="B996" s="29">
        <v>48000</v>
      </c>
      <c r="C996" s="29">
        <v>48800</v>
      </c>
      <c r="D996" s="29">
        <v>46700</v>
      </c>
      <c r="E996" s="29">
        <v>43700</v>
      </c>
      <c r="F996" s="29">
        <v>49400</v>
      </c>
      <c r="G996" s="29" t="str">
        <v>-</v>
      </c>
      <c r="H996" s="29">
        <v>47000</v>
      </c>
      <c r="I996" s="29">
        <v>46600</v>
      </c>
      <c r="J996" s="29">
        <v>48500</v>
      </c>
      <c r="K996" s="29" t="str">
        <v>-</v>
      </c>
      <c r="L996" s="29">
        <v>48500</v>
      </c>
      <c r="M996" s="29">
        <v>48500</v>
      </c>
      <c r="N996" s="29">
        <v>46200</v>
      </c>
      <c r="O996" s="29">
        <v>44900</v>
      </c>
      <c r="P996" s="29">
        <v>42800</v>
      </c>
      <c r="Q996" s="29">
        <v>43100</v>
      </c>
      <c r="R996" s="29">
        <v>43500</v>
      </c>
      <c r="S996">
        <v>45900</v>
      </c>
      <c r="T996">
        <v>46400</v>
      </c>
      <c r="U996">
        <v>48800</v>
      </c>
      <c r="V996">
        <v>49300</v>
      </c>
      <c r="W996">
        <v>51800</v>
      </c>
    </row>
    <row r="997" spans="1:23">
      <c r="A997" s="30">
        <v>45281</v>
      </c>
      <c r="B997" s="29">
        <v>47600</v>
      </c>
      <c r="C997" s="29">
        <v>48500</v>
      </c>
      <c r="D997" s="29">
        <v>46700</v>
      </c>
      <c r="E997" s="29">
        <v>43300</v>
      </c>
      <c r="F997" s="29">
        <v>49000</v>
      </c>
      <c r="G997" s="29" t="str">
        <v>-</v>
      </c>
      <c r="H997" s="29">
        <v>46500</v>
      </c>
      <c r="I997" s="29">
        <v>46000</v>
      </c>
      <c r="J997" s="29">
        <v>48200</v>
      </c>
      <c r="K997" s="29" t="str">
        <v>-</v>
      </c>
      <c r="L997" s="29">
        <v>48400</v>
      </c>
      <c r="M997" s="29">
        <v>48500</v>
      </c>
      <c r="N997" s="29">
        <v>46100</v>
      </c>
      <c r="O997" s="29">
        <v>44700</v>
      </c>
      <c r="P997" s="29">
        <v>42500</v>
      </c>
      <c r="Q997" s="29">
        <v>43100</v>
      </c>
      <c r="R997" s="29">
        <v>43300</v>
      </c>
      <c r="S997">
        <v>45500</v>
      </c>
      <c r="T997">
        <v>46200</v>
      </c>
      <c r="U997">
        <v>48800</v>
      </c>
      <c r="V997">
        <v>49000</v>
      </c>
      <c r="W997">
        <v>51800</v>
      </c>
    </row>
    <row r="998" spans="1:23">
      <c r="A998" s="30">
        <v>45282</v>
      </c>
      <c r="B998" s="29">
        <v>47400</v>
      </c>
      <c r="C998" s="29">
        <v>48300</v>
      </c>
      <c r="D998" s="29">
        <v>46600</v>
      </c>
      <c r="E998" s="29">
        <v>43000</v>
      </c>
      <c r="F998" s="29">
        <v>49000</v>
      </c>
      <c r="G998" s="29" t="str">
        <v>-</v>
      </c>
      <c r="H998" s="29">
        <v>46500</v>
      </c>
      <c r="I998" s="29">
        <v>46000</v>
      </c>
      <c r="J998" s="29">
        <v>48200</v>
      </c>
      <c r="K998" s="29" t="str">
        <v>-</v>
      </c>
      <c r="L998" s="29">
        <v>48000</v>
      </c>
      <c r="M998" s="29">
        <v>48500</v>
      </c>
      <c r="N998" s="29">
        <v>45700</v>
      </c>
      <c r="O998" s="29">
        <v>44700</v>
      </c>
      <c r="P998" s="29">
        <v>42300</v>
      </c>
      <c r="Q998" s="29">
        <v>43200</v>
      </c>
      <c r="R998" s="29">
        <v>43000</v>
      </c>
      <c r="S998">
        <v>45200</v>
      </c>
      <c r="T998">
        <v>46000</v>
      </c>
      <c r="U998">
        <v>48300</v>
      </c>
      <c r="V998">
        <v>48700</v>
      </c>
      <c r="W998">
        <v>51700</v>
      </c>
    </row>
    <row r="999" spans="1:23">
      <c r="A999" s="30">
        <v>45283</v>
      </c>
      <c r="B999" s="29">
        <v>47600</v>
      </c>
      <c r="C999" s="29">
        <v>48300</v>
      </c>
      <c r="D999" s="29">
        <v>46700</v>
      </c>
      <c r="E999" s="29">
        <v>43300</v>
      </c>
      <c r="F999" s="29">
        <v>49200</v>
      </c>
      <c r="G999" s="29" t="str">
        <v>-</v>
      </c>
      <c r="H999" s="29">
        <v>46500</v>
      </c>
      <c r="I999" s="29">
        <v>46000</v>
      </c>
      <c r="J999" s="29">
        <v>48400</v>
      </c>
      <c r="K999" s="29" t="str">
        <v>-</v>
      </c>
      <c r="L999" s="29">
        <v>48000</v>
      </c>
      <c r="M999" s="29">
        <v>48800</v>
      </c>
      <c r="N999" s="29">
        <v>46300</v>
      </c>
      <c r="O999" s="29">
        <v>44700</v>
      </c>
      <c r="P999" s="29">
        <v>42700</v>
      </c>
      <c r="Q999" s="29">
        <v>43400</v>
      </c>
      <c r="R999" s="29">
        <v>43500</v>
      </c>
      <c r="S999">
        <v>45500</v>
      </c>
      <c r="T999">
        <v>46300</v>
      </c>
      <c r="U999">
        <v>48300</v>
      </c>
      <c r="V999">
        <v>48500</v>
      </c>
      <c r="W999">
        <v>51700</v>
      </c>
    </row>
    <row r="1000" spans="1:23">
      <c r="A1000" s="30">
        <v>45284</v>
      </c>
      <c r="B1000" s="29" t="str">
        <v>H</v>
      </c>
      <c r="C1000" s="29" t="str">
        <v>H</v>
      </c>
      <c r="D1000" s="29" t="str">
        <v>H</v>
      </c>
      <c r="E1000" s="29" t="str">
        <v>H</v>
      </c>
      <c r="F1000" s="29" t="str">
        <v>H</v>
      </c>
      <c r="G1000" s="29" t="str">
        <v>H</v>
      </c>
      <c r="H1000" s="29" t="str">
        <v>H</v>
      </c>
      <c r="I1000" s="29" t="str">
        <v>H</v>
      </c>
      <c r="J1000" s="29" t="str">
        <v>H</v>
      </c>
      <c r="K1000" s="29" t="str">
        <v>H</v>
      </c>
      <c r="L1000" s="29" t="str">
        <v>H</v>
      </c>
      <c r="M1000" s="29" t="str">
        <v>H</v>
      </c>
      <c r="N1000" s="29" t="str">
        <v>H</v>
      </c>
      <c r="O1000" s="29" t="str">
        <v>H</v>
      </c>
      <c r="P1000" s="29" t="str">
        <v>H</v>
      </c>
      <c r="Q1000" s="29" t="str">
        <v>H</v>
      </c>
      <c r="R1000" s="29" t="str">
        <v>H</v>
      </c>
      <c r="S1000" t="str">
        <v>H</v>
      </c>
      <c r="T1000" t="str">
        <v>H</v>
      </c>
      <c r="U1000" t="str">
        <v>H</v>
      </c>
      <c r="V1000" t="str">
        <v>H</v>
      </c>
      <c r="W1000" t="str">
        <v>H</v>
      </c>
    </row>
    <row r="1001" spans="1:23">
      <c r="A1001" s="30">
        <v>45285</v>
      </c>
      <c r="B1001" s="29" t="str">
        <v>H</v>
      </c>
      <c r="C1001" s="29" t="str">
        <v>H</v>
      </c>
      <c r="D1001" s="29" t="str">
        <v>H</v>
      </c>
      <c r="E1001" s="29" t="str">
        <v>H</v>
      </c>
      <c r="F1001" s="29" t="str">
        <v>H</v>
      </c>
      <c r="G1001" s="29" t="str">
        <v>H</v>
      </c>
      <c r="H1001" s="29" t="str">
        <v>H</v>
      </c>
      <c r="I1001" s="29" t="str">
        <v>H</v>
      </c>
      <c r="J1001" s="29" t="str">
        <v>H</v>
      </c>
      <c r="K1001" s="29" t="str">
        <v>H</v>
      </c>
      <c r="L1001" s="29" t="str">
        <v>H</v>
      </c>
      <c r="M1001" s="29" t="str">
        <v>H</v>
      </c>
      <c r="N1001" s="29" t="str">
        <v>H</v>
      </c>
      <c r="O1001" s="29" t="str">
        <v>H</v>
      </c>
      <c r="P1001" s="29" t="str">
        <v>H</v>
      </c>
      <c r="Q1001" s="29" t="str">
        <v>H</v>
      </c>
      <c r="R1001" s="29" t="str">
        <v>H</v>
      </c>
      <c r="S1001" t="str">
        <v>H</v>
      </c>
      <c r="T1001" t="str">
        <v>H</v>
      </c>
      <c r="U1001" t="str">
        <v>H</v>
      </c>
      <c r="V1001" t="str">
        <v>H</v>
      </c>
      <c r="W1001" t="str">
        <v>H</v>
      </c>
    </row>
    <row r="1002" spans="1:23">
      <c r="A1002" s="30">
        <v>45286</v>
      </c>
      <c r="B1002" s="29">
        <v>47500</v>
      </c>
      <c r="C1002" s="29">
        <v>48000</v>
      </c>
      <c r="D1002" s="29">
        <v>46200</v>
      </c>
      <c r="E1002" s="29">
        <v>42600</v>
      </c>
      <c r="F1002" s="29">
        <v>49200</v>
      </c>
      <c r="G1002" s="29" t="str">
        <v>-</v>
      </c>
      <c r="H1002" s="29">
        <v>46000</v>
      </c>
      <c r="I1002" s="29">
        <v>45700</v>
      </c>
      <c r="J1002" s="29">
        <v>48000</v>
      </c>
      <c r="K1002" s="29" t="str">
        <v>-</v>
      </c>
      <c r="L1002" s="29">
        <v>47400</v>
      </c>
      <c r="M1002" s="29">
        <v>48800</v>
      </c>
      <c r="N1002" s="29">
        <v>45700</v>
      </c>
      <c r="O1002" s="29">
        <v>44500</v>
      </c>
      <c r="P1002" s="29">
        <v>42300</v>
      </c>
      <c r="Q1002" s="29">
        <v>43100</v>
      </c>
      <c r="R1002" s="29">
        <v>43200</v>
      </c>
      <c r="S1002">
        <v>44800</v>
      </c>
      <c r="T1002">
        <v>46000</v>
      </c>
      <c r="U1002">
        <v>48300</v>
      </c>
      <c r="V1002">
        <v>48500</v>
      </c>
      <c r="W1002">
        <v>51700</v>
      </c>
    </row>
    <row r="1003" spans="1:23">
      <c r="A1003" s="30">
        <v>45287</v>
      </c>
      <c r="B1003" s="29">
        <v>47400</v>
      </c>
      <c r="C1003" s="29">
        <v>48000</v>
      </c>
      <c r="D1003" s="29">
        <v>46500</v>
      </c>
      <c r="E1003" s="29">
        <v>42700</v>
      </c>
      <c r="F1003" s="29">
        <v>48700</v>
      </c>
      <c r="G1003" s="29" t="str">
        <v>-</v>
      </c>
      <c r="H1003" s="29">
        <v>45500</v>
      </c>
      <c r="I1003" s="29">
        <v>45700</v>
      </c>
      <c r="J1003" s="29">
        <v>48000</v>
      </c>
      <c r="K1003" s="29" t="str">
        <v>-</v>
      </c>
      <c r="L1003" s="29">
        <v>47400</v>
      </c>
      <c r="M1003" s="29">
        <v>48800</v>
      </c>
      <c r="N1003" s="29">
        <v>45900</v>
      </c>
      <c r="O1003" s="29">
        <v>44500</v>
      </c>
      <c r="P1003" s="29">
        <v>42500</v>
      </c>
      <c r="Q1003" s="29">
        <v>43100</v>
      </c>
      <c r="R1003" s="29">
        <v>43000</v>
      </c>
      <c r="S1003">
        <v>44900</v>
      </c>
      <c r="T1003">
        <v>46000</v>
      </c>
      <c r="U1003">
        <v>48300</v>
      </c>
      <c r="V1003">
        <v>48500</v>
      </c>
      <c r="W1003">
        <v>51400</v>
      </c>
    </row>
    <row r="1004" spans="1:23">
      <c r="A1004" s="30">
        <v>45288</v>
      </c>
      <c r="B1004" s="29">
        <v>47300</v>
      </c>
      <c r="C1004" s="29">
        <v>47800</v>
      </c>
      <c r="D1004" s="29">
        <v>46200</v>
      </c>
      <c r="E1004" s="29">
        <v>42500</v>
      </c>
      <c r="F1004" s="29">
        <v>48500</v>
      </c>
      <c r="G1004" s="29" t="str">
        <v>-</v>
      </c>
      <c r="H1004" s="29">
        <v>45500</v>
      </c>
      <c r="I1004" s="29">
        <v>45400</v>
      </c>
      <c r="J1004" s="29">
        <v>47500</v>
      </c>
      <c r="K1004" s="29" t="str">
        <v>-</v>
      </c>
      <c r="L1004" s="29">
        <v>47100</v>
      </c>
      <c r="M1004" s="29">
        <v>48800</v>
      </c>
      <c r="N1004" s="29">
        <v>45600</v>
      </c>
      <c r="O1004" s="29">
        <v>44500</v>
      </c>
      <c r="P1004" s="29">
        <v>42200</v>
      </c>
      <c r="Q1004" s="29">
        <v>42900</v>
      </c>
      <c r="R1004" s="29">
        <v>43000</v>
      </c>
      <c r="S1004">
        <v>44700</v>
      </c>
      <c r="T1004">
        <v>45800</v>
      </c>
      <c r="U1004">
        <v>48300</v>
      </c>
      <c r="V1004">
        <v>48200</v>
      </c>
      <c r="W1004">
        <v>51100</v>
      </c>
    </row>
    <row r="1005" spans="1:23">
      <c r="A1005" s="30">
        <v>45289</v>
      </c>
      <c r="B1005" s="29">
        <v>47100</v>
      </c>
      <c r="C1005" s="29">
        <v>47500</v>
      </c>
      <c r="D1005" s="29">
        <v>46300</v>
      </c>
      <c r="E1005" s="29">
        <v>42900</v>
      </c>
      <c r="F1005" s="29">
        <v>48400</v>
      </c>
      <c r="G1005" s="29" t="str">
        <v>-</v>
      </c>
      <c r="H1005" s="29">
        <v>45000</v>
      </c>
      <c r="I1005" s="29">
        <v>45400</v>
      </c>
      <c r="J1005" s="29">
        <v>47700</v>
      </c>
      <c r="K1005" s="29" t="str">
        <v>-</v>
      </c>
      <c r="L1005" s="29">
        <v>47100</v>
      </c>
      <c r="M1005" s="29">
        <v>48800</v>
      </c>
      <c r="N1005" s="29">
        <v>45800</v>
      </c>
      <c r="O1005" s="29">
        <v>44100</v>
      </c>
      <c r="P1005" s="29">
        <v>42200</v>
      </c>
      <c r="Q1005" s="29">
        <v>42800</v>
      </c>
      <c r="R1005" s="29">
        <v>43000</v>
      </c>
      <c r="S1005">
        <v>45100</v>
      </c>
      <c r="T1005">
        <v>45800</v>
      </c>
      <c r="U1005">
        <v>48300</v>
      </c>
      <c r="V1005">
        <v>48200</v>
      </c>
      <c r="W1005">
        <v>51100</v>
      </c>
    </row>
    <row r="1006" spans="1:23">
      <c r="A1006" s="30">
        <v>45290</v>
      </c>
      <c r="B1006" s="29">
        <v>47100</v>
      </c>
      <c r="C1006" s="29">
        <v>47500</v>
      </c>
      <c r="D1006" s="29">
        <v>46500</v>
      </c>
      <c r="E1006" s="29">
        <v>43000</v>
      </c>
      <c r="F1006" s="29">
        <v>48400</v>
      </c>
      <c r="G1006" s="29" t="str">
        <v>-</v>
      </c>
      <c r="H1006" s="29">
        <v>45500</v>
      </c>
      <c r="I1006" s="29">
        <v>45600</v>
      </c>
      <c r="J1006" s="29">
        <v>47700</v>
      </c>
      <c r="K1006" s="29" t="str">
        <v>-</v>
      </c>
      <c r="L1006" s="29">
        <v>47300</v>
      </c>
      <c r="M1006" s="29">
        <v>48800</v>
      </c>
      <c r="N1006" s="29">
        <v>46000</v>
      </c>
      <c r="O1006" s="29">
        <v>44100</v>
      </c>
      <c r="P1006" s="29">
        <v>42300</v>
      </c>
      <c r="Q1006" s="29">
        <v>43000</v>
      </c>
      <c r="R1006" s="29">
        <v>43000</v>
      </c>
      <c r="S1006">
        <v>45200</v>
      </c>
      <c r="T1006">
        <v>45800</v>
      </c>
      <c r="U1006">
        <v>48300</v>
      </c>
      <c r="V1006">
        <v>48200</v>
      </c>
      <c r="W1006">
        <v>51100</v>
      </c>
    </row>
    <row r="1007" spans="1:23">
      <c r="A1007" s="30">
        <v>45291</v>
      </c>
      <c r="B1007" s="29" t="str">
        <v>H</v>
      </c>
      <c r="C1007" s="29" t="str">
        <v>H</v>
      </c>
      <c r="D1007" s="29" t="str">
        <v>H</v>
      </c>
      <c r="E1007" s="29" t="str">
        <v>H</v>
      </c>
      <c r="F1007" s="29" t="str">
        <v>H</v>
      </c>
      <c r="G1007" s="29" t="str">
        <v>H</v>
      </c>
      <c r="H1007" s="29" t="str">
        <v>H</v>
      </c>
      <c r="I1007" s="29" t="str">
        <v>H</v>
      </c>
      <c r="J1007" s="29" t="str">
        <v>H</v>
      </c>
      <c r="K1007" s="29" t="str">
        <v>H</v>
      </c>
      <c r="L1007" s="29" t="str">
        <v>H</v>
      </c>
      <c r="M1007" s="29" t="str">
        <v>H</v>
      </c>
      <c r="N1007" s="29" t="str">
        <v>H</v>
      </c>
      <c r="O1007" s="29" t="str">
        <v>H</v>
      </c>
      <c r="P1007" s="29" t="str">
        <v>H</v>
      </c>
      <c r="Q1007" s="29" t="str">
        <v>H</v>
      </c>
      <c r="R1007" s="29" t="str">
        <v>H</v>
      </c>
      <c r="S1007" t="str">
        <v>H</v>
      </c>
      <c r="T1007" t="str">
        <v>H</v>
      </c>
      <c r="U1007" t="str">
        <v>H</v>
      </c>
      <c r="V1007" t="str">
        <v>H</v>
      </c>
      <c r="W1007" t="str">
        <v>H</v>
      </c>
    </row>
    <row r="1008" spans="1:23">
      <c r="A1008" s="30">
        <v>45292</v>
      </c>
      <c r="B1008" s="29">
        <v>47600</v>
      </c>
      <c r="C1008" s="29">
        <v>47500</v>
      </c>
      <c r="D1008" s="29">
        <v>46600</v>
      </c>
      <c r="E1008" s="29">
        <v>43300</v>
      </c>
      <c r="F1008" s="29">
        <v>48600</v>
      </c>
      <c r="G1008" s="29" t="str">
        <v>-</v>
      </c>
      <c r="H1008" s="29">
        <v>46000</v>
      </c>
      <c r="I1008" s="29">
        <v>46200</v>
      </c>
      <c r="J1008" s="29">
        <v>48200</v>
      </c>
      <c r="K1008" s="29" t="str">
        <v>-</v>
      </c>
      <c r="L1008" s="29">
        <v>47700</v>
      </c>
      <c r="M1008" s="29">
        <v>48900</v>
      </c>
      <c r="N1008" s="29">
        <v>46500</v>
      </c>
      <c r="O1008" s="29">
        <v>44500</v>
      </c>
      <c r="P1008" s="29">
        <v>43000</v>
      </c>
      <c r="Q1008" s="29">
        <v>43500</v>
      </c>
      <c r="R1008" s="29">
        <v>43300</v>
      </c>
      <c r="S1008">
        <v>45500</v>
      </c>
      <c r="T1008">
        <v>46500</v>
      </c>
      <c r="U1008">
        <v>48300</v>
      </c>
      <c r="V1008">
        <v>48200</v>
      </c>
      <c r="W1008">
        <v>51100</v>
      </c>
    </row>
    <row r="1009" spans="1:23">
      <c r="A1009" s="30">
        <v>45293</v>
      </c>
      <c r="B1009" s="29">
        <v>47600</v>
      </c>
      <c r="C1009" s="29">
        <v>48000</v>
      </c>
      <c r="D1009" s="29">
        <v>46700</v>
      </c>
      <c r="E1009" s="29">
        <v>43400</v>
      </c>
      <c r="F1009" s="29">
        <v>48600</v>
      </c>
      <c r="G1009" s="29" t="str">
        <v>-</v>
      </c>
      <c r="H1009" s="29">
        <v>46000</v>
      </c>
      <c r="I1009" s="29">
        <v>46000</v>
      </c>
      <c r="J1009" s="29">
        <v>48500</v>
      </c>
      <c r="K1009" s="29" t="str">
        <v>-</v>
      </c>
      <c r="L1009" s="29">
        <v>47500</v>
      </c>
      <c r="M1009" s="29">
        <v>48900</v>
      </c>
      <c r="N1009" s="29">
        <v>46500</v>
      </c>
      <c r="O1009" s="29">
        <v>44500</v>
      </c>
      <c r="P1009" s="29">
        <v>42800</v>
      </c>
      <c r="Q1009" s="29">
        <v>43500</v>
      </c>
      <c r="R1009" s="29">
        <v>43500</v>
      </c>
      <c r="S1009">
        <v>45600</v>
      </c>
      <c r="T1009">
        <v>46500</v>
      </c>
      <c r="U1009">
        <v>48300</v>
      </c>
      <c r="V1009">
        <v>48600</v>
      </c>
      <c r="W1009">
        <v>51100</v>
      </c>
    </row>
    <row r="1010" spans="1:23">
      <c r="A1010" s="30">
        <v>45294</v>
      </c>
      <c r="B1010" s="29">
        <v>47900</v>
      </c>
      <c r="C1010" s="29">
        <v>48000</v>
      </c>
      <c r="D1010" s="29">
        <v>47000</v>
      </c>
      <c r="E1010" s="29">
        <v>43600</v>
      </c>
      <c r="F1010" s="29">
        <v>48600</v>
      </c>
      <c r="G1010" s="29" t="str">
        <v>-</v>
      </c>
      <c r="H1010" s="29">
        <v>46000</v>
      </c>
      <c r="I1010" s="29">
        <v>46300</v>
      </c>
      <c r="J1010" s="29">
        <v>49000</v>
      </c>
      <c r="K1010" s="29" t="str">
        <v>-</v>
      </c>
      <c r="L1010" s="29">
        <v>47700</v>
      </c>
      <c r="M1010" s="29">
        <v>48900</v>
      </c>
      <c r="N1010" s="29">
        <v>46700</v>
      </c>
      <c r="O1010" s="29">
        <v>44500</v>
      </c>
      <c r="P1010" s="29">
        <v>43000</v>
      </c>
      <c r="Q1010" s="29">
        <v>43700</v>
      </c>
      <c r="R1010" s="29">
        <v>43500</v>
      </c>
      <c r="S1010">
        <v>45800</v>
      </c>
      <c r="T1010">
        <v>46500</v>
      </c>
      <c r="U1010">
        <v>48300</v>
      </c>
      <c r="V1010">
        <v>48800</v>
      </c>
      <c r="W1010">
        <v>51300</v>
      </c>
    </row>
    <row r="1011" spans="1:23">
      <c r="A1011" s="30">
        <v>45295</v>
      </c>
      <c r="B1011" s="29">
        <v>48200</v>
      </c>
      <c r="C1011" s="29">
        <v>47800</v>
      </c>
      <c r="D1011" s="29">
        <v>47300</v>
      </c>
      <c r="E1011" s="29">
        <v>44000</v>
      </c>
      <c r="F1011" s="29">
        <v>49300</v>
      </c>
      <c r="G1011" s="29" t="str">
        <v>-</v>
      </c>
      <c r="H1011" s="29">
        <v>46500</v>
      </c>
      <c r="I1011" s="29">
        <v>46600</v>
      </c>
      <c r="J1011" s="29">
        <v>49000</v>
      </c>
      <c r="K1011" s="29" t="str">
        <v>-</v>
      </c>
      <c r="L1011" s="29">
        <v>47800</v>
      </c>
      <c r="M1011" s="29">
        <v>49000</v>
      </c>
      <c r="N1011" s="29">
        <v>47000</v>
      </c>
      <c r="O1011" s="29">
        <v>44700</v>
      </c>
      <c r="P1011" s="29">
        <v>43300</v>
      </c>
      <c r="Q1011" s="29">
        <v>43800</v>
      </c>
      <c r="R1011" s="29">
        <v>43800</v>
      </c>
      <c r="S1011">
        <v>46200</v>
      </c>
      <c r="T1011">
        <v>46700</v>
      </c>
      <c r="U1011">
        <v>48300</v>
      </c>
      <c r="V1011">
        <v>49000</v>
      </c>
      <c r="W1011">
        <v>51300</v>
      </c>
    </row>
    <row r="1012" spans="1:23">
      <c r="A1012" s="30">
        <v>45296</v>
      </c>
      <c r="B1012" s="29">
        <v>48200</v>
      </c>
      <c r="C1012" s="29">
        <v>48000</v>
      </c>
      <c r="D1012" s="29">
        <v>47300</v>
      </c>
      <c r="E1012" s="29">
        <v>43700</v>
      </c>
      <c r="F1012" s="29">
        <v>49300</v>
      </c>
      <c r="G1012" s="29" t="str">
        <v>-</v>
      </c>
      <c r="H1012" s="29">
        <v>46500</v>
      </c>
      <c r="I1012" s="29">
        <v>46500</v>
      </c>
      <c r="J1012" s="29">
        <v>49000</v>
      </c>
      <c r="K1012" s="29" t="str">
        <v>-</v>
      </c>
      <c r="L1012" s="29">
        <v>47800</v>
      </c>
      <c r="M1012" s="29">
        <v>49000</v>
      </c>
      <c r="N1012" s="29">
        <v>46800</v>
      </c>
      <c r="O1012" s="29">
        <v>44700</v>
      </c>
      <c r="P1012" s="29">
        <v>43100</v>
      </c>
      <c r="Q1012" s="29">
        <v>43600</v>
      </c>
      <c r="R1012" s="29">
        <v>43800</v>
      </c>
      <c r="S1012">
        <v>45900</v>
      </c>
      <c r="T1012">
        <v>46500</v>
      </c>
      <c r="U1012">
        <v>48300</v>
      </c>
      <c r="V1012">
        <v>49200</v>
      </c>
      <c r="W1012">
        <v>51300</v>
      </c>
    </row>
    <row r="1013" spans="1:23">
      <c r="A1013" s="30">
        <v>45297</v>
      </c>
      <c r="B1013" s="29">
        <v>48200</v>
      </c>
      <c r="C1013" s="29">
        <v>48000</v>
      </c>
      <c r="D1013" s="29">
        <v>47300</v>
      </c>
      <c r="E1013" s="29">
        <v>43600</v>
      </c>
      <c r="F1013" s="29">
        <v>49300</v>
      </c>
      <c r="G1013" s="29" t="str">
        <v>-</v>
      </c>
      <c r="H1013" s="29">
        <v>46000</v>
      </c>
      <c r="I1013" s="29">
        <v>46300</v>
      </c>
      <c r="J1013" s="29">
        <v>49000</v>
      </c>
      <c r="K1013" s="29" t="str">
        <v>-</v>
      </c>
      <c r="L1013" s="29">
        <v>47600</v>
      </c>
      <c r="M1013" s="29">
        <v>48900</v>
      </c>
      <c r="N1013" s="29">
        <v>46600</v>
      </c>
      <c r="O1013" s="29">
        <v>44700</v>
      </c>
      <c r="P1013" s="29">
        <v>43000</v>
      </c>
      <c r="Q1013" s="29">
        <v>43500</v>
      </c>
      <c r="R1013" s="29">
        <v>43700</v>
      </c>
      <c r="S1013">
        <v>45800</v>
      </c>
      <c r="T1013">
        <v>46500</v>
      </c>
      <c r="U1013">
        <v>48300</v>
      </c>
      <c r="V1013">
        <v>49200</v>
      </c>
      <c r="W1013">
        <v>51300</v>
      </c>
    </row>
    <row r="1014" spans="1:23">
      <c r="A1014" s="30">
        <v>45298</v>
      </c>
      <c r="B1014" s="29" t="str">
        <v>H</v>
      </c>
      <c r="C1014" s="29" t="str">
        <v>H</v>
      </c>
      <c r="D1014" s="29" t="str">
        <v>H</v>
      </c>
      <c r="E1014" s="29" t="str">
        <v>H</v>
      </c>
      <c r="F1014" s="29" t="str">
        <v>H</v>
      </c>
      <c r="G1014" s="29" t="str">
        <v>H</v>
      </c>
      <c r="H1014" s="29" t="str">
        <v>H</v>
      </c>
      <c r="I1014" s="29" t="str">
        <v>H</v>
      </c>
      <c r="J1014" s="29" t="str">
        <v>H</v>
      </c>
      <c r="K1014" s="29" t="str">
        <v>H</v>
      </c>
      <c r="L1014" s="29" t="str">
        <v>H</v>
      </c>
      <c r="M1014" s="29" t="str">
        <v>H</v>
      </c>
      <c r="N1014" s="29" t="str">
        <v>H</v>
      </c>
      <c r="O1014" s="29" t="str">
        <v>H</v>
      </c>
      <c r="P1014" s="29" t="str">
        <v>H</v>
      </c>
      <c r="Q1014" s="29" t="str">
        <v>H</v>
      </c>
      <c r="R1014" s="29" t="str">
        <v>H</v>
      </c>
      <c r="S1014" t="str">
        <v>H</v>
      </c>
      <c r="T1014" t="str">
        <v>H</v>
      </c>
      <c r="U1014" t="str">
        <v>H</v>
      </c>
      <c r="V1014" t="str">
        <v>H</v>
      </c>
      <c r="W1014" t="str">
        <v>H</v>
      </c>
    </row>
    <row r="1015" spans="1:23">
      <c r="A1015" s="30">
        <v>45299</v>
      </c>
      <c r="B1015" s="29">
        <v>48200</v>
      </c>
      <c r="C1015" s="29">
        <v>48000</v>
      </c>
      <c r="D1015" s="29">
        <v>47300</v>
      </c>
      <c r="E1015" s="29">
        <v>43700</v>
      </c>
      <c r="F1015" s="29">
        <v>49200</v>
      </c>
      <c r="G1015" s="29" t="str">
        <v>-</v>
      </c>
      <c r="H1015" s="29">
        <v>46000</v>
      </c>
      <c r="I1015" s="29">
        <v>46400</v>
      </c>
      <c r="J1015" s="29">
        <v>49000</v>
      </c>
      <c r="K1015" s="29" t="str">
        <v>-</v>
      </c>
      <c r="L1015" s="29">
        <v>47600</v>
      </c>
      <c r="M1015" s="29">
        <v>48600</v>
      </c>
      <c r="N1015" s="29">
        <v>47000</v>
      </c>
      <c r="O1015" s="29">
        <v>44500</v>
      </c>
      <c r="P1015" s="29">
        <v>43000</v>
      </c>
      <c r="Q1015" s="29">
        <v>43500</v>
      </c>
      <c r="R1015" s="29">
        <v>43700</v>
      </c>
      <c r="S1015">
        <v>45900</v>
      </c>
      <c r="T1015">
        <v>46500</v>
      </c>
      <c r="U1015">
        <v>48300</v>
      </c>
      <c r="V1015">
        <v>49200</v>
      </c>
      <c r="W1015">
        <v>51300</v>
      </c>
    </row>
    <row r="1016" spans="1:23">
      <c r="A1016" s="30">
        <v>45300</v>
      </c>
      <c r="B1016" s="29">
        <v>48000</v>
      </c>
      <c r="C1016" s="29">
        <v>48000</v>
      </c>
      <c r="D1016" s="29">
        <v>47000</v>
      </c>
      <c r="E1016" s="29">
        <v>43400</v>
      </c>
      <c r="F1016" s="29">
        <v>48600</v>
      </c>
      <c r="G1016" s="29" t="str">
        <v>-</v>
      </c>
      <c r="H1016" s="29">
        <v>45750</v>
      </c>
      <c r="I1016" s="29">
        <v>46200</v>
      </c>
      <c r="J1016" s="29">
        <v>48800</v>
      </c>
      <c r="K1016" s="29" t="str">
        <v>-</v>
      </c>
      <c r="L1016" s="29">
        <v>47600</v>
      </c>
      <c r="M1016" s="29">
        <v>48600</v>
      </c>
      <c r="N1016" s="29">
        <v>46600</v>
      </c>
      <c r="O1016" s="29">
        <v>44500</v>
      </c>
      <c r="P1016" s="29">
        <v>42500</v>
      </c>
      <c r="Q1016" s="29">
        <v>43100</v>
      </c>
      <c r="R1016" s="29">
        <v>43200</v>
      </c>
      <c r="S1016">
        <v>45600</v>
      </c>
      <c r="T1016">
        <v>46000</v>
      </c>
      <c r="U1016">
        <v>48300</v>
      </c>
      <c r="V1016">
        <v>48800</v>
      </c>
      <c r="W1016">
        <v>51000</v>
      </c>
    </row>
    <row r="1017" spans="1:23">
      <c r="A1017" s="30">
        <v>45301</v>
      </c>
      <c r="B1017" s="29">
        <v>48200</v>
      </c>
      <c r="C1017" s="29">
        <v>47700</v>
      </c>
      <c r="D1017" s="29">
        <v>47300</v>
      </c>
      <c r="E1017" s="29">
        <v>43500</v>
      </c>
      <c r="F1017" s="29">
        <v>48600</v>
      </c>
      <c r="G1017" s="29" t="str">
        <v>-</v>
      </c>
      <c r="H1017" s="29">
        <v>45500</v>
      </c>
      <c r="I1017" s="29">
        <v>46300</v>
      </c>
      <c r="J1017" s="29">
        <v>48800</v>
      </c>
      <c r="K1017" s="29" t="str">
        <v>-</v>
      </c>
      <c r="L1017" s="29">
        <v>47700</v>
      </c>
      <c r="M1017" s="29">
        <v>48600</v>
      </c>
      <c r="N1017" s="29">
        <v>46800</v>
      </c>
      <c r="O1017" s="29">
        <v>44500</v>
      </c>
      <c r="P1017" s="29">
        <v>42700</v>
      </c>
      <c r="Q1017" s="29">
        <v>43200</v>
      </c>
      <c r="R1017" s="29">
        <v>43200</v>
      </c>
      <c r="S1017">
        <v>45700</v>
      </c>
      <c r="T1017">
        <v>46000</v>
      </c>
      <c r="U1017">
        <v>48300</v>
      </c>
      <c r="V1017">
        <v>48300</v>
      </c>
      <c r="W1017">
        <v>51000</v>
      </c>
    </row>
    <row r="1018" spans="1:23">
      <c r="A1018" s="30">
        <v>45302</v>
      </c>
      <c r="B1018" s="29">
        <v>48200</v>
      </c>
      <c r="C1018" s="29">
        <v>47700</v>
      </c>
      <c r="D1018" s="29">
        <v>47000</v>
      </c>
      <c r="E1018" s="29">
        <v>43300</v>
      </c>
      <c r="F1018" s="29">
        <v>48400</v>
      </c>
      <c r="G1018" s="29" t="str">
        <v>-</v>
      </c>
      <c r="H1018" s="29">
        <v>45500</v>
      </c>
      <c r="I1018" s="29">
        <v>46200</v>
      </c>
      <c r="J1018" s="29">
        <v>48500</v>
      </c>
      <c r="K1018" s="29" t="str">
        <v>-</v>
      </c>
      <c r="L1018" s="29">
        <v>47700</v>
      </c>
      <c r="M1018" s="29">
        <v>48600</v>
      </c>
      <c r="N1018" s="29">
        <v>46600</v>
      </c>
      <c r="O1018" s="29">
        <v>44500</v>
      </c>
      <c r="P1018" s="29">
        <v>42400</v>
      </c>
      <c r="Q1018" s="29">
        <v>43100</v>
      </c>
      <c r="R1018" s="29">
        <v>43300</v>
      </c>
      <c r="S1018">
        <v>45500</v>
      </c>
      <c r="T1018">
        <v>46000</v>
      </c>
      <c r="U1018">
        <v>48300</v>
      </c>
      <c r="V1018">
        <v>48300</v>
      </c>
      <c r="W1018">
        <v>50800</v>
      </c>
    </row>
    <row r="1019" spans="1:23">
      <c r="A1019" s="30">
        <v>45303</v>
      </c>
      <c r="B1019" s="29">
        <v>48000</v>
      </c>
      <c r="C1019" s="29">
        <v>47700</v>
      </c>
      <c r="D1019" s="29">
        <v>47000</v>
      </c>
      <c r="E1019" s="29">
        <v>43400</v>
      </c>
      <c r="F1019" s="29">
        <v>48300</v>
      </c>
      <c r="G1019" s="29" t="str">
        <v>-</v>
      </c>
      <c r="H1019" s="29">
        <v>45000</v>
      </c>
      <c r="I1019" s="29">
        <v>46200</v>
      </c>
      <c r="J1019" s="29">
        <v>48500</v>
      </c>
      <c r="K1019" s="29" t="str">
        <v>-</v>
      </c>
      <c r="L1019" s="29">
        <v>47700</v>
      </c>
      <c r="M1019" s="29">
        <v>48600</v>
      </c>
      <c r="N1019" s="29">
        <v>46800</v>
      </c>
      <c r="O1019" s="29">
        <v>44500</v>
      </c>
      <c r="P1019" s="29">
        <v>42500</v>
      </c>
      <c r="Q1019" s="29">
        <v>43100</v>
      </c>
      <c r="R1019" s="29">
        <v>43300</v>
      </c>
      <c r="S1019">
        <v>45600</v>
      </c>
      <c r="T1019">
        <v>46100</v>
      </c>
      <c r="U1019">
        <v>48300</v>
      </c>
      <c r="V1019">
        <v>48200</v>
      </c>
      <c r="W1019">
        <v>50800</v>
      </c>
    </row>
    <row r="1020" spans="1:23">
      <c r="A1020" s="30">
        <v>45304</v>
      </c>
      <c r="B1020" s="29">
        <v>48000</v>
      </c>
      <c r="C1020" s="29">
        <v>47700</v>
      </c>
      <c r="D1020" s="29">
        <v>46900</v>
      </c>
      <c r="E1020" s="29">
        <v>43300</v>
      </c>
      <c r="F1020" s="29">
        <v>48300</v>
      </c>
      <c r="G1020" s="29" t="str">
        <v>-</v>
      </c>
      <c r="H1020" s="29">
        <v>45250</v>
      </c>
      <c r="I1020" s="29">
        <v>46200</v>
      </c>
      <c r="J1020" s="29">
        <v>48200</v>
      </c>
      <c r="K1020" s="29" t="str">
        <v>-</v>
      </c>
      <c r="L1020" s="29">
        <v>47600</v>
      </c>
      <c r="M1020" s="29">
        <v>48600</v>
      </c>
      <c r="N1020" s="29">
        <v>46700</v>
      </c>
      <c r="O1020" s="29">
        <v>44500</v>
      </c>
      <c r="P1020" s="29">
        <v>42400</v>
      </c>
      <c r="Q1020" s="29">
        <v>43100</v>
      </c>
      <c r="R1020" s="29">
        <v>43200</v>
      </c>
      <c r="S1020">
        <v>45500</v>
      </c>
      <c r="T1020">
        <v>46000</v>
      </c>
      <c r="U1020">
        <v>48300</v>
      </c>
      <c r="V1020">
        <v>48200</v>
      </c>
      <c r="W1020">
        <v>50800</v>
      </c>
    </row>
    <row r="1021" spans="1:23">
      <c r="A1021" s="30">
        <v>45305</v>
      </c>
      <c r="B1021" s="29" t="str">
        <v>H</v>
      </c>
      <c r="C1021" s="29" t="str">
        <v>H</v>
      </c>
      <c r="D1021" s="29" t="str">
        <v>H</v>
      </c>
      <c r="E1021" s="29" t="str">
        <v>H</v>
      </c>
      <c r="F1021" s="29" t="str">
        <v>H</v>
      </c>
      <c r="G1021" s="29" t="str">
        <v>H</v>
      </c>
      <c r="H1021" s="29" t="str">
        <v>H</v>
      </c>
      <c r="I1021" s="29" t="str">
        <v>H</v>
      </c>
      <c r="J1021" s="29" t="str">
        <v>H</v>
      </c>
      <c r="K1021" s="29" t="str">
        <v>H</v>
      </c>
      <c r="L1021" s="29" t="str">
        <v>H</v>
      </c>
      <c r="M1021" s="29" t="str">
        <v>H</v>
      </c>
      <c r="N1021" s="29" t="str">
        <v>H</v>
      </c>
      <c r="O1021" s="29" t="str">
        <v>H</v>
      </c>
      <c r="P1021" s="29" t="str">
        <v>H</v>
      </c>
      <c r="Q1021" s="29" t="str">
        <v>H</v>
      </c>
      <c r="R1021" s="29" t="str">
        <v>H</v>
      </c>
      <c r="S1021" t="str">
        <v>H</v>
      </c>
      <c r="T1021" t="str">
        <v>H</v>
      </c>
      <c r="U1021" t="str">
        <v>H</v>
      </c>
      <c r="V1021" t="str">
        <v>H</v>
      </c>
      <c r="W1021" t="str">
        <v>H</v>
      </c>
    </row>
    <row r="1022" spans="1:23">
      <c r="A1022" s="30">
        <v>45306</v>
      </c>
      <c r="B1022" s="29">
        <v>48000</v>
      </c>
      <c r="C1022" s="29" t="str">
        <v>-</v>
      </c>
      <c r="D1022" s="29">
        <v>46700</v>
      </c>
      <c r="E1022" s="29">
        <v>43300</v>
      </c>
      <c r="F1022" s="29">
        <v>48300</v>
      </c>
      <c r="G1022" s="29" t="str">
        <v>-</v>
      </c>
      <c r="H1022" s="29" t="str">
        <v>-</v>
      </c>
      <c r="I1022" s="29">
        <v>46100</v>
      </c>
      <c r="J1022" s="29">
        <v>48200</v>
      </c>
      <c r="K1022" s="29" t="str">
        <v>-</v>
      </c>
      <c r="L1022" s="29">
        <v>47600</v>
      </c>
      <c r="M1022" s="29">
        <v>48600</v>
      </c>
      <c r="N1022" s="29">
        <v>46600</v>
      </c>
      <c r="O1022" s="29">
        <v>44500</v>
      </c>
      <c r="P1022" s="29">
        <v>42400</v>
      </c>
      <c r="Q1022" s="29">
        <v>43100</v>
      </c>
      <c r="R1022" s="29" t="str">
        <v>-</v>
      </c>
      <c r="S1022">
        <v>45500</v>
      </c>
      <c r="T1022">
        <v>46000</v>
      </c>
      <c r="U1022" t="str">
        <v>-</v>
      </c>
      <c r="V1022">
        <v>48200</v>
      </c>
      <c r="W1022">
        <v>50800</v>
      </c>
    </row>
    <row r="1023" spans="1:23">
      <c r="A1023" s="30">
        <v>45307</v>
      </c>
      <c r="B1023" s="29">
        <v>48000</v>
      </c>
      <c r="C1023" s="29" t="str">
        <v>-</v>
      </c>
      <c r="D1023" s="29">
        <v>46800</v>
      </c>
      <c r="E1023" s="29">
        <v>43100</v>
      </c>
      <c r="F1023" s="29">
        <v>48200</v>
      </c>
      <c r="G1023" s="29" t="str">
        <v>-</v>
      </c>
      <c r="H1023" s="29">
        <v>45250</v>
      </c>
      <c r="I1023" s="29">
        <v>46100</v>
      </c>
      <c r="J1023" s="29">
        <v>48000</v>
      </c>
      <c r="K1023" s="29" t="str">
        <v>-</v>
      </c>
      <c r="L1023" s="29">
        <v>47500</v>
      </c>
      <c r="M1023" s="29">
        <v>48600</v>
      </c>
      <c r="N1023" s="29">
        <v>46400</v>
      </c>
      <c r="O1023" s="29">
        <v>44500</v>
      </c>
      <c r="P1023" s="29">
        <v>42300</v>
      </c>
      <c r="Q1023" s="29">
        <v>43000</v>
      </c>
      <c r="R1023" s="29">
        <v>43000</v>
      </c>
      <c r="S1023">
        <v>45300</v>
      </c>
      <c r="T1023">
        <v>46000</v>
      </c>
      <c r="U1023">
        <v>48300</v>
      </c>
      <c r="V1023">
        <v>48100</v>
      </c>
      <c r="W1023">
        <v>50800</v>
      </c>
    </row>
    <row r="1024" spans="1:23">
      <c r="A1024" s="30">
        <v>45308</v>
      </c>
      <c r="B1024" s="29">
        <v>48000</v>
      </c>
      <c r="C1024" s="29" t="str">
        <v>-</v>
      </c>
      <c r="D1024" s="29">
        <v>46600</v>
      </c>
      <c r="E1024" s="29">
        <v>42900</v>
      </c>
      <c r="F1024" s="29">
        <v>48100</v>
      </c>
      <c r="G1024" s="29" t="str">
        <v>-</v>
      </c>
      <c r="H1024" s="29">
        <v>45000</v>
      </c>
      <c r="I1024" s="29">
        <v>45700</v>
      </c>
      <c r="J1024" s="29">
        <v>48000</v>
      </c>
      <c r="K1024" s="29" t="str">
        <v>-</v>
      </c>
      <c r="L1024" s="29">
        <v>47300</v>
      </c>
      <c r="M1024" s="29">
        <v>48600</v>
      </c>
      <c r="N1024" s="29">
        <v>46300</v>
      </c>
      <c r="O1024" s="29">
        <v>44200</v>
      </c>
      <c r="P1024" s="29">
        <v>42200</v>
      </c>
      <c r="Q1024" s="29">
        <v>43000</v>
      </c>
      <c r="R1024" s="29">
        <v>43000</v>
      </c>
      <c r="S1024">
        <v>45100</v>
      </c>
      <c r="T1024">
        <v>45900</v>
      </c>
      <c r="U1024">
        <v>48300</v>
      </c>
      <c r="V1024">
        <v>48000</v>
      </c>
      <c r="W1024">
        <v>50800</v>
      </c>
    </row>
    <row r="1025" spans="1:23">
      <c r="A1025" s="30">
        <v>45309</v>
      </c>
      <c r="B1025" s="29">
        <v>47800</v>
      </c>
      <c r="C1025" s="29">
        <v>47500</v>
      </c>
      <c r="D1025" s="29">
        <v>46700</v>
      </c>
      <c r="E1025" s="29">
        <v>43100</v>
      </c>
      <c r="F1025" s="29">
        <v>48000</v>
      </c>
      <c r="G1025" s="29" t="str">
        <v>-</v>
      </c>
      <c r="H1025" s="29">
        <v>45000</v>
      </c>
      <c r="I1025" s="29">
        <v>45700</v>
      </c>
      <c r="J1025" s="29">
        <v>47700</v>
      </c>
      <c r="K1025" s="29" t="str">
        <v>-</v>
      </c>
      <c r="L1025" s="29">
        <v>47300</v>
      </c>
      <c r="M1025" s="29">
        <v>48600</v>
      </c>
      <c r="N1025" s="29">
        <v>46000</v>
      </c>
      <c r="O1025" s="29">
        <v>44400</v>
      </c>
      <c r="P1025" s="29">
        <v>42100</v>
      </c>
      <c r="Q1025" s="29">
        <v>42900</v>
      </c>
      <c r="R1025" s="29">
        <v>43000</v>
      </c>
      <c r="S1025">
        <v>45300</v>
      </c>
      <c r="T1025">
        <v>45700</v>
      </c>
      <c r="U1025">
        <v>47800</v>
      </c>
      <c r="V1025">
        <v>48000</v>
      </c>
      <c r="W1025">
        <v>50800</v>
      </c>
    </row>
    <row r="1026" spans="1:23">
      <c r="A1026" s="30">
        <v>45310</v>
      </c>
      <c r="B1026" s="29">
        <v>47800</v>
      </c>
      <c r="C1026" s="29">
        <v>47500</v>
      </c>
      <c r="D1026" s="29">
        <v>46800</v>
      </c>
      <c r="E1026" s="29">
        <v>43200</v>
      </c>
      <c r="F1026" s="29">
        <v>48400</v>
      </c>
      <c r="G1026" s="29" t="str">
        <v>-</v>
      </c>
      <c r="H1026" s="29">
        <v>45500</v>
      </c>
      <c r="I1026" s="29">
        <v>46000</v>
      </c>
      <c r="J1026" s="29">
        <v>48200</v>
      </c>
      <c r="K1026" s="29" t="str">
        <v>-</v>
      </c>
      <c r="L1026" s="29">
        <v>47500</v>
      </c>
      <c r="M1026" s="29">
        <v>48700</v>
      </c>
      <c r="N1026" s="29">
        <v>46500</v>
      </c>
      <c r="O1026" s="29">
        <v>44400</v>
      </c>
      <c r="P1026" s="29">
        <v>42500</v>
      </c>
      <c r="Q1026" s="29">
        <v>43200</v>
      </c>
      <c r="R1026" s="29">
        <v>43300</v>
      </c>
      <c r="S1026">
        <v>45400</v>
      </c>
      <c r="T1026">
        <v>46000</v>
      </c>
      <c r="U1026">
        <v>47800</v>
      </c>
      <c r="V1026">
        <v>47800</v>
      </c>
      <c r="W1026">
        <v>50800</v>
      </c>
    </row>
    <row r="1027" spans="1:23">
      <c r="A1027" s="30">
        <v>45311</v>
      </c>
      <c r="B1027" s="29">
        <v>47800</v>
      </c>
      <c r="C1027" s="29">
        <v>47500</v>
      </c>
      <c r="D1027" s="29">
        <v>46800</v>
      </c>
      <c r="E1027" s="29">
        <v>43200</v>
      </c>
      <c r="F1027" s="29">
        <v>48400</v>
      </c>
      <c r="G1027" s="29" t="str">
        <v>-</v>
      </c>
      <c r="H1027" s="29">
        <v>45200</v>
      </c>
      <c r="I1027" s="29">
        <v>45800</v>
      </c>
      <c r="J1027" s="29">
        <v>48200</v>
      </c>
      <c r="K1027" s="29" t="str">
        <v>-</v>
      </c>
      <c r="L1027" s="29">
        <v>47400</v>
      </c>
      <c r="M1027" s="29">
        <v>48700</v>
      </c>
      <c r="N1027" s="29">
        <v>46300</v>
      </c>
      <c r="O1027" s="29">
        <v>44400</v>
      </c>
      <c r="P1027" s="29">
        <v>42500</v>
      </c>
      <c r="Q1027" s="29">
        <v>43200</v>
      </c>
      <c r="R1027" s="29">
        <v>43300</v>
      </c>
      <c r="S1027">
        <v>45400</v>
      </c>
      <c r="T1027">
        <v>46000</v>
      </c>
      <c r="U1027">
        <v>47800</v>
      </c>
      <c r="V1027">
        <v>47700</v>
      </c>
      <c r="W1027">
        <v>50800</v>
      </c>
    </row>
    <row r="1028" spans="1:23">
      <c r="A1028" s="30">
        <v>45312</v>
      </c>
      <c r="B1028" s="29" t="str">
        <v>H</v>
      </c>
      <c r="C1028" s="29" t="str">
        <v>H</v>
      </c>
      <c r="D1028" s="29" t="str">
        <v>H</v>
      </c>
      <c r="E1028" s="29" t="str">
        <v>H</v>
      </c>
      <c r="F1028" s="29" t="str">
        <v>H</v>
      </c>
      <c r="G1028" s="29" t="str">
        <v>H</v>
      </c>
      <c r="H1028" s="29" t="str">
        <v>H</v>
      </c>
      <c r="I1028" s="29" t="str">
        <v>H</v>
      </c>
      <c r="J1028" s="29" t="str">
        <v>H</v>
      </c>
      <c r="K1028" s="29" t="str">
        <v>H</v>
      </c>
      <c r="L1028" s="29" t="str">
        <v>H</v>
      </c>
      <c r="M1028" s="29" t="str">
        <v>H</v>
      </c>
      <c r="N1028" s="29" t="str">
        <v>H</v>
      </c>
      <c r="O1028" s="29" t="str">
        <v>H</v>
      </c>
      <c r="P1028" s="29" t="str">
        <v>H</v>
      </c>
      <c r="Q1028" s="29" t="str">
        <v>H</v>
      </c>
      <c r="R1028" s="29" t="str">
        <v>H</v>
      </c>
      <c r="S1028" t="str">
        <v>H</v>
      </c>
      <c r="T1028" t="str">
        <v>H</v>
      </c>
      <c r="U1028" t="str">
        <v>H</v>
      </c>
      <c r="V1028" t="str">
        <v>H</v>
      </c>
      <c r="W1028" t="str">
        <v>H</v>
      </c>
    </row>
    <row r="1029" spans="1:23">
      <c r="A1029" s="30">
        <v>45313</v>
      </c>
      <c r="B1029" s="29">
        <v>47800</v>
      </c>
      <c r="C1029" s="29">
        <v>47500</v>
      </c>
      <c r="D1029" s="29">
        <v>46800</v>
      </c>
      <c r="E1029" s="29">
        <v>43000</v>
      </c>
      <c r="F1029" s="29">
        <v>48400</v>
      </c>
      <c r="G1029" s="29" t="str">
        <v>-</v>
      </c>
      <c r="H1029" s="29">
        <v>45000</v>
      </c>
      <c r="I1029" s="29">
        <v>45800</v>
      </c>
      <c r="J1029" s="29">
        <v>48200</v>
      </c>
      <c r="K1029" s="29" t="str">
        <v>-</v>
      </c>
      <c r="L1029" s="29">
        <v>47400</v>
      </c>
      <c r="M1029" s="29">
        <v>48700</v>
      </c>
      <c r="N1029" s="29">
        <v>46000</v>
      </c>
      <c r="O1029" s="29">
        <v>44200</v>
      </c>
      <c r="P1029" s="29">
        <v>42500</v>
      </c>
      <c r="Q1029" s="29">
        <v>43100</v>
      </c>
      <c r="R1029" s="29">
        <v>43000</v>
      </c>
      <c r="S1029">
        <v>45200</v>
      </c>
      <c r="T1029">
        <v>46000</v>
      </c>
      <c r="U1029">
        <v>47800</v>
      </c>
      <c r="V1029">
        <v>47700</v>
      </c>
      <c r="W1029">
        <v>50700</v>
      </c>
    </row>
    <row r="1030" spans="1:23">
      <c r="A1030" s="30">
        <v>45314</v>
      </c>
      <c r="B1030" s="29">
        <v>47800</v>
      </c>
      <c r="C1030" s="29">
        <v>47500</v>
      </c>
      <c r="D1030" s="29">
        <v>46800</v>
      </c>
      <c r="E1030" s="29">
        <v>42800</v>
      </c>
      <c r="F1030" s="29">
        <v>48400</v>
      </c>
      <c r="G1030" s="29" t="str">
        <v>-</v>
      </c>
      <c r="H1030" s="29">
        <v>45000</v>
      </c>
      <c r="I1030" s="29">
        <v>45800</v>
      </c>
      <c r="J1030" s="29">
        <v>48200</v>
      </c>
      <c r="K1030" s="29" t="str">
        <v>-</v>
      </c>
      <c r="L1030" s="29">
        <v>47300</v>
      </c>
      <c r="M1030" s="29">
        <v>48700</v>
      </c>
      <c r="N1030" s="29">
        <v>46000</v>
      </c>
      <c r="O1030" s="29">
        <v>44200</v>
      </c>
      <c r="P1030" s="29">
        <v>42200</v>
      </c>
      <c r="Q1030" s="29">
        <v>42900</v>
      </c>
      <c r="R1030" s="29">
        <v>42800</v>
      </c>
      <c r="S1030">
        <v>45000</v>
      </c>
      <c r="T1030">
        <v>45800</v>
      </c>
      <c r="U1030">
        <v>47800</v>
      </c>
      <c r="V1030">
        <v>47700</v>
      </c>
      <c r="W1030">
        <v>50700</v>
      </c>
    </row>
    <row r="1031" spans="1:23">
      <c r="A1031" s="30">
        <v>45315</v>
      </c>
      <c r="B1031" s="29">
        <v>47700</v>
      </c>
      <c r="C1031" s="29">
        <v>47500</v>
      </c>
      <c r="D1031" s="29">
        <v>46700</v>
      </c>
      <c r="E1031" s="29">
        <v>42800</v>
      </c>
      <c r="F1031" s="29">
        <v>48000</v>
      </c>
      <c r="G1031" s="29" t="str">
        <v>-</v>
      </c>
      <c r="H1031" s="29">
        <v>45000</v>
      </c>
      <c r="I1031" s="29">
        <v>45700</v>
      </c>
      <c r="J1031" s="29">
        <v>48000</v>
      </c>
      <c r="K1031" s="29" t="str">
        <v>-</v>
      </c>
      <c r="L1031" s="29">
        <v>47200</v>
      </c>
      <c r="M1031" s="29">
        <v>48700</v>
      </c>
      <c r="N1031" s="29">
        <v>45800</v>
      </c>
      <c r="O1031" s="29">
        <v>44200</v>
      </c>
      <c r="P1031" s="29">
        <v>42200</v>
      </c>
      <c r="Q1031" s="29">
        <v>42700</v>
      </c>
      <c r="R1031" s="29">
        <v>43000</v>
      </c>
      <c r="S1031">
        <v>45000</v>
      </c>
      <c r="T1031">
        <v>45700</v>
      </c>
      <c r="U1031">
        <v>47800</v>
      </c>
      <c r="V1031">
        <v>47700</v>
      </c>
      <c r="W1031">
        <v>50700</v>
      </c>
    </row>
    <row r="1032" spans="1:23">
      <c r="A1032" s="30">
        <v>45316</v>
      </c>
      <c r="B1032" s="29">
        <v>47400</v>
      </c>
      <c r="C1032" s="29">
        <v>47500</v>
      </c>
      <c r="D1032" s="29">
        <v>46400</v>
      </c>
      <c r="E1032" s="29">
        <v>42800</v>
      </c>
      <c r="F1032" s="29">
        <v>47800</v>
      </c>
      <c r="G1032" s="29" t="str">
        <v>-</v>
      </c>
      <c r="H1032" s="29">
        <v>45000</v>
      </c>
      <c r="I1032" s="29">
        <v>45500</v>
      </c>
      <c r="J1032" s="29">
        <v>48000</v>
      </c>
      <c r="K1032" s="29" t="str">
        <v>-</v>
      </c>
      <c r="L1032" s="29">
        <v>47100</v>
      </c>
      <c r="M1032" s="29">
        <v>48700</v>
      </c>
      <c r="N1032" s="29">
        <v>45600</v>
      </c>
      <c r="O1032" s="29">
        <v>44200</v>
      </c>
      <c r="P1032" s="29">
        <v>42200</v>
      </c>
      <c r="Q1032" s="29">
        <v>42700</v>
      </c>
      <c r="R1032" s="29">
        <v>43000</v>
      </c>
      <c r="S1032">
        <v>45000</v>
      </c>
      <c r="T1032">
        <v>45700</v>
      </c>
      <c r="U1032">
        <v>47800</v>
      </c>
      <c r="V1032">
        <v>47700</v>
      </c>
      <c r="W1032">
        <v>50700</v>
      </c>
    </row>
    <row r="1033" spans="1:23">
      <c r="A1033" s="30">
        <v>45317</v>
      </c>
      <c r="B1033" s="29" t="str">
        <v>H</v>
      </c>
      <c r="C1033" s="29" t="str">
        <v>H</v>
      </c>
      <c r="D1033" s="29" t="str">
        <v>H</v>
      </c>
      <c r="E1033" s="29" t="str">
        <v>H</v>
      </c>
      <c r="F1033" s="29" t="str">
        <v>H</v>
      </c>
      <c r="G1033" s="29" t="str">
        <v>H</v>
      </c>
      <c r="H1033" s="29" t="str">
        <v>H</v>
      </c>
      <c r="I1033" s="29" t="str">
        <v>H</v>
      </c>
      <c r="J1033" s="29" t="str">
        <v>H</v>
      </c>
      <c r="K1033" s="29" t="str">
        <v>H</v>
      </c>
      <c r="L1033" s="29" t="str">
        <v>H</v>
      </c>
      <c r="M1033" s="29" t="str">
        <v>H</v>
      </c>
      <c r="N1033" s="29" t="str">
        <v>H</v>
      </c>
      <c r="O1033" s="29" t="str">
        <v>H</v>
      </c>
      <c r="P1033" s="29" t="str">
        <v>H</v>
      </c>
      <c r="Q1033" s="29" t="str">
        <v>H</v>
      </c>
      <c r="R1033" s="29" t="str">
        <v>H</v>
      </c>
      <c r="S1033" t="str">
        <v>H</v>
      </c>
      <c r="T1033" t="str">
        <v>H</v>
      </c>
      <c r="U1033" t="str">
        <v>H</v>
      </c>
      <c r="V1033" t="str">
        <v>H</v>
      </c>
      <c r="W1033" t="str">
        <v>H</v>
      </c>
    </row>
    <row r="1034" spans="1:23">
      <c r="A1034" s="30">
        <v>45318</v>
      </c>
      <c r="B1034" s="29">
        <v>47400</v>
      </c>
      <c r="C1034" s="29">
        <v>47500</v>
      </c>
      <c r="D1034" s="29">
        <v>46800</v>
      </c>
      <c r="E1034" s="29">
        <v>43000</v>
      </c>
      <c r="F1034" s="29">
        <v>47800</v>
      </c>
      <c r="G1034" s="29" t="str">
        <v>-</v>
      </c>
      <c r="H1034" s="29">
        <v>44500</v>
      </c>
      <c r="I1034" s="29">
        <v>45800</v>
      </c>
      <c r="J1034" s="29">
        <v>48000</v>
      </c>
      <c r="K1034" s="29" t="str">
        <v>-</v>
      </c>
      <c r="L1034" s="29">
        <v>47300</v>
      </c>
      <c r="M1034" s="29">
        <v>48700</v>
      </c>
      <c r="N1034" s="29">
        <v>45800</v>
      </c>
      <c r="O1034" s="29">
        <v>44200</v>
      </c>
      <c r="P1034" s="29">
        <v>42500</v>
      </c>
      <c r="Q1034" s="29">
        <v>42900</v>
      </c>
      <c r="R1034" s="29">
        <v>43000</v>
      </c>
      <c r="S1034">
        <v>45200</v>
      </c>
      <c r="T1034">
        <v>45900</v>
      </c>
      <c r="U1034">
        <v>47800</v>
      </c>
      <c r="V1034">
        <v>47700</v>
      </c>
      <c r="W1034">
        <v>50700</v>
      </c>
    </row>
    <row r="1035" spans="1:23">
      <c r="A1035" s="30">
        <v>45319</v>
      </c>
      <c r="B1035" s="29" t="str">
        <v>H</v>
      </c>
      <c r="C1035" s="29" t="str">
        <v>H</v>
      </c>
      <c r="D1035" s="29" t="str">
        <v>H</v>
      </c>
      <c r="E1035" s="29" t="str">
        <v>H</v>
      </c>
      <c r="F1035" s="29" t="str">
        <v>H</v>
      </c>
      <c r="G1035" s="29" t="str">
        <v>H</v>
      </c>
      <c r="H1035" s="29" t="str">
        <v>H</v>
      </c>
      <c r="I1035" s="29" t="str">
        <v>H</v>
      </c>
      <c r="J1035" s="29" t="str">
        <v>H</v>
      </c>
      <c r="K1035" s="29" t="str">
        <v>H</v>
      </c>
      <c r="L1035" s="29" t="str">
        <v>H</v>
      </c>
      <c r="M1035" s="29" t="str">
        <v>H</v>
      </c>
      <c r="N1035" s="29" t="str">
        <v>H</v>
      </c>
      <c r="O1035" s="29" t="str">
        <v>H</v>
      </c>
      <c r="P1035" s="29" t="str">
        <v>H</v>
      </c>
      <c r="Q1035" s="29" t="str">
        <v>H</v>
      </c>
      <c r="R1035" s="29" t="str">
        <v>H</v>
      </c>
      <c r="S1035" t="str">
        <v>H</v>
      </c>
      <c r="T1035" t="str">
        <v>H</v>
      </c>
      <c r="U1035" t="str">
        <v>H</v>
      </c>
      <c r="V1035" t="str">
        <v>H</v>
      </c>
      <c r="W1035" t="str">
        <v>H</v>
      </c>
    </row>
    <row r="1036" spans="1:23">
      <c r="A1036" s="30">
        <v>45320</v>
      </c>
      <c r="B1036" s="29">
        <v>47400</v>
      </c>
      <c r="C1036" s="29">
        <v>47500</v>
      </c>
      <c r="D1036" s="29">
        <v>46800</v>
      </c>
      <c r="E1036" s="29">
        <v>42900</v>
      </c>
      <c r="F1036" s="29">
        <v>47700</v>
      </c>
      <c r="G1036" s="29" t="str">
        <v>-</v>
      </c>
      <c r="H1036" s="29">
        <v>45000</v>
      </c>
      <c r="I1036" s="29">
        <v>45600</v>
      </c>
      <c r="J1036" s="29">
        <v>48200</v>
      </c>
      <c r="K1036" s="29" t="str">
        <v>-</v>
      </c>
      <c r="L1036" s="29">
        <v>47300</v>
      </c>
      <c r="M1036" s="29">
        <v>48700</v>
      </c>
      <c r="N1036" s="29">
        <v>45800</v>
      </c>
      <c r="O1036" s="29">
        <v>44050</v>
      </c>
      <c r="P1036" s="29">
        <v>42300</v>
      </c>
      <c r="Q1036" s="29">
        <v>42800</v>
      </c>
      <c r="R1036" s="29">
        <v>43000</v>
      </c>
      <c r="S1036">
        <v>45100</v>
      </c>
      <c r="T1036">
        <v>45900</v>
      </c>
      <c r="U1036">
        <v>47800</v>
      </c>
      <c r="V1036">
        <v>47600</v>
      </c>
      <c r="W1036">
        <v>50200</v>
      </c>
    </row>
    <row r="1037" spans="1:23">
      <c r="A1037" s="30">
        <v>45321</v>
      </c>
      <c r="B1037" s="29">
        <v>47600</v>
      </c>
      <c r="C1037" s="29">
        <v>47500</v>
      </c>
      <c r="D1037" s="29">
        <v>46700</v>
      </c>
      <c r="E1037" s="29">
        <v>43100</v>
      </c>
      <c r="F1037" s="29">
        <v>47700</v>
      </c>
      <c r="G1037" s="29" t="str">
        <v>-</v>
      </c>
      <c r="H1037" s="29">
        <v>45000</v>
      </c>
      <c r="I1037" s="29">
        <v>45800</v>
      </c>
      <c r="J1037" s="29">
        <v>48200</v>
      </c>
      <c r="K1037" s="29" t="str">
        <v>-</v>
      </c>
      <c r="L1037" s="29">
        <v>47400</v>
      </c>
      <c r="M1037" s="29">
        <v>48700</v>
      </c>
      <c r="N1037" s="29">
        <v>46000</v>
      </c>
      <c r="O1037" s="29">
        <v>44100</v>
      </c>
      <c r="P1037" s="29">
        <v>42500</v>
      </c>
      <c r="Q1037" s="29">
        <v>43000</v>
      </c>
      <c r="R1037" s="29">
        <v>43000</v>
      </c>
      <c r="S1037">
        <v>45300</v>
      </c>
      <c r="T1037">
        <v>46000</v>
      </c>
      <c r="U1037">
        <v>47800</v>
      </c>
      <c r="V1037">
        <v>47600</v>
      </c>
      <c r="W1037">
        <v>50200</v>
      </c>
    </row>
    <row r="1038" spans="1:23">
      <c r="A1038" s="30">
        <v>45322</v>
      </c>
      <c r="B1038" s="29">
        <v>47600</v>
      </c>
      <c r="C1038" s="29">
        <v>47500</v>
      </c>
      <c r="D1038" s="29">
        <v>46800</v>
      </c>
      <c r="E1038" s="29">
        <v>43000</v>
      </c>
      <c r="F1038" s="29">
        <v>48000</v>
      </c>
      <c r="G1038" s="29" t="str">
        <v>-</v>
      </c>
      <c r="H1038" s="29">
        <v>45000</v>
      </c>
      <c r="I1038" s="29">
        <v>45800</v>
      </c>
      <c r="J1038" s="29">
        <v>48200</v>
      </c>
      <c r="K1038" s="29" t="str">
        <v>-</v>
      </c>
      <c r="L1038" s="29">
        <v>47400</v>
      </c>
      <c r="M1038" s="29">
        <v>48300</v>
      </c>
      <c r="N1038" s="29">
        <v>45800</v>
      </c>
      <c r="O1038" s="29">
        <v>44100</v>
      </c>
      <c r="P1038" s="29">
        <v>42300</v>
      </c>
      <c r="Q1038" s="29">
        <v>43000</v>
      </c>
      <c r="R1038" s="29">
        <v>43000</v>
      </c>
      <c r="S1038">
        <v>45200</v>
      </c>
      <c r="T1038">
        <v>46000</v>
      </c>
      <c r="U1038">
        <v>47800</v>
      </c>
      <c r="V1038">
        <v>47600</v>
      </c>
      <c r="W1038">
        <v>50200</v>
      </c>
    </row>
    <row r="1039" spans="1:23">
      <c r="A1039" s="30">
        <v>45323</v>
      </c>
      <c r="B1039" s="29">
        <v>47600</v>
      </c>
      <c r="C1039" s="29">
        <v>47500</v>
      </c>
      <c r="D1039" s="29">
        <v>46700</v>
      </c>
      <c r="E1039" s="29">
        <v>42900</v>
      </c>
      <c r="F1039" s="29">
        <v>48000</v>
      </c>
      <c r="G1039" s="29" t="str">
        <v>-</v>
      </c>
      <c r="H1039" s="29">
        <v>45250</v>
      </c>
      <c r="I1039" s="29">
        <v>45600</v>
      </c>
      <c r="J1039" s="29">
        <v>48200</v>
      </c>
      <c r="K1039" s="29" t="str">
        <v>-</v>
      </c>
      <c r="L1039" s="29">
        <v>47200</v>
      </c>
      <c r="M1039" s="29">
        <v>48000</v>
      </c>
      <c r="N1039" s="29">
        <v>45800</v>
      </c>
      <c r="O1039" s="29">
        <v>44100</v>
      </c>
      <c r="P1039" s="29">
        <v>42200</v>
      </c>
      <c r="Q1039" s="29">
        <v>42800</v>
      </c>
      <c r="R1039" s="29">
        <v>43000</v>
      </c>
      <c r="S1039">
        <v>45100</v>
      </c>
      <c r="T1039">
        <v>46000</v>
      </c>
      <c r="U1039">
        <v>47800</v>
      </c>
      <c r="V1039">
        <v>47600</v>
      </c>
      <c r="W1039">
        <v>50200</v>
      </c>
    </row>
    <row r="1040" spans="1:23">
      <c r="A1040" s="30">
        <v>45324</v>
      </c>
      <c r="B1040" s="29">
        <v>47400</v>
      </c>
      <c r="C1040" s="29">
        <v>47500</v>
      </c>
      <c r="D1040" s="29">
        <v>46700</v>
      </c>
      <c r="E1040" s="29">
        <v>42800</v>
      </c>
      <c r="F1040" s="29">
        <v>48000</v>
      </c>
      <c r="G1040" s="29" t="str">
        <v>-</v>
      </c>
      <c r="H1040" s="29">
        <v>45250</v>
      </c>
      <c r="I1040" s="29">
        <v>45400</v>
      </c>
      <c r="J1040" s="29">
        <v>48000</v>
      </c>
      <c r="K1040" s="29" t="str">
        <v>-</v>
      </c>
      <c r="L1040" s="29">
        <v>47100</v>
      </c>
      <c r="M1040" s="29">
        <v>48000</v>
      </c>
      <c r="N1040" s="29">
        <v>45600</v>
      </c>
      <c r="O1040" s="29">
        <v>44100</v>
      </c>
      <c r="P1040" s="29">
        <v>42000</v>
      </c>
      <c r="Q1040" s="29">
        <v>42700</v>
      </c>
      <c r="R1040" s="29">
        <v>42800</v>
      </c>
      <c r="S1040">
        <v>45000</v>
      </c>
      <c r="T1040">
        <v>45800</v>
      </c>
      <c r="U1040">
        <v>47800</v>
      </c>
      <c r="V1040">
        <v>47600</v>
      </c>
      <c r="W1040">
        <v>50200</v>
      </c>
    </row>
    <row r="1041" spans="1:23">
      <c r="A1041" s="30">
        <v>45325</v>
      </c>
      <c r="B1041" s="29">
        <v>47400</v>
      </c>
      <c r="C1041" s="29">
        <v>47500</v>
      </c>
      <c r="D1041" s="29">
        <v>46900</v>
      </c>
      <c r="E1041" s="29">
        <v>42900</v>
      </c>
      <c r="F1041" s="29">
        <v>48000</v>
      </c>
      <c r="G1041" s="29" t="str">
        <v>-</v>
      </c>
      <c r="H1041" s="29">
        <v>44500</v>
      </c>
      <c r="I1041" s="29">
        <v>45700</v>
      </c>
      <c r="J1041" s="29">
        <v>48000</v>
      </c>
      <c r="K1041" s="29" t="str">
        <v>-</v>
      </c>
      <c r="L1041" s="29">
        <v>47100</v>
      </c>
      <c r="M1041" s="29">
        <v>48000</v>
      </c>
      <c r="N1041" s="29">
        <v>45600</v>
      </c>
      <c r="O1041" s="29">
        <v>44100</v>
      </c>
      <c r="P1041" s="29">
        <v>42100</v>
      </c>
      <c r="Q1041" s="29">
        <v>42700</v>
      </c>
      <c r="R1041" s="29">
        <v>42800</v>
      </c>
      <c r="S1041">
        <v>45100</v>
      </c>
      <c r="T1041">
        <v>45800</v>
      </c>
      <c r="U1041">
        <v>47800</v>
      </c>
      <c r="V1041">
        <v>47600</v>
      </c>
      <c r="W1041">
        <v>50200</v>
      </c>
    </row>
    <row r="1042" spans="1:23">
      <c r="A1042" s="30">
        <v>45326</v>
      </c>
      <c r="B1042" s="29" t="str">
        <v>H</v>
      </c>
      <c r="C1042" s="29" t="str">
        <v>H</v>
      </c>
      <c r="D1042" s="29" t="str">
        <v>H</v>
      </c>
      <c r="E1042" s="29" t="str">
        <v>H</v>
      </c>
      <c r="F1042" s="29" t="str">
        <v>H</v>
      </c>
      <c r="G1042" s="29" t="str">
        <v>H</v>
      </c>
      <c r="H1042" s="29" t="str">
        <v>H</v>
      </c>
      <c r="I1042" s="29" t="str">
        <v>H</v>
      </c>
      <c r="J1042" s="29" t="str">
        <v>H</v>
      </c>
      <c r="K1042" s="29" t="str">
        <v>H</v>
      </c>
      <c r="L1042" s="29" t="str">
        <v>H</v>
      </c>
      <c r="M1042" s="29" t="str">
        <v>H</v>
      </c>
      <c r="N1042" s="29" t="str">
        <v>H</v>
      </c>
      <c r="O1042" s="29" t="str">
        <v>H</v>
      </c>
      <c r="P1042" s="29" t="str">
        <v>H</v>
      </c>
      <c r="Q1042" s="29" t="str">
        <v>H</v>
      </c>
      <c r="R1042" s="29" t="str">
        <v>H</v>
      </c>
      <c r="S1042" t="str">
        <v>H</v>
      </c>
      <c r="T1042" t="str">
        <v>H</v>
      </c>
      <c r="U1042" t="str">
        <v>H</v>
      </c>
      <c r="V1042" t="str">
        <v>H</v>
      </c>
      <c r="W1042" t="str">
        <v>H</v>
      </c>
    </row>
    <row r="1043" spans="1:23">
      <c r="A1043" s="30">
        <v>45327</v>
      </c>
      <c r="B1043" s="29">
        <v>47200</v>
      </c>
      <c r="C1043" s="29">
        <v>47500</v>
      </c>
      <c r="D1043" s="29">
        <v>46700</v>
      </c>
      <c r="E1043" s="29">
        <v>42700</v>
      </c>
      <c r="F1043" s="29">
        <v>47900</v>
      </c>
      <c r="G1043" s="29" t="str">
        <v>-</v>
      </c>
      <c r="H1043" s="29">
        <v>44500</v>
      </c>
      <c r="I1043" s="29">
        <v>45500</v>
      </c>
      <c r="J1043" s="29">
        <v>48000</v>
      </c>
      <c r="K1043" s="29" t="str">
        <v>-</v>
      </c>
      <c r="L1043" s="29">
        <v>47100</v>
      </c>
      <c r="M1043" s="29">
        <v>48000</v>
      </c>
      <c r="N1043" s="29">
        <v>45400</v>
      </c>
      <c r="O1043" s="29">
        <v>44000</v>
      </c>
      <c r="P1043" s="29">
        <v>42100</v>
      </c>
      <c r="Q1043" s="29">
        <v>42700</v>
      </c>
      <c r="R1043" s="29">
        <v>42800</v>
      </c>
      <c r="S1043">
        <v>44900</v>
      </c>
      <c r="T1043">
        <v>45800</v>
      </c>
      <c r="U1043">
        <v>47800</v>
      </c>
      <c r="V1043">
        <v>47600</v>
      </c>
      <c r="W1043">
        <v>50200</v>
      </c>
    </row>
    <row r="1044" spans="1:23">
      <c r="A1044" s="30">
        <v>45328</v>
      </c>
      <c r="B1044" s="29">
        <v>47200</v>
      </c>
      <c r="C1044" s="29">
        <v>47300</v>
      </c>
      <c r="D1044" s="29">
        <v>46400</v>
      </c>
      <c r="E1044" s="29">
        <v>42500</v>
      </c>
      <c r="F1044" s="29">
        <v>47900</v>
      </c>
      <c r="G1044" s="29" t="str">
        <v>-</v>
      </c>
      <c r="H1044" s="29">
        <v>44500</v>
      </c>
      <c r="I1044" s="29">
        <v>45400</v>
      </c>
      <c r="J1044" s="29">
        <v>48000</v>
      </c>
      <c r="K1044" s="29" t="str">
        <v>-</v>
      </c>
      <c r="L1044" s="29">
        <v>46800</v>
      </c>
      <c r="M1044" s="29">
        <v>48000</v>
      </c>
      <c r="N1044" s="29">
        <v>45300</v>
      </c>
      <c r="O1044" s="29">
        <v>44000</v>
      </c>
      <c r="P1044" s="29">
        <v>42000</v>
      </c>
      <c r="Q1044" s="29">
        <v>42600</v>
      </c>
      <c r="R1044" s="29">
        <v>42800</v>
      </c>
      <c r="S1044">
        <v>44600</v>
      </c>
      <c r="T1044">
        <v>45500</v>
      </c>
      <c r="U1044">
        <v>47800</v>
      </c>
      <c r="V1044">
        <v>47500</v>
      </c>
      <c r="W1044">
        <v>50200</v>
      </c>
    </row>
    <row r="1045" spans="1:23">
      <c r="A1045" s="30">
        <v>45329</v>
      </c>
      <c r="B1045" s="29">
        <v>47200</v>
      </c>
      <c r="C1045" s="29">
        <v>47300</v>
      </c>
      <c r="D1045" s="29">
        <v>46500</v>
      </c>
      <c r="E1045" s="29">
        <v>42600</v>
      </c>
      <c r="F1045" s="29">
        <v>47800</v>
      </c>
      <c r="G1045" s="29" t="str">
        <v>-</v>
      </c>
      <c r="H1045" s="29">
        <v>44500</v>
      </c>
      <c r="I1045" s="29">
        <v>45400</v>
      </c>
      <c r="J1045" s="29">
        <v>48000</v>
      </c>
      <c r="K1045" s="29" t="str">
        <v>-</v>
      </c>
      <c r="L1045" s="29">
        <v>46700</v>
      </c>
      <c r="M1045" s="29">
        <v>48000</v>
      </c>
      <c r="N1045" s="29">
        <v>45300</v>
      </c>
      <c r="O1045" s="29">
        <v>43800</v>
      </c>
      <c r="P1045" s="29">
        <v>42000</v>
      </c>
      <c r="Q1045" s="29">
        <v>42600</v>
      </c>
      <c r="R1045" s="29">
        <v>42500</v>
      </c>
      <c r="S1045">
        <v>44700</v>
      </c>
      <c r="T1045">
        <v>45500</v>
      </c>
      <c r="U1045">
        <v>47800</v>
      </c>
      <c r="V1045">
        <v>47500</v>
      </c>
      <c r="W1045">
        <v>50200</v>
      </c>
    </row>
    <row r="1046" spans="1:23">
      <c r="A1046" s="30">
        <v>45330</v>
      </c>
      <c r="B1046" s="29">
        <v>47200</v>
      </c>
      <c r="C1046" s="29">
        <v>47300</v>
      </c>
      <c r="D1046" s="29">
        <v>46500</v>
      </c>
      <c r="E1046" s="29">
        <v>42800</v>
      </c>
      <c r="F1046" s="29">
        <v>47800</v>
      </c>
      <c r="G1046" s="29" t="str">
        <v>-</v>
      </c>
      <c r="H1046" s="29">
        <v>44500</v>
      </c>
      <c r="I1046" s="29">
        <v>45500</v>
      </c>
      <c r="J1046" s="29">
        <v>48300</v>
      </c>
      <c r="K1046" s="29" t="str">
        <v>-</v>
      </c>
      <c r="L1046" s="29">
        <v>46800</v>
      </c>
      <c r="M1046" s="29">
        <v>48100</v>
      </c>
      <c r="N1046" s="29">
        <v>45400</v>
      </c>
      <c r="O1046" s="29">
        <v>44000</v>
      </c>
      <c r="P1046" s="29">
        <v>42300</v>
      </c>
      <c r="Q1046" s="29">
        <v>42700</v>
      </c>
      <c r="R1046" s="29">
        <v>42500</v>
      </c>
      <c r="S1046">
        <v>44900</v>
      </c>
      <c r="T1046">
        <v>45600</v>
      </c>
      <c r="U1046">
        <v>47800</v>
      </c>
      <c r="V1046">
        <v>47400</v>
      </c>
      <c r="W1046">
        <v>50200</v>
      </c>
    </row>
    <row r="1047" spans="1:23">
      <c r="A1047" s="30">
        <v>45331</v>
      </c>
      <c r="B1047" s="29">
        <v>47200</v>
      </c>
      <c r="C1047" s="29">
        <v>47300</v>
      </c>
      <c r="D1047" s="29">
        <v>46500</v>
      </c>
      <c r="E1047" s="29">
        <v>42800</v>
      </c>
      <c r="F1047" s="29">
        <v>47800</v>
      </c>
      <c r="G1047" s="29" t="str">
        <v>-</v>
      </c>
      <c r="H1047" s="29">
        <v>44500</v>
      </c>
      <c r="I1047" s="29">
        <v>45500</v>
      </c>
      <c r="J1047" s="29">
        <v>48300</v>
      </c>
      <c r="K1047" s="29" t="str">
        <v>-</v>
      </c>
      <c r="L1047" s="29">
        <v>46800</v>
      </c>
      <c r="M1047" s="29">
        <v>48100</v>
      </c>
      <c r="N1047" s="29">
        <v>45300</v>
      </c>
      <c r="O1047" s="29">
        <v>44000</v>
      </c>
      <c r="P1047" s="29">
        <v>42300</v>
      </c>
      <c r="Q1047" s="29">
        <v>42700</v>
      </c>
      <c r="R1047" s="29">
        <v>42700</v>
      </c>
      <c r="S1047">
        <v>44900</v>
      </c>
      <c r="T1047">
        <v>45600</v>
      </c>
      <c r="U1047">
        <v>47800</v>
      </c>
      <c r="V1047">
        <v>47400</v>
      </c>
      <c r="W1047">
        <v>50200</v>
      </c>
    </row>
    <row r="1048" spans="1:23">
      <c r="A1048" s="30">
        <v>45332</v>
      </c>
      <c r="B1048" s="29">
        <v>47300</v>
      </c>
      <c r="C1048" s="29">
        <v>47300</v>
      </c>
      <c r="D1048" s="29">
        <v>46300</v>
      </c>
      <c r="E1048" s="29">
        <v>42600</v>
      </c>
      <c r="F1048" s="29">
        <v>47800</v>
      </c>
      <c r="G1048" s="29" t="str">
        <v>-</v>
      </c>
      <c r="H1048" s="29">
        <v>44500</v>
      </c>
      <c r="I1048" s="29">
        <v>45400</v>
      </c>
      <c r="J1048" s="29">
        <v>48300</v>
      </c>
      <c r="K1048" s="29" t="str">
        <v>-</v>
      </c>
      <c r="L1048" s="29">
        <v>46700</v>
      </c>
      <c r="M1048" s="29">
        <v>48100</v>
      </c>
      <c r="N1048" s="29">
        <v>45300</v>
      </c>
      <c r="O1048" s="29">
        <v>44000</v>
      </c>
      <c r="P1048" s="29">
        <v>42200</v>
      </c>
      <c r="Q1048" s="29">
        <v>42500</v>
      </c>
      <c r="R1048" s="29">
        <v>42700</v>
      </c>
      <c r="S1048">
        <v>44700</v>
      </c>
      <c r="T1048">
        <v>45600</v>
      </c>
      <c r="U1048">
        <v>47800</v>
      </c>
      <c r="V1048">
        <v>47400</v>
      </c>
      <c r="W1048">
        <v>50200</v>
      </c>
    </row>
    <row r="1049" spans="1:23">
      <c r="A1049" s="30">
        <v>45333</v>
      </c>
      <c r="B1049" s="29" t="str">
        <v>H</v>
      </c>
      <c r="C1049" s="29" t="str">
        <v>H</v>
      </c>
      <c r="D1049" s="29" t="str">
        <v>H</v>
      </c>
      <c r="E1049" s="29" t="str">
        <v>H</v>
      </c>
      <c r="F1049" s="29" t="str">
        <v>H</v>
      </c>
      <c r="G1049" s="29" t="str">
        <v>H</v>
      </c>
      <c r="H1049" s="29" t="str">
        <v>H</v>
      </c>
      <c r="I1049" s="29" t="str">
        <v>H</v>
      </c>
      <c r="J1049" s="29" t="str">
        <v>H</v>
      </c>
      <c r="K1049" s="29" t="str">
        <v>H</v>
      </c>
      <c r="L1049" s="29" t="str">
        <v>H</v>
      </c>
      <c r="M1049" s="29" t="str">
        <v>H</v>
      </c>
      <c r="N1049" s="29" t="str">
        <v>H</v>
      </c>
      <c r="O1049" s="29" t="str">
        <v>H</v>
      </c>
      <c r="P1049" s="29" t="str">
        <v>H</v>
      </c>
      <c r="Q1049" s="29" t="str">
        <v>H</v>
      </c>
      <c r="R1049" s="29" t="str">
        <v>H</v>
      </c>
      <c r="S1049" t="str">
        <v>H</v>
      </c>
      <c r="T1049" t="str">
        <v>H</v>
      </c>
      <c r="U1049" t="str">
        <v>H</v>
      </c>
      <c r="V1049" t="str">
        <v>H</v>
      </c>
      <c r="W1049" t="str">
        <v>H</v>
      </c>
    </row>
    <row r="1050" spans="1:23">
      <c r="A1050" s="30">
        <v>45334</v>
      </c>
      <c r="B1050" s="29">
        <v>47300</v>
      </c>
      <c r="C1050" s="29">
        <v>47300</v>
      </c>
      <c r="D1050" s="29">
        <v>46100</v>
      </c>
      <c r="E1050" s="29">
        <v>42500</v>
      </c>
      <c r="F1050" s="29">
        <v>47700</v>
      </c>
      <c r="G1050" s="29" t="str">
        <v>-</v>
      </c>
      <c r="H1050" s="29">
        <v>44500</v>
      </c>
      <c r="I1050" s="29">
        <v>45400</v>
      </c>
      <c r="J1050" s="29">
        <v>48200</v>
      </c>
      <c r="K1050" s="29" t="str">
        <v>-</v>
      </c>
      <c r="L1050" s="29">
        <v>46500</v>
      </c>
      <c r="M1050" s="29">
        <v>48100</v>
      </c>
      <c r="N1050" s="29">
        <v>45000</v>
      </c>
      <c r="O1050" s="29">
        <v>43800</v>
      </c>
      <c r="P1050" s="29">
        <v>42000</v>
      </c>
      <c r="Q1050" s="29">
        <v>42500</v>
      </c>
      <c r="R1050" s="29">
        <v>42500</v>
      </c>
      <c r="S1050">
        <v>44600</v>
      </c>
      <c r="T1050">
        <v>45500</v>
      </c>
      <c r="U1050">
        <v>46800</v>
      </c>
      <c r="V1050">
        <v>47400</v>
      </c>
      <c r="W1050">
        <v>50200</v>
      </c>
    </row>
    <row r="1051" spans="1:23">
      <c r="A1051" s="30">
        <v>45335</v>
      </c>
      <c r="B1051" s="29">
        <v>47300</v>
      </c>
      <c r="C1051" s="29">
        <v>47300</v>
      </c>
      <c r="D1051" s="29" t="str">
        <v>-</v>
      </c>
      <c r="E1051" s="29">
        <v>42300</v>
      </c>
      <c r="F1051" s="29">
        <v>47600</v>
      </c>
      <c r="G1051" s="29" t="str">
        <v>-</v>
      </c>
      <c r="H1051" s="29">
        <v>44400</v>
      </c>
      <c r="I1051" s="29">
        <v>45000</v>
      </c>
      <c r="J1051" s="29">
        <v>48000</v>
      </c>
      <c r="K1051" s="29" t="str">
        <v>-</v>
      </c>
      <c r="L1051" s="29">
        <v>46300</v>
      </c>
      <c r="M1051" s="29">
        <v>48000</v>
      </c>
      <c r="N1051" s="29">
        <v>44700</v>
      </c>
      <c r="O1051" s="29">
        <v>43800</v>
      </c>
      <c r="P1051" s="29">
        <v>41800</v>
      </c>
      <c r="Q1051" s="29">
        <v>42100</v>
      </c>
      <c r="R1051" s="29">
        <v>42500</v>
      </c>
      <c r="S1051">
        <v>44400</v>
      </c>
      <c r="T1051">
        <v>45500</v>
      </c>
      <c r="U1051">
        <v>46800</v>
      </c>
      <c r="V1051">
        <v>47200</v>
      </c>
      <c r="W1051">
        <v>50200</v>
      </c>
    </row>
    <row r="1052" spans="1:23">
      <c r="A1052" s="30">
        <v>45336</v>
      </c>
      <c r="B1052" s="29">
        <v>47300</v>
      </c>
      <c r="C1052" s="29">
        <v>47300</v>
      </c>
      <c r="D1052" s="29">
        <v>46000</v>
      </c>
      <c r="E1052" s="29">
        <v>42400</v>
      </c>
      <c r="F1052" s="29">
        <v>47400</v>
      </c>
      <c r="G1052" s="29" t="str">
        <v>-</v>
      </c>
      <c r="H1052" s="29">
        <v>44300</v>
      </c>
      <c r="I1052" s="29">
        <v>45400</v>
      </c>
      <c r="J1052" s="29">
        <v>48200</v>
      </c>
      <c r="K1052" s="29" t="str">
        <v>-</v>
      </c>
      <c r="L1052" s="29">
        <v>46500</v>
      </c>
      <c r="M1052" s="29">
        <v>48100</v>
      </c>
      <c r="N1052" s="29">
        <v>44900</v>
      </c>
      <c r="O1052" s="29">
        <v>43700</v>
      </c>
      <c r="P1052" s="29">
        <v>41800</v>
      </c>
      <c r="Q1052" s="29">
        <v>42100</v>
      </c>
      <c r="R1052" s="29">
        <v>42500</v>
      </c>
      <c r="S1052">
        <v>44500</v>
      </c>
      <c r="T1052">
        <v>45500</v>
      </c>
      <c r="U1052">
        <v>46800</v>
      </c>
      <c r="V1052">
        <v>47200</v>
      </c>
      <c r="W1052">
        <v>50200</v>
      </c>
    </row>
    <row r="1053" spans="1:23">
      <c r="A1053" s="30">
        <v>45337</v>
      </c>
      <c r="B1053" s="29">
        <v>47500</v>
      </c>
      <c r="C1053" s="29">
        <v>47300</v>
      </c>
      <c r="D1053" s="29">
        <v>46100</v>
      </c>
      <c r="E1053" s="29">
        <v>42800</v>
      </c>
      <c r="F1053" s="29">
        <v>47700</v>
      </c>
      <c r="G1053" s="29" t="str">
        <v>-</v>
      </c>
      <c r="H1053" s="29">
        <v>44300</v>
      </c>
      <c r="I1053" s="29">
        <v>45400</v>
      </c>
      <c r="J1053" s="29">
        <v>48200</v>
      </c>
      <c r="K1053" s="29" t="str">
        <v>-</v>
      </c>
      <c r="L1053" s="29">
        <v>46700</v>
      </c>
      <c r="M1053" s="29">
        <v>48100</v>
      </c>
      <c r="N1053" s="29">
        <v>45000</v>
      </c>
      <c r="O1053" s="29">
        <v>43700</v>
      </c>
      <c r="P1053" s="29">
        <v>42200</v>
      </c>
      <c r="Q1053" s="29">
        <v>42400</v>
      </c>
      <c r="R1053" s="29">
        <v>42500</v>
      </c>
      <c r="S1053">
        <v>44900</v>
      </c>
      <c r="T1053">
        <v>45700</v>
      </c>
      <c r="U1053">
        <v>46800</v>
      </c>
      <c r="V1053">
        <v>47200</v>
      </c>
      <c r="W1053">
        <v>50200</v>
      </c>
    </row>
    <row r="1054" spans="1:23">
      <c r="A1054" s="30">
        <v>45338</v>
      </c>
      <c r="B1054" s="29">
        <v>47500</v>
      </c>
      <c r="C1054" s="29">
        <v>47300</v>
      </c>
      <c r="D1054" s="29">
        <v>46000</v>
      </c>
      <c r="E1054" s="29">
        <v>42500</v>
      </c>
      <c r="F1054" s="29">
        <v>47700</v>
      </c>
      <c r="G1054" s="29" t="str">
        <v>-</v>
      </c>
      <c r="H1054" s="29">
        <v>44300</v>
      </c>
      <c r="I1054" s="29">
        <v>45200</v>
      </c>
      <c r="J1054" s="29">
        <v>48200</v>
      </c>
      <c r="K1054" s="29" t="str">
        <v>-</v>
      </c>
      <c r="L1054" s="29">
        <v>46700</v>
      </c>
      <c r="M1054" s="29">
        <v>48100</v>
      </c>
      <c r="N1054" s="29">
        <v>44900</v>
      </c>
      <c r="O1054" s="29">
        <v>43400</v>
      </c>
      <c r="P1054" s="29">
        <v>42000</v>
      </c>
      <c r="Q1054" s="29">
        <v>42400</v>
      </c>
      <c r="R1054" s="29">
        <v>42500</v>
      </c>
      <c r="S1054">
        <v>44600</v>
      </c>
      <c r="T1054">
        <v>45700</v>
      </c>
      <c r="U1054">
        <v>46800</v>
      </c>
      <c r="V1054">
        <v>47000</v>
      </c>
      <c r="W1054">
        <v>50200</v>
      </c>
    </row>
    <row r="1055" spans="1:23">
      <c r="A1055" s="30">
        <v>45339</v>
      </c>
      <c r="B1055" s="29">
        <v>47700</v>
      </c>
      <c r="C1055" s="29">
        <v>47300</v>
      </c>
      <c r="D1055" s="29">
        <v>46200</v>
      </c>
      <c r="E1055" s="29">
        <v>42800</v>
      </c>
      <c r="F1055" s="29">
        <v>47700</v>
      </c>
      <c r="G1055" s="29" t="str">
        <v>-</v>
      </c>
      <c r="H1055" s="29">
        <v>44500</v>
      </c>
      <c r="I1055" s="29">
        <v>45300</v>
      </c>
      <c r="J1055" s="29">
        <v>48300</v>
      </c>
      <c r="K1055" s="29" t="str">
        <v>-</v>
      </c>
      <c r="L1055" s="29">
        <v>46900</v>
      </c>
      <c r="M1055" s="29">
        <v>48100</v>
      </c>
      <c r="N1055" s="29">
        <v>45100</v>
      </c>
      <c r="O1055" s="29">
        <v>43400</v>
      </c>
      <c r="P1055" s="29">
        <v>42200</v>
      </c>
      <c r="Q1055" s="29">
        <v>42700</v>
      </c>
      <c r="R1055" s="29">
        <v>42800</v>
      </c>
      <c r="S1055">
        <v>44900</v>
      </c>
      <c r="T1055">
        <v>46000</v>
      </c>
      <c r="U1055">
        <v>46800</v>
      </c>
      <c r="V1055">
        <v>47000</v>
      </c>
      <c r="W1055">
        <v>50200</v>
      </c>
    </row>
    <row r="1056" spans="1:23">
      <c r="A1056" s="30">
        <v>45340</v>
      </c>
      <c r="B1056" s="29" t="str">
        <v>H</v>
      </c>
      <c r="C1056" s="29" t="str">
        <v>H</v>
      </c>
      <c r="D1056" s="29" t="str">
        <v>H</v>
      </c>
      <c r="E1056" s="29" t="str">
        <v>H</v>
      </c>
      <c r="F1056" s="29" t="str">
        <v>H</v>
      </c>
      <c r="G1056" s="29" t="str">
        <v>H</v>
      </c>
      <c r="H1056" s="29" t="str">
        <v>H</v>
      </c>
      <c r="I1056" s="29" t="str">
        <v>H</v>
      </c>
      <c r="J1056" s="29" t="str">
        <v>H</v>
      </c>
      <c r="K1056" s="29" t="str">
        <v>H</v>
      </c>
      <c r="L1056" s="29" t="str">
        <v>H</v>
      </c>
      <c r="M1056" s="29" t="str">
        <v>H</v>
      </c>
      <c r="N1056" s="29" t="str">
        <v>H</v>
      </c>
      <c r="O1056" s="29" t="str">
        <v>H</v>
      </c>
      <c r="P1056" s="29" t="str">
        <v>H</v>
      </c>
      <c r="Q1056" s="29" t="str">
        <v>H</v>
      </c>
      <c r="R1056" s="29" t="str">
        <v>H</v>
      </c>
      <c r="S1056" t="str">
        <v>H</v>
      </c>
      <c r="T1056" t="str">
        <v>H</v>
      </c>
      <c r="U1056" t="str">
        <v>H</v>
      </c>
      <c r="V1056" t="str">
        <v>H</v>
      </c>
      <c r="W1056" t="str">
        <v>H</v>
      </c>
    </row>
    <row r="1057" spans="1:23">
      <c r="A1057" s="30">
        <v>45341</v>
      </c>
      <c r="B1057" s="29">
        <v>47700</v>
      </c>
      <c r="C1057" s="29">
        <v>47300</v>
      </c>
      <c r="D1057" s="29">
        <v>46000</v>
      </c>
      <c r="E1057" s="29">
        <v>42800</v>
      </c>
      <c r="F1057" s="29">
        <v>48000</v>
      </c>
      <c r="G1057" s="29" t="str">
        <v>-</v>
      </c>
      <c r="H1057" s="29">
        <v>44500</v>
      </c>
      <c r="I1057" s="29">
        <v>45300</v>
      </c>
      <c r="J1057" s="29">
        <v>48300</v>
      </c>
      <c r="K1057" s="29" t="str">
        <v>-</v>
      </c>
      <c r="L1057" s="29">
        <v>47000</v>
      </c>
      <c r="M1057" s="29">
        <v>48200</v>
      </c>
      <c r="N1057" s="29">
        <v>45100</v>
      </c>
      <c r="O1057" s="29">
        <v>43400</v>
      </c>
      <c r="P1057" s="29">
        <v>42200</v>
      </c>
      <c r="Q1057" s="29">
        <v>42800</v>
      </c>
      <c r="R1057" s="29">
        <v>42700</v>
      </c>
      <c r="S1057">
        <v>44800</v>
      </c>
      <c r="T1057">
        <v>46000</v>
      </c>
      <c r="U1057">
        <v>46800</v>
      </c>
      <c r="V1057">
        <v>47000</v>
      </c>
      <c r="W1057">
        <v>49600</v>
      </c>
    </row>
    <row r="1058" spans="1:23">
      <c r="A1058" s="30">
        <v>45342</v>
      </c>
      <c r="B1058" s="29">
        <v>47900</v>
      </c>
      <c r="C1058" s="29">
        <v>47200</v>
      </c>
      <c r="D1058" s="29">
        <v>46300</v>
      </c>
      <c r="E1058" s="29">
        <v>43100</v>
      </c>
      <c r="F1058" s="29">
        <v>48000</v>
      </c>
      <c r="G1058" s="29" t="str">
        <v>-</v>
      </c>
      <c r="H1058" s="29">
        <v>45000</v>
      </c>
      <c r="I1058" s="29">
        <v>45500</v>
      </c>
      <c r="J1058" s="29">
        <v>48300</v>
      </c>
      <c r="K1058" s="29" t="str">
        <v>-</v>
      </c>
      <c r="L1058" s="29">
        <v>47300</v>
      </c>
      <c r="M1058" s="29">
        <v>48200</v>
      </c>
      <c r="N1058" s="29">
        <v>45500</v>
      </c>
      <c r="O1058" s="29">
        <v>43700</v>
      </c>
      <c r="P1058" s="29">
        <v>42500</v>
      </c>
      <c r="Q1058" s="29">
        <v>43000</v>
      </c>
      <c r="R1058" s="29">
        <v>43000</v>
      </c>
      <c r="S1058">
        <v>45100</v>
      </c>
      <c r="T1058">
        <v>46200</v>
      </c>
      <c r="U1058">
        <v>46800</v>
      </c>
      <c r="V1058">
        <v>47000</v>
      </c>
      <c r="W1058">
        <v>49600</v>
      </c>
    </row>
    <row r="1059" spans="1:23">
      <c r="A1059" s="30">
        <v>45343</v>
      </c>
      <c r="B1059" s="29">
        <v>47900</v>
      </c>
      <c r="C1059" s="29">
        <v>47200</v>
      </c>
      <c r="D1059" s="29">
        <v>46100</v>
      </c>
      <c r="E1059" s="29">
        <v>42900</v>
      </c>
      <c r="F1059" s="29">
        <v>48300</v>
      </c>
      <c r="G1059" s="29" t="str">
        <v>-</v>
      </c>
      <c r="H1059" s="29">
        <v>45000</v>
      </c>
      <c r="I1059" s="29">
        <v>45300</v>
      </c>
      <c r="J1059" s="29">
        <v>48300</v>
      </c>
      <c r="K1059" s="29" t="str">
        <v>-</v>
      </c>
      <c r="L1059" s="29">
        <v>47300</v>
      </c>
      <c r="M1059" s="29">
        <v>48200</v>
      </c>
      <c r="N1059" s="29">
        <v>45200</v>
      </c>
      <c r="O1059" s="29">
        <v>43600</v>
      </c>
      <c r="P1059" s="29">
        <v>42300</v>
      </c>
      <c r="Q1059" s="29">
        <v>42800</v>
      </c>
      <c r="R1059" s="29">
        <v>42800</v>
      </c>
      <c r="S1059">
        <v>45000</v>
      </c>
      <c r="T1059">
        <v>46200</v>
      </c>
      <c r="U1059">
        <v>46800</v>
      </c>
      <c r="V1059">
        <v>47000</v>
      </c>
      <c r="W1059">
        <v>49600</v>
      </c>
    </row>
    <row r="1060" spans="1:23">
      <c r="A1060" s="30">
        <v>45344</v>
      </c>
      <c r="B1060" s="29">
        <v>48000</v>
      </c>
      <c r="C1060" s="29">
        <v>47200</v>
      </c>
      <c r="D1060" s="29">
        <v>46100</v>
      </c>
      <c r="E1060" s="29">
        <v>42800</v>
      </c>
      <c r="F1060" s="29">
        <v>48300</v>
      </c>
      <c r="G1060" s="29" t="str">
        <v>-</v>
      </c>
      <c r="H1060" s="29">
        <v>45000</v>
      </c>
      <c r="I1060" s="29">
        <v>45200</v>
      </c>
      <c r="J1060" s="29">
        <v>48300</v>
      </c>
      <c r="K1060" s="29" t="str">
        <v>-</v>
      </c>
      <c r="L1060" s="29">
        <v>47300</v>
      </c>
      <c r="M1060" s="29">
        <v>48400</v>
      </c>
      <c r="N1060" s="29">
        <v>45000</v>
      </c>
      <c r="O1060" s="29">
        <v>43600</v>
      </c>
      <c r="P1060" s="29">
        <v>42200</v>
      </c>
      <c r="Q1060" s="29">
        <v>42700</v>
      </c>
      <c r="R1060" s="29">
        <v>42800</v>
      </c>
      <c r="S1060">
        <v>44900</v>
      </c>
      <c r="T1060">
        <v>46200</v>
      </c>
      <c r="U1060">
        <v>46800</v>
      </c>
      <c r="V1060">
        <v>47300</v>
      </c>
      <c r="W1060">
        <v>49300</v>
      </c>
    </row>
    <row r="1061" spans="1:23">
      <c r="A1061" s="30">
        <v>45345</v>
      </c>
      <c r="B1061" s="29">
        <v>48300</v>
      </c>
      <c r="C1061" s="29">
        <v>47500</v>
      </c>
      <c r="D1061" s="29">
        <v>46200</v>
      </c>
      <c r="E1061" s="29">
        <v>43100</v>
      </c>
      <c r="F1061" s="29">
        <v>48300</v>
      </c>
      <c r="G1061" s="29" t="str">
        <v>-</v>
      </c>
      <c r="H1061" s="29">
        <v>45000</v>
      </c>
      <c r="I1061" s="29">
        <v>45400</v>
      </c>
      <c r="J1061" s="29">
        <v>48700</v>
      </c>
      <c r="K1061" s="29" t="str">
        <v>-</v>
      </c>
      <c r="L1061" s="29">
        <v>47600</v>
      </c>
      <c r="M1061" s="29">
        <v>48700</v>
      </c>
      <c r="N1061" s="29">
        <v>45200</v>
      </c>
      <c r="O1061" s="29">
        <v>43700</v>
      </c>
      <c r="P1061" s="29">
        <v>42500</v>
      </c>
      <c r="Q1061" s="29">
        <v>43100</v>
      </c>
      <c r="R1061" s="29">
        <v>43000</v>
      </c>
      <c r="S1061">
        <v>45200</v>
      </c>
      <c r="T1061">
        <v>46200</v>
      </c>
      <c r="U1061">
        <v>46800</v>
      </c>
      <c r="V1061">
        <v>47900</v>
      </c>
      <c r="W1061">
        <v>49600</v>
      </c>
    </row>
    <row r="1062" spans="1:23">
      <c r="A1062" s="30">
        <v>45346</v>
      </c>
      <c r="B1062" s="29">
        <v>48300</v>
      </c>
      <c r="C1062" s="29">
        <v>47500</v>
      </c>
      <c r="D1062" s="29">
        <v>46100</v>
      </c>
      <c r="E1062" s="29">
        <v>42900</v>
      </c>
      <c r="F1062" s="29">
        <v>48300</v>
      </c>
      <c r="G1062" s="29" t="str">
        <v>-</v>
      </c>
      <c r="H1062" s="29">
        <v>45500</v>
      </c>
      <c r="I1062" s="29">
        <v>45200</v>
      </c>
      <c r="J1062" s="29">
        <v>48800</v>
      </c>
      <c r="K1062" s="29" t="str">
        <v>-</v>
      </c>
      <c r="L1062" s="29">
        <v>47500</v>
      </c>
      <c r="M1062" s="29">
        <v>48700</v>
      </c>
      <c r="N1062" s="29">
        <v>45200</v>
      </c>
      <c r="O1062" s="29">
        <v>43700</v>
      </c>
      <c r="P1062" s="29">
        <v>42400</v>
      </c>
      <c r="Q1062" s="29">
        <v>42900</v>
      </c>
      <c r="R1062" s="29">
        <v>43000</v>
      </c>
      <c r="S1062">
        <v>45000</v>
      </c>
      <c r="T1062">
        <v>46000</v>
      </c>
      <c r="U1062">
        <v>46800</v>
      </c>
      <c r="V1062">
        <v>47900</v>
      </c>
      <c r="W1062">
        <v>49600</v>
      </c>
    </row>
    <row r="1063" spans="1:23">
      <c r="A1063" s="30">
        <v>45347</v>
      </c>
      <c r="B1063" s="29" t="str">
        <v>H</v>
      </c>
      <c r="C1063" s="29" t="str">
        <v>H</v>
      </c>
      <c r="D1063" s="29" t="str">
        <v>H</v>
      </c>
      <c r="E1063" s="29" t="str">
        <v>H</v>
      </c>
      <c r="F1063" s="29" t="str">
        <v>H</v>
      </c>
      <c r="G1063" s="29" t="str">
        <v>H</v>
      </c>
      <c r="H1063" s="29" t="str">
        <v>H</v>
      </c>
      <c r="I1063" s="29" t="str">
        <v>H</v>
      </c>
      <c r="J1063" s="29" t="str">
        <v>H</v>
      </c>
      <c r="K1063" s="29" t="str">
        <v>H</v>
      </c>
      <c r="L1063" s="29" t="str">
        <v>H</v>
      </c>
      <c r="M1063" s="29" t="str">
        <v>H</v>
      </c>
      <c r="N1063" s="29" t="str">
        <v>H</v>
      </c>
      <c r="O1063" s="29" t="str">
        <v>H</v>
      </c>
      <c r="P1063" s="29" t="str">
        <v>H</v>
      </c>
      <c r="Q1063" s="29" t="str">
        <v>H</v>
      </c>
      <c r="R1063" s="29" t="str">
        <v>H</v>
      </c>
      <c r="S1063" t="str">
        <v>H</v>
      </c>
      <c r="T1063" t="str">
        <v>H</v>
      </c>
      <c r="U1063" t="str">
        <v>H</v>
      </c>
      <c r="V1063" t="str">
        <v>H</v>
      </c>
      <c r="W1063" t="str">
        <v>H</v>
      </c>
    </row>
    <row r="1064" spans="1:23">
      <c r="A1064" s="30">
        <v>45348</v>
      </c>
      <c r="B1064" s="29">
        <v>48300</v>
      </c>
      <c r="C1064" s="29">
        <v>47500</v>
      </c>
      <c r="D1064" s="29">
        <v>46100</v>
      </c>
      <c r="E1064" s="29">
        <v>42900</v>
      </c>
      <c r="F1064" s="29">
        <v>48500</v>
      </c>
      <c r="G1064" s="29" t="str">
        <v>-</v>
      </c>
      <c r="H1064" s="29">
        <v>45500</v>
      </c>
      <c r="I1064" s="29">
        <v>45300</v>
      </c>
      <c r="J1064" s="29">
        <v>49000</v>
      </c>
      <c r="K1064" s="29" t="str">
        <v>-</v>
      </c>
      <c r="L1064" s="29">
        <v>47700</v>
      </c>
      <c r="M1064" s="29">
        <v>48700</v>
      </c>
      <c r="N1064" s="29">
        <v>45100</v>
      </c>
      <c r="O1064" s="29">
        <v>43700</v>
      </c>
      <c r="P1064" s="29">
        <v>42500</v>
      </c>
      <c r="Q1064" s="29">
        <v>42900</v>
      </c>
      <c r="R1064" s="29">
        <v>43000</v>
      </c>
      <c r="S1064">
        <v>45000</v>
      </c>
      <c r="T1064">
        <v>46000</v>
      </c>
      <c r="U1064">
        <v>46800</v>
      </c>
      <c r="V1064">
        <v>48000</v>
      </c>
      <c r="W1064">
        <v>49800</v>
      </c>
    </row>
    <row r="1065" spans="1:23">
      <c r="A1065" s="30">
        <v>45349</v>
      </c>
      <c r="B1065" s="29">
        <v>48300</v>
      </c>
      <c r="C1065" s="29">
        <v>47500</v>
      </c>
      <c r="D1065" s="29">
        <v>46000</v>
      </c>
      <c r="E1065" s="29">
        <v>42700</v>
      </c>
      <c r="F1065" s="29">
        <v>48600</v>
      </c>
      <c r="G1065" s="29" t="str">
        <v>-</v>
      </c>
      <c r="H1065" s="29">
        <v>45250</v>
      </c>
      <c r="I1065" s="29">
        <v>45200</v>
      </c>
      <c r="J1065" s="29">
        <v>49000</v>
      </c>
      <c r="K1065" s="29" t="str">
        <v>-</v>
      </c>
      <c r="L1065" s="29">
        <v>47500</v>
      </c>
      <c r="M1065" s="29">
        <v>48700</v>
      </c>
      <c r="N1065" s="29">
        <v>45000</v>
      </c>
      <c r="O1065" s="29">
        <v>43700</v>
      </c>
      <c r="P1065" s="29">
        <v>42300</v>
      </c>
      <c r="Q1065" s="29">
        <v>42800</v>
      </c>
      <c r="R1065" s="29">
        <v>43000</v>
      </c>
      <c r="S1065">
        <v>44800</v>
      </c>
      <c r="T1065">
        <v>46000</v>
      </c>
      <c r="U1065">
        <v>46800</v>
      </c>
      <c r="V1065">
        <v>48000</v>
      </c>
      <c r="W1065">
        <v>49800</v>
      </c>
    </row>
    <row r="1066" spans="1:23">
      <c r="A1066" s="30">
        <v>45350</v>
      </c>
      <c r="B1066" s="29">
        <v>48300</v>
      </c>
      <c r="C1066" s="29">
        <v>47500</v>
      </c>
      <c r="D1066" s="29">
        <v>46000</v>
      </c>
      <c r="E1066" s="29">
        <v>42800</v>
      </c>
      <c r="F1066" s="29">
        <v>48600</v>
      </c>
      <c r="G1066" s="29" t="str">
        <v>-</v>
      </c>
      <c r="H1066" s="29">
        <v>45000</v>
      </c>
      <c r="I1066" s="29">
        <v>45100</v>
      </c>
      <c r="J1066" s="29">
        <v>49000</v>
      </c>
      <c r="K1066" s="29" t="str">
        <v>-</v>
      </c>
      <c r="L1066" s="29">
        <v>47500</v>
      </c>
      <c r="M1066" s="29">
        <v>48700</v>
      </c>
      <c r="N1066" s="29">
        <v>45000</v>
      </c>
      <c r="O1066" s="29">
        <v>43600</v>
      </c>
      <c r="P1066" s="29">
        <v>42200</v>
      </c>
      <c r="Q1066" s="29">
        <v>43000</v>
      </c>
      <c r="R1066" s="29">
        <v>42800</v>
      </c>
      <c r="S1066">
        <v>44900</v>
      </c>
      <c r="T1066">
        <v>46000</v>
      </c>
      <c r="U1066">
        <v>46800</v>
      </c>
      <c r="V1066">
        <v>48000</v>
      </c>
      <c r="W1066">
        <v>49800</v>
      </c>
    </row>
    <row r="1067" spans="1:23">
      <c r="A1067" s="30">
        <v>45351</v>
      </c>
      <c r="B1067" s="29">
        <v>48300</v>
      </c>
      <c r="C1067" s="29">
        <v>47500</v>
      </c>
      <c r="D1067" s="29">
        <v>46100</v>
      </c>
      <c r="E1067" s="29">
        <v>43100</v>
      </c>
      <c r="F1067" s="29">
        <v>48700</v>
      </c>
      <c r="G1067" s="29" t="str">
        <v>-</v>
      </c>
      <c r="H1067" s="29">
        <v>45250</v>
      </c>
      <c r="I1067" s="29">
        <v>45300</v>
      </c>
      <c r="J1067" s="29">
        <v>49200</v>
      </c>
      <c r="K1067" s="29" t="str">
        <v>-</v>
      </c>
      <c r="L1067" s="29">
        <v>47800</v>
      </c>
      <c r="M1067" s="29">
        <v>48700</v>
      </c>
      <c r="N1067" s="29">
        <v>45500</v>
      </c>
      <c r="O1067" s="29">
        <v>43700</v>
      </c>
      <c r="P1067" s="29">
        <v>42500</v>
      </c>
      <c r="Q1067" s="29">
        <v>43300</v>
      </c>
      <c r="R1067" s="29">
        <v>43000</v>
      </c>
      <c r="S1067">
        <v>45200</v>
      </c>
      <c r="T1067">
        <v>46200</v>
      </c>
      <c r="U1067">
        <v>46800</v>
      </c>
      <c r="V1067">
        <v>48000</v>
      </c>
      <c r="W1067">
        <v>49800</v>
      </c>
    </row>
    <row r="1068" spans="1:23">
      <c r="A1068" s="30">
        <v>45352</v>
      </c>
      <c r="B1068" s="29">
        <v>48300</v>
      </c>
      <c r="C1068" s="29">
        <v>47500</v>
      </c>
      <c r="D1068" s="29">
        <v>46100</v>
      </c>
      <c r="E1068" s="29">
        <v>42900</v>
      </c>
      <c r="F1068" s="29">
        <v>48700</v>
      </c>
      <c r="G1068" s="29" t="str">
        <v>-</v>
      </c>
      <c r="H1068" s="29">
        <v>45500</v>
      </c>
      <c r="I1068" s="29">
        <v>45300</v>
      </c>
      <c r="J1068" s="29">
        <v>49300</v>
      </c>
      <c r="K1068" s="29" t="str">
        <v>-</v>
      </c>
      <c r="L1068" s="29">
        <v>47700</v>
      </c>
      <c r="M1068" s="29">
        <v>48900</v>
      </c>
      <c r="N1068" s="29">
        <v>45200</v>
      </c>
      <c r="O1068" s="29">
        <v>43700</v>
      </c>
      <c r="P1068" s="29">
        <v>42500</v>
      </c>
      <c r="Q1068" s="29">
        <v>43300</v>
      </c>
      <c r="R1068" s="29">
        <v>43000</v>
      </c>
      <c r="S1068">
        <v>45000</v>
      </c>
      <c r="T1068">
        <v>46200</v>
      </c>
      <c r="U1068">
        <v>46800</v>
      </c>
      <c r="V1068">
        <v>48000</v>
      </c>
      <c r="W1068">
        <v>49800</v>
      </c>
    </row>
    <row r="1069" spans="1:23">
      <c r="A1069" s="30">
        <v>45353</v>
      </c>
      <c r="B1069" s="29">
        <v>48300</v>
      </c>
      <c r="C1069" s="29">
        <v>47500</v>
      </c>
      <c r="D1069" s="29">
        <v>46000</v>
      </c>
      <c r="E1069" s="29">
        <v>42800</v>
      </c>
      <c r="F1069" s="29">
        <v>48700</v>
      </c>
      <c r="G1069" s="29" t="str">
        <v>-</v>
      </c>
      <c r="H1069" s="29">
        <v>45500</v>
      </c>
      <c r="I1069" s="29">
        <v>45200</v>
      </c>
      <c r="J1069" s="29">
        <v>49300</v>
      </c>
      <c r="K1069" s="29" t="str">
        <v>-</v>
      </c>
      <c r="L1069" s="29">
        <v>47600</v>
      </c>
      <c r="M1069" s="29">
        <v>48900</v>
      </c>
      <c r="N1069" s="29">
        <v>45000</v>
      </c>
      <c r="O1069" s="29">
        <v>43700</v>
      </c>
      <c r="P1069" s="29">
        <v>42300</v>
      </c>
      <c r="Q1069" s="29">
        <v>43100</v>
      </c>
      <c r="R1069" s="29">
        <v>43000</v>
      </c>
      <c r="S1069">
        <v>44900</v>
      </c>
      <c r="T1069">
        <v>46200</v>
      </c>
      <c r="U1069">
        <v>46800</v>
      </c>
      <c r="V1069">
        <v>48000</v>
      </c>
      <c r="W1069">
        <v>49800</v>
      </c>
    </row>
    <row r="1070" spans="1:23">
      <c r="A1070" s="30">
        <v>45354</v>
      </c>
      <c r="B1070" s="29" t="str">
        <v>H</v>
      </c>
      <c r="C1070" s="29" t="str">
        <v>H</v>
      </c>
      <c r="D1070" s="29" t="str">
        <v>H</v>
      </c>
      <c r="E1070" s="29" t="str">
        <v>H</v>
      </c>
      <c r="F1070" s="29" t="str">
        <v>H</v>
      </c>
      <c r="G1070" s="29" t="str">
        <v>H</v>
      </c>
      <c r="H1070" s="29" t="str">
        <v>H</v>
      </c>
      <c r="I1070" s="29" t="str">
        <v>H</v>
      </c>
      <c r="J1070" s="29" t="str">
        <v>H</v>
      </c>
      <c r="K1070" s="29" t="str">
        <v>H</v>
      </c>
      <c r="L1070" s="29" t="str">
        <v>H</v>
      </c>
      <c r="M1070" s="29" t="str">
        <v>H</v>
      </c>
      <c r="N1070" s="29" t="str">
        <v>H</v>
      </c>
      <c r="O1070" s="29" t="str">
        <v>H</v>
      </c>
      <c r="P1070" s="29" t="str">
        <v>H</v>
      </c>
      <c r="Q1070" s="29" t="str">
        <v>H</v>
      </c>
      <c r="R1070" s="29" t="str">
        <v>H</v>
      </c>
      <c r="S1070" t="str">
        <v>H</v>
      </c>
      <c r="T1070" t="str">
        <v>H</v>
      </c>
      <c r="U1070" t="str">
        <v>H</v>
      </c>
      <c r="V1070" t="str">
        <v>H</v>
      </c>
      <c r="W1070" t="str">
        <v>H</v>
      </c>
    </row>
    <row r="1071" spans="1:23">
      <c r="A1071" s="30">
        <v>45355</v>
      </c>
      <c r="B1071" s="29">
        <v>48300</v>
      </c>
      <c r="C1071" s="29">
        <v>47500</v>
      </c>
      <c r="D1071" s="29">
        <v>46000</v>
      </c>
      <c r="E1071" s="29">
        <v>42800</v>
      </c>
      <c r="F1071" s="29">
        <v>48700</v>
      </c>
      <c r="G1071" s="29" t="str">
        <v>-</v>
      </c>
      <c r="H1071" s="29">
        <v>45750</v>
      </c>
      <c r="I1071" s="29">
        <v>45200</v>
      </c>
      <c r="J1071" s="29">
        <v>49300</v>
      </c>
      <c r="K1071" s="29" t="str">
        <v>-</v>
      </c>
      <c r="L1071" s="29">
        <v>47500</v>
      </c>
      <c r="M1071" s="29">
        <v>48900</v>
      </c>
      <c r="N1071" s="29">
        <v>45000</v>
      </c>
      <c r="O1071" s="29">
        <v>43700</v>
      </c>
      <c r="P1071" s="29">
        <v>42800</v>
      </c>
      <c r="Q1071" s="29">
        <v>43600</v>
      </c>
      <c r="R1071" s="29">
        <v>43000</v>
      </c>
      <c r="S1071">
        <v>44900</v>
      </c>
      <c r="T1071">
        <v>46400</v>
      </c>
      <c r="U1071">
        <v>46800</v>
      </c>
      <c r="V1071">
        <v>48300</v>
      </c>
      <c r="W1071">
        <v>49800</v>
      </c>
    </row>
    <row r="1072" spans="1:23">
      <c r="A1072" s="30">
        <v>45356</v>
      </c>
      <c r="B1072" s="29">
        <v>48600</v>
      </c>
      <c r="C1072" s="29">
        <v>47500</v>
      </c>
      <c r="D1072" s="29">
        <v>46200</v>
      </c>
      <c r="E1072" s="29">
        <v>43100</v>
      </c>
      <c r="F1072" s="29">
        <v>48900</v>
      </c>
      <c r="G1072" s="29" t="str">
        <v>-</v>
      </c>
      <c r="H1072" s="29">
        <v>46500</v>
      </c>
      <c r="I1072" s="29">
        <v>45500</v>
      </c>
      <c r="J1072" s="29">
        <v>49500</v>
      </c>
      <c r="K1072" s="29" t="str">
        <v>-</v>
      </c>
      <c r="L1072" s="29">
        <v>47600</v>
      </c>
      <c r="M1072" s="29">
        <v>49100</v>
      </c>
      <c r="N1072" s="29">
        <v>45200</v>
      </c>
      <c r="O1072" s="29">
        <v>44000</v>
      </c>
      <c r="P1072" s="29">
        <v>43300</v>
      </c>
      <c r="Q1072" s="29">
        <v>44000</v>
      </c>
      <c r="R1072" s="29">
        <v>43600</v>
      </c>
      <c r="S1072">
        <v>45000</v>
      </c>
      <c r="T1072">
        <v>46800</v>
      </c>
      <c r="U1072">
        <v>46800</v>
      </c>
      <c r="V1072">
        <v>48300</v>
      </c>
      <c r="W1072">
        <v>49800</v>
      </c>
    </row>
    <row r="1073" spans="1:23">
      <c r="A1073" s="30">
        <v>45357</v>
      </c>
      <c r="B1073" s="29">
        <v>48600</v>
      </c>
      <c r="C1073" s="29">
        <v>47500</v>
      </c>
      <c r="D1073" s="29">
        <v>46000</v>
      </c>
      <c r="E1073" s="29">
        <v>43000</v>
      </c>
      <c r="F1073" s="29">
        <v>49200</v>
      </c>
      <c r="G1073" s="29" t="str">
        <v>-</v>
      </c>
      <c r="H1073" s="29">
        <v>46500</v>
      </c>
      <c r="I1073" s="29">
        <v>45300</v>
      </c>
      <c r="J1073" s="29">
        <v>49500</v>
      </c>
      <c r="K1073" s="29" t="str">
        <v>-</v>
      </c>
      <c r="L1073" s="29">
        <v>47500</v>
      </c>
      <c r="M1073" s="29">
        <v>49500</v>
      </c>
      <c r="N1073" s="29">
        <v>44900</v>
      </c>
      <c r="O1073" s="29">
        <v>44000</v>
      </c>
      <c r="P1073" s="29">
        <v>43100</v>
      </c>
      <c r="Q1073" s="29">
        <v>44000</v>
      </c>
      <c r="R1073" s="29">
        <v>43400</v>
      </c>
      <c r="S1073">
        <v>45100</v>
      </c>
      <c r="T1073">
        <v>46800</v>
      </c>
      <c r="U1073">
        <v>46800</v>
      </c>
      <c r="V1073">
        <v>48700</v>
      </c>
      <c r="W1073">
        <v>50200</v>
      </c>
    </row>
    <row r="1074" spans="1:23">
      <c r="A1074" s="30">
        <v>45358</v>
      </c>
      <c r="B1074" s="29">
        <v>48600</v>
      </c>
      <c r="C1074" s="29">
        <v>47500</v>
      </c>
      <c r="D1074" s="29">
        <v>46000</v>
      </c>
      <c r="E1074" s="29">
        <v>43200</v>
      </c>
      <c r="F1074" s="29">
        <v>49200</v>
      </c>
      <c r="G1074" s="29" t="str">
        <v>-</v>
      </c>
      <c r="H1074" s="29">
        <v>46500</v>
      </c>
      <c r="I1074" s="29">
        <v>45500</v>
      </c>
      <c r="J1074" s="29">
        <v>49500</v>
      </c>
      <c r="K1074" s="29" t="str">
        <v>-</v>
      </c>
      <c r="L1074" s="29">
        <v>47500</v>
      </c>
      <c r="M1074" s="29">
        <v>49500</v>
      </c>
      <c r="N1074" s="29">
        <v>45000</v>
      </c>
      <c r="O1074" s="29">
        <v>44000</v>
      </c>
      <c r="P1074" s="29">
        <v>43300</v>
      </c>
      <c r="Q1074" s="29">
        <v>44000</v>
      </c>
      <c r="R1074" s="29">
        <v>43200</v>
      </c>
      <c r="S1074">
        <v>45300</v>
      </c>
      <c r="T1074">
        <v>46800</v>
      </c>
      <c r="U1074">
        <v>46800</v>
      </c>
      <c r="V1074">
        <v>48700</v>
      </c>
      <c r="W1074">
        <v>50200</v>
      </c>
    </row>
    <row r="1075" spans="1:23">
      <c r="A1075" s="30">
        <v>45359</v>
      </c>
      <c r="B1075" s="29">
        <v>48400</v>
      </c>
      <c r="C1075" s="29">
        <v>47500</v>
      </c>
      <c r="D1075" s="29">
        <v>46000</v>
      </c>
      <c r="E1075" s="29">
        <v>43200</v>
      </c>
      <c r="F1075" s="29">
        <v>49200</v>
      </c>
      <c r="G1075" s="29" t="str">
        <v>-</v>
      </c>
      <c r="H1075" s="29">
        <v>46500</v>
      </c>
      <c r="I1075" s="29">
        <v>45600</v>
      </c>
      <c r="J1075" s="29">
        <v>49300</v>
      </c>
      <c r="K1075" s="29" t="str">
        <v>-</v>
      </c>
      <c r="L1075" s="29">
        <v>47500</v>
      </c>
      <c r="M1075" s="29">
        <v>49500</v>
      </c>
      <c r="N1075" s="29">
        <v>45000</v>
      </c>
      <c r="O1075" s="29">
        <v>44000</v>
      </c>
      <c r="P1075" s="29">
        <v>43300</v>
      </c>
      <c r="Q1075" s="29">
        <v>43900</v>
      </c>
      <c r="R1075" s="29">
        <v>43500</v>
      </c>
      <c r="S1075">
        <v>45300</v>
      </c>
      <c r="T1075">
        <v>46800</v>
      </c>
      <c r="U1075">
        <v>46800</v>
      </c>
      <c r="V1075">
        <v>48700</v>
      </c>
      <c r="W1075">
        <v>50200</v>
      </c>
    </row>
    <row r="1076" spans="1:23">
      <c r="A1076" s="30">
        <v>45360</v>
      </c>
      <c r="B1076" s="29">
        <v>48400</v>
      </c>
      <c r="C1076" s="29">
        <v>47500</v>
      </c>
      <c r="D1076" s="29">
        <v>46200</v>
      </c>
      <c r="E1076" s="29">
        <v>43500</v>
      </c>
      <c r="F1076" s="29">
        <v>49200</v>
      </c>
      <c r="G1076" s="29" t="str">
        <v>-</v>
      </c>
      <c r="H1076" s="29">
        <v>46700</v>
      </c>
      <c r="I1076" s="29">
        <v>45600</v>
      </c>
      <c r="J1076" s="29">
        <v>49300</v>
      </c>
      <c r="K1076" s="29" t="str">
        <v>-</v>
      </c>
      <c r="L1076" s="29">
        <v>47700</v>
      </c>
      <c r="M1076" s="29">
        <v>49500</v>
      </c>
      <c r="N1076" s="29">
        <v>45200</v>
      </c>
      <c r="O1076" s="29">
        <v>44000</v>
      </c>
      <c r="P1076" s="29">
        <v>43300</v>
      </c>
      <c r="Q1076" s="29">
        <v>43900</v>
      </c>
      <c r="R1076" s="29">
        <v>43500</v>
      </c>
      <c r="S1076">
        <v>45600</v>
      </c>
      <c r="T1076">
        <v>46800</v>
      </c>
      <c r="U1076">
        <v>46800</v>
      </c>
      <c r="V1076">
        <v>48700</v>
      </c>
      <c r="W1076">
        <v>50200</v>
      </c>
    </row>
    <row r="1077" spans="1:23">
      <c r="A1077" s="30">
        <v>45361</v>
      </c>
      <c r="B1077" s="29" t="str">
        <v>H</v>
      </c>
      <c r="C1077" s="29" t="str">
        <v>H</v>
      </c>
      <c r="D1077" s="29" t="str">
        <v>H</v>
      </c>
      <c r="E1077" s="29" t="str">
        <v>H</v>
      </c>
      <c r="F1077" s="29" t="str">
        <v>H</v>
      </c>
      <c r="G1077" s="29" t="str">
        <v>H</v>
      </c>
      <c r="H1077" s="29" t="str">
        <v>H</v>
      </c>
      <c r="I1077" s="29" t="str">
        <v>H</v>
      </c>
      <c r="J1077" s="29" t="str">
        <v>H</v>
      </c>
      <c r="K1077" s="29" t="str">
        <v>H</v>
      </c>
      <c r="L1077" s="29" t="str">
        <v>H</v>
      </c>
      <c r="M1077" s="29" t="str">
        <v>H</v>
      </c>
      <c r="N1077" s="29" t="str">
        <v>H</v>
      </c>
      <c r="O1077" s="29" t="str">
        <v>H</v>
      </c>
      <c r="P1077" s="29" t="str">
        <v>H</v>
      </c>
      <c r="Q1077" s="29" t="str">
        <v>H</v>
      </c>
      <c r="R1077" s="29" t="str">
        <v>H</v>
      </c>
      <c r="S1077" t="str">
        <v>H</v>
      </c>
      <c r="T1077" t="str">
        <v>H</v>
      </c>
      <c r="U1077" t="str">
        <v>H</v>
      </c>
      <c r="V1077" t="str">
        <v>H</v>
      </c>
      <c r="W1077" t="str">
        <v>H</v>
      </c>
    </row>
    <row r="1078" spans="1:23">
      <c r="A1078" s="30">
        <v>45362</v>
      </c>
      <c r="B1078" s="29">
        <v>48300</v>
      </c>
      <c r="C1078" s="29">
        <v>47500</v>
      </c>
      <c r="D1078" s="29">
        <v>46200</v>
      </c>
      <c r="E1078" s="29">
        <v>43400</v>
      </c>
      <c r="F1078" s="29">
        <v>49200</v>
      </c>
      <c r="G1078" s="29" t="str">
        <v>-</v>
      </c>
      <c r="H1078" s="29">
        <v>46700</v>
      </c>
      <c r="I1078" s="29">
        <v>45600</v>
      </c>
      <c r="J1078" s="29">
        <v>49300</v>
      </c>
      <c r="K1078" s="29" t="str">
        <v>-</v>
      </c>
      <c r="L1078" s="29">
        <v>47600</v>
      </c>
      <c r="M1078" s="29">
        <v>49500</v>
      </c>
      <c r="N1078" s="29">
        <v>44800</v>
      </c>
      <c r="O1078" s="29">
        <v>44000</v>
      </c>
      <c r="P1078" s="29">
        <v>43100</v>
      </c>
      <c r="Q1078" s="29">
        <v>43800</v>
      </c>
      <c r="R1078" s="29">
        <v>43300</v>
      </c>
      <c r="S1078">
        <v>45500</v>
      </c>
      <c r="T1078">
        <v>46700</v>
      </c>
      <c r="U1078">
        <v>46800</v>
      </c>
      <c r="V1078">
        <v>48700</v>
      </c>
      <c r="W1078">
        <v>50200</v>
      </c>
    </row>
    <row r="1079" spans="1:23">
      <c r="A1079" s="30">
        <v>45363</v>
      </c>
      <c r="B1079" s="29">
        <v>48100</v>
      </c>
      <c r="C1079" s="29">
        <v>47500</v>
      </c>
      <c r="D1079" s="29">
        <v>46000</v>
      </c>
      <c r="E1079" s="29">
        <v>43100</v>
      </c>
      <c r="F1079" s="29">
        <v>48800</v>
      </c>
      <c r="G1079" s="29" t="str">
        <v>-</v>
      </c>
      <c r="H1079" s="29">
        <v>46500</v>
      </c>
      <c r="I1079" s="29">
        <v>45400</v>
      </c>
      <c r="J1079" s="29">
        <v>49300</v>
      </c>
      <c r="K1079" s="29" t="str">
        <v>-</v>
      </c>
      <c r="L1079" s="29">
        <v>47500</v>
      </c>
      <c r="M1079" s="29">
        <v>49500</v>
      </c>
      <c r="N1079" s="29">
        <v>44600</v>
      </c>
      <c r="O1079" s="29">
        <v>44000</v>
      </c>
      <c r="P1079" s="29">
        <v>43000</v>
      </c>
      <c r="Q1079" s="29">
        <v>43500</v>
      </c>
      <c r="R1079" s="29">
        <v>43200</v>
      </c>
      <c r="S1079">
        <v>45200</v>
      </c>
      <c r="T1079">
        <v>46500</v>
      </c>
      <c r="U1079">
        <v>46800</v>
      </c>
      <c r="V1079">
        <v>48700</v>
      </c>
      <c r="W1079">
        <v>50200</v>
      </c>
    </row>
    <row r="1080" spans="1:23">
      <c r="A1080" s="30">
        <v>45364</v>
      </c>
      <c r="B1080" s="29">
        <v>48100</v>
      </c>
      <c r="C1080" s="29">
        <v>47500</v>
      </c>
      <c r="D1080" s="29">
        <v>46000</v>
      </c>
      <c r="E1080" s="29">
        <v>43100</v>
      </c>
      <c r="F1080" s="29">
        <v>48800</v>
      </c>
      <c r="G1080" s="29" t="str">
        <v>-</v>
      </c>
      <c r="H1080" s="29">
        <v>46500</v>
      </c>
      <c r="I1080" s="29">
        <v>45300</v>
      </c>
      <c r="J1080" s="29">
        <v>49300</v>
      </c>
      <c r="K1080" s="29" t="str">
        <v>-</v>
      </c>
      <c r="L1080" s="29">
        <v>47500</v>
      </c>
      <c r="M1080" s="29">
        <v>49500</v>
      </c>
      <c r="N1080" s="29">
        <v>44700</v>
      </c>
      <c r="O1080" s="29">
        <v>44300</v>
      </c>
      <c r="P1080" s="29">
        <v>42600</v>
      </c>
      <c r="Q1080" s="29">
        <v>43500</v>
      </c>
      <c r="R1080" s="29">
        <v>43200</v>
      </c>
      <c r="S1080">
        <v>45200</v>
      </c>
      <c r="T1080">
        <v>46500</v>
      </c>
      <c r="U1080">
        <v>46800</v>
      </c>
      <c r="V1080">
        <v>48500</v>
      </c>
      <c r="W1080">
        <v>50200</v>
      </c>
    </row>
    <row r="1081" spans="1:23">
      <c r="A1081" s="30">
        <v>45365</v>
      </c>
      <c r="B1081" s="29">
        <v>48000</v>
      </c>
      <c r="C1081" s="29">
        <v>47500</v>
      </c>
      <c r="D1081" s="29">
        <v>45700</v>
      </c>
      <c r="E1081" s="29">
        <v>42800</v>
      </c>
      <c r="F1081" s="29">
        <v>48800</v>
      </c>
      <c r="G1081" s="29" t="str">
        <v>-</v>
      </c>
      <c r="H1081" s="29">
        <v>46500</v>
      </c>
      <c r="I1081" s="29">
        <v>45300</v>
      </c>
      <c r="J1081" s="29">
        <v>49300</v>
      </c>
      <c r="K1081" s="29" t="str">
        <v>-</v>
      </c>
      <c r="L1081" s="29">
        <v>47300</v>
      </c>
      <c r="M1081" s="29">
        <v>49500</v>
      </c>
      <c r="N1081" s="29">
        <v>44400</v>
      </c>
      <c r="O1081" s="29">
        <v>44000</v>
      </c>
      <c r="P1081" s="29">
        <v>42500</v>
      </c>
      <c r="Q1081" s="29">
        <v>43200</v>
      </c>
      <c r="R1081" s="29">
        <v>43000</v>
      </c>
      <c r="S1081">
        <v>44900</v>
      </c>
      <c r="T1081">
        <v>46300</v>
      </c>
      <c r="U1081">
        <v>46800</v>
      </c>
      <c r="V1081">
        <v>48500</v>
      </c>
      <c r="W1081">
        <v>50200</v>
      </c>
    </row>
    <row r="1082" spans="1:23">
      <c r="A1082" s="30">
        <v>45366</v>
      </c>
      <c r="B1082" s="29">
        <v>47900</v>
      </c>
      <c r="C1082" s="29">
        <v>47500</v>
      </c>
      <c r="D1082" s="29">
        <v>45500</v>
      </c>
      <c r="E1082" s="29">
        <v>42800</v>
      </c>
      <c r="F1082" s="29">
        <v>48700</v>
      </c>
      <c r="G1082" s="29" t="str">
        <v>-</v>
      </c>
      <c r="H1082" s="29">
        <v>46500</v>
      </c>
      <c r="I1082" s="29">
        <v>45200</v>
      </c>
      <c r="J1082" s="29">
        <v>49300</v>
      </c>
      <c r="K1082" s="29" t="str">
        <v>-</v>
      </c>
      <c r="L1082" s="29">
        <v>47000</v>
      </c>
      <c r="M1082" s="29">
        <v>49500</v>
      </c>
      <c r="N1082" s="29">
        <v>44200</v>
      </c>
      <c r="O1082" s="29">
        <v>43800</v>
      </c>
      <c r="P1082" s="29">
        <v>42200</v>
      </c>
      <c r="Q1082" s="29">
        <v>43000</v>
      </c>
      <c r="R1082" s="29">
        <v>42800</v>
      </c>
      <c r="S1082">
        <v>44900</v>
      </c>
      <c r="T1082">
        <v>46000</v>
      </c>
      <c r="U1082">
        <v>46800</v>
      </c>
      <c r="V1082">
        <v>48400</v>
      </c>
      <c r="W1082">
        <v>49900</v>
      </c>
    </row>
    <row r="1083" spans="1:23">
      <c r="A1083" s="30">
        <v>45367</v>
      </c>
      <c r="B1083" s="29">
        <v>47600</v>
      </c>
      <c r="C1083" s="29">
        <v>47500</v>
      </c>
      <c r="D1083" s="29">
        <v>45700</v>
      </c>
      <c r="E1083" s="29">
        <v>42700</v>
      </c>
      <c r="F1083" s="29">
        <v>48700</v>
      </c>
      <c r="G1083" s="29" t="str">
        <v>-</v>
      </c>
      <c r="H1083" s="29">
        <v>46500</v>
      </c>
      <c r="I1083" s="29">
        <v>45200</v>
      </c>
      <c r="J1083" s="29">
        <v>49000</v>
      </c>
      <c r="K1083" s="29" t="str">
        <v>-</v>
      </c>
      <c r="L1083" s="29">
        <v>46900</v>
      </c>
      <c r="M1083" s="29">
        <v>49400</v>
      </c>
      <c r="N1083" s="29">
        <v>44300</v>
      </c>
      <c r="O1083" s="29">
        <v>43800</v>
      </c>
      <c r="P1083" s="29">
        <v>42200</v>
      </c>
      <c r="Q1083" s="29">
        <v>43000</v>
      </c>
      <c r="R1083" s="29">
        <v>42800</v>
      </c>
      <c r="S1083">
        <v>44800</v>
      </c>
      <c r="T1083">
        <v>46000</v>
      </c>
      <c r="U1083">
        <v>46800</v>
      </c>
      <c r="V1083">
        <v>48400</v>
      </c>
      <c r="W1083">
        <v>49900</v>
      </c>
    </row>
    <row r="1084" spans="1:23">
      <c r="A1084" s="30">
        <v>45368</v>
      </c>
      <c r="B1084" s="29" t="str">
        <v>H</v>
      </c>
      <c r="C1084" s="29" t="str">
        <v>H</v>
      </c>
      <c r="D1084" s="29" t="str">
        <v>H</v>
      </c>
      <c r="E1084" s="29" t="str">
        <v>H</v>
      </c>
      <c r="F1084" s="29" t="str">
        <v>H</v>
      </c>
      <c r="G1084" s="29" t="str">
        <v>H</v>
      </c>
      <c r="H1084" s="29" t="str">
        <v>H</v>
      </c>
      <c r="I1084" s="29" t="str">
        <v>H</v>
      </c>
      <c r="J1084" s="29" t="str">
        <v>H</v>
      </c>
      <c r="K1084" s="29" t="str">
        <v>H</v>
      </c>
      <c r="L1084" s="29" t="str">
        <v>H</v>
      </c>
      <c r="M1084" s="29" t="str">
        <v>H</v>
      </c>
      <c r="N1084" s="29" t="str">
        <v>H</v>
      </c>
      <c r="O1084" s="29" t="str">
        <v>H</v>
      </c>
      <c r="P1084" s="29" t="str">
        <v>H</v>
      </c>
      <c r="Q1084" s="29" t="str">
        <v>H</v>
      </c>
      <c r="R1084" s="29" t="str">
        <v>H</v>
      </c>
      <c r="S1084" t="str">
        <v>H</v>
      </c>
      <c r="T1084" t="str">
        <v>H</v>
      </c>
      <c r="U1084" t="str">
        <v>H</v>
      </c>
      <c r="V1084" t="str">
        <v>H</v>
      </c>
      <c r="W1084" t="str">
        <v>H</v>
      </c>
    </row>
    <row r="1085" spans="1:23">
      <c r="A1085" s="30">
        <v>45369</v>
      </c>
      <c r="B1085" s="29">
        <v>47400</v>
      </c>
      <c r="C1085" s="29">
        <v>47500</v>
      </c>
      <c r="D1085" s="29">
        <v>45500</v>
      </c>
      <c r="E1085" s="29">
        <v>42900</v>
      </c>
      <c r="F1085" s="29">
        <v>48500</v>
      </c>
      <c r="G1085" s="29" t="str">
        <v>-</v>
      </c>
      <c r="H1085" s="29">
        <v>46000</v>
      </c>
      <c r="I1085" s="29">
        <v>45200</v>
      </c>
      <c r="J1085" s="29">
        <v>49000</v>
      </c>
      <c r="K1085" s="29" t="str">
        <v>-</v>
      </c>
      <c r="L1085" s="29">
        <v>46600</v>
      </c>
      <c r="M1085" s="29">
        <v>49400</v>
      </c>
      <c r="N1085" s="29">
        <v>44000</v>
      </c>
      <c r="O1085" s="29">
        <v>43800</v>
      </c>
      <c r="P1085" s="29">
        <v>42200</v>
      </c>
      <c r="Q1085" s="29">
        <v>43000</v>
      </c>
      <c r="R1085" s="29">
        <v>42800</v>
      </c>
      <c r="S1085">
        <v>45000</v>
      </c>
      <c r="T1085">
        <v>46000</v>
      </c>
      <c r="U1085">
        <v>46800</v>
      </c>
      <c r="V1085">
        <v>48200</v>
      </c>
      <c r="W1085">
        <v>49900</v>
      </c>
    </row>
    <row r="1086" spans="1:23">
      <c r="A1086" s="30">
        <v>45370</v>
      </c>
      <c r="B1086" s="29">
        <v>47300</v>
      </c>
      <c r="C1086" s="29">
        <v>47500</v>
      </c>
      <c r="D1086" s="29">
        <v>45500</v>
      </c>
      <c r="E1086" s="29">
        <v>43100</v>
      </c>
      <c r="F1086" s="29">
        <v>48500</v>
      </c>
      <c r="G1086" s="29" t="str">
        <v>-</v>
      </c>
      <c r="H1086" s="29">
        <v>45500</v>
      </c>
      <c r="I1086" s="29">
        <v>45000</v>
      </c>
      <c r="J1086" s="29">
        <v>48700</v>
      </c>
      <c r="K1086" s="29" t="str">
        <v>-</v>
      </c>
      <c r="L1086" s="29">
        <v>46600</v>
      </c>
      <c r="M1086" s="29">
        <v>49300</v>
      </c>
      <c r="N1086" s="29">
        <v>44000</v>
      </c>
      <c r="O1086" s="29">
        <v>43800</v>
      </c>
      <c r="P1086" s="29">
        <v>42200</v>
      </c>
      <c r="Q1086" s="29">
        <v>42900</v>
      </c>
      <c r="R1086" s="29">
        <v>42800</v>
      </c>
      <c r="S1086">
        <v>45200</v>
      </c>
      <c r="T1086">
        <v>46000</v>
      </c>
      <c r="U1086">
        <v>46800</v>
      </c>
      <c r="V1086">
        <v>48200</v>
      </c>
      <c r="W1086">
        <v>49900</v>
      </c>
    </row>
    <row r="1087" spans="1:23">
      <c r="A1087" s="30">
        <v>45371</v>
      </c>
      <c r="B1087" s="29">
        <v>47300</v>
      </c>
      <c r="C1087" s="29">
        <v>47500</v>
      </c>
      <c r="D1087" s="29">
        <v>45600</v>
      </c>
      <c r="E1087" s="29">
        <v>43100</v>
      </c>
      <c r="F1087" s="29">
        <v>48500</v>
      </c>
      <c r="G1087" s="29" t="str">
        <v>-</v>
      </c>
      <c r="H1087" s="29">
        <v>45500</v>
      </c>
      <c r="I1087" s="29">
        <v>45200</v>
      </c>
      <c r="J1087" s="29">
        <v>48700</v>
      </c>
      <c r="K1087" s="29" t="str">
        <v>-</v>
      </c>
      <c r="L1087" s="29">
        <v>46700</v>
      </c>
      <c r="M1087" s="29">
        <v>49300</v>
      </c>
      <c r="N1087" s="29">
        <v>44400</v>
      </c>
      <c r="O1087" s="29">
        <v>43800</v>
      </c>
      <c r="P1087" s="29">
        <v>42300</v>
      </c>
      <c r="Q1087" s="29">
        <v>42700</v>
      </c>
      <c r="R1087" s="29">
        <v>42800</v>
      </c>
      <c r="S1087">
        <v>45200</v>
      </c>
      <c r="T1087">
        <v>45800</v>
      </c>
      <c r="U1087">
        <v>46800</v>
      </c>
      <c r="V1087">
        <v>48100</v>
      </c>
      <c r="W1087">
        <v>49900</v>
      </c>
    </row>
    <row r="1088" spans="1:23">
      <c r="A1088" s="30">
        <v>45372</v>
      </c>
      <c r="B1088" s="29">
        <v>47100</v>
      </c>
      <c r="C1088" s="29">
        <v>47500</v>
      </c>
      <c r="D1088" s="29">
        <v>45800</v>
      </c>
      <c r="E1088" s="29">
        <v>43300</v>
      </c>
      <c r="F1088" s="29">
        <v>48500</v>
      </c>
      <c r="G1088" s="29" t="str">
        <v>-</v>
      </c>
      <c r="H1088" s="29">
        <v>45500</v>
      </c>
      <c r="I1088" s="29">
        <v>45300</v>
      </c>
      <c r="J1088" s="29">
        <v>48600</v>
      </c>
      <c r="K1088" s="29" t="str">
        <v>-</v>
      </c>
      <c r="L1088" s="29">
        <v>46900</v>
      </c>
      <c r="M1088" s="29">
        <v>49000</v>
      </c>
      <c r="N1088" s="29">
        <v>44700</v>
      </c>
      <c r="O1088" s="29">
        <v>44500</v>
      </c>
      <c r="P1088" s="29">
        <v>42500</v>
      </c>
      <c r="Q1088" s="29">
        <v>42700</v>
      </c>
      <c r="R1088" s="29">
        <v>43000</v>
      </c>
      <c r="S1088">
        <v>45300</v>
      </c>
      <c r="T1088">
        <v>45800</v>
      </c>
      <c r="U1088">
        <v>46800</v>
      </c>
      <c r="V1088">
        <v>47900</v>
      </c>
      <c r="W1088">
        <v>49900</v>
      </c>
    </row>
    <row r="1089" spans="1:23">
      <c r="A1089" s="30">
        <v>45373</v>
      </c>
      <c r="B1089" s="29">
        <v>47100</v>
      </c>
      <c r="C1089" s="29">
        <v>47300</v>
      </c>
      <c r="D1089" s="29">
        <v>45800</v>
      </c>
      <c r="E1089" s="29">
        <v>43400</v>
      </c>
      <c r="F1089" s="29">
        <v>48700</v>
      </c>
      <c r="G1089" s="29" t="str">
        <v>-</v>
      </c>
      <c r="H1089" s="29">
        <v>45500</v>
      </c>
      <c r="I1089" s="29">
        <v>45300</v>
      </c>
      <c r="J1089" s="29">
        <v>48700</v>
      </c>
      <c r="K1089" s="29" t="str">
        <v>-</v>
      </c>
      <c r="L1089" s="29">
        <v>46800</v>
      </c>
      <c r="M1089" s="29">
        <v>49000</v>
      </c>
      <c r="N1089" s="29">
        <v>44600</v>
      </c>
      <c r="O1089" s="29">
        <v>44300</v>
      </c>
      <c r="P1089" s="29">
        <v>42300</v>
      </c>
      <c r="Q1089" s="29">
        <v>42700</v>
      </c>
      <c r="R1089" s="29">
        <v>43000</v>
      </c>
      <c r="S1089">
        <v>45500</v>
      </c>
      <c r="T1089">
        <v>45800</v>
      </c>
      <c r="U1089">
        <v>46800</v>
      </c>
      <c r="V1089">
        <v>47900</v>
      </c>
      <c r="W1089">
        <v>49700</v>
      </c>
    </row>
    <row r="1090" spans="1:23">
      <c r="A1090" s="30">
        <v>45374</v>
      </c>
      <c r="B1090" s="29">
        <v>47100</v>
      </c>
      <c r="C1090" s="29">
        <v>47300</v>
      </c>
      <c r="D1090" s="29">
        <v>45900</v>
      </c>
      <c r="E1090" s="29">
        <v>43500</v>
      </c>
      <c r="F1090" s="29">
        <v>48700</v>
      </c>
      <c r="G1090" s="29" t="str">
        <v>-</v>
      </c>
      <c r="H1090" s="29">
        <v>45500</v>
      </c>
      <c r="I1090" s="29">
        <v>45500</v>
      </c>
      <c r="J1090" s="29">
        <v>48700</v>
      </c>
      <c r="K1090" s="29" t="str">
        <v>-</v>
      </c>
      <c r="L1090" s="29">
        <v>46900</v>
      </c>
      <c r="M1090" s="29">
        <v>49000</v>
      </c>
      <c r="N1090" s="29">
        <v>44600</v>
      </c>
      <c r="O1090" s="29">
        <v>44500</v>
      </c>
      <c r="P1090" s="29">
        <v>42500</v>
      </c>
      <c r="Q1090" s="29">
        <v>42900</v>
      </c>
      <c r="R1090" s="29">
        <v>43100</v>
      </c>
      <c r="S1090">
        <v>45600</v>
      </c>
      <c r="T1090">
        <v>46100</v>
      </c>
      <c r="U1090">
        <v>46800</v>
      </c>
      <c r="V1090">
        <v>47900</v>
      </c>
      <c r="W1090">
        <v>49700</v>
      </c>
    </row>
    <row r="1091" spans="1:23">
      <c r="A1091" s="30">
        <v>45375</v>
      </c>
      <c r="B1091" s="29" t="str">
        <v>H</v>
      </c>
      <c r="C1091" s="29" t="str">
        <v>H</v>
      </c>
      <c r="D1091" s="29" t="str">
        <v>H</v>
      </c>
      <c r="E1091" s="29" t="str">
        <v>H</v>
      </c>
      <c r="F1091" s="29" t="str">
        <v>H</v>
      </c>
      <c r="G1091" s="29" t="str">
        <v>H</v>
      </c>
      <c r="H1091" s="29" t="str">
        <v>H</v>
      </c>
      <c r="I1091" s="29" t="str">
        <v>H</v>
      </c>
      <c r="J1091" s="29" t="str">
        <v>H</v>
      </c>
      <c r="K1091" s="29" t="str">
        <v>H</v>
      </c>
      <c r="L1091" s="29" t="str">
        <v>H</v>
      </c>
      <c r="M1091" s="29" t="str">
        <v>H</v>
      </c>
      <c r="N1091" s="29" t="str">
        <v>H</v>
      </c>
      <c r="O1091" s="29" t="str">
        <v>H</v>
      </c>
      <c r="P1091" s="29" t="str">
        <v>H</v>
      </c>
      <c r="Q1091" s="29" t="str">
        <v>H</v>
      </c>
      <c r="R1091" s="29" t="str">
        <v>H</v>
      </c>
      <c r="S1091" t="str">
        <v>H</v>
      </c>
      <c r="T1091" t="str">
        <v>H</v>
      </c>
      <c r="U1091" t="str">
        <v>H</v>
      </c>
      <c r="V1091" t="str">
        <v>H</v>
      </c>
      <c r="W1091" t="str">
        <v>H</v>
      </c>
    </row>
    <row r="1092" spans="1:23">
      <c r="A1092" s="30">
        <v>45376</v>
      </c>
      <c r="B1092" s="29" t="str">
        <v>H</v>
      </c>
      <c r="C1092" s="29" t="str">
        <v>H</v>
      </c>
      <c r="D1092" s="29" t="str">
        <v>H</v>
      </c>
      <c r="E1092" s="29" t="str">
        <v>H</v>
      </c>
      <c r="F1092" s="29" t="str">
        <v>H</v>
      </c>
      <c r="G1092" s="29" t="str">
        <v>H</v>
      </c>
      <c r="H1092" s="29" t="str">
        <v>H</v>
      </c>
      <c r="I1092" s="29" t="str">
        <v>H</v>
      </c>
      <c r="J1092" s="29" t="str">
        <v>H</v>
      </c>
      <c r="K1092" s="29" t="str">
        <v>H</v>
      </c>
      <c r="L1092" s="29" t="str">
        <v>H</v>
      </c>
      <c r="M1092" s="29" t="str">
        <v>H</v>
      </c>
      <c r="N1092" s="29" t="str">
        <v>H</v>
      </c>
      <c r="O1092" s="29" t="str">
        <v>H</v>
      </c>
      <c r="P1092" s="29" t="str">
        <v>H</v>
      </c>
      <c r="Q1092" s="29" t="str">
        <v>H</v>
      </c>
      <c r="R1092" s="29" t="str">
        <v>H</v>
      </c>
      <c r="S1092" t="str">
        <v>H</v>
      </c>
      <c r="T1092" t="str">
        <v>H</v>
      </c>
      <c r="U1092" t="str">
        <v>H</v>
      </c>
      <c r="V1092" t="str">
        <v>H</v>
      </c>
      <c r="W1092" t="str">
        <v>H</v>
      </c>
    </row>
    <row r="1093" spans="1:23">
      <c r="A1093" s="30">
        <v>45377</v>
      </c>
      <c r="B1093" s="29" t="str">
        <v>H</v>
      </c>
      <c r="C1093" s="29" t="str">
        <v>H</v>
      </c>
      <c r="D1093" s="29" t="str">
        <v>H</v>
      </c>
      <c r="E1093" s="29" t="str">
        <v>H</v>
      </c>
      <c r="F1093" s="29" t="str">
        <v>H</v>
      </c>
      <c r="G1093" s="29" t="str">
        <v>H</v>
      </c>
      <c r="H1093" s="29" t="str">
        <v>H</v>
      </c>
      <c r="I1093" s="29" t="str">
        <v>H</v>
      </c>
      <c r="J1093" s="29" t="str">
        <v>H</v>
      </c>
      <c r="K1093" s="29" t="str">
        <v>H</v>
      </c>
      <c r="L1093" s="29" t="str">
        <v>H</v>
      </c>
      <c r="M1093" s="29" t="str">
        <v>H</v>
      </c>
      <c r="N1093" s="29" t="str">
        <v>H</v>
      </c>
      <c r="O1093" s="29" t="str">
        <v>H</v>
      </c>
      <c r="P1093" s="29" t="str">
        <v>H</v>
      </c>
      <c r="Q1093" s="29" t="str">
        <v>H</v>
      </c>
      <c r="R1093" s="29" t="str">
        <v>H</v>
      </c>
      <c r="S1093" t="str">
        <v>H</v>
      </c>
      <c r="T1093" t="str">
        <v>H</v>
      </c>
      <c r="U1093" t="str">
        <v>H</v>
      </c>
      <c r="V1093" t="str">
        <v>H</v>
      </c>
      <c r="W1093" t="str">
        <v>H</v>
      </c>
    </row>
    <row r="1094" spans="1:23">
      <c r="A1094" s="30">
        <v>45378</v>
      </c>
      <c r="B1094" s="29">
        <v>47100</v>
      </c>
      <c r="C1094" s="29">
        <v>47300</v>
      </c>
      <c r="D1094" s="29">
        <v>46100</v>
      </c>
      <c r="E1094" s="29">
        <v>43800</v>
      </c>
      <c r="F1094" s="29">
        <v>48700</v>
      </c>
      <c r="G1094" s="29" t="str">
        <v>-</v>
      </c>
      <c r="H1094" s="29">
        <v>46000</v>
      </c>
      <c r="I1094" s="29">
        <v>45800</v>
      </c>
      <c r="J1094" s="29">
        <v>48700</v>
      </c>
      <c r="K1094" s="29" t="str">
        <v>-</v>
      </c>
      <c r="L1094" s="29">
        <v>47100</v>
      </c>
      <c r="M1094" s="29">
        <v>49000</v>
      </c>
      <c r="N1094" s="29">
        <v>44900</v>
      </c>
      <c r="O1094" s="29">
        <v>44500</v>
      </c>
      <c r="P1094" s="29">
        <v>42800</v>
      </c>
      <c r="Q1094" s="29">
        <v>43300</v>
      </c>
      <c r="R1094" s="29">
        <v>43000</v>
      </c>
      <c r="S1094">
        <v>45800</v>
      </c>
      <c r="T1094">
        <v>46300</v>
      </c>
      <c r="U1094">
        <v>46800</v>
      </c>
      <c r="V1094">
        <v>47900</v>
      </c>
      <c r="W1094">
        <v>49700</v>
      </c>
    </row>
    <row r="1095" spans="1:23">
      <c r="A1095" s="30">
        <v>45379</v>
      </c>
      <c r="B1095" s="29">
        <v>47300</v>
      </c>
      <c r="C1095" s="29">
        <v>47500</v>
      </c>
      <c r="D1095" s="29">
        <v>46300</v>
      </c>
      <c r="E1095" s="29">
        <v>44000</v>
      </c>
      <c r="F1095" s="29">
        <v>48900</v>
      </c>
      <c r="G1095" s="29" t="str">
        <v>-</v>
      </c>
      <c r="H1095" s="29">
        <v>46000</v>
      </c>
      <c r="I1095" s="29">
        <v>45900</v>
      </c>
      <c r="J1095" s="29">
        <v>48900</v>
      </c>
      <c r="K1095" s="29" t="str">
        <v>-</v>
      </c>
      <c r="L1095" s="29">
        <v>47400</v>
      </c>
      <c r="M1095" s="29">
        <v>49100</v>
      </c>
      <c r="N1095" s="29">
        <v>44800</v>
      </c>
      <c r="O1095" s="29">
        <v>45100</v>
      </c>
      <c r="P1095" s="29">
        <v>43000</v>
      </c>
      <c r="Q1095" s="29">
        <v>43500</v>
      </c>
      <c r="R1095" s="29">
        <v>43300</v>
      </c>
      <c r="S1095">
        <v>45900</v>
      </c>
      <c r="T1095">
        <v>46700</v>
      </c>
      <c r="U1095">
        <v>46800</v>
      </c>
      <c r="V1095">
        <v>48000</v>
      </c>
      <c r="W1095">
        <v>49700</v>
      </c>
    </row>
    <row r="1096" spans="1:23">
      <c r="A1096" s="30">
        <v>45380</v>
      </c>
      <c r="B1096" s="29">
        <v>47300</v>
      </c>
      <c r="C1096" s="29">
        <v>47500</v>
      </c>
      <c r="D1096" s="29">
        <v>46200</v>
      </c>
      <c r="E1096" s="29">
        <v>43900</v>
      </c>
      <c r="F1096" s="29">
        <v>48900</v>
      </c>
      <c r="G1096" s="29" t="str">
        <v>-</v>
      </c>
      <c r="H1096" s="29">
        <v>46000</v>
      </c>
      <c r="I1096" s="29">
        <v>45900</v>
      </c>
      <c r="J1096" s="29">
        <v>48900</v>
      </c>
      <c r="K1096" s="29" t="str">
        <v>-</v>
      </c>
      <c r="L1096" s="29">
        <v>47400</v>
      </c>
      <c r="M1096" s="29">
        <v>49100</v>
      </c>
      <c r="N1096" s="29">
        <v>44900</v>
      </c>
      <c r="O1096" s="29">
        <v>45100</v>
      </c>
      <c r="P1096" s="29">
        <v>42800</v>
      </c>
      <c r="Q1096" s="29">
        <v>43400</v>
      </c>
      <c r="R1096" s="29">
        <v>43300</v>
      </c>
      <c r="S1096">
        <v>46000</v>
      </c>
      <c r="T1096">
        <v>46700</v>
      </c>
      <c r="U1096">
        <v>46800</v>
      </c>
      <c r="V1096">
        <v>48200</v>
      </c>
      <c r="W1096">
        <v>49900</v>
      </c>
    </row>
    <row r="1097" spans="1:23">
      <c r="A1097" s="30">
        <v>45381</v>
      </c>
      <c r="B1097" s="29">
        <v>47300</v>
      </c>
      <c r="C1097" s="29">
        <v>47500</v>
      </c>
      <c r="D1097" s="29">
        <v>46300</v>
      </c>
      <c r="E1097" s="29">
        <v>44000</v>
      </c>
      <c r="F1097" s="29">
        <v>48900</v>
      </c>
      <c r="G1097" s="29" t="str">
        <v>-</v>
      </c>
      <c r="H1097" s="29">
        <v>46000</v>
      </c>
      <c r="I1097" s="29">
        <v>46000</v>
      </c>
      <c r="J1097" s="29">
        <v>48900</v>
      </c>
      <c r="K1097" s="29" t="str">
        <v>-</v>
      </c>
      <c r="L1097" s="29">
        <v>47400</v>
      </c>
      <c r="M1097" s="29">
        <v>49100</v>
      </c>
      <c r="N1097" s="29">
        <v>44900</v>
      </c>
      <c r="O1097" s="29">
        <v>45100</v>
      </c>
      <c r="P1097" s="29">
        <v>42900</v>
      </c>
      <c r="Q1097" s="29">
        <v>43400</v>
      </c>
      <c r="R1097" s="29">
        <v>43300</v>
      </c>
      <c r="S1097">
        <v>46100</v>
      </c>
      <c r="T1097">
        <v>46700</v>
      </c>
      <c r="U1097">
        <v>46800</v>
      </c>
      <c r="V1097">
        <v>48200</v>
      </c>
      <c r="W1097">
        <v>49900</v>
      </c>
    </row>
    <row r="1098" spans="1:23">
      <c r="A1098" s="30">
        <v>45382</v>
      </c>
      <c r="B1098" s="29" t="str">
        <v>H</v>
      </c>
      <c r="C1098" s="29" t="str">
        <v>H</v>
      </c>
      <c r="D1098" s="29" t="str">
        <v>H</v>
      </c>
      <c r="E1098" s="29" t="str">
        <v>H</v>
      </c>
      <c r="F1098" s="29" t="str">
        <v>H</v>
      </c>
      <c r="G1098" s="29" t="str">
        <v>H</v>
      </c>
      <c r="H1098" s="29" t="str">
        <v>H</v>
      </c>
      <c r="I1098" s="29" t="str">
        <v>H</v>
      </c>
      <c r="J1098" s="29" t="str">
        <v>H</v>
      </c>
      <c r="K1098" s="29" t="str">
        <v>H</v>
      </c>
      <c r="L1098" s="29" t="str">
        <v>H</v>
      </c>
      <c r="M1098" s="29" t="str">
        <v>H</v>
      </c>
      <c r="N1098" s="29" t="str">
        <v>H</v>
      </c>
      <c r="O1098" s="29" t="str">
        <v>H</v>
      </c>
      <c r="P1098" s="29" t="str">
        <v>H</v>
      </c>
      <c r="Q1098" s="29" t="str">
        <v>H</v>
      </c>
      <c r="R1098" s="29" t="str">
        <v>H</v>
      </c>
      <c r="S1098" t="str">
        <v>H</v>
      </c>
      <c r="T1098" t="str">
        <v>H</v>
      </c>
      <c r="U1098" t="str">
        <v>H</v>
      </c>
      <c r="V1098" t="str">
        <v>H</v>
      </c>
      <c r="W1098" t="str">
        <v>H</v>
      </c>
    </row>
    <row r="1099" spans="1:23">
      <c r="A1099" s="30">
        <v>45383</v>
      </c>
      <c r="B1099" s="29">
        <v>47700</v>
      </c>
      <c r="C1099" s="29">
        <v>47500</v>
      </c>
      <c r="D1099" s="29">
        <v>46800</v>
      </c>
      <c r="E1099" s="29">
        <v>44400</v>
      </c>
      <c r="F1099" s="29">
        <v>48900</v>
      </c>
      <c r="G1099" s="29" t="str">
        <v>-</v>
      </c>
      <c r="H1099" s="29">
        <v>46200</v>
      </c>
      <c r="I1099" s="29">
        <v>46500</v>
      </c>
      <c r="J1099" s="29">
        <v>49000</v>
      </c>
      <c r="K1099" s="29" t="str">
        <v>-</v>
      </c>
      <c r="L1099" s="29">
        <v>47600</v>
      </c>
      <c r="M1099" s="29">
        <v>49300</v>
      </c>
      <c r="N1099" s="29">
        <v>45400</v>
      </c>
      <c r="O1099" s="29">
        <v>45700</v>
      </c>
      <c r="P1099" s="29">
        <v>43000</v>
      </c>
      <c r="Q1099" s="29">
        <v>43600</v>
      </c>
      <c r="R1099" s="29">
        <v>43500</v>
      </c>
      <c r="S1099">
        <v>46500</v>
      </c>
      <c r="T1099">
        <v>46900</v>
      </c>
      <c r="U1099">
        <v>46800</v>
      </c>
      <c r="V1099">
        <v>48200</v>
      </c>
      <c r="W1099">
        <v>50600</v>
      </c>
    </row>
    <row r="1100" spans="1:23">
      <c r="A1100" s="30">
        <v>45384</v>
      </c>
      <c r="B1100" s="29">
        <v>47800</v>
      </c>
      <c r="C1100" s="29">
        <v>48000</v>
      </c>
      <c r="D1100" s="29">
        <v>47500</v>
      </c>
      <c r="E1100" s="29">
        <v>45000</v>
      </c>
      <c r="F1100" s="29">
        <v>49500</v>
      </c>
      <c r="G1100" s="29" t="str">
        <v>-</v>
      </c>
      <c r="H1100" s="29">
        <v>46500</v>
      </c>
      <c r="I1100" s="29">
        <v>47000</v>
      </c>
      <c r="J1100" s="29">
        <v>49200</v>
      </c>
      <c r="K1100" s="29" t="str">
        <v>-</v>
      </c>
      <c r="L1100" s="29">
        <v>48400</v>
      </c>
      <c r="M1100" s="29">
        <v>49400</v>
      </c>
      <c r="N1100" s="29">
        <v>45900</v>
      </c>
      <c r="O1100" s="29">
        <v>45800</v>
      </c>
      <c r="P1100" s="29">
        <v>43800</v>
      </c>
      <c r="Q1100" s="29">
        <v>44200</v>
      </c>
      <c r="R1100" s="29">
        <v>44300</v>
      </c>
      <c r="S1100">
        <v>47100</v>
      </c>
      <c r="T1100">
        <v>47200</v>
      </c>
      <c r="U1100">
        <v>47800</v>
      </c>
      <c r="V1100">
        <v>48500</v>
      </c>
      <c r="W1100">
        <v>50600</v>
      </c>
    </row>
    <row r="1101" spans="1:23">
      <c r="A1101" s="30">
        <v>45385</v>
      </c>
      <c r="B1101" s="29">
        <v>47800</v>
      </c>
      <c r="C1101" s="29">
        <v>48300</v>
      </c>
      <c r="D1101" s="29">
        <v>47800</v>
      </c>
      <c r="E1101" s="29">
        <v>45300</v>
      </c>
      <c r="F1101" s="29">
        <v>50700</v>
      </c>
      <c r="G1101" s="29" t="str">
        <v>-</v>
      </c>
      <c r="H1101" s="29">
        <v>47000</v>
      </c>
      <c r="I1101" s="29">
        <v>47500</v>
      </c>
      <c r="J1101" s="29">
        <v>49500</v>
      </c>
      <c r="K1101" s="29" t="str">
        <v>-</v>
      </c>
      <c r="L1101" s="29">
        <v>49000</v>
      </c>
      <c r="M1101" s="29">
        <v>49400</v>
      </c>
      <c r="N1101" s="29">
        <v>47000</v>
      </c>
      <c r="O1101" s="29">
        <v>46500</v>
      </c>
      <c r="P1101" s="29">
        <v>44600</v>
      </c>
      <c r="Q1101" s="29">
        <v>44900</v>
      </c>
      <c r="R1101" s="29">
        <v>44800</v>
      </c>
      <c r="S1101">
        <v>47500</v>
      </c>
      <c r="T1101">
        <v>47500</v>
      </c>
      <c r="U1101">
        <v>47800</v>
      </c>
      <c r="V1101">
        <v>48500</v>
      </c>
      <c r="W1101">
        <v>50600</v>
      </c>
    </row>
    <row r="1102" spans="1:23">
      <c r="A1102" s="30">
        <v>45386</v>
      </c>
      <c r="B1102" s="29">
        <v>48000</v>
      </c>
      <c r="C1102" s="29">
        <v>48500</v>
      </c>
      <c r="D1102" s="29">
        <v>48300</v>
      </c>
      <c r="E1102" s="29">
        <v>46200</v>
      </c>
      <c r="F1102" s="29">
        <v>50700</v>
      </c>
      <c r="G1102" s="29" t="str">
        <v>-</v>
      </c>
      <c r="H1102" s="29">
        <v>47500</v>
      </c>
      <c r="I1102" s="29">
        <v>48200</v>
      </c>
      <c r="J1102" s="29">
        <v>50000</v>
      </c>
      <c r="K1102" s="29" t="str">
        <v>-</v>
      </c>
      <c r="L1102" s="29">
        <v>49600</v>
      </c>
      <c r="M1102" s="29">
        <v>49400</v>
      </c>
      <c r="N1102" s="29">
        <v>47500</v>
      </c>
      <c r="O1102" s="29">
        <v>47500</v>
      </c>
      <c r="P1102" s="29">
        <v>44900</v>
      </c>
      <c r="Q1102" s="29">
        <v>45200</v>
      </c>
      <c r="R1102" s="29">
        <v>45500</v>
      </c>
      <c r="S1102">
        <v>48300</v>
      </c>
      <c r="T1102">
        <v>47700</v>
      </c>
      <c r="U1102">
        <v>48300</v>
      </c>
      <c r="V1102">
        <v>49100</v>
      </c>
      <c r="W1102">
        <v>50700</v>
      </c>
    </row>
    <row r="1103" spans="1:23">
      <c r="A1103" s="30">
        <v>45387</v>
      </c>
      <c r="B1103" s="29">
        <v>48700</v>
      </c>
      <c r="C1103" s="29">
        <v>48500</v>
      </c>
      <c r="D1103" s="29">
        <v>49500</v>
      </c>
      <c r="E1103" s="29">
        <v>47000</v>
      </c>
      <c r="F1103" s="29">
        <v>51800</v>
      </c>
      <c r="G1103" s="29" t="str">
        <v>-</v>
      </c>
      <c r="H1103" s="29">
        <v>48500</v>
      </c>
      <c r="I1103" s="29">
        <v>49300</v>
      </c>
      <c r="J1103" s="29">
        <v>50600</v>
      </c>
      <c r="K1103" s="29" t="str">
        <v>-</v>
      </c>
      <c r="L1103" s="29">
        <v>51000</v>
      </c>
      <c r="M1103" s="29">
        <v>50100</v>
      </c>
      <c r="N1103" s="29">
        <v>48200</v>
      </c>
      <c r="O1103" s="29">
        <v>49100</v>
      </c>
      <c r="P1103" s="29">
        <v>46800</v>
      </c>
      <c r="Q1103" s="29">
        <v>46800</v>
      </c>
      <c r="R1103" s="29">
        <v>47000</v>
      </c>
      <c r="S1103">
        <v>49100</v>
      </c>
      <c r="T1103">
        <v>49300</v>
      </c>
      <c r="U1103">
        <v>49800</v>
      </c>
      <c r="V1103">
        <v>50100</v>
      </c>
      <c r="W1103">
        <v>51800</v>
      </c>
    </row>
    <row r="1104" spans="1:23">
      <c r="A1104" s="30">
        <v>45388</v>
      </c>
      <c r="B1104" s="29">
        <v>48700</v>
      </c>
      <c r="C1104" s="29">
        <v>48800</v>
      </c>
      <c r="D1104" s="29">
        <v>49700</v>
      </c>
      <c r="E1104" s="29">
        <v>46800</v>
      </c>
      <c r="F1104" s="29">
        <v>52100</v>
      </c>
      <c r="G1104" s="29" t="str">
        <v>-</v>
      </c>
      <c r="H1104" s="29">
        <v>48300</v>
      </c>
      <c r="I1104" s="29">
        <v>49200</v>
      </c>
      <c r="J1104" s="29">
        <v>50600</v>
      </c>
      <c r="K1104" s="29" t="str">
        <v>-</v>
      </c>
      <c r="L1104" s="29">
        <v>51000</v>
      </c>
      <c r="M1104" s="29">
        <v>50100</v>
      </c>
      <c r="N1104" s="29">
        <v>48800</v>
      </c>
      <c r="O1104" s="29">
        <v>48500</v>
      </c>
      <c r="P1104" s="29">
        <v>46500</v>
      </c>
      <c r="Q1104" s="29">
        <v>46600</v>
      </c>
      <c r="R1104" s="29">
        <v>47000</v>
      </c>
      <c r="S1104">
        <v>48900</v>
      </c>
      <c r="T1104">
        <v>49300</v>
      </c>
      <c r="U1104">
        <v>49800</v>
      </c>
      <c r="V1104">
        <v>50400</v>
      </c>
      <c r="W1104">
        <v>53000</v>
      </c>
    </row>
    <row r="1105" spans="1:23">
      <c r="A1105" s="30">
        <v>45389</v>
      </c>
      <c r="B1105" s="29" t="str">
        <v>H</v>
      </c>
      <c r="C1105" s="29" t="str">
        <v>H</v>
      </c>
      <c r="D1105" s="29" t="str">
        <v>H</v>
      </c>
      <c r="E1105" s="29" t="str">
        <v>H</v>
      </c>
      <c r="F1105" s="29" t="str">
        <v>H</v>
      </c>
      <c r="G1105" s="29" t="str">
        <v>H</v>
      </c>
      <c r="H1105" s="29" t="str">
        <v>H</v>
      </c>
      <c r="I1105" s="29" t="str">
        <v>H</v>
      </c>
      <c r="J1105" s="29" t="str">
        <v>H</v>
      </c>
      <c r="K1105" s="29" t="str">
        <v>H</v>
      </c>
      <c r="L1105" s="29" t="str">
        <v>H</v>
      </c>
      <c r="M1105" s="29" t="str">
        <v>H</v>
      </c>
      <c r="N1105" s="29" t="str">
        <v>H</v>
      </c>
      <c r="O1105" s="29" t="str">
        <v>H</v>
      </c>
      <c r="P1105" s="29" t="str">
        <v>H</v>
      </c>
      <c r="Q1105" s="29" t="str">
        <v>H</v>
      </c>
      <c r="R1105" s="29" t="str">
        <v>H</v>
      </c>
      <c r="S1105" t="str">
        <v>H</v>
      </c>
      <c r="T1105" t="str">
        <v>H</v>
      </c>
      <c r="U1105" t="str">
        <v>H</v>
      </c>
      <c r="V1105" t="str">
        <v>H</v>
      </c>
      <c r="W1105" t="str">
        <v>H</v>
      </c>
    </row>
    <row r="1106" spans="1:23">
      <c r="A1106" s="30">
        <v>45390</v>
      </c>
      <c r="B1106" s="29">
        <v>48300</v>
      </c>
      <c r="C1106" s="29">
        <v>48800</v>
      </c>
      <c r="D1106" s="29">
        <v>49700</v>
      </c>
      <c r="E1106" s="29">
        <v>47000</v>
      </c>
      <c r="F1106" s="29">
        <v>52100</v>
      </c>
      <c r="G1106" s="29" t="str">
        <v>-</v>
      </c>
      <c r="H1106" s="29">
        <v>48300</v>
      </c>
      <c r="I1106" s="29">
        <v>49000</v>
      </c>
      <c r="J1106" s="29">
        <v>50600</v>
      </c>
      <c r="K1106" s="29" t="str">
        <v>-</v>
      </c>
      <c r="L1106" s="29">
        <v>51000</v>
      </c>
      <c r="M1106" s="29">
        <v>49900</v>
      </c>
      <c r="N1106" s="29">
        <v>48900</v>
      </c>
      <c r="O1106" s="29">
        <v>48900</v>
      </c>
      <c r="P1106" s="29">
        <v>46300</v>
      </c>
      <c r="Q1106" s="29">
        <v>46300</v>
      </c>
      <c r="R1106" s="29">
        <v>46800</v>
      </c>
      <c r="S1106">
        <v>49100</v>
      </c>
      <c r="T1106">
        <v>49300</v>
      </c>
      <c r="U1106">
        <v>49300</v>
      </c>
      <c r="V1106">
        <v>50400</v>
      </c>
      <c r="W1106">
        <v>53300</v>
      </c>
    </row>
    <row r="1107" spans="1:23">
      <c r="A1107" s="30">
        <v>45391</v>
      </c>
      <c r="B1107" s="29">
        <v>48300</v>
      </c>
      <c r="C1107" s="29">
        <v>48800</v>
      </c>
      <c r="D1107" s="29">
        <v>49300</v>
      </c>
      <c r="E1107" s="29">
        <v>46800</v>
      </c>
      <c r="F1107" s="29">
        <v>52100</v>
      </c>
      <c r="G1107" s="29" t="str">
        <v>-</v>
      </c>
      <c r="H1107" s="29">
        <v>48000</v>
      </c>
      <c r="I1107" s="29">
        <v>48700</v>
      </c>
      <c r="J1107" s="29">
        <v>50600</v>
      </c>
      <c r="K1107" s="29" t="str">
        <v>-</v>
      </c>
      <c r="L1107" s="29">
        <v>50700</v>
      </c>
      <c r="M1107" s="29">
        <v>49900</v>
      </c>
      <c r="N1107" s="29">
        <v>48500</v>
      </c>
      <c r="O1107" s="29">
        <v>48700</v>
      </c>
      <c r="P1107" s="29">
        <v>46000</v>
      </c>
      <c r="Q1107" s="29">
        <v>46000</v>
      </c>
      <c r="R1107" s="29">
        <v>46700</v>
      </c>
      <c r="S1107">
        <v>48900</v>
      </c>
      <c r="T1107">
        <v>49000</v>
      </c>
      <c r="U1107">
        <v>49300</v>
      </c>
      <c r="V1107">
        <v>50400</v>
      </c>
      <c r="W1107">
        <v>53300</v>
      </c>
    </row>
    <row r="1108" spans="1:23">
      <c r="A1108" s="30">
        <v>45392</v>
      </c>
      <c r="B1108" s="29">
        <v>48300</v>
      </c>
      <c r="C1108" s="29">
        <v>48700</v>
      </c>
      <c r="D1108" s="29">
        <v>49100</v>
      </c>
      <c r="E1108" s="29">
        <v>46500</v>
      </c>
      <c r="F1108" s="29">
        <v>52000</v>
      </c>
      <c r="G1108" s="29" t="str">
        <v>-</v>
      </c>
      <c r="H1108" s="29">
        <v>48000</v>
      </c>
      <c r="I1108" s="29">
        <v>48500</v>
      </c>
      <c r="J1108" s="29">
        <v>50300</v>
      </c>
      <c r="K1108" s="29" t="str">
        <v>-</v>
      </c>
      <c r="L1108" s="29">
        <v>50300</v>
      </c>
      <c r="M1108" s="29">
        <v>49800</v>
      </c>
      <c r="N1108" s="29">
        <v>48000</v>
      </c>
      <c r="O1108" s="29">
        <v>48300</v>
      </c>
      <c r="P1108" s="29">
        <v>45500</v>
      </c>
      <c r="Q1108" s="29">
        <v>45700</v>
      </c>
      <c r="R1108" s="29">
        <v>46200</v>
      </c>
      <c r="S1108">
        <v>48600</v>
      </c>
      <c r="T1108">
        <v>48900</v>
      </c>
      <c r="U1108">
        <v>49300</v>
      </c>
      <c r="V1108">
        <v>50400</v>
      </c>
      <c r="W1108">
        <v>53300</v>
      </c>
    </row>
    <row r="1109" spans="1:23">
      <c r="A1109" s="30">
        <v>45393</v>
      </c>
      <c r="B1109" s="29">
        <v>48300</v>
      </c>
      <c r="C1109" s="29">
        <v>48700</v>
      </c>
      <c r="D1109" s="29">
        <v>49200</v>
      </c>
      <c r="E1109" s="29">
        <v>46800</v>
      </c>
      <c r="F1109" s="29">
        <v>52000</v>
      </c>
      <c r="G1109" s="29" t="str">
        <v>-</v>
      </c>
      <c r="H1109" s="29">
        <v>48000</v>
      </c>
      <c r="I1109" s="29">
        <v>48400</v>
      </c>
      <c r="J1109" s="29">
        <v>50300</v>
      </c>
      <c r="K1109" s="29" t="str">
        <v>-</v>
      </c>
      <c r="L1109" s="29">
        <v>50300</v>
      </c>
      <c r="M1109" s="29">
        <v>49800</v>
      </c>
      <c r="N1109" s="29">
        <v>48100</v>
      </c>
      <c r="O1109" s="29">
        <v>48500</v>
      </c>
      <c r="P1109" s="29">
        <v>45500</v>
      </c>
      <c r="Q1109" s="29">
        <v>46000</v>
      </c>
      <c r="R1109" s="29">
        <v>46200</v>
      </c>
      <c r="S1109">
        <v>48900</v>
      </c>
      <c r="T1109">
        <v>48900</v>
      </c>
      <c r="U1109">
        <v>49300</v>
      </c>
      <c r="V1109">
        <v>50400</v>
      </c>
      <c r="W1109">
        <v>53300</v>
      </c>
    </row>
    <row r="1110" spans="1:23">
      <c r="A1110" s="30">
        <v>45394</v>
      </c>
      <c r="B1110" s="29">
        <v>48100</v>
      </c>
      <c r="C1110" s="29">
        <v>48700</v>
      </c>
      <c r="D1110" s="29">
        <v>49000</v>
      </c>
      <c r="E1110" s="29">
        <v>46500</v>
      </c>
      <c r="F1110" s="29">
        <v>51600</v>
      </c>
      <c r="G1110" s="29" t="str">
        <v>-</v>
      </c>
      <c r="H1110" s="29">
        <v>47750</v>
      </c>
      <c r="I1110" s="29">
        <v>48300</v>
      </c>
      <c r="J1110" s="29">
        <v>50100</v>
      </c>
      <c r="K1110" s="29" t="str">
        <v>-</v>
      </c>
      <c r="L1110" s="29">
        <v>50100</v>
      </c>
      <c r="M1110" s="29">
        <v>49800</v>
      </c>
      <c r="N1110" s="29">
        <v>48200</v>
      </c>
      <c r="O1110" s="29">
        <v>48300</v>
      </c>
      <c r="P1110" s="29">
        <v>45400</v>
      </c>
      <c r="Q1110" s="29">
        <v>45900</v>
      </c>
      <c r="R1110" s="29">
        <v>46200</v>
      </c>
      <c r="S1110">
        <v>48600</v>
      </c>
      <c r="T1110">
        <v>48800</v>
      </c>
      <c r="U1110">
        <v>49300</v>
      </c>
      <c r="V1110">
        <v>50400</v>
      </c>
      <c r="W1110">
        <v>53300</v>
      </c>
    </row>
    <row r="1111" spans="1:23">
      <c r="A1111" s="30">
        <v>45395</v>
      </c>
      <c r="B1111" s="29">
        <v>48100</v>
      </c>
      <c r="C1111" s="29">
        <v>48700</v>
      </c>
      <c r="D1111" s="29">
        <v>49100</v>
      </c>
      <c r="E1111" s="29">
        <v>47000</v>
      </c>
      <c r="F1111" s="29">
        <v>51100</v>
      </c>
      <c r="G1111" s="29" t="str">
        <v>-</v>
      </c>
      <c r="H1111" s="29">
        <v>48500</v>
      </c>
      <c r="I1111" s="29">
        <v>48500</v>
      </c>
      <c r="J1111" s="29">
        <v>50100</v>
      </c>
      <c r="K1111" s="29" t="str">
        <v>-</v>
      </c>
      <c r="L1111" s="29">
        <v>50300</v>
      </c>
      <c r="M1111" s="29">
        <v>49800</v>
      </c>
      <c r="N1111" s="29">
        <v>48300</v>
      </c>
      <c r="O1111" s="29">
        <v>48700</v>
      </c>
      <c r="P1111" s="29">
        <v>45500</v>
      </c>
      <c r="Q1111" s="29">
        <v>45900</v>
      </c>
      <c r="R1111" s="29">
        <v>46500</v>
      </c>
      <c r="S1111">
        <v>49100</v>
      </c>
      <c r="T1111">
        <v>48800</v>
      </c>
      <c r="U1111">
        <v>49300</v>
      </c>
      <c r="V1111">
        <v>50400</v>
      </c>
      <c r="W1111">
        <v>53300</v>
      </c>
    </row>
    <row r="1112" spans="1:23">
      <c r="A1112" s="30">
        <v>45396</v>
      </c>
      <c r="B1112" s="29" t="str">
        <v>H</v>
      </c>
      <c r="C1112" s="29" t="str">
        <v>H</v>
      </c>
      <c r="D1112" s="29" t="str">
        <v>H</v>
      </c>
      <c r="E1112" s="29" t="str">
        <v>H</v>
      </c>
      <c r="F1112" s="29" t="str">
        <v>H</v>
      </c>
      <c r="G1112" s="29" t="str">
        <v>H</v>
      </c>
      <c r="H1112" s="29" t="str">
        <v>H</v>
      </c>
      <c r="I1112" s="29" t="str">
        <v>H</v>
      </c>
      <c r="J1112" s="29" t="str">
        <v>H</v>
      </c>
      <c r="K1112" s="29" t="str">
        <v>H</v>
      </c>
      <c r="L1112" s="29" t="str">
        <v>H</v>
      </c>
      <c r="M1112" s="29" t="str">
        <v>H</v>
      </c>
      <c r="N1112" s="29" t="str">
        <v>H</v>
      </c>
      <c r="O1112" s="29" t="str">
        <v>H</v>
      </c>
      <c r="P1112" s="29" t="str">
        <v>H</v>
      </c>
      <c r="Q1112" s="29" t="str">
        <v>H</v>
      </c>
      <c r="R1112" s="29" t="str">
        <v>H</v>
      </c>
      <c r="S1112" t="str">
        <v>H</v>
      </c>
      <c r="T1112" t="str">
        <v>H</v>
      </c>
      <c r="U1112" t="str">
        <v>H</v>
      </c>
      <c r="V1112" t="str">
        <v>H</v>
      </c>
      <c r="W1112" t="str">
        <v>H</v>
      </c>
    </row>
    <row r="1113" spans="1:23">
      <c r="A1113" s="30">
        <v>45397</v>
      </c>
      <c r="B1113" s="29">
        <v>49500</v>
      </c>
      <c r="C1113" s="29">
        <v>50000</v>
      </c>
      <c r="D1113" s="29">
        <v>51300</v>
      </c>
      <c r="E1113" s="29">
        <v>48500</v>
      </c>
      <c r="F1113" s="29">
        <v>53700</v>
      </c>
      <c r="G1113" s="29" t="str">
        <v>-</v>
      </c>
      <c r="H1113" s="29">
        <v>49500</v>
      </c>
      <c r="I1113" s="29">
        <v>50300</v>
      </c>
      <c r="J1113" s="29">
        <v>52500</v>
      </c>
      <c r="K1113" s="29" t="str">
        <v>-</v>
      </c>
      <c r="L1113" s="29">
        <v>51700</v>
      </c>
      <c r="M1113" s="29">
        <v>50800</v>
      </c>
      <c r="N1113" s="29">
        <v>51000</v>
      </c>
      <c r="O1113" s="29">
        <v>50200</v>
      </c>
      <c r="P1113" s="29">
        <v>48000</v>
      </c>
      <c r="Q1113" s="29">
        <v>48200</v>
      </c>
      <c r="R1113" s="29">
        <v>48500</v>
      </c>
      <c r="S1113">
        <v>50300</v>
      </c>
      <c r="T1113">
        <v>51000</v>
      </c>
      <c r="U1113">
        <v>51800</v>
      </c>
      <c r="V1113">
        <v>52200</v>
      </c>
      <c r="W1113">
        <v>55200</v>
      </c>
    </row>
    <row r="1114" spans="1:23">
      <c r="A1114" s="30">
        <v>45398</v>
      </c>
      <c r="B1114" s="29">
        <v>49500</v>
      </c>
      <c r="C1114" s="29">
        <v>50200</v>
      </c>
      <c r="D1114" s="29">
        <v>51300</v>
      </c>
      <c r="E1114" s="29">
        <v>48100</v>
      </c>
      <c r="F1114" s="29">
        <v>53300</v>
      </c>
      <c r="G1114" s="29" t="str">
        <v>-</v>
      </c>
      <c r="H1114" s="29">
        <v>49750</v>
      </c>
      <c r="I1114" s="29">
        <v>50300</v>
      </c>
      <c r="J1114" s="29">
        <v>52500</v>
      </c>
      <c r="K1114" s="29" t="str">
        <v>-</v>
      </c>
      <c r="L1114" s="29">
        <v>51700</v>
      </c>
      <c r="M1114" s="29">
        <v>51100</v>
      </c>
      <c r="N1114" s="29">
        <v>50600</v>
      </c>
      <c r="O1114" s="29">
        <v>49800</v>
      </c>
      <c r="P1114" s="29">
        <v>47400</v>
      </c>
      <c r="Q1114" s="29">
        <v>47700</v>
      </c>
      <c r="R1114" s="29">
        <v>47800</v>
      </c>
      <c r="S1114">
        <v>50200</v>
      </c>
      <c r="T1114">
        <v>51000</v>
      </c>
      <c r="U1114">
        <v>51800</v>
      </c>
      <c r="V1114">
        <v>52200</v>
      </c>
      <c r="W1114">
        <v>55200</v>
      </c>
    </row>
    <row r="1115" spans="1:23">
      <c r="A1115" s="30">
        <v>45399</v>
      </c>
      <c r="B1115" s="29">
        <v>49900</v>
      </c>
      <c r="C1115" s="29">
        <v>50200</v>
      </c>
      <c r="D1115" s="29">
        <v>51600</v>
      </c>
      <c r="E1115" s="29">
        <v>48400</v>
      </c>
      <c r="F1115" s="29">
        <v>53300</v>
      </c>
      <c r="G1115" s="29" t="str">
        <v>-</v>
      </c>
      <c r="H1115" s="29">
        <v>49500</v>
      </c>
      <c r="I1115" s="29">
        <v>50400</v>
      </c>
      <c r="J1115" s="29">
        <v>52500</v>
      </c>
      <c r="K1115" s="29" t="str">
        <v>-</v>
      </c>
      <c r="L1115" s="29">
        <v>51800</v>
      </c>
      <c r="M1115" s="29">
        <v>51000</v>
      </c>
      <c r="N1115" s="29">
        <v>51000</v>
      </c>
      <c r="O1115" s="29">
        <v>50000</v>
      </c>
      <c r="P1115" s="29">
        <v>47300</v>
      </c>
      <c r="Q1115" s="29">
        <v>47700</v>
      </c>
      <c r="R1115" s="29">
        <v>47800</v>
      </c>
      <c r="S1115">
        <v>50500</v>
      </c>
      <c r="T1115">
        <v>51000</v>
      </c>
      <c r="U1115">
        <v>51800</v>
      </c>
      <c r="V1115">
        <v>52300</v>
      </c>
      <c r="W1115">
        <v>55500</v>
      </c>
    </row>
    <row r="1116" spans="1:23">
      <c r="A1116" s="30">
        <v>45400</v>
      </c>
      <c r="B1116" s="29">
        <v>50200</v>
      </c>
      <c r="C1116" s="29">
        <v>50500</v>
      </c>
      <c r="D1116" s="29">
        <v>52000</v>
      </c>
      <c r="E1116" s="29">
        <v>48500</v>
      </c>
      <c r="F1116" s="29">
        <v>53200</v>
      </c>
      <c r="G1116" s="29" t="str">
        <v>-</v>
      </c>
      <c r="H1116" s="29">
        <v>49750</v>
      </c>
      <c r="I1116" s="29">
        <v>50600</v>
      </c>
      <c r="J1116" s="29">
        <v>52500</v>
      </c>
      <c r="K1116" s="29" t="str">
        <v>-</v>
      </c>
      <c r="L1116" s="29">
        <v>52000</v>
      </c>
      <c r="M1116" s="29">
        <v>51300</v>
      </c>
      <c r="N1116" s="29">
        <v>51600</v>
      </c>
      <c r="O1116" s="29">
        <v>50000</v>
      </c>
      <c r="P1116" s="29">
        <v>47500</v>
      </c>
      <c r="Q1116" s="29">
        <v>47700</v>
      </c>
      <c r="R1116" s="29">
        <v>48000</v>
      </c>
      <c r="S1116">
        <v>50600</v>
      </c>
      <c r="T1116">
        <v>51000</v>
      </c>
      <c r="U1116">
        <v>51800</v>
      </c>
      <c r="V1116">
        <v>52500</v>
      </c>
      <c r="W1116">
        <v>55500</v>
      </c>
    </row>
    <row r="1117" spans="1:23">
      <c r="A1117" s="30">
        <v>45401</v>
      </c>
      <c r="B1117" s="29">
        <v>50200</v>
      </c>
      <c r="C1117" s="29" t="str">
        <v>-</v>
      </c>
      <c r="D1117" s="29">
        <v>52000</v>
      </c>
      <c r="E1117" s="29">
        <v>48300</v>
      </c>
      <c r="F1117" s="29">
        <v>53200</v>
      </c>
      <c r="G1117" s="29" t="str">
        <v>-</v>
      </c>
      <c r="H1117" s="29">
        <v>49500</v>
      </c>
      <c r="I1117" s="29">
        <v>50300</v>
      </c>
      <c r="J1117" s="29">
        <v>52300</v>
      </c>
      <c r="K1117" s="29" t="str">
        <v>-</v>
      </c>
      <c r="L1117" s="29">
        <v>51800</v>
      </c>
      <c r="M1117" s="29">
        <v>51300</v>
      </c>
      <c r="N1117" s="29">
        <v>51300</v>
      </c>
      <c r="O1117" s="29">
        <v>50000</v>
      </c>
      <c r="P1117" s="29">
        <v>47000</v>
      </c>
      <c r="Q1117" s="29">
        <v>47500</v>
      </c>
      <c r="R1117" s="29">
        <v>47500</v>
      </c>
      <c r="S1117">
        <v>50400</v>
      </c>
      <c r="T1117">
        <v>50800</v>
      </c>
      <c r="U1117">
        <v>51800</v>
      </c>
      <c r="V1117">
        <v>52500</v>
      </c>
      <c r="W1117">
        <v>55500</v>
      </c>
    </row>
    <row r="1118" spans="1:23">
      <c r="A1118" s="30">
        <v>45402</v>
      </c>
      <c r="B1118" s="29">
        <v>50400</v>
      </c>
      <c r="C1118" s="29">
        <v>50500</v>
      </c>
      <c r="D1118" s="29">
        <v>52000</v>
      </c>
      <c r="E1118" s="29">
        <v>48200</v>
      </c>
      <c r="F1118" s="29">
        <v>53200</v>
      </c>
      <c r="G1118" s="29" t="str">
        <v>-</v>
      </c>
      <c r="H1118" s="29">
        <v>49500</v>
      </c>
      <c r="I1118" s="29">
        <v>50400</v>
      </c>
      <c r="J1118" s="29">
        <v>52300</v>
      </c>
      <c r="K1118" s="29" t="str">
        <v>-</v>
      </c>
      <c r="L1118" s="29">
        <v>52000</v>
      </c>
      <c r="M1118" s="29">
        <v>51300</v>
      </c>
      <c r="N1118" s="29">
        <v>51400</v>
      </c>
      <c r="O1118" s="29">
        <v>50000</v>
      </c>
      <c r="P1118" s="29">
        <v>47000</v>
      </c>
      <c r="Q1118" s="29">
        <v>47600</v>
      </c>
      <c r="R1118" s="29">
        <v>47800</v>
      </c>
      <c r="S1118">
        <v>50300</v>
      </c>
      <c r="T1118">
        <v>50800</v>
      </c>
      <c r="U1118">
        <v>51800</v>
      </c>
      <c r="V1118">
        <v>52700</v>
      </c>
      <c r="W1118">
        <v>55900</v>
      </c>
    </row>
    <row r="1119" spans="1:23">
      <c r="A1119" s="30">
        <v>45403</v>
      </c>
      <c r="B1119" s="29" t="str">
        <v>H</v>
      </c>
      <c r="C1119" s="29" t="str">
        <v>H</v>
      </c>
      <c r="D1119" s="29" t="str">
        <v>H</v>
      </c>
      <c r="E1119" s="29" t="str">
        <v>H</v>
      </c>
      <c r="F1119" s="29" t="str">
        <v>H</v>
      </c>
      <c r="G1119" s="29" t="str">
        <v>H</v>
      </c>
      <c r="H1119" s="29" t="str">
        <v>H</v>
      </c>
      <c r="I1119" s="29" t="str">
        <v>H</v>
      </c>
      <c r="J1119" s="29" t="str">
        <v>H</v>
      </c>
      <c r="K1119" s="29" t="str">
        <v>H</v>
      </c>
      <c r="L1119" s="29" t="str">
        <v>H</v>
      </c>
      <c r="M1119" s="29" t="str">
        <v>H</v>
      </c>
      <c r="N1119" s="29" t="str">
        <v>H</v>
      </c>
      <c r="O1119" s="29" t="str">
        <v>H</v>
      </c>
      <c r="P1119" s="29" t="str">
        <v>H</v>
      </c>
      <c r="Q1119" s="29" t="str">
        <v>H</v>
      </c>
      <c r="R1119" s="29" t="str">
        <v>H</v>
      </c>
      <c r="S1119" t="str">
        <v>H</v>
      </c>
      <c r="T1119" t="str">
        <v>H</v>
      </c>
      <c r="U1119" t="str">
        <v>H</v>
      </c>
      <c r="V1119" t="str">
        <v>H</v>
      </c>
      <c r="W1119" t="str">
        <v>H</v>
      </c>
    </row>
    <row r="1120" spans="1:23">
      <c r="A1120" s="30">
        <v>45404</v>
      </c>
      <c r="B1120" s="29">
        <v>49900</v>
      </c>
      <c r="C1120" s="29">
        <v>50500</v>
      </c>
      <c r="D1120" s="29">
        <v>51700</v>
      </c>
      <c r="E1120" s="29">
        <v>47700</v>
      </c>
      <c r="F1120" s="29">
        <v>52700</v>
      </c>
      <c r="G1120" s="29" t="str">
        <v>-</v>
      </c>
      <c r="H1120" s="29">
        <v>49500</v>
      </c>
      <c r="I1120" s="29">
        <v>50200</v>
      </c>
      <c r="J1120" s="29">
        <v>52000</v>
      </c>
      <c r="K1120" s="29" t="str">
        <v>-</v>
      </c>
      <c r="L1120" s="29">
        <v>51800</v>
      </c>
      <c r="M1120" s="29">
        <v>51300</v>
      </c>
      <c r="N1120" s="29">
        <v>50600</v>
      </c>
      <c r="O1120" s="29">
        <v>49800</v>
      </c>
      <c r="P1120" s="29">
        <v>46400</v>
      </c>
      <c r="Q1120" s="29">
        <v>47000</v>
      </c>
      <c r="R1120" s="29">
        <v>47500</v>
      </c>
      <c r="S1120">
        <v>49800</v>
      </c>
      <c r="T1120">
        <v>50500</v>
      </c>
      <c r="U1120">
        <v>51800</v>
      </c>
      <c r="V1120">
        <v>52700</v>
      </c>
      <c r="W1120">
        <v>55900</v>
      </c>
    </row>
    <row r="1121" spans="1:23">
      <c r="A1121" s="30">
        <v>45405</v>
      </c>
      <c r="B1121" s="29">
        <v>49900</v>
      </c>
      <c r="C1121" s="29">
        <v>50500</v>
      </c>
      <c r="D1121" s="29">
        <v>51500</v>
      </c>
      <c r="E1121" s="29">
        <v>47400</v>
      </c>
      <c r="F1121" s="29">
        <v>52200</v>
      </c>
      <c r="G1121" s="29" t="str">
        <v>-</v>
      </c>
      <c r="H1121" s="29">
        <v>49000</v>
      </c>
      <c r="I1121" s="29">
        <v>49800</v>
      </c>
      <c r="J1121" s="29">
        <v>52000</v>
      </c>
      <c r="K1121" s="29" t="str">
        <v>-</v>
      </c>
      <c r="L1121" s="29">
        <v>51400</v>
      </c>
      <c r="M1121" s="29">
        <v>51300</v>
      </c>
      <c r="N1121" s="29">
        <v>50100</v>
      </c>
      <c r="O1121" s="29">
        <v>49600</v>
      </c>
      <c r="P1121" s="29">
        <v>46000</v>
      </c>
      <c r="Q1121" s="29">
        <v>46500</v>
      </c>
      <c r="R1121" s="29">
        <v>47300</v>
      </c>
      <c r="S1121">
        <v>49500</v>
      </c>
      <c r="T1121">
        <v>50500</v>
      </c>
      <c r="U1121">
        <v>51800</v>
      </c>
      <c r="V1121">
        <v>52700</v>
      </c>
      <c r="W1121">
        <v>55900</v>
      </c>
    </row>
    <row r="1122" spans="1:23">
      <c r="A1122" s="30">
        <v>45406</v>
      </c>
      <c r="B1122" s="29">
        <v>49700</v>
      </c>
      <c r="C1122" s="29">
        <v>50500</v>
      </c>
      <c r="D1122" s="29">
        <v>51000</v>
      </c>
      <c r="E1122" s="29">
        <v>47200</v>
      </c>
      <c r="F1122" s="29">
        <v>51800</v>
      </c>
      <c r="G1122" s="29" t="str">
        <v>-</v>
      </c>
      <c r="H1122" s="29">
        <v>49000</v>
      </c>
      <c r="I1122" s="29">
        <v>49500</v>
      </c>
      <c r="J1122" s="29">
        <v>51700</v>
      </c>
      <c r="K1122" s="29" t="str">
        <v>-</v>
      </c>
      <c r="L1122" s="29">
        <v>51200</v>
      </c>
      <c r="M1122" s="29">
        <v>51300</v>
      </c>
      <c r="N1122" s="29">
        <v>49800</v>
      </c>
      <c r="O1122" s="29">
        <v>49400</v>
      </c>
      <c r="P1122" s="29">
        <v>45400</v>
      </c>
      <c r="Q1122" s="29">
        <v>46200</v>
      </c>
      <c r="R1122" s="29">
        <v>47000</v>
      </c>
      <c r="S1122">
        <v>49300</v>
      </c>
      <c r="T1122">
        <v>49800</v>
      </c>
      <c r="U1122">
        <v>51800</v>
      </c>
      <c r="V1122">
        <v>52700</v>
      </c>
      <c r="W1122">
        <v>55900</v>
      </c>
    </row>
    <row r="1123" spans="1:23">
      <c r="A1123" s="30">
        <v>45407</v>
      </c>
      <c r="B1123" s="29">
        <v>49700</v>
      </c>
      <c r="C1123" s="29">
        <v>50500</v>
      </c>
      <c r="D1123" s="29">
        <v>50700</v>
      </c>
      <c r="E1123" s="29">
        <v>47200</v>
      </c>
      <c r="F1123" s="29">
        <v>51800</v>
      </c>
      <c r="G1123" s="29" t="str">
        <v>-</v>
      </c>
      <c r="H1123" s="29">
        <v>49000</v>
      </c>
      <c r="I1123" s="29">
        <v>49700</v>
      </c>
      <c r="J1123" s="29">
        <v>51500</v>
      </c>
      <c r="K1123" s="29" t="str">
        <v>-</v>
      </c>
      <c r="L1123" s="29">
        <v>51200</v>
      </c>
      <c r="M1123" s="29">
        <v>51300</v>
      </c>
      <c r="N1123" s="29">
        <v>49900</v>
      </c>
      <c r="O1123" s="29">
        <v>49400</v>
      </c>
      <c r="P1123" s="29">
        <v>45700</v>
      </c>
      <c r="Q1123" s="29">
        <v>46200</v>
      </c>
      <c r="R1123" s="29">
        <v>46800</v>
      </c>
      <c r="S1123">
        <v>49300</v>
      </c>
      <c r="T1123">
        <v>49800</v>
      </c>
      <c r="U1123">
        <v>51300</v>
      </c>
      <c r="V1123">
        <v>52700</v>
      </c>
      <c r="W1123">
        <v>55900</v>
      </c>
    </row>
    <row r="1124" spans="1:23">
      <c r="A1124" s="30">
        <v>45408</v>
      </c>
      <c r="B1124" s="29">
        <v>49600</v>
      </c>
      <c r="C1124" s="29">
        <v>50500</v>
      </c>
      <c r="D1124" s="29">
        <v>50500</v>
      </c>
      <c r="E1124" s="29">
        <v>46800</v>
      </c>
      <c r="F1124" s="29">
        <v>51800</v>
      </c>
      <c r="G1124" s="29" t="str">
        <v>-</v>
      </c>
      <c r="H1124" s="29">
        <v>48750</v>
      </c>
      <c r="I1124" s="29">
        <v>49600</v>
      </c>
      <c r="J1124" s="29">
        <v>51500</v>
      </c>
      <c r="K1124" s="29" t="str">
        <v>-</v>
      </c>
      <c r="L1124" s="29">
        <v>51000</v>
      </c>
      <c r="M1124" s="29">
        <v>51300</v>
      </c>
      <c r="N1124" s="29">
        <v>49500</v>
      </c>
      <c r="O1124" s="29">
        <v>49000</v>
      </c>
      <c r="P1124" s="29">
        <v>45500</v>
      </c>
      <c r="Q1124" s="29">
        <v>46100</v>
      </c>
      <c r="R1124" s="29">
        <v>46700</v>
      </c>
      <c r="S1124">
        <v>48900</v>
      </c>
      <c r="T1124">
        <v>49500</v>
      </c>
      <c r="U1124">
        <v>51300</v>
      </c>
      <c r="V1124">
        <v>52700</v>
      </c>
      <c r="W1124">
        <v>55900</v>
      </c>
    </row>
    <row r="1125" spans="1:23">
      <c r="A1125" s="30">
        <v>45409</v>
      </c>
      <c r="B1125" s="29">
        <v>49400</v>
      </c>
      <c r="C1125" s="29">
        <v>50500</v>
      </c>
      <c r="D1125" s="29">
        <v>50500</v>
      </c>
      <c r="E1125" s="29">
        <v>47000</v>
      </c>
      <c r="F1125" s="29">
        <v>51800</v>
      </c>
      <c r="G1125" s="29" t="str">
        <v>-</v>
      </c>
      <c r="H1125" s="29">
        <v>48500</v>
      </c>
      <c r="I1125" s="29">
        <v>49700</v>
      </c>
      <c r="J1125" s="29">
        <v>51500</v>
      </c>
      <c r="K1125" s="29" t="str">
        <v>-</v>
      </c>
      <c r="L1125" s="29">
        <v>51100</v>
      </c>
      <c r="M1125" s="29">
        <v>51300</v>
      </c>
      <c r="N1125" s="29">
        <v>49500</v>
      </c>
      <c r="O1125" s="29">
        <v>49200</v>
      </c>
      <c r="P1125" s="29">
        <v>45500</v>
      </c>
      <c r="Q1125" s="29">
        <v>46000</v>
      </c>
      <c r="R1125" s="29">
        <v>46300</v>
      </c>
      <c r="S1125">
        <v>49100</v>
      </c>
      <c r="T1125">
        <v>49300</v>
      </c>
      <c r="U1125">
        <v>51300</v>
      </c>
      <c r="V1125">
        <v>52700</v>
      </c>
      <c r="W1125">
        <v>55900</v>
      </c>
    </row>
    <row r="1126" spans="1:23">
      <c r="A1126" s="30">
        <v>45410</v>
      </c>
      <c r="B1126" s="29" t="str">
        <v>H</v>
      </c>
      <c r="C1126" s="29" t="str">
        <v>H</v>
      </c>
      <c r="D1126" s="29" t="str">
        <v>H</v>
      </c>
      <c r="E1126" s="29" t="str">
        <v>H</v>
      </c>
      <c r="F1126" s="29" t="str">
        <v>H</v>
      </c>
      <c r="G1126" s="29" t="str">
        <v>H</v>
      </c>
      <c r="H1126" s="29" t="str">
        <v>H</v>
      </c>
      <c r="I1126" s="29" t="str">
        <v>H</v>
      </c>
      <c r="J1126" s="29" t="str">
        <v>H</v>
      </c>
      <c r="K1126" s="29" t="str">
        <v>H</v>
      </c>
      <c r="L1126" s="29" t="str">
        <v>H</v>
      </c>
      <c r="M1126" s="29" t="str">
        <v>H</v>
      </c>
      <c r="N1126" s="29" t="str">
        <v>H</v>
      </c>
      <c r="O1126" s="29" t="str">
        <v>H</v>
      </c>
      <c r="P1126" s="29" t="str">
        <v>H</v>
      </c>
      <c r="Q1126" s="29" t="str">
        <v>H</v>
      </c>
      <c r="R1126" s="29" t="str">
        <v>H</v>
      </c>
      <c r="S1126" t="str">
        <v>H</v>
      </c>
      <c r="T1126" t="str">
        <v>H</v>
      </c>
      <c r="U1126" t="str">
        <v>H</v>
      </c>
      <c r="V1126" t="str">
        <v>H</v>
      </c>
      <c r="W1126" t="str">
        <v>H</v>
      </c>
    </row>
    <row r="1127" spans="1:23">
      <c r="A1127" s="30">
        <v>45411</v>
      </c>
      <c r="B1127" s="29">
        <v>49400</v>
      </c>
      <c r="C1127" s="29">
        <v>50800</v>
      </c>
      <c r="D1127" s="29">
        <v>50200</v>
      </c>
      <c r="E1127" s="29">
        <v>46800</v>
      </c>
      <c r="F1127" s="29">
        <v>51500</v>
      </c>
      <c r="G1127" s="29" t="str">
        <v>-</v>
      </c>
      <c r="H1127" s="29">
        <v>48500</v>
      </c>
      <c r="I1127" s="29">
        <v>49700</v>
      </c>
      <c r="J1127" s="29">
        <v>51300</v>
      </c>
      <c r="K1127" s="29" t="str">
        <v>-</v>
      </c>
      <c r="L1127" s="29">
        <v>50900</v>
      </c>
      <c r="M1127" s="29">
        <v>51300</v>
      </c>
      <c r="N1127" s="29">
        <v>49000</v>
      </c>
      <c r="O1127" s="29">
        <v>48800</v>
      </c>
      <c r="P1127" s="29">
        <v>45500</v>
      </c>
      <c r="Q1127" s="29">
        <v>46000</v>
      </c>
      <c r="R1127" s="29">
        <v>46200</v>
      </c>
      <c r="S1127">
        <v>48900</v>
      </c>
      <c r="T1127">
        <v>49200</v>
      </c>
      <c r="U1127">
        <v>51300</v>
      </c>
      <c r="V1127">
        <v>52700</v>
      </c>
      <c r="W1127">
        <v>55900</v>
      </c>
    </row>
    <row r="1128" spans="1:23">
      <c r="A1128" s="30">
        <v>45412</v>
      </c>
      <c r="B1128" s="29">
        <v>49700</v>
      </c>
      <c r="C1128" s="29">
        <v>51000</v>
      </c>
      <c r="D1128" s="29">
        <v>50400</v>
      </c>
      <c r="E1128" s="29">
        <v>47200</v>
      </c>
      <c r="F1128" s="29">
        <v>51800</v>
      </c>
      <c r="G1128" s="29" t="str">
        <v>-</v>
      </c>
      <c r="H1128" s="29">
        <v>49000</v>
      </c>
      <c r="I1128" s="29">
        <v>50300</v>
      </c>
      <c r="J1128" s="29">
        <v>51800</v>
      </c>
      <c r="K1128" s="29" t="str">
        <v>-</v>
      </c>
      <c r="L1128" s="29">
        <v>51100</v>
      </c>
      <c r="M1128" s="29">
        <v>51500</v>
      </c>
      <c r="N1128" s="29">
        <v>49400</v>
      </c>
      <c r="O1128" s="29">
        <v>49200</v>
      </c>
      <c r="P1128" s="29">
        <v>46200</v>
      </c>
      <c r="Q1128" s="29">
        <v>46700</v>
      </c>
      <c r="R1128" s="29">
        <v>46800</v>
      </c>
      <c r="S1128">
        <v>49300</v>
      </c>
      <c r="T1128">
        <v>49700</v>
      </c>
      <c r="U1128">
        <v>51300</v>
      </c>
      <c r="V1128">
        <v>52700</v>
      </c>
      <c r="W1128">
        <v>55900</v>
      </c>
    </row>
    <row r="1129" spans="1:23">
      <c r="A1129" s="30">
        <v>45413</v>
      </c>
      <c r="B1129" s="29">
        <v>50000</v>
      </c>
      <c r="C1129" s="29">
        <v>51000</v>
      </c>
      <c r="D1129" s="29">
        <v>51000</v>
      </c>
      <c r="E1129" s="29">
        <v>47900</v>
      </c>
      <c r="F1129" s="29">
        <v>52100</v>
      </c>
      <c r="G1129" s="29" t="str">
        <v>-</v>
      </c>
      <c r="H1129" s="29">
        <v>49500</v>
      </c>
      <c r="I1129" s="29">
        <v>50700</v>
      </c>
      <c r="J1129" s="29">
        <v>52000</v>
      </c>
      <c r="K1129" s="29" t="str">
        <v>-</v>
      </c>
      <c r="L1129" s="29">
        <v>51600</v>
      </c>
      <c r="M1129" s="29">
        <v>51500</v>
      </c>
      <c r="N1129" s="29">
        <v>50300</v>
      </c>
      <c r="O1129" s="29">
        <v>49600</v>
      </c>
      <c r="P1129" s="29">
        <v>47200</v>
      </c>
      <c r="Q1129" s="29">
        <v>47500</v>
      </c>
      <c r="R1129" s="29">
        <v>47800</v>
      </c>
      <c r="S1129">
        <v>50000</v>
      </c>
      <c r="T1129">
        <v>50300</v>
      </c>
      <c r="U1129">
        <v>52300</v>
      </c>
      <c r="V1129">
        <v>53000</v>
      </c>
      <c r="W1129">
        <v>55900</v>
      </c>
    </row>
    <row r="1130" spans="1:23">
      <c r="A1130" s="30">
        <v>45414</v>
      </c>
      <c r="B1130" s="29">
        <v>50000</v>
      </c>
      <c r="C1130" s="29">
        <v>51500</v>
      </c>
      <c r="D1130" s="29">
        <v>51000</v>
      </c>
      <c r="E1130" s="29">
        <v>47800</v>
      </c>
      <c r="F1130" s="29">
        <v>52100</v>
      </c>
      <c r="G1130" s="29" t="str">
        <v>-</v>
      </c>
      <c r="H1130" s="29">
        <v>49750</v>
      </c>
      <c r="I1130" s="29">
        <v>51000</v>
      </c>
      <c r="J1130" s="29">
        <v>52000</v>
      </c>
      <c r="K1130" s="29" t="str">
        <v>-</v>
      </c>
      <c r="L1130" s="29">
        <v>51600</v>
      </c>
      <c r="M1130" s="29">
        <v>52100</v>
      </c>
      <c r="N1130" s="29">
        <v>50200</v>
      </c>
      <c r="O1130" s="29">
        <v>49600</v>
      </c>
      <c r="P1130" s="29">
        <v>46500</v>
      </c>
      <c r="Q1130" s="29">
        <v>47100</v>
      </c>
      <c r="R1130" s="29">
        <v>47500</v>
      </c>
      <c r="S1130">
        <v>49900</v>
      </c>
      <c r="T1130">
        <v>50300</v>
      </c>
      <c r="U1130">
        <v>52300</v>
      </c>
      <c r="V1130">
        <v>53000</v>
      </c>
      <c r="W1130">
        <v>56500</v>
      </c>
    </row>
    <row r="1131" spans="1:23">
      <c r="A1131" s="30">
        <v>45415</v>
      </c>
      <c r="B1131" s="29">
        <v>50200</v>
      </c>
      <c r="C1131" s="29">
        <v>51800</v>
      </c>
      <c r="D1131" s="29">
        <v>51700</v>
      </c>
      <c r="E1131" s="29">
        <v>48400</v>
      </c>
      <c r="F1131" s="29">
        <v>52100</v>
      </c>
      <c r="G1131" s="29" t="str">
        <v>-</v>
      </c>
      <c r="H1131" s="29">
        <v>50500</v>
      </c>
      <c r="I1131" s="29">
        <v>51600</v>
      </c>
      <c r="J1131" s="29">
        <v>52400</v>
      </c>
      <c r="K1131" s="29" t="str">
        <v>-</v>
      </c>
      <c r="L1131" s="29">
        <v>52000</v>
      </c>
      <c r="M1131" s="29">
        <v>52100</v>
      </c>
      <c r="N1131" s="29">
        <v>51200</v>
      </c>
      <c r="O1131" s="29">
        <v>50000</v>
      </c>
      <c r="P1131" s="29">
        <v>47200</v>
      </c>
      <c r="Q1131" s="29">
        <v>47600</v>
      </c>
      <c r="R1131" s="29">
        <v>48000</v>
      </c>
      <c r="S1131">
        <v>50500</v>
      </c>
      <c r="T1131">
        <v>50500</v>
      </c>
      <c r="U1131">
        <v>52300</v>
      </c>
      <c r="V1131">
        <v>53000</v>
      </c>
      <c r="W1131">
        <v>56600</v>
      </c>
    </row>
    <row r="1132" spans="1:23">
      <c r="A1132" s="30">
        <v>45416</v>
      </c>
      <c r="B1132" s="29">
        <v>50300</v>
      </c>
      <c r="C1132" s="29">
        <v>52000</v>
      </c>
      <c r="D1132" s="29">
        <v>51700</v>
      </c>
      <c r="E1132" s="29">
        <v>48200</v>
      </c>
      <c r="F1132" s="29">
        <v>52300</v>
      </c>
      <c r="G1132" s="29" t="str">
        <v>-</v>
      </c>
      <c r="H1132" s="29">
        <v>50000</v>
      </c>
      <c r="I1132" s="29">
        <v>51600</v>
      </c>
      <c r="J1132" s="29">
        <v>52400</v>
      </c>
      <c r="K1132" s="29" t="str">
        <v>-</v>
      </c>
      <c r="L1132" s="29">
        <v>52000</v>
      </c>
      <c r="M1132" s="29">
        <v>52100</v>
      </c>
      <c r="N1132" s="29">
        <v>50800</v>
      </c>
      <c r="O1132" s="29">
        <v>49800</v>
      </c>
      <c r="P1132" s="29">
        <v>46900</v>
      </c>
      <c r="Q1132" s="29">
        <v>47600</v>
      </c>
      <c r="R1132" s="29">
        <v>47800</v>
      </c>
      <c r="S1132">
        <v>50300</v>
      </c>
      <c r="T1132">
        <v>50700</v>
      </c>
      <c r="U1132">
        <v>52300</v>
      </c>
      <c r="V1132">
        <v>53000</v>
      </c>
      <c r="W1132">
        <v>56600</v>
      </c>
    </row>
    <row r="1133" spans="1:23">
      <c r="A1133" s="30">
        <v>45417</v>
      </c>
      <c r="B1133" s="29" t="str">
        <v>H</v>
      </c>
      <c r="C1133" s="29" t="str">
        <v>H</v>
      </c>
      <c r="D1133" s="29" t="str">
        <v>H</v>
      </c>
      <c r="E1133" s="29" t="str">
        <v>H</v>
      </c>
      <c r="F1133" s="29" t="str">
        <v>H</v>
      </c>
      <c r="G1133" s="29" t="str">
        <v>H</v>
      </c>
      <c r="H1133" s="29" t="str">
        <v>H</v>
      </c>
      <c r="I1133" s="29" t="str">
        <v>H</v>
      </c>
      <c r="J1133" s="29" t="str">
        <v>H</v>
      </c>
      <c r="K1133" s="29" t="str">
        <v>H</v>
      </c>
      <c r="L1133" s="29" t="str">
        <v>H</v>
      </c>
      <c r="M1133" s="29" t="str">
        <v>H</v>
      </c>
      <c r="N1133" s="29" t="str">
        <v>H</v>
      </c>
      <c r="O1133" s="29" t="str">
        <v>H</v>
      </c>
      <c r="P1133" s="29" t="str">
        <v>H</v>
      </c>
      <c r="Q1133" s="29" t="str">
        <v>H</v>
      </c>
      <c r="R1133" s="29" t="str">
        <v>H</v>
      </c>
      <c r="S1133" t="str">
        <v>H</v>
      </c>
      <c r="T1133" t="str">
        <v>H</v>
      </c>
      <c r="U1133" t="str">
        <v>H</v>
      </c>
      <c r="V1133" t="str">
        <v>H</v>
      </c>
      <c r="W1133" t="str">
        <v>H</v>
      </c>
    </row>
    <row r="1134" spans="1:23">
      <c r="A1134" s="30">
        <v>45418</v>
      </c>
      <c r="B1134" s="29">
        <v>51600</v>
      </c>
      <c r="C1134" s="29">
        <v>52300</v>
      </c>
      <c r="D1134" s="29">
        <v>52500</v>
      </c>
      <c r="E1134" s="29">
        <v>48800</v>
      </c>
      <c r="F1134" s="29">
        <v>53000</v>
      </c>
      <c r="G1134" s="29" t="str">
        <v>-</v>
      </c>
      <c r="H1134" s="29">
        <v>51000</v>
      </c>
      <c r="I1134" s="29">
        <v>52200</v>
      </c>
      <c r="J1134" s="29">
        <v>53500</v>
      </c>
      <c r="K1134" s="29" t="str">
        <v>-</v>
      </c>
      <c r="L1134" s="29">
        <v>52800</v>
      </c>
      <c r="M1134" s="29">
        <v>53300</v>
      </c>
      <c r="N1134" s="29">
        <v>51800</v>
      </c>
      <c r="O1134" s="29">
        <v>50800</v>
      </c>
      <c r="P1134" s="29">
        <v>48300</v>
      </c>
      <c r="Q1134" s="29">
        <v>48700</v>
      </c>
      <c r="R1134" s="29">
        <v>48700</v>
      </c>
      <c r="S1134">
        <v>50900</v>
      </c>
      <c r="T1134">
        <v>51800</v>
      </c>
      <c r="U1134">
        <v>53300</v>
      </c>
      <c r="V1134">
        <v>53700</v>
      </c>
      <c r="W1134">
        <v>56900</v>
      </c>
    </row>
    <row r="1135" spans="1:23">
      <c r="A1135" s="30">
        <v>45419</v>
      </c>
      <c r="B1135" s="29">
        <v>51600</v>
      </c>
      <c r="C1135" s="29">
        <v>52800</v>
      </c>
      <c r="D1135" s="29">
        <v>52500</v>
      </c>
      <c r="E1135" s="29">
        <v>48600</v>
      </c>
      <c r="F1135" s="29">
        <v>53300</v>
      </c>
      <c r="G1135" s="29" t="str">
        <v>-</v>
      </c>
      <c r="H1135" s="29">
        <v>51000</v>
      </c>
      <c r="I1135" s="29">
        <v>52200</v>
      </c>
      <c r="J1135" s="29">
        <v>53500</v>
      </c>
      <c r="K1135" s="29" t="str">
        <v>-</v>
      </c>
      <c r="L1135" s="29">
        <v>52800</v>
      </c>
      <c r="M1135" s="29">
        <v>53300</v>
      </c>
      <c r="N1135" s="29">
        <v>51300</v>
      </c>
      <c r="O1135" s="29">
        <v>50600</v>
      </c>
      <c r="P1135" s="29">
        <v>48000</v>
      </c>
      <c r="Q1135" s="29">
        <v>48500</v>
      </c>
      <c r="R1135" s="29">
        <v>48700</v>
      </c>
      <c r="S1135">
        <v>50700</v>
      </c>
      <c r="T1135">
        <v>51800</v>
      </c>
      <c r="U1135">
        <v>53300</v>
      </c>
      <c r="V1135">
        <v>53700</v>
      </c>
      <c r="W1135">
        <v>56900</v>
      </c>
    </row>
    <row r="1136" spans="1:23">
      <c r="A1136" s="30">
        <v>45420</v>
      </c>
      <c r="B1136" s="29">
        <v>51600</v>
      </c>
      <c r="C1136" s="29">
        <v>53000</v>
      </c>
      <c r="D1136" s="29">
        <v>52600</v>
      </c>
      <c r="E1136" s="29">
        <v>49000</v>
      </c>
      <c r="F1136" s="29">
        <v>53400</v>
      </c>
      <c r="G1136" s="29" t="str">
        <v>-</v>
      </c>
      <c r="H1136" s="29">
        <v>51000</v>
      </c>
      <c r="I1136" s="29">
        <v>52200</v>
      </c>
      <c r="J1136" s="29">
        <v>53500</v>
      </c>
      <c r="K1136" s="29" t="str">
        <v>-</v>
      </c>
      <c r="L1136" s="29">
        <v>53000</v>
      </c>
      <c r="M1136" s="29">
        <v>53400</v>
      </c>
      <c r="N1136" s="29">
        <v>51700</v>
      </c>
      <c r="O1136" s="29">
        <v>50600</v>
      </c>
      <c r="P1136" s="29">
        <v>48200</v>
      </c>
      <c r="Q1136" s="29">
        <v>48300</v>
      </c>
      <c r="R1136" s="29">
        <v>49000</v>
      </c>
      <c r="S1136">
        <v>51100</v>
      </c>
      <c r="T1136">
        <v>51800</v>
      </c>
      <c r="U1136">
        <v>53300</v>
      </c>
      <c r="V1136">
        <v>53700</v>
      </c>
      <c r="W1136">
        <v>56900</v>
      </c>
    </row>
    <row r="1137" spans="1:23">
      <c r="A1137" s="30">
        <v>45421</v>
      </c>
      <c r="B1137" s="29">
        <v>51600</v>
      </c>
      <c r="C1137" s="29">
        <v>53200</v>
      </c>
      <c r="D1137" s="29">
        <v>52000</v>
      </c>
      <c r="E1137" s="29">
        <v>48600</v>
      </c>
      <c r="F1137" s="29">
        <v>53400</v>
      </c>
      <c r="G1137" s="29" t="str">
        <v>-</v>
      </c>
      <c r="H1137" s="29">
        <v>51000</v>
      </c>
      <c r="I1137" s="29">
        <v>51400</v>
      </c>
      <c r="J1137" s="29">
        <v>53500</v>
      </c>
      <c r="K1137" s="29" t="str">
        <v>-</v>
      </c>
      <c r="L1137" s="29">
        <v>52700</v>
      </c>
      <c r="M1137" s="29">
        <v>53400</v>
      </c>
      <c r="N1137" s="29">
        <v>50800</v>
      </c>
      <c r="O1137" s="29">
        <v>50200</v>
      </c>
      <c r="P1137" s="29">
        <v>47700</v>
      </c>
      <c r="Q1137" s="29">
        <v>48000</v>
      </c>
      <c r="R1137" s="29">
        <v>48500</v>
      </c>
      <c r="S1137">
        <v>50700</v>
      </c>
      <c r="T1137">
        <v>51500</v>
      </c>
      <c r="U1137">
        <v>53300</v>
      </c>
      <c r="V1137">
        <v>53700</v>
      </c>
      <c r="W1137">
        <v>56900</v>
      </c>
    </row>
    <row r="1138" spans="1:23">
      <c r="A1138" s="30">
        <v>45422</v>
      </c>
      <c r="B1138" s="29">
        <v>51600</v>
      </c>
      <c r="C1138" s="29">
        <v>53200</v>
      </c>
      <c r="D1138" s="29">
        <v>51700</v>
      </c>
      <c r="E1138" s="29">
        <v>48200</v>
      </c>
      <c r="F1138" s="29">
        <v>53400</v>
      </c>
      <c r="G1138" s="29" t="str">
        <v>-</v>
      </c>
      <c r="H1138" s="29">
        <v>50500</v>
      </c>
      <c r="I1138" s="29">
        <v>51200</v>
      </c>
      <c r="J1138" s="29">
        <v>53100</v>
      </c>
      <c r="K1138" s="29" t="str">
        <v>-</v>
      </c>
      <c r="L1138" s="29">
        <v>52600</v>
      </c>
      <c r="M1138" s="29">
        <v>53300</v>
      </c>
      <c r="N1138" s="29">
        <v>50500</v>
      </c>
      <c r="O1138" s="29">
        <v>50200</v>
      </c>
      <c r="P1138" s="29">
        <v>47200</v>
      </c>
      <c r="Q1138" s="29">
        <v>47600</v>
      </c>
      <c r="R1138" s="29">
        <v>48300</v>
      </c>
      <c r="S1138">
        <v>50300</v>
      </c>
      <c r="T1138">
        <v>51300</v>
      </c>
      <c r="U1138" t="str">
        <v>-</v>
      </c>
      <c r="V1138">
        <v>53700</v>
      </c>
      <c r="W1138">
        <v>56900</v>
      </c>
    </row>
    <row r="1139" spans="1:23">
      <c r="A1139" s="30">
        <v>45423</v>
      </c>
      <c r="B1139" s="29">
        <v>51200</v>
      </c>
      <c r="C1139" s="29">
        <v>53200</v>
      </c>
      <c r="D1139" s="29">
        <v>51100</v>
      </c>
      <c r="E1139" s="29">
        <v>48000</v>
      </c>
      <c r="F1139" s="29">
        <v>53200</v>
      </c>
      <c r="G1139" s="29" t="str">
        <v>-</v>
      </c>
      <c r="H1139" s="29">
        <v>50000</v>
      </c>
      <c r="I1139" s="29">
        <v>50200</v>
      </c>
      <c r="J1139" s="29">
        <v>52800</v>
      </c>
      <c r="K1139" s="29" t="str">
        <v>-</v>
      </c>
      <c r="L1139" s="29">
        <v>52100</v>
      </c>
      <c r="M1139" s="29">
        <v>53300</v>
      </c>
      <c r="N1139" s="29">
        <v>50200</v>
      </c>
      <c r="O1139" s="29">
        <v>49800</v>
      </c>
      <c r="P1139" s="29">
        <v>46800</v>
      </c>
      <c r="Q1139" s="29">
        <v>47200</v>
      </c>
      <c r="R1139" s="29">
        <v>47800</v>
      </c>
      <c r="S1139">
        <v>50100</v>
      </c>
      <c r="T1139">
        <v>51000</v>
      </c>
      <c r="U1139">
        <v>52300</v>
      </c>
      <c r="V1139">
        <v>53500</v>
      </c>
      <c r="W1139">
        <v>56600</v>
      </c>
    </row>
    <row r="1140" spans="1:23">
      <c r="A1140" s="30">
        <v>45424</v>
      </c>
      <c r="B1140" s="29" t="str">
        <v>H</v>
      </c>
      <c r="C1140" s="29" t="str">
        <v>H</v>
      </c>
      <c r="D1140" s="29" t="str">
        <v>H</v>
      </c>
      <c r="E1140" s="29" t="str">
        <v>H</v>
      </c>
      <c r="F1140" s="29" t="str">
        <v>H</v>
      </c>
      <c r="G1140" s="29" t="str">
        <v>H</v>
      </c>
      <c r="H1140" s="29" t="str">
        <v>H</v>
      </c>
      <c r="I1140" s="29" t="str">
        <v>H</v>
      </c>
      <c r="J1140" s="29" t="str">
        <v>H</v>
      </c>
      <c r="K1140" s="29" t="str">
        <v>H</v>
      </c>
      <c r="L1140" s="29" t="str">
        <v>H</v>
      </c>
      <c r="M1140" s="29" t="str">
        <v>H</v>
      </c>
      <c r="N1140" s="29" t="str">
        <v>H</v>
      </c>
      <c r="O1140" s="29" t="str">
        <v>H</v>
      </c>
      <c r="P1140" s="29" t="str">
        <v>H</v>
      </c>
      <c r="Q1140" s="29" t="str">
        <v>H</v>
      </c>
      <c r="R1140" s="29" t="str">
        <v>H</v>
      </c>
      <c r="S1140" t="str">
        <v>H</v>
      </c>
      <c r="T1140" t="str">
        <v>H</v>
      </c>
      <c r="U1140" t="str">
        <v>H</v>
      </c>
      <c r="V1140" t="str">
        <v>H</v>
      </c>
      <c r="W1140" t="str">
        <v>H</v>
      </c>
    </row>
    <row r="1141" spans="1:23">
      <c r="A1141" s="30">
        <v>45425</v>
      </c>
      <c r="B1141" s="29">
        <v>50800</v>
      </c>
      <c r="C1141" s="29">
        <v>53000</v>
      </c>
      <c r="D1141" s="29">
        <v>50900</v>
      </c>
      <c r="E1141" s="29">
        <v>47400</v>
      </c>
      <c r="F1141" s="29">
        <v>52800</v>
      </c>
      <c r="G1141" s="29" t="str">
        <v>-</v>
      </c>
      <c r="H1141" s="29">
        <v>50500</v>
      </c>
      <c r="I1141" s="29">
        <v>49700</v>
      </c>
      <c r="J1141" s="29">
        <v>52800</v>
      </c>
      <c r="K1141" s="29" t="str">
        <v>-</v>
      </c>
      <c r="L1141" s="29">
        <v>51500</v>
      </c>
      <c r="M1141" s="29">
        <v>53300</v>
      </c>
      <c r="N1141" s="29">
        <v>49700</v>
      </c>
      <c r="O1141" s="29">
        <v>49200</v>
      </c>
      <c r="P1141" s="29">
        <v>46500</v>
      </c>
      <c r="Q1141" s="29">
        <v>47000</v>
      </c>
      <c r="R1141" s="29">
        <v>47500</v>
      </c>
      <c r="S1141">
        <v>49500</v>
      </c>
      <c r="T1141">
        <v>50800</v>
      </c>
      <c r="U1141">
        <v>52300</v>
      </c>
      <c r="V1141">
        <v>53200</v>
      </c>
      <c r="W1141">
        <v>55700</v>
      </c>
    </row>
    <row r="1142" spans="1:23">
      <c r="A1142" s="30">
        <v>45426</v>
      </c>
      <c r="B1142" s="29">
        <v>50600</v>
      </c>
      <c r="C1142" s="29">
        <v>53000</v>
      </c>
      <c r="D1142" s="29">
        <v>50600</v>
      </c>
      <c r="E1142" s="29">
        <v>47200</v>
      </c>
      <c r="F1142" s="29">
        <v>52700</v>
      </c>
      <c r="G1142" s="29" t="str">
        <v>-</v>
      </c>
      <c r="H1142" s="29">
        <v>50500</v>
      </c>
      <c r="I1142" s="29">
        <v>49700</v>
      </c>
      <c r="J1142" s="29">
        <v>52400</v>
      </c>
      <c r="K1142" s="29" t="str">
        <v>-</v>
      </c>
      <c r="L1142" s="29">
        <v>51300</v>
      </c>
      <c r="M1142" s="29">
        <v>53200</v>
      </c>
      <c r="N1142" s="29">
        <v>49400</v>
      </c>
      <c r="O1142" s="29">
        <v>49000</v>
      </c>
      <c r="P1142" s="29">
        <v>46700</v>
      </c>
      <c r="Q1142" s="29">
        <v>47200</v>
      </c>
      <c r="R1142" s="29">
        <v>47200</v>
      </c>
      <c r="S1142">
        <v>49300</v>
      </c>
      <c r="T1142">
        <v>50500</v>
      </c>
      <c r="U1142">
        <v>52300</v>
      </c>
      <c r="V1142">
        <v>52900</v>
      </c>
      <c r="W1142">
        <v>55700</v>
      </c>
    </row>
    <row r="1143" spans="1:23">
      <c r="A1143" s="30">
        <v>45427</v>
      </c>
      <c r="B1143" s="29">
        <v>50800</v>
      </c>
      <c r="C1143" s="29">
        <v>52800</v>
      </c>
      <c r="D1143" s="29">
        <v>50600</v>
      </c>
      <c r="E1143" s="29">
        <v>47100</v>
      </c>
      <c r="F1143" s="29">
        <v>52500</v>
      </c>
      <c r="G1143" s="29" t="str">
        <v>-</v>
      </c>
      <c r="H1143" s="29">
        <v>50000</v>
      </c>
      <c r="I1143" s="29">
        <v>49700</v>
      </c>
      <c r="J1143" s="29">
        <v>52400</v>
      </c>
      <c r="K1143" s="29" t="str">
        <v>-</v>
      </c>
      <c r="L1143" s="29">
        <v>51200</v>
      </c>
      <c r="M1143" s="29">
        <v>53200</v>
      </c>
      <c r="N1143" s="29">
        <v>49600</v>
      </c>
      <c r="O1143" s="29">
        <v>49000</v>
      </c>
      <c r="P1143" s="29">
        <v>46700</v>
      </c>
      <c r="Q1143" s="29">
        <v>47200</v>
      </c>
      <c r="R1143" s="29">
        <v>47000</v>
      </c>
      <c r="S1143">
        <v>49200</v>
      </c>
      <c r="T1143">
        <v>50500</v>
      </c>
      <c r="U1143">
        <v>52300</v>
      </c>
      <c r="V1143">
        <v>52700</v>
      </c>
      <c r="W1143">
        <v>55500</v>
      </c>
    </row>
    <row r="1144" spans="1:23">
      <c r="A1144" s="30">
        <v>45428</v>
      </c>
      <c r="B1144" s="29">
        <v>51000</v>
      </c>
      <c r="C1144" s="29">
        <v>52800</v>
      </c>
      <c r="D1144" s="29">
        <v>50900</v>
      </c>
      <c r="E1144" s="29">
        <v>47400</v>
      </c>
      <c r="F1144" s="29">
        <v>52500</v>
      </c>
      <c r="G1144" s="29" t="str">
        <v>-</v>
      </c>
      <c r="H1144" s="29">
        <v>50000</v>
      </c>
      <c r="I1144" s="29">
        <v>50100</v>
      </c>
      <c r="J1144" s="29">
        <v>52300</v>
      </c>
      <c r="K1144" s="29" t="str">
        <v>-</v>
      </c>
      <c r="L1144" s="29">
        <v>51500</v>
      </c>
      <c r="M1144" s="29">
        <v>53200</v>
      </c>
      <c r="N1144" s="29">
        <v>49900</v>
      </c>
      <c r="O1144" s="29">
        <v>49200</v>
      </c>
      <c r="P1144" s="29">
        <v>47000</v>
      </c>
      <c r="Q1144" s="29">
        <v>47500</v>
      </c>
      <c r="R1144" s="29">
        <v>47500</v>
      </c>
      <c r="S1144">
        <v>49500</v>
      </c>
      <c r="T1144">
        <v>50700</v>
      </c>
      <c r="U1144">
        <v>52300</v>
      </c>
      <c r="V1144">
        <v>52700</v>
      </c>
      <c r="W1144">
        <v>55500</v>
      </c>
    </row>
    <row r="1145" spans="1:23">
      <c r="A1145" s="30">
        <v>45429</v>
      </c>
      <c r="B1145" s="29">
        <v>51200</v>
      </c>
      <c r="C1145" s="29">
        <v>52800</v>
      </c>
      <c r="D1145" s="29">
        <v>50900</v>
      </c>
      <c r="E1145" s="29">
        <v>47900</v>
      </c>
      <c r="F1145" s="29">
        <v>52700</v>
      </c>
      <c r="G1145" s="29" t="str">
        <v>-</v>
      </c>
      <c r="H1145" s="29">
        <v>50500</v>
      </c>
      <c r="I1145" s="29">
        <v>50300</v>
      </c>
      <c r="J1145" s="29">
        <v>52300</v>
      </c>
      <c r="K1145" s="29" t="str">
        <v>-</v>
      </c>
      <c r="L1145" s="29">
        <v>51700</v>
      </c>
      <c r="M1145" s="29">
        <v>53300</v>
      </c>
      <c r="N1145" s="29">
        <v>50200</v>
      </c>
      <c r="O1145" s="29">
        <v>49200</v>
      </c>
      <c r="P1145" s="29">
        <v>47200</v>
      </c>
      <c r="Q1145" s="29">
        <v>47800</v>
      </c>
      <c r="R1145" s="29">
        <v>47800</v>
      </c>
      <c r="S1145">
        <v>50000</v>
      </c>
      <c r="T1145">
        <v>51000</v>
      </c>
      <c r="U1145">
        <v>52300</v>
      </c>
      <c r="V1145">
        <v>52700</v>
      </c>
      <c r="W1145">
        <v>55500</v>
      </c>
    </row>
    <row r="1146" spans="1:23">
      <c r="A1146" s="30">
        <v>45430</v>
      </c>
      <c r="B1146" s="29">
        <v>51200</v>
      </c>
      <c r="C1146" s="29">
        <v>52700</v>
      </c>
      <c r="D1146" s="29">
        <v>50700</v>
      </c>
      <c r="E1146" s="29">
        <v>47600</v>
      </c>
      <c r="F1146" s="29">
        <v>52700</v>
      </c>
      <c r="G1146" s="29" t="str">
        <v>-</v>
      </c>
      <c r="H1146" s="29">
        <v>50000</v>
      </c>
      <c r="I1146" s="29">
        <v>50000</v>
      </c>
      <c r="J1146" s="29">
        <v>52400</v>
      </c>
      <c r="K1146" s="29" t="str">
        <v>-</v>
      </c>
      <c r="L1146" s="29">
        <v>51700</v>
      </c>
      <c r="M1146" s="29">
        <v>53200</v>
      </c>
      <c r="N1146" s="29">
        <v>49900</v>
      </c>
      <c r="O1146" s="29">
        <v>49200</v>
      </c>
      <c r="P1146" s="29">
        <v>47000</v>
      </c>
      <c r="Q1146" s="29">
        <v>47800</v>
      </c>
      <c r="R1146" s="29">
        <v>47500</v>
      </c>
      <c r="S1146">
        <v>49700</v>
      </c>
      <c r="T1146">
        <v>51000</v>
      </c>
      <c r="U1146">
        <v>52300</v>
      </c>
      <c r="V1146">
        <v>52700</v>
      </c>
      <c r="W1146">
        <v>55500</v>
      </c>
    </row>
    <row r="1147" spans="1:23">
      <c r="A1147" s="30">
        <v>45431</v>
      </c>
      <c r="B1147" s="29" t="str">
        <v>H</v>
      </c>
      <c r="C1147" s="29" t="str">
        <v>H</v>
      </c>
      <c r="D1147" s="29" t="str">
        <v>H</v>
      </c>
      <c r="E1147" s="29" t="str">
        <v>H</v>
      </c>
      <c r="F1147" s="29" t="str">
        <v>H</v>
      </c>
      <c r="G1147" s="29" t="str">
        <v>H</v>
      </c>
      <c r="H1147" s="29" t="str">
        <v>H</v>
      </c>
      <c r="I1147" s="29" t="str">
        <v>H</v>
      </c>
      <c r="J1147" s="29" t="str">
        <v>H</v>
      </c>
      <c r="K1147" s="29" t="str">
        <v>H</v>
      </c>
      <c r="L1147" s="29" t="str">
        <v>H</v>
      </c>
      <c r="M1147" s="29" t="str">
        <v>H</v>
      </c>
      <c r="N1147" s="29" t="str">
        <v>H</v>
      </c>
      <c r="O1147" s="29" t="str">
        <v>H</v>
      </c>
      <c r="P1147" s="29" t="str">
        <v>H</v>
      </c>
      <c r="Q1147" s="29" t="str">
        <v>H</v>
      </c>
      <c r="R1147" s="29" t="str">
        <v>H</v>
      </c>
      <c r="S1147" t="str">
        <v>H</v>
      </c>
      <c r="T1147" t="str">
        <v>H</v>
      </c>
      <c r="U1147" t="str">
        <v>H</v>
      </c>
      <c r="V1147" t="str">
        <v>H</v>
      </c>
      <c r="W1147" t="str">
        <v>H</v>
      </c>
    </row>
    <row r="1148" spans="1:23">
      <c r="A1148" s="30">
        <v>45432</v>
      </c>
      <c r="B1148" s="29">
        <v>51000</v>
      </c>
      <c r="C1148" s="29">
        <v>52500</v>
      </c>
      <c r="D1148" s="29">
        <v>50700</v>
      </c>
      <c r="E1148" s="29">
        <v>47600</v>
      </c>
      <c r="F1148" s="29">
        <v>52700</v>
      </c>
      <c r="G1148" s="29" t="str">
        <v>-</v>
      </c>
      <c r="H1148" s="29">
        <v>50000</v>
      </c>
      <c r="I1148" s="29">
        <v>50000</v>
      </c>
      <c r="J1148" s="29">
        <v>52200</v>
      </c>
      <c r="K1148" s="29" t="str">
        <v>-</v>
      </c>
      <c r="L1148" s="29">
        <v>51700</v>
      </c>
      <c r="M1148" s="29">
        <v>53200</v>
      </c>
      <c r="N1148" s="29">
        <v>50000</v>
      </c>
      <c r="O1148" s="29">
        <v>49200</v>
      </c>
      <c r="P1148" s="29">
        <v>47000</v>
      </c>
      <c r="Q1148" s="29">
        <v>47800</v>
      </c>
      <c r="R1148" s="29">
        <v>47500</v>
      </c>
      <c r="S1148">
        <v>49700</v>
      </c>
      <c r="T1148">
        <v>51000</v>
      </c>
      <c r="U1148">
        <v>52300</v>
      </c>
      <c r="V1148">
        <v>52400</v>
      </c>
      <c r="W1148">
        <v>54700</v>
      </c>
    </row>
    <row r="1149" spans="1:23">
      <c r="A1149" s="30">
        <v>45433</v>
      </c>
      <c r="B1149" s="29">
        <v>51000</v>
      </c>
      <c r="C1149" s="29">
        <v>52300</v>
      </c>
      <c r="D1149" s="29">
        <v>50700</v>
      </c>
      <c r="E1149" s="29">
        <v>47500</v>
      </c>
      <c r="F1149" s="29">
        <v>52200</v>
      </c>
      <c r="G1149" s="29" t="str">
        <v>-</v>
      </c>
      <c r="H1149" s="29">
        <v>50000</v>
      </c>
      <c r="I1149" s="29">
        <v>50200</v>
      </c>
      <c r="J1149" s="29">
        <v>52200</v>
      </c>
      <c r="K1149" s="29" t="str">
        <v>-</v>
      </c>
      <c r="L1149" s="29">
        <v>51700</v>
      </c>
      <c r="M1149" s="29">
        <v>53200</v>
      </c>
      <c r="N1149" s="29">
        <v>49700</v>
      </c>
      <c r="O1149" s="29">
        <v>49500</v>
      </c>
      <c r="P1149" s="29">
        <v>47200</v>
      </c>
      <c r="Q1149" s="29">
        <v>47700</v>
      </c>
      <c r="R1149" s="29">
        <v>47700</v>
      </c>
      <c r="S1149">
        <v>49600</v>
      </c>
      <c r="T1149">
        <v>50700</v>
      </c>
      <c r="U1149">
        <v>52300</v>
      </c>
      <c r="V1149">
        <v>52300</v>
      </c>
      <c r="W1149">
        <v>54600</v>
      </c>
    </row>
    <row r="1150" spans="1:23">
      <c r="A1150" s="30">
        <v>45434</v>
      </c>
      <c r="B1150" s="29">
        <v>51000</v>
      </c>
      <c r="C1150" s="29">
        <v>52300</v>
      </c>
      <c r="D1150" s="29">
        <v>50800</v>
      </c>
      <c r="E1150" s="29">
        <v>47600</v>
      </c>
      <c r="F1150" s="29">
        <v>52200</v>
      </c>
      <c r="G1150" s="29" t="str">
        <v>-</v>
      </c>
      <c r="H1150" s="29">
        <v>50000</v>
      </c>
      <c r="I1150" s="29">
        <v>50300</v>
      </c>
      <c r="J1150" s="29">
        <v>52200</v>
      </c>
      <c r="K1150" s="29" t="str">
        <v>-</v>
      </c>
      <c r="L1150" s="29">
        <v>51900</v>
      </c>
      <c r="M1150" s="29">
        <v>53200</v>
      </c>
      <c r="N1150" s="29">
        <v>50000</v>
      </c>
      <c r="O1150" s="29">
        <v>49600</v>
      </c>
      <c r="P1150" s="29">
        <v>47400</v>
      </c>
      <c r="Q1150" s="29">
        <v>47900</v>
      </c>
      <c r="R1150" s="29">
        <v>47800</v>
      </c>
      <c r="S1150">
        <v>49700</v>
      </c>
      <c r="T1150">
        <v>51000</v>
      </c>
      <c r="U1150">
        <v>52300</v>
      </c>
      <c r="V1150">
        <v>52200</v>
      </c>
      <c r="W1150">
        <v>54600</v>
      </c>
    </row>
    <row r="1151" spans="1:23">
      <c r="A1151" s="30">
        <v>45435</v>
      </c>
      <c r="B1151" s="29">
        <v>51000</v>
      </c>
      <c r="C1151" s="29">
        <v>52200</v>
      </c>
      <c r="D1151" s="29">
        <v>50700</v>
      </c>
      <c r="E1151" s="29">
        <v>47400</v>
      </c>
      <c r="F1151" s="29">
        <v>52000</v>
      </c>
      <c r="G1151" s="29" t="str">
        <v>-</v>
      </c>
      <c r="H1151" s="29">
        <v>49500</v>
      </c>
      <c r="I1151" s="29">
        <v>50000</v>
      </c>
      <c r="J1151" s="29">
        <v>52300</v>
      </c>
      <c r="K1151" s="29" t="str">
        <v>-</v>
      </c>
      <c r="L1151" s="29">
        <v>51700</v>
      </c>
      <c r="M1151" s="29">
        <v>53100</v>
      </c>
      <c r="N1151" s="29">
        <v>49700</v>
      </c>
      <c r="O1151" s="29">
        <v>49400</v>
      </c>
      <c r="P1151" s="29">
        <v>47400</v>
      </c>
      <c r="Q1151" s="29">
        <v>47900</v>
      </c>
      <c r="R1151" s="29">
        <v>47700</v>
      </c>
      <c r="S1151">
        <v>49500</v>
      </c>
      <c r="T1151">
        <v>51000</v>
      </c>
      <c r="U1151">
        <v>52300</v>
      </c>
      <c r="V1151">
        <v>52100</v>
      </c>
      <c r="W1151">
        <v>54500</v>
      </c>
    </row>
    <row r="1152" spans="1:23">
      <c r="A1152" s="30">
        <v>45436</v>
      </c>
      <c r="B1152" s="29">
        <v>50800</v>
      </c>
      <c r="C1152" s="29">
        <v>52000</v>
      </c>
      <c r="D1152" s="29">
        <v>50700</v>
      </c>
      <c r="E1152" s="29">
        <v>47400</v>
      </c>
      <c r="F1152" s="29">
        <v>52000</v>
      </c>
      <c r="G1152" s="29" t="str">
        <v>-</v>
      </c>
      <c r="H1152" s="29">
        <v>49500</v>
      </c>
      <c r="I1152" s="29">
        <v>50000</v>
      </c>
      <c r="J1152" s="29">
        <v>52300</v>
      </c>
      <c r="K1152" s="29" t="str">
        <v>-</v>
      </c>
      <c r="L1152" s="29">
        <v>51700</v>
      </c>
      <c r="M1152" s="29">
        <v>53100</v>
      </c>
      <c r="N1152" s="29">
        <v>49800</v>
      </c>
      <c r="O1152" s="29">
        <v>49600</v>
      </c>
      <c r="P1152" s="29">
        <v>47400</v>
      </c>
      <c r="Q1152" s="29">
        <v>47900</v>
      </c>
      <c r="R1152" s="29">
        <v>47700</v>
      </c>
      <c r="S1152">
        <v>49500</v>
      </c>
      <c r="T1152">
        <v>51000</v>
      </c>
      <c r="U1152">
        <v>52300</v>
      </c>
      <c r="V1152">
        <v>52000</v>
      </c>
      <c r="W1152">
        <v>54500</v>
      </c>
    </row>
    <row r="1153" spans="1:23">
      <c r="A1153" s="30">
        <v>45437</v>
      </c>
      <c r="B1153" s="29">
        <v>50600</v>
      </c>
      <c r="C1153" s="29">
        <v>52000</v>
      </c>
      <c r="D1153" s="29">
        <v>50500</v>
      </c>
      <c r="E1153" s="29">
        <v>47200</v>
      </c>
      <c r="F1153" s="29">
        <v>51500</v>
      </c>
      <c r="G1153" s="29" t="str">
        <v>-</v>
      </c>
      <c r="H1153" s="29">
        <v>49500</v>
      </c>
      <c r="I1153" s="29">
        <v>49800</v>
      </c>
      <c r="J1153" s="29">
        <v>52100</v>
      </c>
      <c r="K1153" s="29" t="str">
        <v>-</v>
      </c>
      <c r="L1153" s="29">
        <v>51500</v>
      </c>
      <c r="M1153" s="29">
        <v>52800</v>
      </c>
      <c r="N1153" s="29">
        <v>49400</v>
      </c>
      <c r="O1153" s="29">
        <v>49200</v>
      </c>
      <c r="P1153" s="29">
        <v>47000</v>
      </c>
      <c r="Q1153" s="29">
        <v>47600</v>
      </c>
      <c r="R1153" s="29">
        <v>47500</v>
      </c>
      <c r="S1153">
        <v>49300</v>
      </c>
      <c r="T1153">
        <v>50600</v>
      </c>
      <c r="U1153">
        <v>52300</v>
      </c>
      <c r="V1153">
        <v>52000</v>
      </c>
      <c r="W1153">
        <v>54500</v>
      </c>
    </row>
    <row r="1154" spans="1:23">
      <c r="A1154" s="30">
        <v>45438</v>
      </c>
      <c r="B1154" s="29" t="str">
        <v>H</v>
      </c>
      <c r="C1154" s="29" t="str">
        <v>H</v>
      </c>
      <c r="D1154" s="29" t="str">
        <v>H</v>
      </c>
      <c r="E1154" s="29" t="str">
        <v>H</v>
      </c>
      <c r="F1154" s="29" t="str">
        <v>H</v>
      </c>
      <c r="G1154" s="29" t="str">
        <v>H</v>
      </c>
      <c r="H1154" s="29" t="str">
        <v>H</v>
      </c>
      <c r="I1154" s="29" t="str">
        <v>H</v>
      </c>
      <c r="J1154" s="29" t="str">
        <v>H</v>
      </c>
      <c r="K1154" s="29" t="str">
        <v>H</v>
      </c>
      <c r="L1154" s="29" t="str">
        <v>H</v>
      </c>
      <c r="M1154" s="29" t="str">
        <v>H</v>
      </c>
      <c r="N1154" s="29" t="str">
        <v>H</v>
      </c>
      <c r="O1154" s="29" t="str">
        <v>H</v>
      </c>
      <c r="P1154" s="29" t="str">
        <v>H</v>
      </c>
      <c r="Q1154" s="29" t="str">
        <v>H</v>
      </c>
      <c r="R1154" s="29" t="str">
        <v>H</v>
      </c>
      <c r="S1154" t="str">
        <v>H</v>
      </c>
      <c r="T1154" t="str">
        <v>H</v>
      </c>
      <c r="U1154" t="str">
        <v>H</v>
      </c>
      <c r="V1154" t="str">
        <v>H</v>
      </c>
      <c r="W1154" t="str">
        <v>H</v>
      </c>
    </row>
    <row r="1155" spans="1:23">
      <c r="A1155" s="30">
        <v>45439</v>
      </c>
      <c r="B1155" s="29">
        <v>50400</v>
      </c>
      <c r="C1155" s="29">
        <v>51800</v>
      </c>
      <c r="D1155" s="29">
        <v>50400</v>
      </c>
      <c r="E1155" s="29">
        <v>47200</v>
      </c>
      <c r="F1155" s="29">
        <v>51300</v>
      </c>
      <c r="G1155" s="29" t="str">
        <v>-</v>
      </c>
      <c r="H1155" s="29">
        <v>49500</v>
      </c>
      <c r="I1155" s="29">
        <v>49600</v>
      </c>
      <c r="J1155" s="29">
        <v>51800</v>
      </c>
      <c r="K1155" s="29" t="str">
        <v>-</v>
      </c>
      <c r="L1155" s="29">
        <v>51300</v>
      </c>
      <c r="M1155" s="29">
        <v>52700</v>
      </c>
      <c r="N1155" s="29">
        <v>49400</v>
      </c>
      <c r="O1155" s="29">
        <v>49000</v>
      </c>
      <c r="P1155" s="29">
        <v>47100</v>
      </c>
      <c r="Q1155" s="29">
        <v>47600</v>
      </c>
      <c r="R1155" s="29">
        <v>47500</v>
      </c>
      <c r="S1155">
        <v>49300</v>
      </c>
      <c r="T1155">
        <v>50600</v>
      </c>
      <c r="U1155">
        <v>52300</v>
      </c>
      <c r="V1155">
        <v>51600</v>
      </c>
      <c r="W1155">
        <v>54000</v>
      </c>
    </row>
    <row r="1156" spans="1:23">
      <c r="A1156" s="30">
        <v>45440</v>
      </c>
      <c r="B1156" s="29">
        <v>50300</v>
      </c>
      <c r="C1156" s="29">
        <v>51500</v>
      </c>
      <c r="D1156" s="29">
        <v>50400</v>
      </c>
      <c r="E1156" s="29">
        <v>46900</v>
      </c>
      <c r="F1156" s="29">
        <v>51100</v>
      </c>
      <c r="G1156" s="29" t="str">
        <v>-</v>
      </c>
      <c r="H1156" s="29">
        <v>49000</v>
      </c>
      <c r="I1156" s="29">
        <v>49500</v>
      </c>
      <c r="J1156" s="29">
        <v>51400</v>
      </c>
      <c r="K1156" s="29" t="str">
        <v>-</v>
      </c>
      <c r="L1156" s="29">
        <v>51300</v>
      </c>
      <c r="M1156" s="29">
        <v>52700</v>
      </c>
      <c r="N1156" s="29">
        <v>49200</v>
      </c>
      <c r="O1156" s="29">
        <v>48700</v>
      </c>
      <c r="P1156" s="29">
        <v>47200</v>
      </c>
      <c r="Q1156" s="29">
        <v>47600</v>
      </c>
      <c r="R1156" s="29">
        <v>46800</v>
      </c>
      <c r="S1156">
        <v>49000</v>
      </c>
      <c r="T1156">
        <v>50400</v>
      </c>
      <c r="U1156">
        <v>52300</v>
      </c>
      <c r="V1156">
        <v>51500</v>
      </c>
      <c r="W1156">
        <v>53700</v>
      </c>
    </row>
    <row r="1157" spans="1:23">
      <c r="A1157" s="30">
        <v>45441</v>
      </c>
      <c r="B1157" s="29">
        <v>50500</v>
      </c>
      <c r="C1157" s="29">
        <v>51200</v>
      </c>
      <c r="D1157" s="29">
        <v>50500</v>
      </c>
      <c r="E1157" s="29">
        <v>46900</v>
      </c>
      <c r="F1157" s="29">
        <v>51100</v>
      </c>
      <c r="G1157" s="29" t="str">
        <v>-</v>
      </c>
      <c r="H1157" s="29">
        <v>49000</v>
      </c>
      <c r="I1157" s="29">
        <v>49800</v>
      </c>
      <c r="J1157" s="29">
        <v>51400</v>
      </c>
      <c r="K1157" s="29" t="str">
        <v>-</v>
      </c>
      <c r="L1157" s="29">
        <v>51500</v>
      </c>
      <c r="M1157" s="29">
        <v>52500</v>
      </c>
      <c r="N1157" s="29">
        <v>49800</v>
      </c>
      <c r="O1157" s="29">
        <v>49150</v>
      </c>
      <c r="P1157" s="29">
        <v>47500</v>
      </c>
      <c r="Q1157" s="29">
        <v>47900</v>
      </c>
      <c r="R1157" s="29">
        <v>47500</v>
      </c>
      <c r="S1157">
        <v>49000</v>
      </c>
      <c r="T1157">
        <v>50600</v>
      </c>
      <c r="U1157">
        <v>52300</v>
      </c>
      <c r="V1157">
        <v>51500</v>
      </c>
      <c r="W1157">
        <v>53700</v>
      </c>
    </row>
    <row r="1158" spans="1:23">
      <c r="A1158" s="30">
        <v>45442</v>
      </c>
      <c r="B1158" s="29">
        <v>50500</v>
      </c>
      <c r="C1158" s="29">
        <v>51000</v>
      </c>
      <c r="D1158" s="29">
        <v>50700</v>
      </c>
      <c r="E1158" s="29">
        <v>47300</v>
      </c>
      <c r="F1158" s="29">
        <v>51300</v>
      </c>
      <c r="G1158" s="29" t="str">
        <v>-</v>
      </c>
      <c r="H1158" s="29">
        <v>49000</v>
      </c>
      <c r="I1158" s="29">
        <v>50200</v>
      </c>
      <c r="J1158" s="29">
        <v>51800</v>
      </c>
      <c r="K1158" s="29" t="str">
        <v>-</v>
      </c>
      <c r="L1158" s="29">
        <v>51600</v>
      </c>
      <c r="M1158" s="29">
        <v>52600</v>
      </c>
      <c r="N1158" s="29">
        <v>49800</v>
      </c>
      <c r="O1158" s="29">
        <v>49200</v>
      </c>
      <c r="P1158" s="29">
        <v>47400</v>
      </c>
      <c r="Q1158" s="29">
        <v>48000</v>
      </c>
      <c r="R1158" s="29">
        <v>47500</v>
      </c>
      <c r="S1158">
        <v>49400</v>
      </c>
      <c r="T1158">
        <v>50600</v>
      </c>
      <c r="U1158">
        <v>52300</v>
      </c>
      <c r="V1158">
        <v>51500</v>
      </c>
      <c r="W1158">
        <v>53700</v>
      </c>
    </row>
    <row r="1159" spans="1:23">
      <c r="A1159" s="30">
        <v>45443</v>
      </c>
      <c r="B1159" s="29">
        <v>50700</v>
      </c>
      <c r="C1159" s="29">
        <v>51000</v>
      </c>
      <c r="D1159" s="29">
        <v>50800</v>
      </c>
      <c r="E1159" s="29">
        <v>47500</v>
      </c>
      <c r="F1159" s="29">
        <v>51200</v>
      </c>
      <c r="G1159" s="29" t="str">
        <v>-</v>
      </c>
      <c r="H1159" s="29">
        <v>49500</v>
      </c>
      <c r="I1159" s="29">
        <v>50400</v>
      </c>
      <c r="J1159" s="29">
        <v>52000</v>
      </c>
      <c r="K1159" s="29" t="str">
        <v>-</v>
      </c>
      <c r="L1159" s="29">
        <v>51900</v>
      </c>
      <c r="M1159" s="29">
        <v>52600</v>
      </c>
      <c r="N1159" s="29">
        <v>50200</v>
      </c>
      <c r="O1159" s="29">
        <v>49500</v>
      </c>
      <c r="P1159" s="29">
        <v>48000</v>
      </c>
      <c r="Q1159" s="29">
        <v>48100</v>
      </c>
      <c r="R1159" s="29">
        <v>47800</v>
      </c>
      <c r="S1159">
        <v>49600</v>
      </c>
      <c r="T1159">
        <v>51000</v>
      </c>
      <c r="U1159">
        <v>52300</v>
      </c>
      <c r="V1159">
        <v>51400</v>
      </c>
      <c r="W1159">
        <v>53700</v>
      </c>
    </row>
    <row r="1160" spans="1:23">
      <c r="A1160" s="30">
        <v>45444</v>
      </c>
      <c r="B1160" s="29">
        <v>50700</v>
      </c>
      <c r="C1160" s="29">
        <v>51000</v>
      </c>
      <c r="D1160" s="29">
        <v>50900</v>
      </c>
      <c r="E1160" s="29">
        <v>47500</v>
      </c>
      <c r="F1160" s="29">
        <v>51100</v>
      </c>
      <c r="G1160" s="29" t="str">
        <v>-</v>
      </c>
      <c r="H1160" s="29">
        <v>49500</v>
      </c>
      <c r="I1160" s="29">
        <v>50400</v>
      </c>
      <c r="J1160" s="29">
        <v>52000</v>
      </c>
      <c r="K1160" s="29" t="str">
        <v>-</v>
      </c>
      <c r="L1160" s="29" t="str">
        <v>-</v>
      </c>
      <c r="M1160" s="29">
        <v>52400</v>
      </c>
      <c r="N1160" s="29">
        <v>49800</v>
      </c>
      <c r="O1160" s="29">
        <v>49400</v>
      </c>
      <c r="P1160" s="29">
        <v>47900</v>
      </c>
      <c r="Q1160" s="29">
        <v>48100</v>
      </c>
      <c r="R1160" s="29">
        <v>47800</v>
      </c>
      <c r="S1160">
        <v>49600</v>
      </c>
      <c r="T1160">
        <v>51000</v>
      </c>
      <c r="U1160">
        <v>52300</v>
      </c>
      <c r="V1160">
        <v>51100</v>
      </c>
      <c r="W1160">
        <v>53500</v>
      </c>
    </row>
    <row r="1161" spans="1:23">
      <c r="A1161" s="30">
        <v>45445</v>
      </c>
      <c r="B1161" s="29" t="str">
        <v>H</v>
      </c>
      <c r="C1161" s="29" t="str">
        <v>H</v>
      </c>
      <c r="D1161" s="29" t="str">
        <v>H</v>
      </c>
      <c r="E1161" s="29" t="str">
        <v>H</v>
      </c>
      <c r="F1161" s="29" t="str">
        <v>H</v>
      </c>
      <c r="G1161" s="29" t="str">
        <v>H</v>
      </c>
      <c r="H1161" s="29" t="str">
        <v>H</v>
      </c>
      <c r="I1161" s="29" t="str">
        <v>H</v>
      </c>
      <c r="J1161" s="29" t="str">
        <v>H</v>
      </c>
      <c r="K1161" s="29" t="str">
        <v>H</v>
      </c>
      <c r="L1161" s="29" t="str">
        <v>H</v>
      </c>
      <c r="M1161" s="29" t="str">
        <v>H</v>
      </c>
      <c r="N1161" s="29" t="str">
        <v>H</v>
      </c>
      <c r="O1161" s="29" t="str">
        <v>H</v>
      </c>
      <c r="P1161" s="29" t="str">
        <v>H</v>
      </c>
      <c r="Q1161" s="29" t="str">
        <v>H</v>
      </c>
      <c r="R1161" s="29" t="str">
        <v>H</v>
      </c>
      <c r="S1161" t="str">
        <v>H</v>
      </c>
      <c r="T1161" t="str">
        <v>H</v>
      </c>
      <c r="U1161" t="str">
        <v>H</v>
      </c>
      <c r="V1161" t="str">
        <v>H</v>
      </c>
      <c r="W1161" t="str">
        <v>H</v>
      </c>
    </row>
    <row r="1162" spans="1:23">
      <c r="A1162" s="30">
        <v>45446</v>
      </c>
      <c r="B1162" s="29">
        <v>51500</v>
      </c>
      <c r="C1162" s="29">
        <v>51800</v>
      </c>
      <c r="D1162" s="29">
        <v>51700</v>
      </c>
      <c r="E1162" s="29">
        <v>48200</v>
      </c>
      <c r="F1162" s="29">
        <v>52200</v>
      </c>
      <c r="G1162" s="29" t="str">
        <v>-</v>
      </c>
      <c r="H1162" s="29">
        <v>50500</v>
      </c>
      <c r="I1162" s="29">
        <v>51300</v>
      </c>
      <c r="J1162" s="29">
        <v>53400</v>
      </c>
      <c r="K1162" s="29" t="str">
        <v>-</v>
      </c>
      <c r="L1162" s="29">
        <v>52400</v>
      </c>
      <c r="M1162" s="29">
        <v>52700</v>
      </c>
      <c r="N1162" s="29">
        <v>51200</v>
      </c>
      <c r="O1162" s="29">
        <v>50000</v>
      </c>
      <c r="P1162" s="29">
        <v>48700</v>
      </c>
      <c r="Q1162" s="29">
        <v>49100</v>
      </c>
      <c r="R1162" s="29">
        <v>49000</v>
      </c>
      <c r="S1162">
        <v>50300</v>
      </c>
      <c r="T1162">
        <v>52000</v>
      </c>
      <c r="U1162">
        <v>53300</v>
      </c>
      <c r="V1162">
        <v>52000</v>
      </c>
      <c r="W1162">
        <v>54600</v>
      </c>
    </row>
    <row r="1163" spans="1:23">
      <c r="A1163" s="30">
        <v>45447</v>
      </c>
      <c r="B1163" s="29">
        <v>51500</v>
      </c>
      <c r="C1163" s="29">
        <v>51500</v>
      </c>
      <c r="D1163" s="29">
        <v>51700</v>
      </c>
      <c r="E1163" s="29">
        <v>47800</v>
      </c>
      <c r="F1163" s="29">
        <v>51900</v>
      </c>
      <c r="G1163" s="29" t="str">
        <v>-</v>
      </c>
      <c r="H1163" s="29">
        <v>50000</v>
      </c>
      <c r="I1163" s="29">
        <v>51000</v>
      </c>
      <c r="J1163" s="29">
        <v>53400</v>
      </c>
      <c r="K1163" s="29" t="str">
        <v>-</v>
      </c>
      <c r="L1163" s="29">
        <v>52400</v>
      </c>
      <c r="M1163" s="29">
        <v>52300</v>
      </c>
      <c r="N1163" s="29">
        <v>50900</v>
      </c>
      <c r="O1163" s="29">
        <v>49800</v>
      </c>
      <c r="P1163" s="29">
        <v>48200</v>
      </c>
      <c r="Q1163" s="29">
        <v>48900</v>
      </c>
      <c r="R1163" s="29">
        <v>48600</v>
      </c>
      <c r="S1163">
        <v>49900</v>
      </c>
      <c r="T1163">
        <v>52000</v>
      </c>
      <c r="U1163">
        <v>53300</v>
      </c>
      <c r="V1163">
        <v>52000</v>
      </c>
      <c r="W1163">
        <v>54700</v>
      </c>
    </row>
    <row r="1164" spans="1:23">
      <c r="A1164" s="30">
        <v>45448</v>
      </c>
      <c r="B1164" s="29">
        <v>51300</v>
      </c>
      <c r="C1164" s="29">
        <v>51500</v>
      </c>
      <c r="D1164" s="29">
        <v>51400</v>
      </c>
      <c r="E1164" s="29">
        <v>47200</v>
      </c>
      <c r="F1164" s="29">
        <v>51900</v>
      </c>
      <c r="G1164" s="29" t="str">
        <v>-</v>
      </c>
      <c r="H1164" s="29">
        <v>49500</v>
      </c>
      <c r="I1164" s="29">
        <v>50800</v>
      </c>
      <c r="J1164" s="29">
        <v>52600</v>
      </c>
      <c r="K1164" s="29" t="str">
        <v>-</v>
      </c>
      <c r="L1164" s="29">
        <v>52200</v>
      </c>
      <c r="M1164" s="29">
        <v>51900</v>
      </c>
      <c r="N1164" s="29">
        <v>50200</v>
      </c>
      <c r="O1164" s="29">
        <v>49500</v>
      </c>
      <c r="P1164" s="29">
        <v>47800</v>
      </c>
      <c r="Q1164" s="29">
        <v>48400</v>
      </c>
      <c r="R1164" s="29">
        <v>48300</v>
      </c>
      <c r="S1164">
        <v>49300</v>
      </c>
      <c r="T1164">
        <v>51700</v>
      </c>
      <c r="U1164">
        <v>53300</v>
      </c>
      <c r="V1164">
        <v>52000</v>
      </c>
      <c r="W1164">
        <v>54500</v>
      </c>
    </row>
    <row r="1165" spans="1:23">
      <c r="A1165" s="30">
        <v>45449</v>
      </c>
      <c r="B1165" s="29">
        <v>51200</v>
      </c>
      <c r="C1165" s="29">
        <v>51700</v>
      </c>
      <c r="D1165" s="29">
        <v>51200</v>
      </c>
      <c r="E1165" s="29">
        <v>46900</v>
      </c>
      <c r="F1165" s="29">
        <v>52000</v>
      </c>
      <c r="G1165" s="29" t="str">
        <v>-</v>
      </c>
      <c r="H1165" s="29">
        <v>49500</v>
      </c>
      <c r="I1165" s="29">
        <v>50400</v>
      </c>
      <c r="J1165" s="29">
        <v>52600</v>
      </c>
      <c r="K1165" s="29" t="str">
        <v>-</v>
      </c>
      <c r="L1165" s="29">
        <v>52000</v>
      </c>
      <c r="M1165" s="29">
        <v>51900</v>
      </c>
      <c r="N1165" s="29">
        <v>50200</v>
      </c>
      <c r="O1165" s="29">
        <v>49000</v>
      </c>
      <c r="P1165" s="29">
        <v>47500</v>
      </c>
      <c r="Q1165" s="29">
        <v>48100</v>
      </c>
      <c r="R1165" s="29">
        <v>47800</v>
      </c>
      <c r="S1165">
        <v>49100</v>
      </c>
      <c r="T1165">
        <v>51500</v>
      </c>
      <c r="U1165">
        <v>52800</v>
      </c>
      <c r="V1165">
        <v>51900</v>
      </c>
      <c r="W1165">
        <v>54400</v>
      </c>
    </row>
    <row r="1166" spans="1:23">
      <c r="A1166" s="30">
        <v>45450</v>
      </c>
      <c r="B1166" s="29">
        <v>51300</v>
      </c>
      <c r="C1166" s="29">
        <v>51000</v>
      </c>
      <c r="D1166" s="29">
        <v>51000</v>
      </c>
      <c r="E1166" s="29">
        <v>46700</v>
      </c>
      <c r="F1166" s="29">
        <v>51800</v>
      </c>
      <c r="G1166" s="29" t="str">
        <v>-</v>
      </c>
      <c r="H1166" s="29">
        <v>49000</v>
      </c>
      <c r="I1166" s="29">
        <v>50000</v>
      </c>
      <c r="J1166" s="29">
        <v>52200</v>
      </c>
      <c r="K1166" s="29" t="str">
        <v>-</v>
      </c>
      <c r="L1166" s="29">
        <v>51800</v>
      </c>
      <c r="M1166" s="29">
        <v>51700</v>
      </c>
      <c r="N1166" s="29">
        <v>49800</v>
      </c>
      <c r="O1166" s="29">
        <v>48500</v>
      </c>
      <c r="P1166" s="29">
        <v>47000</v>
      </c>
      <c r="Q1166" s="29">
        <v>47800</v>
      </c>
      <c r="R1166" s="29">
        <v>47300</v>
      </c>
      <c r="S1166">
        <v>48800</v>
      </c>
      <c r="T1166">
        <v>51000</v>
      </c>
      <c r="U1166">
        <v>52300</v>
      </c>
      <c r="V1166">
        <v>51700</v>
      </c>
      <c r="W1166">
        <v>54400</v>
      </c>
    </row>
    <row r="1167" spans="1:23">
      <c r="A1167" s="30">
        <v>45451</v>
      </c>
      <c r="B1167" s="29">
        <v>51300</v>
      </c>
      <c r="C1167" s="29">
        <v>51000</v>
      </c>
      <c r="D1167" s="29">
        <v>51000</v>
      </c>
      <c r="E1167" s="29">
        <v>47000</v>
      </c>
      <c r="F1167" s="29">
        <v>51800</v>
      </c>
      <c r="G1167" s="29" t="str">
        <v>-</v>
      </c>
      <c r="H1167" s="29">
        <v>49000</v>
      </c>
      <c r="I1167" s="29">
        <v>50100</v>
      </c>
      <c r="J1167" s="29">
        <v>52200</v>
      </c>
      <c r="K1167" s="29" t="str">
        <v>-</v>
      </c>
      <c r="L1167" s="29">
        <v>51900</v>
      </c>
      <c r="M1167" s="29">
        <v>51700</v>
      </c>
      <c r="N1167" s="29">
        <v>50000</v>
      </c>
      <c r="O1167" s="29">
        <v>48700</v>
      </c>
      <c r="P1167" s="29">
        <v>47300</v>
      </c>
      <c r="Q1167" s="29">
        <v>48000</v>
      </c>
      <c r="R1167" s="29">
        <v>47500</v>
      </c>
      <c r="S1167">
        <v>49000</v>
      </c>
      <c r="T1167">
        <v>51000</v>
      </c>
      <c r="U1167">
        <v>52300</v>
      </c>
      <c r="V1167">
        <v>51700</v>
      </c>
      <c r="W1167">
        <v>54400</v>
      </c>
    </row>
    <row r="1168" spans="1:23">
      <c r="A1168" s="30">
        <v>45452</v>
      </c>
      <c r="B1168" s="29" t="str">
        <v>H</v>
      </c>
      <c r="C1168" s="29" t="str">
        <v>H</v>
      </c>
      <c r="D1168" s="29" t="str">
        <v>H</v>
      </c>
      <c r="E1168" s="29" t="str">
        <v>H</v>
      </c>
      <c r="F1168" s="29" t="str">
        <v>H</v>
      </c>
      <c r="G1168" s="29" t="str">
        <v>H</v>
      </c>
      <c r="H1168" s="29" t="str">
        <v>H</v>
      </c>
      <c r="I1168" s="29" t="str">
        <v>H</v>
      </c>
      <c r="J1168" s="29" t="str">
        <v>H</v>
      </c>
      <c r="K1168" s="29" t="str">
        <v>H</v>
      </c>
      <c r="L1168" s="29" t="str">
        <v>H</v>
      </c>
      <c r="M1168" s="29" t="str">
        <v>H</v>
      </c>
      <c r="N1168" s="29" t="str">
        <v>H</v>
      </c>
      <c r="O1168" s="29" t="str">
        <v>H</v>
      </c>
      <c r="P1168" s="29" t="str">
        <v>H</v>
      </c>
      <c r="Q1168" s="29" t="str">
        <v>H</v>
      </c>
      <c r="R1168" s="29" t="str">
        <v>H</v>
      </c>
      <c r="S1168" t="str">
        <v>H</v>
      </c>
      <c r="T1168" t="str">
        <v>H</v>
      </c>
      <c r="U1168" t="str">
        <v>H</v>
      </c>
      <c r="V1168" t="str">
        <v>H</v>
      </c>
      <c r="W1168" t="str">
        <v>H</v>
      </c>
    </row>
    <row r="1169" spans="1:23">
      <c r="A1169" s="30">
        <v>45453</v>
      </c>
      <c r="B1169" s="29">
        <v>51000</v>
      </c>
      <c r="C1169" s="29">
        <v>51000</v>
      </c>
      <c r="D1169" s="29">
        <v>50700</v>
      </c>
      <c r="E1169" s="29">
        <v>46900</v>
      </c>
      <c r="F1169" s="29">
        <v>51800</v>
      </c>
      <c r="G1169" s="29" t="str">
        <v>-</v>
      </c>
      <c r="H1169" s="29">
        <v>49000</v>
      </c>
      <c r="I1169" s="29">
        <v>49800</v>
      </c>
      <c r="J1169" s="29">
        <v>52200</v>
      </c>
      <c r="K1169" s="29" t="str">
        <v>-</v>
      </c>
      <c r="L1169" s="29">
        <v>51700</v>
      </c>
      <c r="M1169" s="29">
        <v>51700</v>
      </c>
      <c r="N1169" s="29">
        <v>49600</v>
      </c>
      <c r="O1169" s="29">
        <v>48700</v>
      </c>
      <c r="P1169" s="29">
        <v>47000</v>
      </c>
      <c r="Q1169" s="29">
        <v>48000</v>
      </c>
      <c r="R1169" s="29">
        <v>47300</v>
      </c>
      <c r="S1169">
        <v>49000</v>
      </c>
      <c r="T1169">
        <v>51000</v>
      </c>
      <c r="U1169">
        <v>52300</v>
      </c>
      <c r="V1169">
        <v>51100</v>
      </c>
      <c r="W1169">
        <v>54300</v>
      </c>
    </row>
    <row r="1170" spans="1:23">
      <c r="A1170" s="30">
        <v>45454</v>
      </c>
      <c r="B1170" s="29">
        <v>50700</v>
      </c>
      <c r="C1170" s="29">
        <v>50500</v>
      </c>
      <c r="D1170" s="29">
        <v>50500</v>
      </c>
      <c r="E1170" s="29">
        <v>46500</v>
      </c>
      <c r="F1170" s="29">
        <v>51300</v>
      </c>
      <c r="G1170" s="29" t="str">
        <v>-</v>
      </c>
      <c r="H1170" s="29">
        <v>48500</v>
      </c>
      <c r="I1170" s="29">
        <v>49600</v>
      </c>
      <c r="J1170" s="29">
        <v>51600</v>
      </c>
      <c r="K1170" s="29" t="str">
        <v>-</v>
      </c>
      <c r="L1170" s="29">
        <v>51600</v>
      </c>
      <c r="M1170" s="29">
        <v>51300</v>
      </c>
      <c r="N1170" s="29">
        <v>49400</v>
      </c>
      <c r="O1170" s="29">
        <v>48300</v>
      </c>
      <c r="P1170" s="29">
        <v>46800</v>
      </c>
      <c r="Q1170" s="29">
        <v>47400</v>
      </c>
      <c r="R1170" s="29">
        <v>47000</v>
      </c>
      <c r="S1170">
        <v>48600</v>
      </c>
      <c r="T1170">
        <v>50500</v>
      </c>
      <c r="U1170">
        <v>51800</v>
      </c>
      <c r="V1170">
        <v>50900</v>
      </c>
      <c r="W1170">
        <v>54100</v>
      </c>
    </row>
    <row r="1171" spans="1:23">
      <c r="A1171" s="30">
        <v>45455</v>
      </c>
      <c r="B1171" s="29">
        <v>50400</v>
      </c>
      <c r="C1171" s="29">
        <v>50500</v>
      </c>
      <c r="D1171" s="29">
        <v>50300</v>
      </c>
      <c r="E1171" s="29">
        <v>46200</v>
      </c>
      <c r="F1171" s="29">
        <v>51200</v>
      </c>
      <c r="G1171" s="29" t="str">
        <v>-</v>
      </c>
      <c r="H1171" s="29">
        <v>48300</v>
      </c>
      <c r="I1171" s="29">
        <v>49400</v>
      </c>
      <c r="J1171" s="29">
        <v>51300</v>
      </c>
      <c r="K1171" s="29" t="str">
        <v>-</v>
      </c>
      <c r="L1171" s="29">
        <v>51500</v>
      </c>
      <c r="M1171" s="29">
        <v>51300</v>
      </c>
      <c r="N1171" s="29">
        <v>49200</v>
      </c>
      <c r="O1171" s="29">
        <v>48300</v>
      </c>
      <c r="P1171" s="29">
        <v>46700</v>
      </c>
      <c r="Q1171" s="29">
        <v>47300</v>
      </c>
      <c r="R1171" s="29">
        <v>47000</v>
      </c>
      <c r="S1171">
        <v>48300</v>
      </c>
      <c r="T1171">
        <v>50500</v>
      </c>
      <c r="U1171">
        <v>51800</v>
      </c>
      <c r="V1171">
        <v>50700</v>
      </c>
      <c r="W1171">
        <v>54000</v>
      </c>
    </row>
    <row r="1172" spans="1:23">
      <c r="A1172" s="30">
        <v>45456</v>
      </c>
      <c r="B1172" s="29">
        <v>50400</v>
      </c>
      <c r="C1172" s="29">
        <v>50500</v>
      </c>
      <c r="D1172" s="29">
        <v>50100</v>
      </c>
      <c r="E1172" s="29">
        <v>45900</v>
      </c>
      <c r="F1172" s="29">
        <v>51000</v>
      </c>
      <c r="G1172" s="29" t="str">
        <v>-</v>
      </c>
      <c r="H1172" s="29">
        <v>48000</v>
      </c>
      <c r="I1172" s="29">
        <v>49200</v>
      </c>
      <c r="J1172" s="29">
        <v>51300</v>
      </c>
      <c r="K1172" s="29" t="str">
        <v>-</v>
      </c>
      <c r="L1172" s="29">
        <v>51200</v>
      </c>
      <c r="M1172" s="29">
        <v>51200</v>
      </c>
      <c r="N1172" s="29">
        <v>49000</v>
      </c>
      <c r="O1172" s="29">
        <v>48000</v>
      </c>
      <c r="P1172" s="29">
        <v>46500</v>
      </c>
      <c r="Q1172" s="29">
        <v>47300</v>
      </c>
      <c r="R1172" s="29">
        <v>46800</v>
      </c>
      <c r="S1172">
        <v>48000</v>
      </c>
      <c r="T1172">
        <v>50500</v>
      </c>
      <c r="U1172">
        <v>51800</v>
      </c>
      <c r="V1172">
        <v>50700</v>
      </c>
      <c r="W1172">
        <v>54000</v>
      </c>
    </row>
    <row r="1173" spans="1:23">
      <c r="A1173" s="30">
        <v>45457</v>
      </c>
      <c r="B1173" s="29">
        <v>50100</v>
      </c>
      <c r="C1173" s="29">
        <v>50000</v>
      </c>
      <c r="D1173" s="29">
        <v>50100</v>
      </c>
      <c r="E1173" s="29">
        <v>45800</v>
      </c>
      <c r="F1173" s="29">
        <v>50300</v>
      </c>
      <c r="G1173" s="29" t="str">
        <v>-</v>
      </c>
      <c r="H1173" s="29">
        <v>47500</v>
      </c>
      <c r="I1173" s="29">
        <v>49000</v>
      </c>
      <c r="J1173" s="29">
        <v>51000</v>
      </c>
      <c r="K1173" s="29" t="str">
        <v>-</v>
      </c>
      <c r="L1173" s="29">
        <v>51100</v>
      </c>
      <c r="M1173" s="29">
        <v>50700</v>
      </c>
      <c r="N1173" s="29">
        <v>49000</v>
      </c>
      <c r="O1173" s="29">
        <v>47900</v>
      </c>
      <c r="P1173" s="29">
        <v>46200</v>
      </c>
      <c r="Q1173" s="29">
        <v>47000</v>
      </c>
      <c r="R1173" s="29">
        <v>46500</v>
      </c>
      <c r="S1173">
        <v>47900</v>
      </c>
      <c r="T1173">
        <v>50000</v>
      </c>
      <c r="U1173">
        <v>51800</v>
      </c>
      <c r="V1173">
        <v>50600</v>
      </c>
      <c r="W1173">
        <v>54000</v>
      </c>
    </row>
    <row r="1174" spans="1:23">
      <c r="A1174" s="30">
        <v>45458</v>
      </c>
      <c r="B1174" s="29">
        <v>49800</v>
      </c>
      <c r="C1174" s="29">
        <v>50000</v>
      </c>
      <c r="D1174" s="29">
        <v>49900</v>
      </c>
      <c r="E1174" s="29">
        <v>45500</v>
      </c>
      <c r="F1174" s="29">
        <v>50300</v>
      </c>
      <c r="G1174" s="29" t="str">
        <v>-</v>
      </c>
      <c r="H1174" s="29">
        <v>47500</v>
      </c>
      <c r="I1174" s="29">
        <v>48600</v>
      </c>
      <c r="J1174" s="29">
        <v>51000</v>
      </c>
      <c r="K1174" s="29" t="str">
        <v>-</v>
      </c>
      <c r="L1174" s="29">
        <v>50700</v>
      </c>
      <c r="M1174" s="29">
        <v>50500</v>
      </c>
      <c r="N1174" s="29">
        <v>48800</v>
      </c>
      <c r="O1174" s="29">
        <v>47800</v>
      </c>
      <c r="P1174" s="29">
        <v>46000</v>
      </c>
      <c r="Q1174" s="29">
        <v>46800</v>
      </c>
      <c r="R1174" s="29">
        <v>46300</v>
      </c>
      <c r="S1174">
        <v>47600</v>
      </c>
      <c r="T1174">
        <v>50000</v>
      </c>
      <c r="U1174">
        <v>51800</v>
      </c>
      <c r="V1174">
        <v>50600</v>
      </c>
      <c r="W1174">
        <v>54000</v>
      </c>
    </row>
    <row r="1175" spans="1:23">
      <c r="A1175" s="30">
        <v>45459</v>
      </c>
      <c r="B1175" s="29" t="str">
        <v>H</v>
      </c>
      <c r="C1175" s="29" t="str">
        <v>H</v>
      </c>
      <c r="D1175" s="29" t="str">
        <v>H</v>
      </c>
      <c r="E1175" s="29" t="str">
        <v>H</v>
      </c>
      <c r="F1175" s="29" t="str">
        <v>H</v>
      </c>
      <c r="G1175" s="29" t="str">
        <v>H</v>
      </c>
      <c r="H1175" s="29" t="str">
        <v>H</v>
      </c>
      <c r="I1175" s="29" t="str">
        <v>H</v>
      </c>
      <c r="J1175" s="29" t="str">
        <v>H</v>
      </c>
      <c r="K1175" s="29" t="str">
        <v>H</v>
      </c>
      <c r="L1175" s="29" t="str">
        <v>H</v>
      </c>
      <c r="M1175" s="29" t="str">
        <v>H</v>
      </c>
      <c r="N1175" s="29" t="str">
        <v>H</v>
      </c>
      <c r="O1175" s="29" t="str">
        <v>H</v>
      </c>
      <c r="P1175" s="29" t="str">
        <v>H</v>
      </c>
      <c r="Q1175" s="29" t="str">
        <v>H</v>
      </c>
      <c r="R1175" s="29" t="str">
        <v>H</v>
      </c>
      <c r="S1175" t="str">
        <v>H</v>
      </c>
      <c r="T1175" t="str">
        <v>H</v>
      </c>
      <c r="U1175" t="str">
        <v>H</v>
      </c>
      <c r="V1175" t="str">
        <v>H</v>
      </c>
      <c r="W1175" t="str">
        <v>H</v>
      </c>
    </row>
    <row r="1176" spans="1:23">
      <c r="A1176" s="30">
        <v>45460</v>
      </c>
      <c r="B1176" s="29">
        <v>49600</v>
      </c>
      <c r="C1176" s="29">
        <v>49800</v>
      </c>
      <c r="D1176" s="29">
        <v>49600</v>
      </c>
      <c r="E1176" s="29">
        <v>45500</v>
      </c>
      <c r="F1176" s="29">
        <v>50200</v>
      </c>
      <c r="G1176" s="29" t="str">
        <v>-</v>
      </c>
      <c r="H1176" s="29">
        <v>47500</v>
      </c>
      <c r="I1176" s="29">
        <v>48500</v>
      </c>
      <c r="J1176" s="29">
        <v>50500</v>
      </c>
      <c r="K1176" s="29" t="str">
        <v>-</v>
      </c>
      <c r="L1176" s="29">
        <v>50600</v>
      </c>
      <c r="M1176" s="29">
        <v>50200</v>
      </c>
      <c r="N1176" s="29">
        <v>48600</v>
      </c>
      <c r="O1176" s="29">
        <v>47500</v>
      </c>
      <c r="P1176" s="29">
        <v>45700</v>
      </c>
      <c r="Q1176" s="29">
        <v>46300</v>
      </c>
      <c r="R1176" s="29">
        <v>46000</v>
      </c>
      <c r="S1176">
        <v>47600</v>
      </c>
      <c r="T1176">
        <v>49500</v>
      </c>
      <c r="U1176">
        <v>51800</v>
      </c>
      <c r="V1176">
        <v>50300</v>
      </c>
      <c r="W1176">
        <v>53000</v>
      </c>
    </row>
    <row r="1177" spans="1:23">
      <c r="A1177" s="30">
        <v>45461</v>
      </c>
      <c r="B1177" s="29">
        <v>49500</v>
      </c>
      <c r="C1177" s="29">
        <v>49500</v>
      </c>
      <c r="D1177" s="29">
        <v>49600</v>
      </c>
      <c r="E1177" s="29">
        <v>45100</v>
      </c>
      <c r="F1177" s="29">
        <v>49600</v>
      </c>
      <c r="G1177" s="29" t="str">
        <v>-</v>
      </c>
      <c r="H1177" s="29">
        <v>47000</v>
      </c>
      <c r="I1177" s="29">
        <v>48400</v>
      </c>
      <c r="J1177" s="29">
        <v>49800</v>
      </c>
      <c r="K1177" s="29" t="str">
        <v>-</v>
      </c>
      <c r="L1177" s="29">
        <v>50500</v>
      </c>
      <c r="M1177" s="29">
        <v>50200</v>
      </c>
      <c r="N1177" s="29">
        <v>48300</v>
      </c>
      <c r="O1177" s="29">
        <v>47400</v>
      </c>
      <c r="P1177" s="29">
        <v>45300</v>
      </c>
      <c r="Q1177" s="29">
        <v>46000</v>
      </c>
      <c r="R1177" s="29">
        <v>45500</v>
      </c>
      <c r="S1177">
        <v>47200</v>
      </c>
      <c r="T1177">
        <v>49300</v>
      </c>
      <c r="U1177">
        <v>51300</v>
      </c>
      <c r="V1177">
        <v>50300</v>
      </c>
      <c r="W1177">
        <v>53000</v>
      </c>
    </row>
    <row r="1178" spans="1:23">
      <c r="A1178" s="30">
        <v>45462</v>
      </c>
      <c r="B1178" s="29">
        <v>49300</v>
      </c>
      <c r="C1178" s="29">
        <v>49500</v>
      </c>
      <c r="D1178" s="29">
        <v>49200</v>
      </c>
      <c r="E1178" s="29">
        <v>44800</v>
      </c>
      <c r="F1178" s="29">
        <v>49200</v>
      </c>
      <c r="G1178" s="29" t="str">
        <v>-</v>
      </c>
      <c r="H1178" s="29">
        <v>47000</v>
      </c>
      <c r="I1178" s="29">
        <v>47800</v>
      </c>
      <c r="J1178" s="29">
        <v>49500</v>
      </c>
      <c r="K1178" s="29" t="str">
        <v>-</v>
      </c>
      <c r="L1178" s="29">
        <v>50000</v>
      </c>
      <c r="M1178" s="29">
        <v>49900</v>
      </c>
      <c r="N1178" s="29">
        <v>48300</v>
      </c>
      <c r="O1178" s="29">
        <v>47000</v>
      </c>
      <c r="P1178" s="29">
        <v>45000</v>
      </c>
      <c r="Q1178" s="29">
        <v>45600</v>
      </c>
      <c r="R1178" s="29">
        <v>45000</v>
      </c>
      <c r="S1178">
        <v>46900</v>
      </c>
      <c r="T1178">
        <v>49000</v>
      </c>
      <c r="U1178">
        <v>50300</v>
      </c>
      <c r="V1178">
        <v>49500</v>
      </c>
      <c r="W1178">
        <v>52800</v>
      </c>
    </row>
    <row r="1179" spans="1:23">
      <c r="A1179" s="30">
        <v>45463</v>
      </c>
      <c r="B1179" s="29">
        <v>49000</v>
      </c>
      <c r="C1179" s="29">
        <v>49300</v>
      </c>
      <c r="D1179" s="29">
        <v>48800</v>
      </c>
      <c r="E1179" s="29">
        <v>44500</v>
      </c>
      <c r="F1179" s="29">
        <v>49200</v>
      </c>
      <c r="G1179" s="29" t="str">
        <v>-</v>
      </c>
      <c r="H1179" s="29">
        <v>46500</v>
      </c>
      <c r="I1179" s="29">
        <v>47000</v>
      </c>
      <c r="J1179" s="29">
        <v>49500</v>
      </c>
      <c r="K1179" s="29" t="str">
        <v>-</v>
      </c>
      <c r="L1179" s="29">
        <v>49600</v>
      </c>
      <c r="M1179" s="29">
        <v>49400</v>
      </c>
      <c r="N1179" s="29">
        <v>47900</v>
      </c>
      <c r="O1179" s="29">
        <v>46600</v>
      </c>
      <c r="P1179" s="29">
        <v>44500</v>
      </c>
      <c r="Q1179" s="29">
        <v>45300</v>
      </c>
      <c r="R1179" s="29">
        <v>44800</v>
      </c>
      <c r="S1179">
        <v>46600</v>
      </c>
      <c r="T1179">
        <v>48800</v>
      </c>
      <c r="U1179">
        <v>50300</v>
      </c>
      <c r="V1179">
        <v>49500</v>
      </c>
      <c r="W1179">
        <v>52700</v>
      </c>
    </row>
    <row r="1180" spans="1:23">
      <c r="A1180" s="30">
        <v>45464</v>
      </c>
      <c r="B1180" s="29">
        <v>49000</v>
      </c>
      <c r="C1180" s="29">
        <v>49300</v>
      </c>
      <c r="D1180" s="29">
        <v>48800</v>
      </c>
      <c r="E1180" s="29">
        <v>44300</v>
      </c>
      <c r="F1180" s="29">
        <v>48800</v>
      </c>
      <c r="G1180" s="29" t="str">
        <v>-</v>
      </c>
      <c r="H1180" s="29">
        <v>46000</v>
      </c>
      <c r="I1180" s="29">
        <v>47000</v>
      </c>
      <c r="J1180" s="29">
        <v>49000</v>
      </c>
      <c r="K1180" s="29" t="str">
        <v>-</v>
      </c>
      <c r="L1180" s="29">
        <v>49500</v>
      </c>
      <c r="M1180" s="29">
        <v>49100</v>
      </c>
      <c r="N1180" s="29">
        <v>48000</v>
      </c>
      <c r="O1180" s="29">
        <v>46500</v>
      </c>
      <c r="P1180" s="29">
        <v>44800</v>
      </c>
      <c r="Q1180" s="29">
        <v>45100</v>
      </c>
      <c r="R1180" s="29">
        <v>44800</v>
      </c>
      <c r="S1180">
        <v>46400</v>
      </c>
      <c r="T1180">
        <v>48500</v>
      </c>
      <c r="U1180">
        <v>50300</v>
      </c>
      <c r="V1180">
        <v>49500</v>
      </c>
      <c r="W1180">
        <v>52200</v>
      </c>
    </row>
    <row r="1181" spans="1:23">
      <c r="A1181" s="30">
        <v>45465</v>
      </c>
      <c r="B1181" s="29">
        <v>48700</v>
      </c>
      <c r="C1181" s="29">
        <v>49000</v>
      </c>
      <c r="D1181" s="29">
        <v>48600</v>
      </c>
      <c r="E1181" s="29">
        <v>44200</v>
      </c>
      <c r="F1181" s="29">
        <v>48800</v>
      </c>
      <c r="G1181" s="29" t="str">
        <v>-</v>
      </c>
      <c r="H1181" s="29">
        <v>46000</v>
      </c>
      <c r="I1181" s="29">
        <v>47000</v>
      </c>
      <c r="J1181" s="29">
        <v>49000</v>
      </c>
      <c r="K1181" s="29" t="str">
        <v>-</v>
      </c>
      <c r="L1181" s="29">
        <v>49300</v>
      </c>
      <c r="M1181" s="29">
        <v>49100</v>
      </c>
      <c r="N1181" s="29">
        <v>47800</v>
      </c>
      <c r="O1181" s="29">
        <v>46200</v>
      </c>
      <c r="P1181" s="29">
        <v>44000</v>
      </c>
      <c r="Q1181" s="29">
        <v>44800</v>
      </c>
      <c r="R1181" s="29">
        <v>44300</v>
      </c>
      <c r="S1181">
        <v>46300</v>
      </c>
      <c r="T1181">
        <v>48300</v>
      </c>
      <c r="U1181">
        <v>49300</v>
      </c>
      <c r="V1181">
        <v>49300</v>
      </c>
      <c r="W1181">
        <v>52000</v>
      </c>
    </row>
    <row r="1182" spans="1:23">
      <c r="A1182" s="30">
        <v>45466</v>
      </c>
      <c r="B1182" s="29" t="str">
        <v>H</v>
      </c>
      <c r="C1182" s="29" t="str">
        <v>H</v>
      </c>
      <c r="D1182" s="29" t="str">
        <v>H</v>
      </c>
      <c r="E1182" s="29" t="str">
        <v>H</v>
      </c>
      <c r="F1182" s="29" t="str">
        <v>H</v>
      </c>
      <c r="G1182" s="29" t="str">
        <v>H</v>
      </c>
      <c r="H1182" s="29" t="str">
        <v>H</v>
      </c>
      <c r="I1182" s="29" t="str">
        <v>H</v>
      </c>
      <c r="J1182" s="29" t="str">
        <v>H</v>
      </c>
      <c r="K1182" s="29" t="str">
        <v>H</v>
      </c>
      <c r="L1182" s="29" t="str">
        <v>H</v>
      </c>
      <c r="M1182" s="29" t="str">
        <v>H</v>
      </c>
      <c r="N1182" s="29" t="str">
        <v>H</v>
      </c>
      <c r="O1182" s="29" t="str">
        <v>H</v>
      </c>
      <c r="P1182" s="29" t="str">
        <v>H</v>
      </c>
      <c r="Q1182" s="29" t="str">
        <v>H</v>
      </c>
      <c r="R1182" s="29" t="str">
        <v>H</v>
      </c>
      <c r="S1182" t="str">
        <v>H</v>
      </c>
      <c r="T1182" t="str">
        <v>H</v>
      </c>
      <c r="U1182" t="str">
        <v>H</v>
      </c>
      <c r="V1182" t="str">
        <v>H</v>
      </c>
      <c r="W1182" t="str">
        <v>H</v>
      </c>
    </row>
    <row r="1183" spans="1:23">
      <c r="A1183" s="30">
        <v>45467</v>
      </c>
      <c r="B1183" s="29">
        <v>48300</v>
      </c>
      <c r="C1183" s="29">
        <v>49000</v>
      </c>
      <c r="D1183" s="29">
        <v>48000</v>
      </c>
      <c r="E1183" s="29">
        <v>43800</v>
      </c>
      <c r="F1183" s="29">
        <v>48300</v>
      </c>
      <c r="G1183" s="29" t="str">
        <v>-</v>
      </c>
      <c r="H1183" s="29">
        <v>45500</v>
      </c>
      <c r="I1183" s="29">
        <v>46400</v>
      </c>
      <c r="J1183" s="29">
        <v>48500</v>
      </c>
      <c r="K1183" s="29" t="str">
        <v>-</v>
      </c>
      <c r="L1183" s="29">
        <v>49000</v>
      </c>
      <c r="M1183" s="29">
        <v>49000</v>
      </c>
      <c r="N1183" s="29">
        <v>47200</v>
      </c>
      <c r="O1183" s="29">
        <v>46000</v>
      </c>
      <c r="P1183" s="29">
        <v>43800</v>
      </c>
      <c r="Q1183" s="29">
        <v>44300</v>
      </c>
      <c r="R1183" s="29">
        <v>44300</v>
      </c>
      <c r="S1183">
        <v>45900</v>
      </c>
      <c r="T1183">
        <v>47800</v>
      </c>
      <c r="U1183">
        <v>49300</v>
      </c>
      <c r="V1183">
        <v>48500</v>
      </c>
      <c r="W1183">
        <v>51600</v>
      </c>
    </row>
    <row r="1184" spans="1:23">
      <c r="A1184" s="30">
        <v>45468</v>
      </c>
      <c r="B1184" s="29">
        <v>48000</v>
      </c>
      <c r="C1184" s="29">
        <v>48800</v>
      </c>
      <c r="D1184" s="29">
        <v>47600</v>
      </c>
      <c r="E1184" s="29">
        <v>42800</v>
      </c>
      <c r="F1184" s="29">
        <v>48000</v>
      </c>
      <c r="G1184" s="29" t="str">
        <v>-</v>
      </c>
      <c r="H1184" s="29">
        <v>45500</v>
      </c>
      <c r="I1184" s="29">
        <v>45900</v>
      </c>
      <c r="J1184" s="29">
        <v>48000</v>
      </c>
      <c r="K1184" s="29" t="str">
        <v>-</v>
      </c>
      <c r="L1184" s="29">
        <v>48400</v>
      </c>
      <c r="M1184" s="29">
        <v>48900</v>
      </c>
      <c r="N1184" s="29">
        <v>46600</v>
      </c>
      <c r="O1184" s="29">
        <v>45200</v>
      </c>
      <c r="P1184" s="29">
        <v>43000</v>
      </c>
      <c r="Q1184" s="29">
        <v>43500</v>
      </c>
      <c r="R1184" s="29">
        <v>43800</v>
      </c>
      <c r="S1184">
        <v>44900</v>
      </c>
      <c r="T1184">
        <v>47500</v>
      </c>
      <c r="U1184">
        <v>48800</v>
      </c>
      <c r="V1184">
        <v>48500</v>
      </c>
      <c r="W1184">
        <v>51300</v>
      </c>
    </row>
    <row r="1185" spans="1:23">
      <c r="A1185" s="30">
        <v>45469</v>
      </c>
      <c r="B1185" s="29">
        <v>47700</v>
      </c>
      <c r="C1185" s="29">
        <v>48700</v>
      </c>
      <c r="D1185" s="29">
        <v>47200</v>
      </c>
      <c r="E1185" s="29">
        <v>42700</v>
      </c>
      <c r="F1185" s="29">
        <v>48000</v>
      </c>
      <c r="G1185" s="29" t="str">
        <v>-</v>
      </c>
      <c r="H1185" s="29">
        <v>44500</v>
      </c>
      <c r="I1185" s="29">
        <v>45600</v>
      </c>
      <c r="J1185" s="29">
        <v>48000</v>
      </c>
      <c r="K1185" s="29" t="str">
        <v>-</v>
      </c>
      <c r="L1185" s="29">
        <v>48000</v>
      </c>
      <c r="M1185" s="29">
        <v>48900</v>
      </c>
      <c r="N1185" s="29">
        <v>46200</v>
      </c>
      <c r="O1185" s="29">
        <v>44900</v>
      </c>
      <c r="P1185" s="29">
        <v>42700</v>
      </c>
      <c r="Q1185" s="29">
        <v>43300</v>
      </c>
      <c r="R1185" s="29">
        <v>43000</v>
      </c>
      <c r="S1185">
        <v>44800</v>
      </c>
      <c r="T1185">
        <v>46500</v>
      </c>
      <c r="U1185">
        <v>47800</v>
      </c>
      <c r="V1185">
        <v>48300</v>
      </c>
      <c r="W1185">
        <v>51300</v>
      </c>
    </row>
    <row r="1186" spans="1:23">
      <c r="A1186" s="30">
        <v>45470</v>
      </c>
      <c r="B1186" s="29">
        <v>47900</v>
      </c>
      <c r="C1186" s="29">
        <v>49000</v>
      </c>
      <c r="D1186" s="29">
        <v>47400</v>
      </c>
      <c r="E1186" s="29">
        <v>43200</v>
      </c>
      <c r="F1186" s="29">
        <v>48000</v>
      </c>
      <c r="G1186" s="29" t="str">
        <v>-</v>
      </c>
      <c r="H1186" s="29">
        <v>45500</v>
      </c>
      <c r="I1186" s="29">
        <v>46000</v>
      </c>
      <c r="J1186" s="29">
        <v>48000</v>
      </c>
      <c r="K1186" s="29" t="str">
        <v>-</v>
      </c>
      <c r="L1186" s="29">
        <v>48200</v>
      </c>
      <c r="M1186" s="29">
        <v>48900</v>
      </c>
      <c r="N1186" s="29">
        <v>46600</v>
      </c>
      <c r="O1186" s="29">
        <v>45200</v>
      </c>
      <c r="P1186" s="29">
        <v>43500</v>
      </c>
      <c r="Q1186" s="29">
        <v>43600</v>
      </c>
      <c r="R1186" s="29">
        <v>43500</v>
      </c>
      <c r="S1186">
        <v>45300</v>
      </c>
      <c r="T1186">
        <v>47000</v>
      </c>
      <c r="U1186">
        <v>47800</v>
      </c>
      <c r="V1186">
        <v>48200</v>
      </c>
      <c r="W1186">
        <v>51300</v>
      </c>
    </row>
    <row r="1187" spans="1:23">
      <c r="A1187" s="30">
        <v>45471</v>
      </c>
      <c r="B1187" s="29">
        <v>48300</v>
      </c>
      <c r="C1187" s="29">
        <v>49200</v>
      </c>
      <c r="D1187" s="29">
        <v>47800</v>
      </c>
      <c r="E1187" s="29">
        <v>43500</v>
      </c>
      <c r="F1187" s="29">
        <v>48000</v>
      </c>
      <c r="G1187" s="29" t="str">
        <v>-</v>
      </c>
      <c r="H1187" s="29">
        <v>45500</v>
      </c>
      <c r="I1187" s="29">
        <v>46600</v>
      </c>
      <c r="J1187" s="29">
        <v>48000</v>
      </c>
      <c r="K1187" s="29" t="str">
        <v>-</v>
      </c>
      <c r="L1187" s="29">
        <v>48600</v>
      </c>
      <c r="M1187" s="29">
        <v>48900</v>
      </c>
      <c r="N1187" s="29">
        <v>47000</v>
      </c>
      <c r="O1187" s="29">
        <v>45500</v>
      </c>
      <c r="P1187" s="29">
        <v>43800</v>
      </c>
      <c r="Q1187" s="29">
        <v>44000</v>
      </c>
      <c r="R1187" s="29">
        <v>43800</v>
      </c>
      <c r="S1187">
        <v>45500</v>
      </c>
      <c r="T1187">
        <v>47000</v>
      </c>
      <c r="U1187">
        <v>48300</v>
      </c>
      <c r="V1187">
        <v>48200</v>
      </c>
      <c r="W1187">
        <v>51300</v>
      </c>
    </row>
    <row r="1188" spans="1:23">
      <c r="A1188" s="30">
        <v>45472</v>
      </c>
      <c r="B1188" s="29">
        <v>48500</v>
      </c>
      <c r="C1188" s="29">
        <v>49200</v>
      </c>
      <c r="D1188" s="29">
        <v>48200</v>
      </c>
      <c r="E1188" s="29">
        <v>44000</v>
      </c>
      <c r="F1188" s="29">
        <v>48100</v>
      </c>
      <c r="G1188" s="29" t="str">
        <v>-</v>
      </c>
      <c r="H1188" s="29">
        <v>45500</v>
      </c>
      <c r="I1188" s="29">
        <v>47000</v>
      </c>
      <c r="J1188" s="29">
        <v>48300</v>
      </c>
      <c r="K1188" s="29" t="str">
        <v>-</v>
      </c>
      <c r="L1188" s="29">
        <v>49200</v>
      </c>
      <c r="M1188" s="29">
        <v>49000</v>
      </c>
      <c r="N1188" s="29">
        <v>47400</v>
      </c>
      <c r="O1188" s="29">
        <v>46000</v>
      </c>
      <c r="P1188" s="29">
        <v>44000</v>
      </c>
      <c r="Q1188" s="29">
        <v>44200</v>
      </c>
      <c r="R1188" s="29">
        <v>44000</v>
      </c>
      <c r="S1188">
        <v>46100</v>
      </c>
      <c r="T1188">
        <v>47200</v>
      </c>
      <c r="U1188">
        <v>49000</v>
      </c>
      <c r="V1188">
        <v>48500</v>
      </c>
      <c r="W1188">
        <v>51300</v>
      </c>
    </row>
    <row r="1189" spans="1:23">
      <c r="A1189" s="30">
        <v>45473</v>
      </c>
      <c r="B1189" s="29" t="str">
        <v>H</v>
      </c>
      <c r="C1189" s="29" t="str">
        <v>H</v>
      </c>
      <c r="D1189" s="29" t="str">
        <v>H</v>
      </c>
      <c r="E1189" s="29" t="str">
        <v>H</v>
      </c>
      <c r="F1189" s="29" t="str">
        <v>H</v>
      </c>
      <c r="G1189" s="29" t="str">
        <v>H</v>
      </c>
      <c r="H1189" s="29" t="str">
        <v>H</v>
      </c>
      <c r="I1189" s="29" t="str">
        <v>H</v>
      </c>
      <c r="J1189" s="29" t="str">
        <v>H</v>
      </c>
      <c r="K1189" s="29" t="str">
        <v>H</v>
      </c>
      <c r="L1189" s="29" t="str">
        <v>H</v>
      </c>
      <c r="M1189" s="29" t="str">
        <v>H</v>
      </c>
      <c r="N1189" s="29" t="str">
        <v>H</v>
      </c>
      <c r="O1189" s="29" t="str">
        <v>H</v>
      </c>
      <c r="P1189" s="29" t="str">
        <v>H</v>
      </c>
      <c r="Q1189" s="29" t="str">
        <v>H</v>
      </c>
      <c r="R1189" s="29" t="str">
        <v>H</v>
      </c>
      <c r="S1189" t="str">
        <v>H</v>
      </c>
      <c r="T1189" t="str">
        <v>H</v>
      </c>
      <c r="U1189" t="str">
        <v>H</v>
      </c>
      <c r="V1189" t="str">
        <v>H</v>
      </c>
      <c r="W1189" t="str">
        <v>H</v>
      </c>
    </row>
    <row r="1190" spans="1:23">
      <c r="A1190" s="30">
        <v>45474</v>
      </c>
      <c r="B1190" s="29">
        <v>48200</v>
      </c>
      <c r="C1190" s="29">
        <v>49000</v>
      </c>
      <c r="D1190" s="29">
        <v>47800</v>
      </c>
      <c r="E1190" s="29">
        <v>43500</v>
      </c>
      <c r="F1190" s="29">
        <v>48100</v>
      </c>
      <c r="G1190" s="29" t="str">
        <v>-</v>
      </c>
      <c r="H1190" s="29">
        <v>45000</v>
      </c>
      <c r="I1190" s="29">
        <v>46500</v>
      </c>
      <c r="J1190" s="29">
        <v>48100</v>
      </c>
      <c r="K1190" s="29" t="str">
        <v>-</v>
      </c>
      <c r="L1190" s="29">
        <v>48900</v>
      </c>
      <c r="M1190" s="29">
        <v>48600</v>
      </c>
      <c r="N1190" s="29">
        <v>46800</v>
      </c>
      <c r="O1190" s="29">
        <v>45400</v>
      </c>
      <c r="P1190" s="29">
        <v>43700</v>
      </c>
      <c r="Q1190" s="29">
        <v>43800</v>
      </c>
      <c r="R1190" s="29">
        <v>43800</v>
      </c>
      <c r="S1190">
        <v>45600</v>
      </c>
      <c r="T1190">
        <v>47200</v>
      </c>
      <c r="U1190">
        <v>49000</v>
      </c>
      <c r="V1190">
        <v>48500</v>
      </c>
      <c r="W1190">
        <v>51300</v>
      </c>
    </row>
    <row r="1191" spans="1:23">
      <c r="A1191" s="30">
        <v>45475</v>
      </c>
      <c r="B1191" s="29">
        <v>48000</v>
      </c>
      <c r="C1191" s="29">
        <v>49000</v>
      </c>
      <c r="D1191" s="29">
        <v>48000</v>
      </c>
      <c r="E1191" s="29">
        <v>43600</v>
      </c>
      <c r="F1191" s="29">
        <v>48100</v>
      </c>
      <c r="G1191" s="29" t="str">
        <v>-</v>
      </c>
      <c r="H1191" s="29">
        <v>45000</v>
      </c>
      <c r="I1191" s="29">
        <v>47100</v>
      </c>
      <c r="J1191" s="29">
        <v>48100</v>
      </c>
      <c r="K1191" s="29" t="str">
        <v>-</v>
      </c>
      <c r="L1191" s="29">
        <v>49200</v>
      </c>
      <c r="M1191" s="29">
        <v>48600</v>
      </c>
      <c r="N1191" s="29">
        <v>47300</v>
      </c>
      <c r="O1191" s="29">
        <v>45700</v>
      </c>
      <c r="P1191" s="29">
        <v>43800</v>
      </c>
      <c r="Q1191" s="29">
        <v>43800</v>
      </c>
      <c r="R1191" s="29">
        <v>44000</v>
      </c>
      <c r="S1191">
        <v>45700</v>
      </c>
      <c r="T1191">
        <v>47500</v>
      </c>
      <c r="U1191">
        <v>49000</v>
      </c>
      <c r="V1191">
        <v>48500</v>
      </c>
      <c r="W1191">
        <v>51300</v>
      </c>
    </row>
    <row r="1192" spans="1:23">
      <c r="A1192" s="30">
        <v>45476</v>
      </c>
      <c r="B1192" s="29">
        <v>47800</v>
      </c>
      <c r="C1192" s="29">
        <v>48800</v>
      </c>
      <c r="D1192" s="29">
        <v>48000</v>
      </c>
      <c r="E1192" s="29">
        <v>43400</v>
      </c>
      <c r="F1192" s="29">
        <v>48100</v>
      </c>
      <c r="G1192" s="29" t="str">
        <v>-</v>
      </c>
      <c r="H1192" s="29">
        <v>45500</v>
      </c>
      <c r="I1192" s="29">
        <v>46900</v>
      </c>
      <c r="J1192" s="29">
        <v>47600</v>
      </c>
      <c r="K1192" s="29" t="str">
        <v>-</v>
      </c>
      <c r="L1192" s="29">
        <v>49200</v>
      </c>
      <c r="M1192" s="29">
        <v>48600</v>
      </c>
      <c r="N1192" s="29">
        <v>47300</v>
      </c>
      <c r="O1192" s="29">
        <v>45700</v>
      </c>
      <c r="P1192" s="29">
        <v>43200</v>
      </c>
      <c r="Q1192" s="29">
        <v>43500</v>
      </c>
      <c r="R1192" s="29">
        <v>43700</v>
      </c>
      <c r="S1192">
        <v>45500</v>
      </c>
      <c r="T1192">
        <v>47300</v>
      </c>
      <c r="U1192">
        <v>49000</v>
      </c>
      <c r="V1192">
        <v>48300</v>
      </c>
      <c r="W1192">
        <v>51300</v>
      </c>
    </row>
    <row r="1193" spans="1:23">
      <c r="A1193" s="30">
        <v>45477</v>
      </c>
      <c r="B1193" s="29">
        <v>47600</v>
      </c>
      <c r="C1193" s="29">
        <v>48500</v>
      </c>
      <c r="D1193" s="29">
        <v>47700</v>
      </c>
      <c r="E1193" s="29">
        <v>43100</v>
      </c>
      <c r="F1193" s="29">
        <v>47800</v>
      </c>
      <c r="G1193" s="29" t="str">
        <v>-</v>
      </c>
      <c r="H1193" s="29">
        <v>45500</v>
      </c>
      <c r="I1193" s="29">
        <v>46800</v>
      </c>
      <c r="J1193" s="29">
        <v>47300</v>
      </c>
      <c r="K1193" s="29" t="str">
        <v>-</v>
      </c>
      <c r="L1193" s="29">
        <v>49200</v>
      </c>
      <c r="M1193" s="29">
        <v>48500</v>
      </c>
      <c r="N1193" s="29">
        <v>47200</v>
      </c>
      <c r="O1193" s="29">
        <v>45400</v>
      </c>
      <c r="P1193" s="29">
        <v>43000</v>
      </c>
      <c r="Q1193" s="29">
        <v>43100</v>
      </c>
      <c r="R1193" s="29">
        <v>43500</v>
      </c>
      <c r="S1193">
        <v>45200</v>
      </c>
      <c r="T1193">
        <v>47000</v>
      </c>
      <c r="U1193">
        <v>48800</v>
      </c>
      <c r="V1193">
        <v>48200</v>
      </c>
      <c r="W1193">
        <v>51300</v>
      </c>
    </row>
    <row r="1194" spans="1:23">
      <c r="A1194" s="30">
        <v>45478</v>
      </c>
      <c r="B1194" s="29">
        <v>47200</v>
      </c>
      <c r="C1194" s="29">
        <v>48500</v>
      </c>
      <c r="D1194" s="29">
        <v>47500</v>
      </c>
      <c r="E1194" s="29">
        <v>42700</v>
      </c>
      <c r="F1194" s="29">
        <v>47400</v>
      </c>
      <c r="G1194" s="29" t="str">
        <v>-</v>
      </c>
      <c r="H1194" s="29">
        <v>45000</v>
      </c>
      <c r="I1194" s="29">
        <v>46200</v>
      </c>
      <c r="J1194" s="29">
        <v>47000</v>
      </c>
      <c r="K1194" s="29" t="str">
        <v>-</v>
      </c>
      <c r="L1194" s="29">
        <v>49000</v>
      </c>
      <c r="M1194" s="29">
        <v>48100</v>
      </c>
      <c r="N1194" s="29">
        <v>46600</v>
      </c>
      <c r="O1194" s="29">
        <v>44900</v>
      </c>
      <c r="P1194" s="29">
        <v>42200</v>
      </c>
      <c r="Q1194" s="29">
        <v>42700</v>
      </c>
      <c r="R1194" s="29">
        <v>43000</v>
      </c>
      <c r="S1194">
        <v>44800</v>
      </c>
      <c r="T1194">
        <v>46400</v>
      </c>
      <c r="U1194">
        <v>48800</v>
      </c>
      <c r="V1194">
        <v>48000</v>
      </c>
      <c r="W1194">
        <v>51000</v>
      </c>
    </row>
    <row r="1195" spans="1:23">
      <c r="A1195" s="30">
        <v>45479</v>
      </c>
      <c r="B1195" s="29">
        <v>47000</v>
      </c>
      <c r="C1195" s="29">
        <v>48500</v>
      </c>
      <c r="D1195" s="29">
        <v>47300</v>
      </c>
      <c r="E1195" s="29">
        <v>42600</v>
      </c>
      <c r="F1195" s="29">
        <v>47400</v>
      </c>
      <c r="G1195" s="29" t="str">
        <v>-</v>
      </c>
      <c r="H1195" s="29">
        <v>44500</v>
      </c>
      <c r="I1195" s="29">
        <v>45900</v>
      </c>
      <c r="J1195" s="29">
        <v>47000</v>
      </c>
      <c r="K1195" s="29" t="str">
        <v>-</v>
      </c>
      <c r="L1195" s="29">
        <v>48700</v>
      </c>
      <c r="M1195" s="29">
        <v>48100</v>
      </c>
      <c r="N1195" s="29">
        <v>46200</v>
      </c>
      <c r="O1195" s="29">
        <v>44900</v>
      </c>
      <c r="P1195" s="29">
        <v>42400</v>
      </c>
      <c r="Q1195" s="29">
        <v>42900</v>
      </c>
      <c r="R1195" s="29">
        <v>42700</v>
      </c>
      <c r="S1195">
        <v>44700</v>
      </c>
      <c r="T1195">
        <v>46400</v>
      </c>
      <c r="U1195">
        <v>48300</v>
      </c>
      <c r="V1195">
        <v>48000</v>
      </c>
      <c r="W1195">
        <v>51000</v>
      </c>
    </row>
    <row r="1196" spans="1:23">
      <c r="A1196" s="30">
        <v>45480</v>
      </c>
      <c r="B1196" s="29" t="str">
        <v>H</v>
      </c>
      <c r="C1196" s="29" t="str">
        <v>H</v>
      </c>
      <c r="D1196" s="29" t="str">
        <v>H</v>
      </c>
      <c r="E1196" s="29" t="str">
        <v>H</v>
      </c>
      <c r="F1196" s="29" t="str">
        <v>H</v>
      </c>
      <c r="G1196" s="29" t="str">
        <v>H</v>
      </c>
      <c r="H1196" s="29" t="str">
        <v>H</v>
      </c>
      <c r="I1196" s="29" t="str">
        <v>H</v>
      </c>
      <c r="J1196" s="29" t="str">
        <v>H</v>
      </c>
      <c r="K1196" s="29" t="str">
        <v>H</v>
      </c>
      <c r="L1196" s="29" t="str">
        <v>H</v>
      </c>
      <c r="M1196" s="29" t="str">
        <v>H</v>
      </c>
      <c r="N1196" s="29" t="str">
        <v>H</v>
      </c>
      <c r="O1196" s="29" t="str">
        <v>H</v>
      </c>
      <c r="P1196" s="29" t="str">
        <v>H</v>
      </c>
      <c r="Q1196" s="29" t="str">
        <v>H</v>
      </c>
      <c r="R1196" s="29" t="str">
        <v>H</v>
      </c>
      <c r="S1196" t="str">
        <v>H</v>
      </c>
      <c r="T1196" t="str">
        <v>H</v>
      </c>
      <c r="U1196" t="str">
        <v>H</v>
      </c>
      <c r="V1196" t="str">
        <v>H</v>
      </c>
      <c r="W1196" t="str">
        <v>H</v>
      </c>
    </row>
    <row r="1197" spans="1:23">
      <c r="A1197" s="30">
        <v>45481</v>
      </c>
      <c r="B1197" s="29">
        <v>46800</v>
      </c>
      <c r="C1197" s="29">
        <v>48300</v>
      </c>
      <c r="D1197" s="29">
        <v>46900</v>
      </c>
      <c r="E1197" s="29">
        <v>42100</v>
      </c>
      <c r="F1197" s="29">
        <v>47400</v>
      </c>
      <c r="G1197" s="29" t="str">
        <v>-</v>
      </c>
      <c r="H1197" s="29">
        <v>44500</v>
      </c>
      <c r="I1197" s="29">
        <v>45500</v>
      </c>
      <c r="J1197" s="29">
        <v>46500</v>
      </c>
      <c r="K1197" s="29" t="str">
        <v>-</v>
      </c>
      <c r="L1197" s="29">
        <v>48300</v>
      </c>
      <c r="M1197" s="29">
        <v>48000</v>
      </c>
      <c r="N1197" s="29">
        <v>45700</v>
      </c>
      <c r="O1197" s="29">
        <v>44500</v>
      </c>
      <c r="P1197" s="29">
        <v>42400</v>
      </c>
      <c r="Q1197" s="29">
        <v>42800</v>
      </c>
      <c r="R1197" s="29">
        <v>42500</v>
      </c>
      <c r="S1197">
        <v>44200</v>
      </c>
      <c r="T1197">
        <v>46300</v>
      </c>
      <c r="U1197">
        <v>48300</v>
      </c>
      <c r="V1197">
        <v>47700</v>
      </c>
      <c r="W1197">
        <v>51000</v>
      </c>
    </row>
    <row r="1198" spans="1:23">
      <c r="A1198" s="30">
        <v>45482</v>
      </c>
      <c r="B1198" s="29">
        <v>46800</v>
      </c>
      <c r="C1198" s="29">
        <v>48000</v>
      </c>
      <c r="D1198" s="29">
        <v>46500</v>
      </c>
      <c r="E1198" s="29">
        <v>41500</v>
      </c>
      <c r="F1198" s="29">
        <v>47100</v>
      </c>
      <c r="G1198" s="29" t="str">
        <v>-</v>
      </c>
      <c r="H1198" s="29">
        <v>44500</v>
      </c>
      <c r="I1198" s="29">
        <v>45300</v>
      </c>
      <c r="J1198" s="29">
        <v>46500</v>
      </c>
      <c r="K1198" s="29" t="str">
        <v>-</v>
      </c>
      <c r="L1198" s="29">
        <v>48000</v>
      </c>
      <c r="M1198" s="29">
        <v>47600</v>
      </c>
      <c r="N1198" s="29">
        <v>45200</v>
      </c>
      <c r="O1198" s="29">
        <v>44000</v>
      </c>
      <c r="P1198" s="29">
        <v>42200</v>
      </c>
      <c r="Q1198" s="29">
        <v>42600</v>
      </c>
      <c r="R1198" s="29">
        <v>42000</v>
      </c>
      <c r="S1198">
        <v>43600</v>
      </c>
      <c r="T1198">
        <v>46300</v>
      </c>
      <c r="U1198">
        <v>48300</v>
      </c>
      <c r="V1198">
        <v>47700</v>
      </c>
      <c r="W1198">
        <v>51000</v>
      </c>
    </row>
    <row r="1199" spans="1:23">
      <c r="A1199" s="30">
        <v>45483</v>
      </c>
      <c r="B1199" s="29">
        <v>46800</v>
      </c>
      <c r="C1199" s="29">
        <v>48000</v>
      </c>
      <c r="D1199" s="29">
        <v>46500</v>
      </c>
      <c r="E1199" s="29">
        <v>41700</v>
      </c>
      <c r="F1199" s="29">
        <v>47100</v>
      </c>
      <c r="G1199" s="29" t="str">
        <v>-</v>
      </c>
      <c r="H1199" s="29">
        <v>44800</v>
      </c>
      <c r="I1199" s="29">
        <v>45200</v>
      </c>
      <c r="J1199" s="29">
        <v>46500</v>
      </c>
      <c r="K1199" s="29" t="str">
        <v>-</v>
      </c>
      <c r="L1199" s="29">
        <v>48100</v>
      </c>
      <c r="M1199" s="29">
        <v>47200</v>
      </c>
      <c r="N1199" s="29">
        <v>45500</v>
      </c>
      <c r="O1199" s="29">
        <v>44000</v>
      </c>
      <c r="P1199" s="29">
        <v>42000</v>
      </c>
      <c r="Q1199" s="29">
        <v>42500</v>
      </c>
      <c r="R1199" s="29">
        <v>42400</v>
      </c>
      <c r="S1199">
        <v>43800</v>
      </c>
      <c r="T1199">
        <v>46200</v>
      </c>
      <c r="U1199">
        <v>48300</v>
      </c>
      <c r="V1199">
        <v>47400</v>
      </c>
      <c r="W1199">
        <v>50700</v>
      </c>
    </row>
    <row r="1200" spans="1:23">
      <c r="A1200" s="30">
        <v>45484</v>
      </c>
      <c r="B1200" s="29">
        <v>46700</v>
      </c>
      <c r="C1200" s="29">
        <v>48000</v>
      </c>
      <c r="D1200" s="29">
        <v>46300</v>
      </c>
      <c r="E1200" s="29">
        <v>41500</v>
      </c>
      <c r="F1200" s="29">
        <v>47100</v>
      </c>
      <c r="G1200" s="29" t="str">
        <v>-</v>
      </c>
      <c r="H1200" s="29">
        <v>44500</v>
      </c>
      <c r="I1200" s="29">
        <v>45000</v>
      </c>
      <c r="J1200" s="29">
        <v>46500</v>
      </c>
      <c r="K1200" s="29" t="str">
        <v>-</v>
      </c>
      <c r="L1200" s="29">
        <v>47900</v>
      </c>
      <c r="M1200" s="29">
        <v>47000</v>
      </c>
      <c r="N1200" s="29">
        <v>45300</v>
      </c>
      <c r="O1200" s="29">
        <v>43400</v>
      </c>
      <c r="P1200" s="29">
        <v>41800</v>
      </c>
      <c r="Q1200" s="29">
        <v>42300</v>
      </c>
      <c r="R1200" s="29">
        <v>42000</v>
      </c>
      <c r="S1200">
        <v>43600</v>
      </c>
      <c r="T1200">
        <v>46000</v>
      </c>
      <c r="U1200">
        <v>48300</v>
      </c>
      <c r="V1200">
        <v>47400</v>
      </c>
      <c r="W1200">
        <v>50700</v>
      </c>
    </row>
    <row r="1201" spans="1:23">
      <c r="A1201" s="30">
        <v>45485</v>
      </c>
      <c r="B1201" s="29">
        <v>47000</v>
      </c>
      <c r="C1201" s="29">
        <v>48000</v>
      </c>
      <c r="D1201" s="29">
        <v>46500</v>
      </c>
      <c r="E1201" s="29">
        <v>41900</v>
      </c>
      <c r="F1201" s="29">
        <v>47100</v>
      </c>
      <c r="G1201" s="29" t="str">
        <v>-</v>
      </c>
      <c r="H1201" s="29">
        <v>44800</v>
      </c>
      <c r="I1201" s="29">
        <v>45300</v>
      </c>
      <c r="J1201" s="29">
        <v>46500</v>
      </c>
      <c r="K1201" s="29" t="str">
        <v>-</v>
      </c>
      <c r="L1201" s="29">
        <v>48300</v>
      </c>
      <c r="M1201" s="29">
        <v>46800</v>
      </c>
      <c r="N1201" s="29">
        <v>45500</v>
      </c>
      <c r="O1201" s="29">
        <v>44000</v>
      </c>
      <c r="P1201" s="29">
        <v>42200</v>
      </c>
      <c r="Q1201" s="29">
        <v>42400</v>
      </c>
      <c r="R1201" s="29">
        <v>42200</v>
      </c>
      <c r="S1201">
        <v>45000</v>
      </c>
      <c r="T1201">
        <v>46000</v>
      </c>
      <c r="U1201">
        <v>48300</v>
      </c>
      <c r="V1201">
        <v>46900</v>
      </c>
      <c r="W1201">
        <v>50500</v>
      </c>
    </row>
    <row r="1202" spans="1:23">
      <c r="A1202" s="30">
        <v>45486</v>
      </c>
      <c r="B1202" s="29">
        <v>47000</v>
      </c>
      <c r="C1202" s="29">
        <v>47800</v>
      </c>
      <c r="D1202" s="29">
        <v>46500</v>
      </c>
      <c r="E1202" s="29">
        <v>42000</v>
      </c>
      <c r="F1202" s="29">
        <v>47100</v>
      </c>
      <c r="G1202" s="29" t="str">
        <v>-</v>
      </c>
      <c r="H1202" s="29">
        <v>44500</v>
      </c>
      <c r="I1202" s="29">
        <v>45300</v>
      </c>
      <c r="J1202" s="29">
        <v>46300</v>
      </c>
      <c r="K1202" s="29" t="str">
        <v>-</v>
      </c>
      <c r="L1202" s="29">
        <v>48200</v>
      </c>
      <c r="M1202" s="29">
        <v>46800</v>
      </c>
      <c r="N1202" s="29">
        <v>45700</v>
      </c>
      <c r="O1202" s="29">
        <v>44000</v>
      </c>
      <c r="P1202" s="29">
        <v>41800</v>
      </c>
      <c r="Q1202" s="29">
        <v>42300</v>
      </c>
      <c r="R1202" s="29">
        <v>42000</v>
      </c>
      <c r="S1202">
        <v>44100</v>
      </c>
      <c r="T1202">
        <v>45800</v>
      </c>
      <c r="U1202">
        <v>48300</v>
      </c>
      <c r="V1202">
        <v>46900</v>
      </c>
      <c r="W1202">
        <v>50500</v>
      </c>
    </row>
    <row r="1203" spans="1:23">
      <c r="A1203" s="30">
        <v>45487</v>
      </c>
      <c r="B1203" s="29" t="str">
        <v>H</v>
      </c>
      <c r="C1203" s="29" t="str">
        <v>H</v>
      </c>
      <c r="D1203" s="29" t="str">
        <v>H</v>
      </c>
      <c r="E1203" s="29" t="str">
        <v>H</v>
      </c>
      <c r="F1203" s="29" t="str">
        <v>H</v>
      </c>
      <c r="G1203" s="29" t="str">
        <v>H</v>
      </c>
      <c r="H1203" s="29" t="str">
        <v>H</v>
      </c>
      <c r="I1203" s="29" t="str">
        <v>H</v>
      </c>
      <c r="J1203" s="29" t="str">
        <v>H</v>
      </c>
      <c r="K1203" s="29" t="str">
        <v>H</v>
      </c>
      <c r="L1203" s="29" t="str">
        <v>H</v>
      </c>
      <c r="M1203" s="29" t="str">
        <v>H</v>
      </c>
      <c r="N1203" s="29" t="str">
        <v>H</v>
      </c>
      <c r="O1203" s="29" t="str">
        <v>H</v>
      </c>
      <c r="P1203" s="29" t="str">
        <v>H</v>
      </c>
      <c r="Q1203" s="29" t="str">
        <v>H</v>
      </c>
      <c r="R1203" s="29" t="str">
        <v>H</v>
      </c>
      <c r="S1203" t="str">
        <v>H</v>
      </c>
      <c r="T1203" t="str">
        <v>H</v>
      </c>
      <c r="U1203" t="str">
        <v>H</v>
      </c>
      <c r="V1203" t="str">
        <v>H</v>
      </c>
      <c r="W1203" t="str">
        <v>H</v>
      </c>
    </row>
    <row r="1204" spans="1:23">
      <c r="A1204" s="30">
        <v>45488</v>
      </c>
      <c r="B1204" s="29">
        <v>47200</v>
      </c>
      <c r="C1204" s="29">
        <v>47800</v>
      </c>
      <c r="D1204" s="29">
        <v>47000</v>
      </c>
      <c r="E1204" s="29">
        <v>42500</v>
      </c>
      <c r="F1204" s="29">
        <v>47100</v>
      </c>
      <c r="G1204" s="29" t="str">
        <v>-</v>
      </c>
      <c r="H1204" s="29">
        <v>45000</v>
      </c>
      <c r="I1204" s="29">
        <v>46000</v>
      </c>
      <c r="J1204" s="29">
        <v>46900</v>
      </c>
      <c r="K1204" s="29" t="str">
        <v>-</v>
      </c>
      <c r="L1204" s="29">
        <v>48800</v>
      </c>
      <c r="M1204" s="29">
        <v>46900</v>
      </c>
      <c r="N1204" s="29">
        <v>46800</v>
      </c>
      <c r="O1204" s="29">
        <v>44500</v>
      </c>
      <c r="P1204" s="29">
        <v>42400</v>
      </c>
      <c r="Q1204" s="29">
        <v>42700</v>
      </c>
      <c r="R1204" s="29">
        <v>42700</v>
      </c>
      <c r="S1204">
        <v>44600</v>
      </c>
      <c r="T1204">
        <v>46000</v>
      </c>
      <c r="U1204">
        <v>48300</v>
      </c>
      <c r="V1204">
        <v>46900</v>
      </c>
      <c r="W1204">
        <v>50500</v>
      </c>
    </row>
    <row r="1205" spans="1:23">
      <c r="A1205" s="30">
        <v>45489</v>
      </c>
      <c r="B1205" s="29">
        <v>47200</v>
      </c>
      <c r="C1205" s="29">
        <v>47800</v>
      </c>
      <c r="D1205" s="29">
        <v>47100</v>
      </c>
      <c r="E1205" s="29">
        <v>42200</v>
      </c>
      <c r="F1205" s="29">
        <v>47800</v>
      </c>
      <c r="G1205" s="29" t="str">
        <v>-</v>
      </c>
      <c r="H1205" s="29">
        <v>45000</v>
      </c>
      <c r="I1205" s="29">
        <v>45900</v>
      </c>
      <c r="J1205" s="29">
        <v>46900</v>
      </c>
      <c r="K1205" s="29" t="str">
        <v>-</v>
      </c>
      <c r="L1205" s="29">
        <v>48800</v>
      </c>
      <c r="M1205" s="29">
        <v>46800</v>
      </c>
      <c r="N1205" s="29">
        <v>46400</v>
      </c>
      <c r="O1205" s="29">
        <v>44300</v>
      </c>
      <c r="P1205" s="29">
        <v>42000</v>
      </c>
      <c r="Q1205" s="29">
        <v>42700</v>
      </c>
      <c r="R1205" s="29">
        <v>42500</v>
      </c>
      <c r="S1205">
        <v>44300</v>
      </c>
      <c r="T1205">
        <v>46000</v>
      </c>
      <c r="U1205">
        <v>48300</v>
      </c>
      <c r="V1205">
        <v>46900</v>
      </c>
      <c r="W1205">
        <v>50500</v>
      </c>
    </row>
    <row r="1206" spans="1:23">
      <c r="A1206" s="30">
        <v>45490</v>
      </c>
      <c r="B1206" s="29">
        <v>47200</v>
      </c>
      <c r="C1206" s="29">
        <v>47800</v>
      </c>
      <c r="D1206" s="29">
        <v>47100</v>
      </c>
      <c r="E1206" s="29">
        <v>42200</v>
      </c>
      <c r="F1206" s="29">
        <v>47800</v>
      </c>
      <c r="G1206" s="29" t="str">
        <v>-</v>
      </c>
      <c r="H1206" s="29">
        <v>44500</v>
      </c>
      <c r="I1206" s="29">
        <v>45600</v>
      </c>
      <c r="J1206" s="29">
        <v>46900</v>
      </c>
      <c r="K1206" s="29" t="str">
        <v>-</v>
      </c>
      <c r="L1206" s="29">
        <v>48700</v>
      </c>
      <c r="M1206" s="29">
        <v>46800</v>
      </c>
      <c r="N1206" s="29">
        <v>46300</v>
      </c>
      <c r="O1206" s="29">
        <v>44300</v>
      </c>
      <c r="P1206" s="29">
        <v>42000</v>
      </c>
      <c r="Q1206" s="29">
        <v>42300</v>
      </c>
      <c r="R1206" s="29">
        <v>42000</v>
      </c>
      <c r="S1206">
        <v>44300</v>
      </c>
      <c r="T1206">
        <v>46000</v>
      </c>
      <c r="U1206">
        <v>48300</v>
      </c>
      <c r="V1206">
        <v>46900</v>
      </c>
      <c r="W1206">
        <v>50500</v>
      </c>
    </row>
    <row r="1207" spans="1:23">
      <c r="A1207" s="30">
        <v>45491</v>
      </c>
      <c r="B1207" s="29">
        <v>47200</v>
      </c>
      <c r="C1207" s="29">
        <v>47500</v>
      </c>
      <c r="D1207" s="29">
        <v>46900</v>
      </c>
      <c r="E1207" s="29">
        <v>41700</v>
      </c>
      <c r="F1207" s="29">
        <v>47800</v>
      </c>
      <c r="G1207" s="29" t="str">
        <v>-</v>
      </c>
      <c r="H1207" s="29">
        <v>44500</v>
      </c>
      <c r="I1207" s="29">
        <v>45200</v>
      </c>
      <c r="J1207" s="29">
        <v>46500</v>
      </c>
      <c r="K1207" s="29" t="str">
        <v>-</v>
      </c>
      <c r="L1207" s="29">
        <v>48400</v>
      </c>
      <c r="M1207" s="29">
        <v>46500</v>
      </c>
      <c r="N1207" s="29">
        <v>46000</v>
      </c>
      <c r="O1207" s="29">
        <v>44000</v>
      </c>
      <c r="P1207" s="29">
        <v>41800</v>
      </c>
      <c r="Q1207" s="29">
        <v>42000</v>
      </c>
      <c r="R1207" s="29">
        <v>42000</v>
      </c>
      <c r="S1207">
        <v>43800</v>
      </c>
      <c r="T1207">
        <v>45500</v>
      </c>
      <c r="U1207">
        <v>48300</v>
      </c>
      <c r="V1207">
        <v>46900</v>
      </c>
      <c r="W1207">
        <v>50500</v>
      </c>
    </row>
    <row r="1208" spans="1:23">
      <c r="A1208" s="30">
        <v>45492</v>
      </c>
      <c r="B1208" s="29">
        <v>46700</v>
      </c>
      <c r="C1208" s="29">
        <v>47500</v>
      </c>
      <c r="D1208" s="29">
        <v>46500</v>
      </c>
      <c r="E1208" s="29">
        <v>41500</v>
      </c>
      <c r="F1208" s="29">
        <v>47700</v>
      </c>
      <c r="G1208" s="29" t="str">
        <v>-</v>
      </c>
      <c r="H1208" s="29">
        <v>44500</v>
      </c>
      <c r="I1208" s="29">
        <v>44900</v>
      </c>
      <c r="J1208" s="29">
        <v>46200</v>
      </c>
      <c r="K1208" s="29" t="str">
        <v>-</v>
      </c>
      <c r="L1208" s="29">
        <v>48000</v>
      </c>
      <c r="M1208" s="29">
        <v>46500</v>
      </c>
      <c r="N1208" s="29">
        <v>45700</v>
      </c>
      <c r="O1208" s="29">
        <v>43400</v>
      </c>
      <c r="P1208" s="29">
        <v>41500</v>
      </c>
      <c r="Q1208" s="29">
        <v>41900</v>
      </c>
      <c r="R1208" s="29">
        <v>41500</v>
      </c>
      <c r="S1208">
        <v>43600</v>
      </c>
      <c r="T1208">
        <v>45000</v>
      </c>
      <c r="U1208">
        <v>47800</v>
      </c>
      <c r="V1208">
        <v>46900</v>
      </c>
      <c r="W1208">
        <v>50500</v>
      </c>
    </row>
    <row r="1209" spans="1:23">
      <c r="A1209" s="30">
        <v>45493</v>
      </c>
      <c r="B1209" s="29">
        <v>46700</v>
      </c>
      <c r="C1209" s="29">
        <v>47500</v>
      </c>
      <c r="D1209" s="29">
        <v>46600</v>
      </c>
      <c r="E1209" s="29">
        <v>41800</v>
      </c>
      <c r="F1209" s="29">
        <v>47700</v>
      </c>
      <c r="G1209" s="29" t="str">
        <v>-</v>
      </c>
      <c r="H1209" s="29">
        <v>44000</v>
      </c>
      <c r="I1209" s="29">
        <v>45000</v>
      </c>
      <c r="J1209" s="29">
        <v>46200</v>
      </c>
      <c r="K1209" s="29" t="str">
        <v>-</v>
      </c>
      <c r="L1209" s="29">
        <v>48000</v>
      </c>
      <c r="M1209" s="29">
        <v>46500</v>
      </c>
      <c r="N1209" s="29">
        <v>45600</v>
      </c>
      <c r="O1209" s="29">
        <v>43400</v>
      </c>
      <c r="P1209" s="29">
        <v>41500</v>
      </c>
      <c r="Q1209" s="29">
        <v>41900</v>
      </c>
      <c r="R1209" s="29">
        <v>41500</v>
      </c>
      <c r="S1209">
        <v>43900</v>
      </c>
      <c r="T1209">
        <v>45000</v>
      </c>
      <c r="U1209">
        <v>47800</v>
      </c>
      <c r="V1209">
        <v>46900</v>
      </c>
      <c r="W1209">
        <v>50500</v>
      </c>
    </row>
    <row r="1210" spans="1:23">
      <c r="A1210" s="30">
        <v>45494</v>
      </c>
      <c r="B1210" s="29" t="str">
        <v>H</v>
      </c>
      <c r="C1210" s="29" t="str">
        <v>H</v>
      </c>
      <c r="D1210" s="29" t="str">
        <v>H</v>
      </c>
      <c r="E1210" s="29" t="str">
        <v>H</v>
      </c>
      <c r="F1210" s="29" t="str">
        <v>H</v>
      </c>
      <c r="G1210" s="29" t="str">
        <v>H</v>
      </c>
      <c r="H1210" s="29" t="str">
        <v>H</v>
      </c>
      <c r="I1210" s="29" t="str">
        <v>H</v>
      </c>
      <c r="J1210" s="29" t="str">
        <v>H</v>
      </c>
      <c r="K1210" s="29" t="str">
        <v>H</v>
      </c>
      <c r="L1210" s="29" t="str">
        <v>H</v>
      </c>
      <c r="M1210" s="29" t="str">
        <v>H</v>
      </c>
      <c r="N1210" s="29" t="str">
        <v>H</v>
      </c>
      <c r="O1210" s="29" t="str">
        <v>H</v>
      </c>
      <c r="P1210" s="29" t="str">
        <v>H</v>
      </c>
      <c r="Q1210" s="29" t="str">
        <v>H</v>
      </c>
      <c r="R1210" s="29" t="str">
        <v>H</v>
      </c>
      <c r="S1210" t="str">
        <v>H</v>
      </c>
      <c r="T1210" t="str">
        <v>H</v>
      </c>
      <c r="U1210" t="str">
        <v>H</v>
      </c>
      <c r="V1210" t="str">
        <v>H</v>
      </c>
      <c r="W1210" t="str">
        <v>H</v>
      </c>
    </row>
    <row r="1211" spans="1:23">
      <c r="A1211" s="30">
        <v>45495</v>
      </c>
      <c r="B1211" s="29">
        <v>46200</v>
      </c>
      <c r="C1211" s="29">
        <v>47500</v>
      </c>
      <c r="D1211" s="29">
        <v>46300</v>
      </c>
      <c r="E1211" s="29">
        <v>41500</v>
      </c>
      <c r="F1211" s="29">
        <v>47600</v>
      </c>
      <c r="G1211" s="29" t="str">
        <v>-</v>
      </c>
      <c r="H1211" s="29">
        <v>43500</v>
      </c>
      <c r="I1211" s="29">
        <v>44700</v>
      </c>
      <c r="J1211" s="29">
        <v>45900</v>
      </c>
      <c r="K1211" s="29" t="str">
        <v>-</v>
      </c>
      <c r="L1211" s="29">
        <v>47600</v>
      </c>
      <c r="M1211" s="29">
        <v>46000</v>
      </c>
      <c r="N1211" s="29">
        <v>45400</v>
      </c>
      <c r="O1211" s="29">
        <v>43400</v>
      </c>
      <c r="P1211" s="29">
        <v>41000</v>
      </c>
      <c r="Q1211" s="29">
        <v>41700</v>
      </c>
      <c r="R1211" s="29">
        <v>41500</v>
      </c>
      <c r="S1211">
        <v>43600</v>
      </c>
      <c r="T1211">
        <v>45000</v>
      </c>
      <c r="U1211">
        <v>47800</v>
      </c>
      <c r="V1211">
        <v>46900</v>
      </c>
      <c r="W1211">
        <v>50100</v>
      </c>
    </row>
    <row r="1212" spans="1:23">
      <c r="A1212" s="30">
        <v>45496</v>
      </c>
      <c r="B1212" s="29">
        <v>46200</v>
      </c>
      <c r="C1212" s="29">
        <v>47500</v>
      </c>
      <c r="D1212" s="29">
        <v>46300</v>
      </c>
      <c r="E1212" s="29">
        <v>41500</v>
      </c>
      <c r="F1212" s="29">
        <v>47500</v>
      </c>
      <c r="G1212" s="29" t="str">
        <v>-</v>
      </c>
      <c r="H1212" s="29">
        <v>44000</v>
      </c>
      <c r="I1212" s="29">
        <v>44700</v>
      </c>
      <c r="J1212" s="29">
        <v>45800</v>
      </c>
      <c r="K1212" s="29" t="str">
        <v>-</v>
      </c>
      <c r="L1212" s="29">
        <v>47400</v>
      </c>
      <c r="M1212" s="29">
        <v>45800</v>
      </c>
      <c r="N1212" s="29" t="str">
        <v>-</v>
      </c>
      <c r="O1212" s="29">
        <v>43400</v>
      </c>
      <c r="P1212" s="29">
        <v>41400</v>
      </c>
      <c r="Q1212" s="29">
        <v>41800</v>
      </c>
      <c r="R1212" s="29">
        <v>41700</v>
      </c>
      <c r="S1212">
        <v>43600</v>
      </c>
      <c r="T1212">
        <v>45000</v>
      </c>
      <c r="U1212">
        <v>47800</v>
      </c>
      <c r="V1212">
        <v>46900</v>
      </c>
      <c r="W1212">
        <v>50100</v>
      </c>
    </row>
    <row r="1213" spans="1:23">
      <c r="A1213" s="30">
        <v>45497</v>
      </c>
      <c r="B1213" s="29">
        <v>46200</v>
      </c>
      <c r="C1213" s="29">
        <v>47500</v>
      </c>
      <c r="D1213" s="29">
        <v>46200</v>
      </c>
      <c r="E1213" s="29">
        <v>41000</v>
      </c>
      <c r="F1213" s="29">
        <v>47400</v>
      </c>
      <c r="G1213" s="29" t="str">
        <v>-</v>
      </c>
      <c r="H1213" s="29">
        <v>43500</v>
      </c>
      <c r="I1213" s="29">
        <v>44500</v>
      </c>
      <c r="J1213" s="29">
        <v>45500</v>
      </c>
      <c r="K1213" s="29" t="str">
        <v>-</v>
      </c>
      <c r="L1213" s="29">
        <v>47200</v>
      </c>
      <c r="M1213" s="29">
        <v>45700</v>
      </c>
      <c r="N1213" s="29" t="str">
        <v>-</v>
      </c>
      <c r="O1213" s="29">
        <v>43400</v>
      </c>
      <c r="P1213" s="29">
        <v>41300</v>
      </c>
      <c r="Q1213" s="29">
        <v>41700</v>
      </c>
      <c r="R1213" s="29">
        <v>41300</v>
      </c>
      <c r="S1213">
        <v>43100</v>
      </c>
      <c r="T1213">
        <v>45000</v>
      </c>
      <c r="U1213">
        <v>47800</v>
      </c>
      <c r="V1213">
        <v>46900</v>
      </c>
      <c r="W1213">
        <v>50100</v>
      </c>
    </row>
    <row r="1214" spans="1:23">
      <c r="A1214" s="30">
        <v>45498</v>
      </c>
      <c r="B1214" s="29">
        <v>46000</v>
      </c>
      <c r="C1214" s="29">
        <v>47500</v>
      </c>
      <c r="D1214" s="29">
        <v>46200</v>
      </c>
      <c r="E1214" s="29">
        <v>41300</v>
      </c>
      <c r="F1214" s="29">
        <v>47200</v>
      </c>
      <c r="G1214" s="29" t="str">
        <v>-</v>
      </c>
      <c r="H1214" s="29">
        <v>43000</v>
      </c>
      <c r="I1214" s="29">
        <v>44600</v>
      </c>
      <c r="J1214" s="29">
        <v>45500</v>
      </c>
      <c r="K1214" s="29" t="str">
        <v>-</v>
      </c>
      <c r="L1214" s="29">
        <v>47200</v>
      </c>
      <c r="M1214" s="29">
        <v>45400</v>
      </c>
      <c r="N1214" s="29" t="str">
        <v>-</v>
      </c>
      <c r="O1214" s="29">
        <v>43400</v>
      </c>
      <c r="P1214" s="29">
        <v>41500</v>
      </c>
      <c r="Q1214" s="29">
        <v>41600</v>
      </c>
      <c r="R1214" s="29">
        <v>41300</v>
      </c>
      <c r="S1214">
        <v>43600</v>
      </c>
      <c r="T1214">
        <v>44800</v>
      </c>
      <c r="U1214">
        <v>47800</v>
      </c>
      <c r="V1214">
        <v>46800</v>
      </c>
      <c r="W1214">
        <v>50100</v>
      </c>
    </row>
    <row r="1215" spans="1:23">
      <c r="A1215" s="30">
        <v>45499</v>
      </c>
      <c r="B1215" s="29">
        <v>46000</v>
      </c>
      <c r="C1215" s="29">
        <v>47300</v>
      </c>
      <c r="D1215" s="29">
        <v>46100</v>
      </c>
      <c r="E1215" s="29">
        <v>41300</v>
      </c>
      <c r="F1215" s="29">
        <v>47000</v>
      </c>
      <c r="G1215" s="29" t="str">
        <v>-</v>
      </c>
      <c r="H1215" s="29">
        <v>43500</v>
      </c>
      <c r="I1215" s="29">
        <v>44700</v>
      </c>
      <c r="J1215" s="29">
        <v>44700</v>
      </c>
      <c r="K1215" s="29" t="str">
        <v>-</v>
      </c>
      <c r="L1215" s="29">
        <v>47200</v>
      </c>
      <c r="M1215" s="29">
        <v>44900</v>
      </c>
      <c r="N1215" s="29" t="str">
        <v>-</v>
      </c>
      <c r="O1215" s="29">
        <v>43200</v>
      </c>
      <c r="P1215" s="29">
        <v>41300</v>
      </c>
      <c r="Q1215" s="29">
        <v>41500</v>
      </c>
      <c r="R1215" s="29">
        <v>41300</v>
      </c>
      <c r="S1215">
        <v>43400</v>
      </c>
      <c r="T1215">
        <v>44500</v>
      </c>
      <c r="U1215">
        <v>47800</v>
      </c>
      <c r="V1215">
        <v>46300</v>
      </c>
      <c r="W1215">
        <v>49700</v>
      </c>
    </row>
    <row r="1216" spans="1:23">
      <c r="A1216" s="30">
        <v>45500</v>
      </c>
      <c r="B1216" s="29">
        <v>46000</v>
      </c>
      <c r="C1216" s="29">
        <v>47500</v>
      </c>
      <c r="D1216" s="29">
        <v>46400</v>
      </c>
      <c r="E1216" s="29">
        <v>41700</v>
      </c>
      <c r="F1216" s="29">
        <v>46600</v>
      </c>
      <c r="G1216" s="29" t="str">
        <v>-</v>
      </c>
      <c r="H1216" s="29">
        <v>43500</v>
      </c>
      <c r="I1216" s="29">
        <v>45200</v>
      </c>
      <c r="J1216" s="29">
        <v>44800</v>
      </c>
      <c r="K1216" s="29" t="str">
        <v>-</v>
      </c>
      <c r="L1216" s="29">
        <v>47500</v>
      </c>
      <c r="M1216" s="29">
        <v>44700</v>
      </c>
      <c r="N1216" s="29" t="str">
        <v>-</v>
      </c>
      <c r="O1216" s="29">
        <v>43200</v>
      </c>
      <c r="P1216" s="29">
        <v>41400</v>
      </c>
      <c r="Q1216" s="29">
        <v>41500</v>
      </c>
      <c r="R1216" s="29">
        <v>41500</v>
      </c>
      <c r="S1216">
        <v>43800</v>
      </c>
      <c r="T1216">
        <v>44500</v>
      </c>
      <c r="U1216">
        <v>47800</v>
      </c>
      <c r="V1216">
        <v>46300</v>
      </c>
      <c r="W1216">
        <v>49700</v>
      </c>
    </row>
    <row r="1217" spans="1:23">
      <c r="A1217" s="30">
        <v>45501</v>
      </c>
      <c r="B1217" s="29" t="str">
        <v>H</v>
      </c>
      <c r="C1217" s="29" t="str">
        <v>H</v>
      </c>
      <c r="D1217" s="29" t="str">
        <v>H</v>
      </c>
      <c r="E1217" s="29" t="str">
        <v>H</v>
      </c>
      <c r="F1217" s="29" t="str">
        <v>H</v>
      </c>
      <c r="G1217" s="29" t="str">
        <v>H</v>
      </c>
      <c r="H1217" s="29" t="str">
        <v>H</v>
      </c>
      <c r="I1217" s="29" t="str">
        <v>H</v>
      </c>
      <c r="J1217" s="29" t="str">
        <v>H</v>
      </c>
      <c r="K1217" s="29" t="str">
        <v>H</v>
      </c>
      <c r="L1217" s="29" t="str">
        <v>H</v>
      </c>
      <c r="M1217" s="29" t="str">
        <v>H</v>
      </c>
      <c r="N1217" s="29" t="str">
        <v>H</v>
      </c>
      <c r="O1217" s="29" t="str">
        <v>H</v>
      </c>
      <c r="P1217" s="29" t="str">
        <v>H</v>
      </c>
      <c r="Q1217" s="29" t="str">
        <v>H</v>
      </c>
      <c r="R1217" s="29" t="str">
        <v>H</v>
      </c>
      <c r="S1217" t="str">
        <v>H</v>
      </c>
      <c r="T1217" t="str">
        <v>H</v>
      </c>
      <c r="U1217" t="str">
        <v>H</v>
      </c>
      <c r="V1217" t="str">
        <v>H</v>
      </c>
      <c r="W1217" t="str">
        <v>H</v>
      </c>
    </row>
    <row r="1218" spans="1:23">
      <c r="A1218" s="30">
        <v>45502</v>
      </c>
      <c r="B1218" s="29">
        <v>46200</v>
      </c>
      <c r="C1218" s="29">
        <v>47500</v>
      </c>
      <c r="D1218" s="29">
        <v>46700</v>
      </c>
      <c r="E1218" s="29">
        <v>42000</v>
      </c>
      <c r="F1218" s="29">
        <v>47000</v>
      </c>
      <c r="G1218" s="29" t="str">
        <v>-</v>
      </c>
      <c r="H1218" s="29">
        <v>43500</v>
      </c>
      <c r="I1218" s="29">
        <v>45400</v>
      </c>
      <c r="J1218" s="29">
        <v>44800</v>
      </c>
      <c r="K1218" s="29" t="str">
        <v>-</v>
      </c>
      <c r="L1218" s="29">
        <v>47600</v>
      </c>
      <c r="M1218" s="29">
        <v>44400</v>
      </c>
      <c r="N1218" s="29" t="str">
        <v>-</v>
      </c>
      <c r="O1218" s="29">
        <v>43600</v>
      </c>
      <c r="P1218" s="29">
        <v>41500</v>
      </c>
      <c r="Q1218" s="29">
        <v>41700</v>
      </c>
      <c r="R1218" s="29">
        <v>41500</v>
      </c>
      <c r="S1218">
        <v>44100</v>
      </c>
      <c r="T1218">
        <v>44500</v>
      </c>
      <c r="U1218">
        <v>47800</v>
      </c>
      <c r="V1218">
        <v>46100</v>
      </c>
      <c r="W1218">
        <v>49300</v>
      </c>
    </row>
    <row r="1219" spans="1:23">
      <c r="A1219" s="30">
        <v>45503</v>
      </c>
      <c r="B1219" s="29">
        <v>46600</v>
      </c>
      <c r="C1219" s="29">
        <v>47500</v>
      </c>
      <c r="D1219" s="29">
        <v>47200</v>
      </c>
      <c r="E1219" s="29">
        <v>42600</v>
      </c>
      <c r="F1219" s="29">
        <v>47300</v>
      </c>
      <c r="G1219" s="29" t="str">
        <v>-</v>
      </c>
      <c r="H1219" s="29">
        <v>44500</v>
      </c>
      <c r="I1219" s="29">
        <v>46100</v>
      </c>
      <c r="J1219" s="29">
        <v>45700</v>
      </c>
      <c r="K1219" s="29" t="str">
        <v>-</v>
      </c>
      <c r="L1219" s="29">
        <v>48000</v>
      </c>
      <c r="M1219" s="29">
        <v>45200</v>
      </c>
      <c r="N1219" s="29" t="str">
        <v>-</v>
      </c>
      <c r="O1219" s="29">
        <v>44000</v>
      </c>
      <c r="P1219" s="29">
        <v>42000</v>
      </c>
      <c r="Q1219" s="29">
        <v>42400</v>
      </c>
      <c r="R1219" s="29">
        <v>42200</v>
      </c>
      <c r="S1219">
        <v>44700</v>
      </c>
      <c r="T1219">
        <v>45300</v>
      </c>
      <c r="U1219">
        <v>47800</v>
      </c>
      <c r="V1219">
        <v>47500</v>
      </c>
      <c r="W1219">
        <v>50600</v>
      </c>
    </row>
    <row r="1220" spans="1:23">
      <c r="A1220" s="30">
        <v>45504</v>
      </c>
      <c r="B1220" s="29">
        <v>46800</v>
      </c>
      <c r="C1220" s="29">
        <v>47800</v>
      </c>
      <c r="D1220" s="29">
        <v>47200</v>
      </c>
      <c r="E1220" s="29">
        <v>42300</v>
      </c>
      <c r="F1220" s="29">
        <v>47600</v>
      </c>
      <c r="G1220" s="29" t="str">
        <v>-</v>
      </c>
      <c r="H1220" s="29">
        <v>44000</v>
      </c>
      <c r="I1220" s="29">
        <v>45700</v>
      </c>
      <c r="J1220" s="29">
        <v>46000</v>
      </c>
      <c r="K1220" s="29" t="str">
        <v>-</v>
      </c>
      <c r="L1220" s="29">
        <v>48200</v>
      </c>
      <c r="M1220" s="29">
        <v>45300</v>
      </c>
      <c r="N1220" s="29" t="str">
        <v>-</v>
      </c>
      <c r="O1220" s="29">
        <v>44000</v>
      </c>
      <c r="P1220" s="29">
        <v>41900</v>
      </c>
      <c r="Q1220" s="29">
        <v>42300</v>
      </c>
      <c r="R1220" s="29">
        <v>42200</v>
      </c>
      <c r="S1220">
        <v>44400</v>
      </c>
      <c r="T1220">
        <v>45300</v>
      </c>
      <c r="U1220">
        <v>47800</v>
      </c>
      <c r="V1220">
        <v>47500</v>
      </c>
      <c r="W1220">
        <v>50600</v>
      </c>
    </row>
    <row r="1221" spans="1:23">
      <c r="A1221" s="30">
        <v>45505</v>
      </c>
      <c r="B1221" s="29">
        <v>46500</v>
      </c>
      <c r="C1221" s="29">
        <v>47500</v>
      </c>
      <c r="D1221" s="29">
        <v>47000</v>
      </c>
      <c r="E1221" s="29">
        <v>42300</v>
      </c>
      <c r="F1221" s="29">
        <v>47300</v>
      </c>
      <c r="G1221" s="29" t="str">
        <v>-</v>
      </c>
      <c r="H1221" s="29">
        <v>44000</v>
      </c>
      <c r="I1221" s="29">
        <v>45400</v>
      </c>
      <c r="J1221" s="29">
        <v>46000</v>
      </c>
      <c r="K1221" s="29" t="str">
        <v>-</v>
      </c>
      <c r="L1221" s="29">
        <v>48000</v>
      </c>
      <c r="M1221" s="29">
        <v>45200</v>
      </c>
      <c r="N1221" s="29" t="str">
        <v>-</v>
      </c>
      <c r="O1221" s="29">
        <v>44000</v>
      </c>
      <c r="P1221" s="29">
        <v>41900</v>
      </c>
      <c r="Q1221" s="29">
        <v>42200</v>
      </c>
      <c r="R1221" s="29">
        <v>42200</v>
      </c>
      <c r="S1221">
        <v>44400</v>
      </c>
      <c r="T1221">
        <v>45300</v>
      </c>
      <c r="U1221">
        <v>47800</v>
      </c>
      <c r="V1221">
        <v>47500</v>
      </c>
      <c r="W1221">
        <v>50600</v>
      </c>
    </row>
    <row r="1222" spans="1:23">
      <c r="A1222" s="30">
        <v>45506</v>
      </c>
      <c r="B1222" s="29">
        <v>46200</v>
      </c>
      <c r="C1222" s="29">
        <v>47500</v>
      </c>
      <c r="D1222" s="29">
        <v>46800</v>
      </c>
      <c r="E1222" s="29">
        <v>41800</v>
      </c>
      <c r="F1222" s="29">
        <v>47300</v>
      </c>
      <c r="G1222" s="29" t="str">
        <v>-</v>
      </c>
      <c r="H1222" s="29">
        <v>43800</v>
      </c>
      <c r="I1222" s="29">
        <v>45100</v>
      </c>
      <c r="J1222" s="29">
        <v>45800</v>
      </c>
      <c r="K1222" s="29" t="str">
        <v>-</v>
      </c>
      <c r="L1222" s="29">
        <v>47800</v>
      </c>
      <c r="M1222" s="29">
        <v>44700</v>
      </c>
      <c r="N1222" s="29" t="str">
        <v>-</v>
      </c>
      <c r="O1222" s="29">
        <v>44000</v>
      </c>
      <c r="P1222" s="29">
        <v>41300</v>
      </c>
      <c r="Q1222" s="29">
        <v>41900</v>
      </c>
      <c r="R1222" s="29">
        <v>42200</v>
      </c>
      <c r="S1222">
        <v>43900</v>
      </c>
      <c r="T1222">
        <v>45300</v>
      </c>
      <c r="U1222">
        <v>47800</v>
      </c>
      <c r="V1222">
        <v>47500</v>
      </c>
      <c r="W1222">
        <v>50600</v>
      </c>
    </row>
    <row r="1223" spans="1:23">
      <c r="A1223" s="30">
        <v>45507</v>
      </c>
      <c r="B1223" s="29">
        <v>46000</v>
      </c>
      <c r="C1223" s="29">
        <v>47500</v>
      </c>
      <c r="D1223" s="29">
        <v>46500</v>
      </c>
      <c r="E1223" s="29">
        <v>41600</v>
      </c>
      <c r="F1223" s="29">
        <v>47300</v>
      </c>
      <c r="G1223" s="29" t="str">
        <v>-</v>
      </c>
      <c r="H1223" s="29">
        <v>43500</v>
      </c>
      <c r="I1223" s="29">
        <v>44900</v>
      </c>
      <c r="J1223" s="29">
        <v>45500</v>
      </c>
      <c r="K1223" s="29" t="str">
        <v>-</v>
      </c>
      <c r="L1223" s="29">
        <v>47400</v>
      </c>
      <c r="M1223" s="29">
        <v>44300</v>
      </c>
      <c r="N1223" s="29" t="str">
        <v>-</v>
      </c>
      <c r="O1223" s="29">
        <v>44000</v>
      </c>
      <c r="P1223" s="29">
        <v>41200</v>
      </c>
      <c r="Q1223" s="29">
        <v>41700</v>
      </c>
      <c r="R1223" s="29">
        <v>42200</v>
      </c>
      <c r="S1223">
        <v>43700</v>
      </c>
      <c r="T1223">
        <v>45000</v>
      </c>
      <c r="U1223">
        <v>47800</v>
      </c>
      <c r="V1223">
        <v>47300</v>
      </c>
      <c r="W1223">
        <v>50500</v>
      </c>
    </row>
    <row r="1224" spans="1:23">
      <c r="A1224" s="30">
        <v>45508</v>
      </c>
      <c r="B1224" s="29" t="str">
        <v>H</v>
      </c>
      <c r="C1224" s="29" t="str">
        <v>H</v>
      </c>
      <c r="D1224" s="29" t="str">
        <v>H</v>
      </c>
      <c r="E1224" s="29" t="str">
        <v>H</v>
      </c>
      <c r="F1224" s="29" t="str">
        <v>H</v>
      </c>
      <c r="G1224" s="29" t="str">
        <v>H</v>
      </c>
      <c r="H1224" s="29" t="str">
        <v>H</v>
      </c>
      <c r="I1224" s="29" t="str">
        <v>H</v>
      </c>
      <c r="J1224" s="29" t="str">
        <v>H</v>
      </c>
      <c r="K1224" s="29" t="str">
        <v>H</v>
      </c>
      <c r="L1224" s="29" t="str">
        <v>H</v>
      </c>
      <c r="M1224" s="29" t="str">
        <v>H</v>
      </c>
      <c r="N1224" s="29" t="str">
        <v>H</v>
      </c>
      <c r="O1224" s="29" t="str">
        <v>H</v>
      </c>
      <c r="P1224" s="29" t="str">
        <v>H</v>
      </c>
      <c r="Q1224" s="29" t="str">
        <v>H</v>
      </c>
      <c r="R1224" s="29" t="str">
        <v>H</v>
      </c>
      <c r="S1224" t="str">
        <v>H</v>
      </c>
      <c r="T1224" t="str">
        <v>H</v>
      </c>
      <c r="U1224" t="str">
        <v>H</v>
      </c>
      <c r="V1224" t="str">
        <v>H</v>
      </c>
      <c r="W1224" t="str">
        <v>H</v>
      </c>
    </row>
    <row r="1225" spans="1:23">
      <c r="A1225" s="30">
        <v>45509</v>
      </c>
      <c r="B1225" s="29">
        <v>45800</v>
      </c>
      <c r="C1225" s="29">
        <v>47500</v>
      </c>
      <c r="D1225" s="29">
        <v>46500</v>
      </c>
      <c r="E1225" s="29">
        <v>41500</v>
      </c>
      <c r="F1225" s="29">
        <v>46600</v>
      </c>
      <c r="G1225" s="29" t="str">
        <v>-</v>
      </c>
      <c r="H1225" s="29">
        <v>43500</v>
      </c>
      <c r="I1225" s="29">
        <v>44800</v>
      </c>
      <c r="J1225" s="29">
        <v>44800</v>
      </c>
      <c r="K1225" s="29" t="str">
        <v>-</v>
      </c>
      <c r="L1225" s="29">
        <v>47300</v>
      </c>
      <c r="M1225" s="29">
        <v>44300</v>
      </c>
      <c r="N1225" s="29">
        <v>45700</v>
      </c>
      <c r="O1225" s="29">
        <v>43200</v>
      </c>
      <c r="P1225" s="29">
        <v>41200</v>
      </c>
      <c r="Q1225" s="29">
        <v>41700</v>
      </c>
      <c r="R1225" s="29">
        <v>41400</v>
      </c>
      <c r="S1225">
        <v>43600</v>
      </c>
      <c r="T1225">
        <v>45000</v>
      </c>
      <c r="U1225">
        <v>48300</v>
      </c>
      <c r="V1225">
        <v>47100</v>
      </c>
      <c r="W1225">
        <v>50500</v>
      </c>
    </row>
    <row r="1226" spans="1:23">
      <c r="A1226" s="30">
        <v>45510</v>
      </c>
      <c r="B1226" s="29">
        <v>45600</v>
      </c>
      <c r="C1226" s="29">
        <v>47500</v>
      </c>
      <c r="D1226" s="29">
        <v>46200</v>
      </c>
      <c r="E1226" s="29">
        <v>41200</v>
      </c>
      <c r="F1226" s="29">
        <v>46200</v>
      </c>
      <c r="G1226" s="29" t="str">
        <v>-</v>
      </c>
      <c r="H1226" s="29">
        <v>43300</v>
      </c>
      <c r="I1226" s="29">
        <v>44500</v>
      </c>
      <c r="J1226" s="29">
        <v>44800</v>
      </c>
      <c r="K1226" s="29" t="str">
        <v>-</v>
      </c>
      <c r="L1226" s="29">
        <v>47000</v>
      </c>
      <c r="M1226" s="29">
        <v>44300</v>
      </c>
      <c r="N1226" s="29">
        <v>45400</v>
      </c>
      <c r="O1226" s="29">
        <v>42800</v>
      </c>
      <c r="P1226" s="29">
        <v>40800</v>
      </c>
      <c r="Q1226" s="29">
        <v>41300</v>
      </c>
      <c r="R1226" s="29">
        <v>41400</v>
      </c>
      <c r="S1226">
        <v>43300</v>
      </c>
      <c r="T1226">
        <v>44500</v>
      </c>
      <c r="U1226">
        <v>48300</v>
      </c>
      <c r="V1226">
        <v>46700</v>
      </c>
      <c r="W1226">
        <v>50300</v>
      </c>
    </row>
    <row r="1227" spans="1:23">
      <c r="A1227" s="30">
        <v>45511</v>
      </c>
      <c r="B1227" s="29">
        <v>45600</v>
      </c>
      <c r="C1227" s="29">
        <v>47500</v>
      </c>
      <c r="D1227" s="29">
        <v>46000</v>
      </c>
      <c r="E1227" s="29">
        <v>41200</v>
      </c>
      <c r="F1227" s="29">
        <v>46200</v>
      </c>
      <c r="G1227" s="29" t="str">
        <v>-</v>
      </c>
      <c r="H1227" s="29">
        <v>43000</v>
      </c>
      <c r="I1227" s="29">
        <v>44500</v>
      </c>
      <c r="J1227" s="29">
        <v>44800</v>
      </c>
      <c r="K1227" s="29" t="str">
        <v>-</v>
      </c>
      <c r="L1227" s="29">
        <v>46800</v>
      </c>
      <c r="M1227" s="29">
        <v>44700</v>
      </c>
      <c r="N1227" s="29">
        <v>45300</v>
      </c>
      <c r="O1227" s="29">
        <v>42800</v>
      </c>
      <c r="P1227" s="29">
        <v>40800</v>
      </c>
      <c r="Q1227" s="29">
        <v>41300</v>
      </c>
      <c r="R1227" s="29">
        <v>41200</v>
      </c>
      <c r="S1227">
        <v>43300</v>
      </c>
      <c r="T1227">
        <v>44500</v>
      </c>
      <c r="U1227">
        <v>48300</v>
      </c>
      <c r="V1227">
        <v>46700</v>
      </c>
      <c r="W1227">
        <v>50300</v>
      </c>
    </row>
    <row r="1228" spans="1:23">
      <c r="A1228" s="30">
        <v>45512</v>
      </c>
      <c r="B1228" s="29">
        <v>45600</v>
      </c>
      <c r="C1228" s="29">
        <v>47500</v>
      </c>
      <c r="D1228" s="29">
        <v>46000</v>
      </c>
      <c r="E1228" s="29">
        <v>41200</v>
      </c>
      <c r="F1228" s="29">
        <v>46200</v>
      </c>
      <c r="G1228" s="29" t="str">
        <v>-</v>
      </c>
      <c r="H1228" s="29">
        <v>43000</v>
      </c>
      <c r="I1228" s="29">
        <v>44500</v>
      </c>
      <c r="J1228" s="29">
        <v>44500</v>
      </c>
      <c r="K1228" s="29" t="str">
        <v>-</v>
      </c>
      <c r="L1228" s="29">
        <v>46900</v>
      </c>
      <c r="M1228" s="29">
        <v>44800</v>
      </c>
      <c r="N1228" s="29">
        <v>45200</v>
      </c>
      <c r="O1228" s="29">
        <v>42600</v>
      </c>
      <c r="P1228" s="29">
        <v>40800</v>
      </c>
      <c r="Q1228" s="29">
        <v>41300</v>
      </c>
      <c r="R1228" s="29">
        <v>40900</v>
      </c>
      <c r="S1228">
        <v>43300</v>
      </c>
      <c r="T1228">
        <v>44500</v>
      </c>
      <c r="U1228">
        <v>48200</v>
      </c>
      <c r="V1228">
        <v>46500</v>
      </c>
      <c r="W1228">
        <v>50300</v>
      </c>
    </row>
    <row r="1229" spans="1:23">
      <c r="A1229" s="30">
        <v>45513</v>
      </c>
      <c r="B1229" s="29">
        <v>45600</v>
      </c>
      <c r="C1229" s="29">
        <v>47300</v>
      </c>
      <c r="D1229" s="29">
        <v>45600</v>
      </c>
      <c r="E1229" s="29">
        <v>41000</v>
      </c>
      <c r="F1229" s="29">
        <v>46200</v>
      </c>
      <c r="G1229" s="29" t="str">
        <v>-</v>
      </c>
      <c r="H1229" s="29">
        <v>42800</v>
      </c>
      <c r="I1229" s="29">
        <v>44200</v>
      </c>
      <c r="J1229" s="29">
        <v>44500</v>
      </c>
      <c r="K1229" s="29" t="str">
        <v>-</v>
      </c>
      <c r="L1229" s="29">
        <v>46500</v>
      </c>
      <c r="M1229" s="29">
        <v>45000</v>
      </c>
      <c r="N1229" s="29">
        <v>44800</v>
      </c>
      <c r="O1229" s="29">
        <v>42500</v>
      </c>
      <c r="P1229" s="29">
        <v>40500</v>
      </c>
      <c r="Q1229" s="29">
        <v>41100</v>
      </c>
      <c r="R1229" s="29">
        <v>40900</v>
      </c>
      <c r="S1229">
        <v>43100</v>
      </c>
      <c r="T1229">
        <v>44300</v>
      </c>
      <c r="U1229">
        <v>48300</v>
      </c>
      <c r="V1229">
        <v>46500</v>
      </c>
      <c r="W1229">
        <v>50300</v>
      </c>
    </row>
    <row r="1230" spans="1:23">
      <c r="A1230" s="30">
        <v>45514</v>
      </c>
      <c r="B1230" s="29">
        <v>45600</v>
      </c>
      <c r="C1230" s="29">
        <v>47000</v>
      </c>
      <c r="D1230" s="29">
        <v>45500</v>
      </c>
      <c r="E1230" s="29">
        <v>40900</v>
      </c>
      <c r="F1230" s="29">
        <v>46100</v>
      </c>
      <c r="G1230" s="29" t="str">
        <v>-</v>
      </c>
      <c r="H1230" s="29">
        <v>43500</v>
      </c>
      <c r="I1230" s="29">
        <v>44100</v>
      </c>
      <c r="J1230" s="29">
        <v>44500</v>
      </c>
      <c r="K1230" s="29" t="str">
        <v>-</v>
      </c>
      <c r="L1230" s="29">
        <v>46300</v>
      </c>
      <c r="M1230" s="29">
        <v>45000</v>
      </c>
      <c r="N1230" s="29">
        <v>44600</v>
      </c>
      <c r="O1230" s="29">
        <v>42500</v>
      </c>
      <c r="P1230" s="29">
        <v>40500</v>
      </c>
      <c r="Q1230" s="29">
        <v>41100</v>
      </c>
      <c r="R1230" s="29">
        <v>40900</v>
      </c>
      <c r="S1230">
        <v>43000</v>
      </c>
      <c r="T1230">
        <v>44300</v>
      </c>
      <c r="U1230">
        <v>48300</v>
      </c>
      <c r="V1230">
        <v>46500</v>
      </c>
      <c r="W1230">
        <v>50300</v>
      </c>
    </row>
    <row r="1231" spans="1:23">
      <c r="A1231" s="30">
        <v>45515</v>
      </c>
      <c r="B1231" s="29" t="str">
        <v>H</v>
      </c>
      <c r="C1231" s="29" t="str">
        <v>H</v>
      </c>
      <c r="D1231" s="29" t="str">
        <v>H</v>
      </c>
      <c r="E1231" s="29" t="str">
        <v>H</v>
      </c>
      <c r="F1231" s="29" t="str">
        <v>H</v>
      </c>
      <c r="G1231" s="29" t="str">
        <v>H</v>
      </c>
      <c r="H1231" s="29" t="str">
        <v>H</v>
      </c>
      <c r="I1231" s="29" t="str">
        <v>H</v>
      </c>
      <c r="J1231" s="29" t="str">
        <v>H</v>
      </c>
      <c r="K1231" s="29" t="str">
        <v>H</v>
      </c>
      <c r="L1231" s="29" t="str">
        <v>H</v>
      </c>
      <c r="M1231" s="29" t="str">
        <v>H</v>
      </c>
      <c r="N1231" s="29" t="str">
        <v>H</v>
      </c>
      <c r="O1231" s="29" t="str">
        <v>H</v>
      </c>
      <c r="P1231" s="29" t="str">
        <v>H</v>
      </c>
      <c r="Q1231" s="29" t="str">
        <v>H</v>
      </c>
      <c r="R1231" s="29" t="str">
        <v>H</v>
      </c>
      <c r="S1231" t="str">
        <v>H</v>
      </c>
      <c r="T1231" t="str">
        <v>H</v>
      </c>
      <c r="U1231" t="str">
        <v>H</v>
      </c>
      <c r="V1231" t="str">
        <v>H</v>
      </c>
      <c r="W1231" t="str">
        <v>H</v>
      </c>
    </row>
    <row r="1232" spans="1:23">
      <c r="A1232" s="30">
        <v>45516</v>
      </c>
      <c r="B1232" s="29">
        <v>45600</v>
      </c>
      <c r="C1232" s="29">
        <v>47000</v>
      </c>
      <c r="D1232" s="29">
        <v>45500</v>
      </c>
      <c r="E1232" s="29">
        <v>41100</v>
      </c>
      <c r="F1232" s="29">
        <v>46500</v>
      </c>
      <c r="G1232" s="29" t="str">
        <v>-</v>
      </c>
      <c r="H1232" s="29">
        <v>43500</v>
      </c>
      <c r="I1232" s="29">
        <v>44200</v>
      </c>
      <c r="J1232" s="29">
        <v>44500</v>
      </c>
      <c r="K1232" s="29" t="str">
        <v>-</v>
      </c>
      <c r="L1232" s="29">
        <v>46300</v>
      </c>
      <c r="M1232" s="29">
        <v>45000</v>
      </c>
      <c r="N1232" s="29">
        <v>44600</v>
      </c>
      <c r="O1232" s="29">
        <v>42700</v>
      </c>
      <c r="P1232" s="29">
        <v>40500</v>
      </c>
      <c r="Q1232" s="29">
        <v>41200</v>
      </c>
      <c r="R1232" s="29">
        <v>41200</v>
      </c>
      <c r="S1232">
        <v>43100</v>
      </c>
      <c r="T1232">
        <v>44300</v>
      </c>
      <c r="U1232">
        <v>48600</v>
      </c>
      <c r="V1232">
        <v>46200</v>
      </c>
      <c r="W1232">
        <v>50000</v>
      </c>
    </row>
    <row r="1233" spans="1:23">
      <c r="A1233" s="30">
        <v>45517</v>
      </c>
      <c r="B1233" s="29">
        <v>45600</v>
      </c>
      <c r="C1233" s="29">
        <v>47000</v>
      </c>
      <c r="D1233" s="29">
        <v>45700</v>
      </c>
      <c r="E1233" s="29">
        <v>41200</v>
      </c>
      <c r="F1233" s="29">
        <v>46500</v>
      </c>
      <c r="G1233" s="29" t="str">
        <v>-</v>
      </c>
      <c r="H1233" s="29">
        <v>43500</v>
      </c>
      <c r="I1233" s="29">
        <v>44300</v>
      </c>
      <c r="J1233" s="29">
        <v>44600</v>
      </c>
      <c r="K1233" s="29" t="str">
        <v>-</v>
      </c>
      <c r="L1233" s="29">
        <v>46600</v>
      </c>
      <c r="M1233" s="29">
        <v>45100</v>
      </c>
      <c r="N1233" s="29">
        <v>45000</v>
      </c>
      <c r="O1233" s="29">
        <v>42700</v>
      </c>
      <c r="P1233" s="29">
        <v>40600</v>
      </c>
      <c r="Q1233" s="29">
        <v>41100</v>
      </c>
      <c r="R1233" s="29">
        <v>41200</v>
      </c>
      <c r="S1233">
        <v>43100</v>
      </c>
      <c r="T1233">
        <v>44300</v>
      </c>
      <c r="U1233">
        <v>48600</v>
      </c>
      <c r="V1233">
        <v>46200</v>
      </c>
      <c r="W1233">
        <v>50000</v>
      </c>
    </row>
    <row r="1234" spans="1:23">
      <c r="A1234" s="30">
        <v>45518</v>
      </c>
      <c r="B1234" s="29">
        <v>45400</v>
      </c>
      <c r="C1234" s="29">
        <v>47000</v>
      </c>
      <c r="D1234" s="29">
        <v>45600</v>
      </c>
      <c r="E1234" s="29">
        <v>41000</v>
      </c>
      <c r="F1234" s="29">
        <v>46400</v>
      </c>
      <c r="G1234" s="29" t="str">
        <v>-</v>
      </c>
      <c r="H1234" s="29">
        <v>43500</v>
      </c>
      <c r="I1234" s="29">
        <v>44200</v>
      </c>
      <c r="J1234" s="29">
        <v>44600</v>
      </c>
      <c r="K1234" s="29" t="str">
        <v>-</v>
      </c>
      <c r="L1234" s="29">
        <v>46600</v>
      </c>
      <c r="M1234" s="29">
        <v>45100</v>
      </c>
      <c r="N1234" s="29">
        <v>44700</v>
      </c>
      <c r="O1234" s="29">
        <v>42700</v>
      </c>
      <c r="P1234" s="29">
        <v>40600</v>
      </c>
      <c r="Q1234" s="29">
        <v>41200</v>
      </c>
      <c r="R1234" s="29">
        <v>41200</v>
      </c>
      <c r="S1234">
        <v>43100</v>
      </c>
      <c r="T1234">
        <v>44200</v>
      </c>
      <c r="U1234">
        <v>48600</v>
      </c>
      <c r="V1234">
        <v>46200</v>
      </c>
      <c r="W1234">
        <v>50000</v>
      </c>
    </row>
    <row r="1235" spans="1:23">
      <c r="A1235" s="30">
        <v>45519</v>
      </c>
      <c r="B1235" s="29" t="str">
        <v>H</v>
      </c>
      <c r="C1235" s="29" t="str">
        <v>H</v>
      </c>
      <c r="D1235" s="29" t="str">
        <v>H</v>
      </c>
      <c r="E1235" s="29" t="str">
        <v>H</v>
      </c>
      <c r="F1235" s="29" t="str">
        <v>H</v>
      </c>
      <c r="G1235" s="29" t="str">
        <v>H</v>
      </c>
      <c r="H1235" s="29" t="str">
        <v>H</v>
      </c>
      <c r="I1235" s="29" t="str">
        <v>H</v>
      </c>
      <c r="J1235" s="29" t="str">
        <v>H</v>
      </c>
      <c r="K1235" s="29" t="str">
        <v>H</v>
      </c>
      <c r="L1235" s="29" t="str">
        <v>H</v>
      </c>
      <c r="M1235" s="29" t="str">
        <v>H</v>
      </c>
      <c r="N1235" s="29" t="str">
        <v>H</v>
      </c>
      <c r="O1235" s="29" t="str">
        <v>H</v>
      </c>
      <c r="P1235" s="29" t="str">
        <v>H</v>
      </c>
      <c r="Q1235" s="29" t="str">
        <v>H</v>
      </c>
      <c r="R1235" s="29" t="str">
        <v>H</v>
      </c>
      <c r="S1235" t="str">
        <v>H</v>
      </c>
      <c r="T1235" t="str">
        <v>H</v>
      </c>
      <c r="U1235" t="str">
        <v>H</v>
      </c>
      <c r="V1235" t="str">
        <v>H</v>
      </c>
      <c r="W1235" t="str">
        <v>H</v>
      </c>
    </row>
    <row r="1236" spans="1:23">
      <c r="A1236" s="30">
        <v>45520</v>
      </c>
      <c r="B1236" s="29">
        <v>45200</v>
      </c>
      <c r="C1236" s="29">
        <v>47000</v>
      </c>
      <c r="D1236" s="29">
        <v>45500</v>
      </c>
      <c r="E1236" s="29">
        <v>40900</v>
      </c>
      <c r="F1236" s="29">
        <v>46400</v>
      </c>
      <c r="G1236" s="29" t="str">
        <v>-</v>
      </c>
      <c r="H1236" s="29">
        <v>43500</v>
      </c>
      <c r="I1236" s="29">
        <v>44000</v>
      </c>
      <c r="J1236" s="29">
        <v>44600</v>
      </c>
      <c r="K1236" s="29" t="str">
        <v>-</v>
      </c>
      <c r="L1236" s="29">
        <v>46500</v>
      </c>
      <c r="M1236" s="29">
        <v>45100</v>
      </c>
      <c r="N1236" s="29">
        <v>44300</v>
      </c>
      <c r="O1236" s="29">
        <v>42500</v>
      </c>
      <c r="P1236" s="29">
        <v>40400</v>
      </c>
      <c r="Q1236" s="29">
        <v>41200</v>
      </c>
      <c r="R1236" s="29">
        <v>41000</v>
      </c>
      <c r="S1236">
        <v>43000</v>
      </c>
      <c r="T1236">
        <v>44200</v>
      </c>
      <c r="U1236">
        <v>48500</v>
      </c>
      <c r="V1236">
        <v>46200</v>
      </c>
      <c r="W1236">
        <v>49800</v>
      </c>
    </row>
    <row r="1237" spans="1:23">
      <c r="A1237" s="30">
        <v>45521</v>
      </c>
      <c r="B1237" s="29">
        <v>45300</v>
      </c>
      <c r="C1237" s="29">
        <v>47000</v>
      </c>
      <c r="D1237" s="29">
        <v>45700</v>
      </c>
      <c r="E1237" s="29">
        <v>41200</v>
      </c>
      <c r="F1237" s="29">
        <v>46400</v>
      </c>
      <c r="G1237" s="29" t="str">
        <v>-</v>
      </c>
      <c r="H1237" s="29">
        <v>43500</v>
      </c>
      <c r="I1237" s="29">
        <v>44200</v>
      </c>
      <c r="J1237" s="29">
        <v>44700</v>
      </c>
      <c r="K1237" s="29" t="str">
        <v>-</v>
      </c>
      <c r="L1237" s="29">
        <v>46700</v>
      </c>
      <c r="M1237" s="29">
        <v>45100</v>
      </c>
      <c r="N1237" s="29">
        <v>44600</v>
      </c>
      <c r="O1237" s="29">
        <v>42600</v>
      </c>
      <c r="P1237" s="29">
        <v>40800</v>
      </c>
      <c r="Q1237" s="29">
        <v>41300</v>
      </c>
      <c r="R1237" s="29">
        <v>41000</v>
      </c>
      <c r="S1237">
        <v>43300</v>
      </c>
      <c r="T1237">
        <v>44500</v>
      </c>
      <c r="U1237">
        <v>48500</v>
      </c>
      <c r="V1237">
        <v>46200</v>
      </c>
      <c r="W1237">
        <v>49800</v>
      </c>
    </row>
    <row r="1238" spans="1:23">
      <c r="A1238" s="30">
        <v>45522</v>
      </c>
      <c r="B1238" s="29" t="str">
        <v>H</v>
      </c>
      <c r="C1238" s="29" t="str">
        <v>H</v>
      </c>
      <c r="D1238" s="29" t="str">
        <v>H</v>
      </c>
      <c r="E1238" s="29" t="str">
        <v>H</v>
      </c>
      <c r="F1238" s="29" t="str">
        <v>H</v>
      </c>
      <c r="G1238" s="29" t="str">
        <v>H</v>
      </c>
      <c r="H1238" s="29" t="str">
        <v>H</v>
      </c>
      <c r="I1238" s="29" t="str">
        <v>H</v>
      </c>
      <c r="J1238" s="29" t="str">
        <v>H</v>
      </c>
      <c r="K1238" s="29" t="str">
        <v>H</v>
      </c>
      <c r="L1238" s="29" t="str">
        <v>H</v>
      </c>
      <c r="M1238" s="29" t="str">
        <v>H</v>
      </c>
      <c r="N1238" s="29" t="str">
        <v>H</v>
      </c>
      <c r="O1238" s="29" t="str">
        <v>H</v>
      </c>
      <c r="P1238" s="29" t="str">
        <v>H</v>
      </c>
      <c r="Q1238" s="29" t="str">
        <v>H</v>
      </c>
      <c r="R1238" s="29" t="str">
        <v>H</v>
      </c>
      <c r="S1238" t="str">
        <v>H</v>
      </c>
      <c r="T1238" t="str">
        <v>H</v>
      </c>
      <c r="U1238" t="str">
        <v>H</v>
      </c>
      <c r="V1238" t="str">
        <v>H</v>
      </c>
      <c r="W1238" t="str">
        <v>H</v>
      </c>
    </row>
    <row r="1239" spans="1:23">
      <c r="A1239" s="30">
        <v>45523</v>
      </c>
      <c r="B1239" s="29" t="str">
        <v>H</v>
      </c>
      <c r="C1239" s="29" t="str">
        <v>H</v>
      </c>
      <c r="D1239" s="29" t="str">
        <v>H</v>
      </c>
      <c r="E1239" s="29" t="str">
        <v>H</v>
      </c>
      <c r="F1239" s="29" t="str">
        <v>H</v>
      </c>
      <c r="G1239" s="29" t="str">
        <v>H</v>
      </c>
      <c r="H1239" s="29" t="str">
        <v>H</v>
      </c>
      <c r="I1239" s="29" t="str">
        <v>H</v>
      </c>
      <c r="J1239" s="29" t="str">
        <v>H</v>
      </c>
      <c r="K1239" s="29" t="str">
        <v>H</v>
      </c>
      <c r="L1239" s="29" t="str">
        <v>H</v>
      </c>
      <c r="M1239" s="29" t="str">
        <v>H</v>
      </c>
      <c r="N1239" s="29" t="str">
        <v>H</v>
      </c>
      <c r="O1239" s="29" t="str">
        <v>H</v>
      </c>
      <c r="P1239" s="29" t="str">
        <v>H</v>
      </c>
      <c r="Q1239" s="29" t="str">
        <v>H</v>
      </c>
      <c r="R1239" s="29" t="str">
        <v>H</v>
      </c>
      <c r="S1239" t="str">
        <v>H</v>
      </c>
      <c r="T1239" t="str">
        <v>H</v>
      </c>
      <c r="U1239" t="str">
        <v>H</v>
      </c>
      <c r="V1239" t="str">
        <v>H</v>
      </c>
      <c r="W1239" t="str">
        <v>H</v>
      </c>
    </row>
    <row r="1240" spans="1:23">
      <c r="A1240" s="30">
        <v>45524</v>
      </c>
      <c r="B1240" s="29">
        <v>45500</v>
      </c>
      <c r="C1240" s="29">
        <v>47000</v>
      </c>
      <c r="D1240" s="29">
        <v>45800</v>
      </c>
      <c r="E1240" s="29">
        <v>41300</v>
      </c>
      <c r="F1240" s="29">
        <v>46400</v>
      </c>
      <c r="G1240" s="29" t="str">
        <v>-</v>
      </c>
      <c r="H1240" s="29">
        <v>43500</v>
      </c>
      <c r="I1240" s="29">
        <v>44200</v>
      </c>
      <c r="J1240" s="29">
        <v>45000</v>
      </c>
      <c r="K1240" s="29" t="str">
        <v>-</v>
      </c>
      <c r="L1240" s="29">
        <v>46800</v>
      </c>
      <c r="M1240" s="29">
        <v>45700</v>
      </c>
      <c r="N1240" s="29">
        <v>44600</v>
      </c>
      <c r="O1240" s="29">
        <v>42800</v>
      </c>
      <c r="P1240" s="29">
        <v>41500</v>
      </c>
      <c r="Q1240" s="29">
        <v>41700</v>
      </c>
      <c r="R1240" s="29">
        <v>41500</v>
      </c>
      <c r="S1240">
        <v>43400</v>
      </c>
      <c r="T1240">
        <v>44800</v>
      </c>
      <c r="U1240">
        <v>48600</v>
      </c>
      <c r="V1240">
        <v>46500</v>
      </c>
      <c r="W1240">
        <v>49800</v>
      </c>
    </row>
    <row r="1241" spans="1:23">
      <c r="A1241" s="30">
        <v>45525</v>
      </c>
      <c r="B1241" s="29">
        <v>45300</v>
      </c>
      <c r="C1241" s="29">
        <v>46500</v>
      </c>
      <c r="D1241" s="29">
        <v>46000</v>
      </c>
      <c r="E1241" s="29">
        <v>41400</v>
      </c>
      <c r="F1241" s="29">
        <v>46700</v>
      </c>
      <c r="G1241" s="29" t="str">
        <v>-</v>
      </c>
      <c r="H1241" s="29">
        <v>43500</v>
      </c>
      <c r="I1241" s="29">
        <v>44200</v>
      </c>
      <c r="J1241" s="29">
        <v>45000</v>
      </c>
      <c r="K1241" s="29" t="str">
        <v>-</v>
      </c>
      <c r="L1241" s="29">
        <v>46900</v>
      </c>
      <c r="M1241" s="29">
        <v>45900</v>
      </c>
      <c r="N1241" s="29">
        <v>44800</v>
      </c>
      <c r="O1241" s="29">
        <v>42800</v>
      </c>
      <c r="P1241" s="29">
        <v>41700</v>
      </c>
      <c r="Q1241" s="29">
        <v>42000</v>
      </c>
      <c r="R1241" s="29">
        <v>41800</v>
      </c>
      <c r="S1241">
        <v>43500</v>
      </c>
      <c r="T1241">
        <v>44800</v>
      </c>
      <c r="U1241">
        <v>48600</v>
      </c>
      <c r="V1241">
        <v>46500</v>
      </c>
      <c r="W1241">
        <v>49800</v>
      </c>
    </row>
    <row r="1242" spans="1:23">
      <c r="A1242" s="30">
        <v>45526</v>
      </c>
      <c r="B1242" s="29">
        <v>45300</v>
      </c>
      <c r="C1242" s="29">
        <v>46500</v>
      </c>
      <c r="D1242" s="29">
        <v>45800</v>
      </c>
      <c r="E1242" s="29">
        <v>41200</v>
      </c>
      <c r="F1242" s="29">
        <v>46700</v>
      </c>
      <c r="G1242" s="29" t="str">
        <v>-</v>
      </c>
      <c r="H1242" s="29">
        <v>43500</v>
      </c>
      <c r="I1242" s="29">
        <v>44200</v>
      </c>
      <c r="J1242" s="29">
        <v>45000</v>
      </c>
      <c r="K1242" s="29" t="str">
        <v>-</v>
      </c>
      <c r="L1242" s="29">
        <v>46900</v>
      </c>
      <c r="M1242" s="29">
        <v>45900</v>
      </c>
      <c r="N1242" s="29">
        <v>44600</v>
      </c>
      <c r="O1242" s="29">
        <v>42800</v>
      </c>
      <c r="P1242" s="29">
        <v>41600</v>
      </c>
      <c r="Q1242" s="29">
        <v>41800</v>
      </c>
      <c r="R1242" s="29">
        <v>41800</v>
      </c>
      <c r="S1242">
        <v>43300</v>
      </c>
      <c r="T1242">
        <v>44800</v>
      </c>
      <c r="U1242">
        <v>48600</v>
      </c>
      <c r="V1242">
        <v>46500</v>
      </c>
      <c r="W1242">
        <v>49800</v>
      </c>
    </row>
    <row r="1243" spans="1:23">
      <c r="A1243" s="30">
        <v>45527</v>
      </c>
      <c r="B1243" s="29">
        <v>45000</v>
      </c>
      <c r="C1243" s="29">
        <v>46200</v>
      </c>
      <c r="D1243" s="29">
        <v>45500</v>
      </c>
      <c r="E1243" s="29">
        <v>40800</v>
      </c>
      <c r="F1243" s="29">
        <v>46700</v>
      </c>
      <c r="G1243" s="29" t="str">
        <v>-</v>
      </c>
      <c r="H1243" s="29">
        <v>43500</v>
      </c>
      <c r="I1243" s="29">
        <v>44000</v>
      </c>
      <c r="J1243" s="29">
        <v>45000</v>
      </c>
      <c r="K1243" s="29" t="str">
        <v>-</v>
      </c>
      <c r="L1243" s="29">
        <v>46600</v>
      </c>
      <c r="M1243" s="29">
        <v>45900</v>
      </c>
      <c r="N1243" s="29">
        <v>44400</v>
      </c>
      <c r="O1243" s="29">
        <v>42500</v>
      </c>
      <c r="P1243" s="29">
        <v>41400</v>
      </c>
      <c r="Q1243" s="29">
        <v>41600</v>
      </c>
      <c r="R1243" s="29">
        <v>41500</v>
      </c>
      <c r="S1243">
        <v>42900</v>
      </c>
      <c r="T1243">
        <v>44600</v>
      </c>
      <c r="U1243">
        <v>48500</v>
      </c>
      <c r="V1243">
        <v>46500</v>
      </c>
      <c r="W1243">
        <v>49800</v>
      </c>
    </row>
    <row r="1244" spans="1:23">
      <c r="A1244" s="30">
        <v>45528</v>
      </c>
      <c r="B1244" s="29">
        <v>44900</v>
      </c>
      <c r="C1244" s="29">
        <v>46200</v>
      </c>
      <c r="D1244" s="29">
        <v>45200</v>
      </c>
      <c r="E1244" s="29">
        <v>40600</v>
      </c>
      <c r="F1244" s="29">
        <v>46400</v>
      </c>
      <c r="G1244" s="29" t="str">
        <v>-</v>
      </c>
      <c r="H1244" s="29">
        <v>43500</v>
      </c>
      <c r="I1244" s="29">
        <v>43900</v>
      </c>
      <c r="J1244" s="29">
        <v>44700</v>
      </c>
      <c r="K1244" s="29" t="str">
        <v>-</v>
      </c>
      <c r="L1244" s="29">
        <v>46400</v>
      </c>
      <c r="M1244" s="29">
        <v>45800</v>
      </c>
      <c r="N1244" s="29">
        <v>44100</v>
      </c>
      <c r="O1244" s="29">
        <v>42400</v>
      </c>
      <c r="P1244" s="29">
        <v>41000</v>
      </c>
      <c r="Q1244" s="29">
        <v>41400</v>
      </c>
      <c r="R1244" s="29">
        <v>41500</v>
      </c>
      <c r="S1244">
        <v>42700</v>
      </c>
      <c r="T1244">
        <v>44300</v>
      </c>
      <c r="U1244">
        <v>48500</v>
      </c>
      <c r="V1244">
        <v>46500</v>
      </c>
      <c r="W1244">
        <v>49800</v>
      </c>
    </row>
    <row r="1245" spans="1:23">
      <c r="A1245" s="30">
        <v>45529</v>
      </c>
      <c r="B1245" s="29" t="str">
        <v>H</v>
      </c>
      <c r="C1245" s="29" t="str">
        <v>H</v>
      </c>
      <c r="D1245" s="29" t="str">
        <v>H</v>
      </c>
      <c r="E1245" s="29" t="str">
        <v>H</v>
      </c>
      <c r="F1245" s="29" t="str">
        <v>H</v>
      </c>
      <c r="G1245" s="29" t="str">
        <v>H</v>
      </c>
      <c r="H1245" s="29" t="str">
        <v>H</v>
      </c>
      <c r="I1245" s="29" t="str">
        <v>H</v>
      </c>
      <c r="J1245" s="29" t="str">
        <v>H</v>
      </c>
      <c r="K1245" s="29" t="str">
        <v>H</v>
      </c>
      <c r="L1245" s="29" t="str">
        <v>H</v>
      </c>
      <c r="M1245" s="29" t="str">
        <v>H</v>
      </c>
      <c r="N1245" s="29" t="str">
        <v>H</v>
      </c>
      <c r="O1245" s="29" t="str">
        <v>H</v>
      </c>
      <c r="P1245" s="29" t="str">
        <v>H</v>
      </c>
      <c r="Q1245" s="29" t="str">
        <v>H</v>
      </c>
      <c r="R1245" s="29" t="str">
        <v>H</v>
      </c>
      <c r="S1245" t="str">
        <v>H</v>
      </c>
      <c r="T1245" t="str">
        <v>H</v>
      </c>
      <c r="U1245" t="str">
        <v>H</v>
      </c>
      <c r="V1245" t="str">
        <v>H</v>
      </c>
      <c r="W1245" t="str">
        <v>H</v>
      </c>
    </row>
    <row r="1246" spans="1:23">
      <c r="A1246" s="30">
        <v>45530</v>
      </c>
      <c r="B1246" s="29" t="str">
        <v>-</v>
      </c>
      <c r="C1246" s="29">
        <v>46200</v>
      </c>
      <c r="D1246" s="29">
        <v>45400</v>
      </c>
      <c r="E1246" s="29">
        <v>40900</v>
      </c>
      <c r="F1246" s="29">
        <v>46400</v>
      </c>
      <c r="G1246" s="29" t="str">
        <v>-</v>
      </c>
      <c r="H1246" s="29">
        <v>43500</v>
      </c>
      <c r="I1246" s="29">
        <v>44100</v>
      </c>
      <c r="J1246" s="29">
        <v>44700</v>
      </c>
      <c r="K1246" s="29" t="str">
        <v>-</v>
      </c>
      <c r="L1246" s="29">
        <v>46400</v>
      </c>
      <c r="M1246" s="29">
        <v>45800</v>
      </c>
      <c r="N1246" s="29">
        <v>44300</v>
      </c>
      <c r="O1246" s="29">
        <v>42400</v>
      </c>
      <c r="P1246" s="29">
        <v>41100</v>
      </c>
      <c r="Q1246" s="29">
        <v>41600</v>
      </c>
      <c r="R1246" s="29">
        <v>41500</v>
      </c>
      <c r="S1246">
        <v>43000</v>
      </c>
      <c r="T1246">
        <v>44300</v>
      </c>
      <c r="U1246">
        <v>48500</v>
      </c>
      <c r="V1246">
        <v>46500</v>
      </c>
      <c r="W1246">
        <v>49800</v>
      </c>
    </row>
    <row r="1247" spans="1:23">
      <c r="A1247" s="30">
        <v>45531</v>
      </c>
      <c r="B1247" s="29">
        <v>44900</v>
      </c>
      <c r="C1247" s="29">
        <v>46200</v>
      </c>
      <c r="D1247" s="29">
        <v>45700</v>
      </c>
      <c r="E1247" s="29">
        <v>41100</v>
      </c>
      <c r="F1247" s="29">
        <v>46400</v>
      </c>
      <c r="G1247" s="29" t="str">
        <v>-</v>
      </c>
      <c r="H1247" s="29">
        <v>43500</v>
      </c>
      <c r="I1247" s="29">
        <v>44400</v>
      </c>
      <c r="J1247" s="29">
        <v>44600</v>
      </c>
      <c r="K1247" s="29" t="str">
        <v>-</v>
      </c>
      <c r="L1247" s="29">
        <v>46600</v>
      </c>
      <c r="M1247" s="29">
        <v>45800</v>
      </c>
      <c r="N1247" s="29">
        <v>44400</v>
      </c>
      <c r="O1247" s="29">
        <v>42600</v>
      </c>
      <c r="P1247" s="29">
        <v>41200</v>
      </c>
      <c r="Q1247" s="29">
        <v>41600</v>
      </c>
      <c r="R1247" s="29">
        <v>41600</v>
      </c>
      <c r="S1247">
        <v>43200</v>
      </c>
      <c r="T1247">
        <v>44800</v>
      </c>
      <c r="U1247">
        <v>48500</v>
      </c>
      <c r="V1247">
        <v>46200</v>
      </c>
      <c r="W1247">
        <v>49800</v>
      </c>
    </row>
    <row r="1248" spans="1:23">
      <c r="A1248" s="30">
        <v>45532</v>
      </c>
      <c r="B1248" s="29">
        <v>44800</v>
      </c>
      <c r="C1248" s="29">
        <v>46200</v>
      </c>
      <c r="D1248" s="29">
        <v>45500</v>
      </c>
      <c r="E1248" s="29">
        <v>40800</v>
      </c>
      <c r="F1248" s="29">
        <v>46400</v>
      </c>
      <c r="G1248" s="29" t="str">
        <v>-</v>
      </c>
      <c r="H1248" s="29">
        <v>43500</v>
      </c>
      <c r="I1248" s="29">
        <v>44200</v>
      </c>
      <c r="J1248" s="29">
        <v>44600</v>
      </c>
      <c r="K1248" s="29" t="str">
        <v>-</v>
      </c>
      <c r="L1248" s="29">
        <v>46500</v>
      </c>
      <c r="M1248" s="29">
        <v>45800</v>
      </c>
      <c r="N1248" s="29">
        <v>44100</v>
      </c>
      <c r="O1248" s="29">
        <v>42600</v>
      </c>
      <c r="P1248" s="29">
        <v>41000</v>
      </c>
      <c r="Q1248" s="29">
        <v>41600</v>
      </c>
      <c r="R1248" s="29">
        <v>41350</v>
      </c>
      <c r="S1248">
        <v>42900</v>
      </c>
      <c r="T1248">
        <v>44800</v>
      </c>
      <c r="U1248">
        <v>48200</v>
      </c>
      <c r="V1248">
        <v>46200</v>
      </c>
      <c r="W1248">
        <v>49800</v>
      </c>
    </row>
    <row r="1249" spans="1:23">
      <c r="A1249" s="30">
        <v>45533</v>
      </c>
      <c r="B1249" s="29">
        <v>44800</v>
      </c>
      <c r="C1249" s="29">
        <v>46200</v>
      </c>
      <c r="D1249" s="29">
        <v>45000</v>
      </c>
      <c r="E1249" s="29">
        <v>40800</v>
      </c>
      <c r="F1249" s="29">
        <v>46400</v>
      </c>
      <c r="G1249" s="29" t="str">
        <v>-</v>
      </c>
      <c r="H1249" s="29">
        <v>43500</v>
      </c>
      <c r="I1249" s="29">
        <v>44200</v>
      </c>
      <c r="J1249" s="29">
        <v>44600</v>
      </c>
      <c r="K1249" s="29" t="str">
        <v>-</v>
      </c>
      <c r="L1249" s="29">
        <v>46400</v>
      </c>
      <c r="M1249" s="29">
        <v>45800</v>
      </c>
      <c r="N1249" s="29">
        <v>44300</v>
      </c>
      <c r="O1249" s="29">
        <v>42400</v>
      </c>
      <c r="P1249" s="29">
        <v>41000</v>
      </c>
      <c r="Q1249" s="29">
        <v>41400</v>
      </c>
      <c r="R1249" s="29">
        <v>41100</v>
      </c>
      <c r="S1249">
        <v>42900</v>
      </c>
      <c r="T1249">
        <v>44800</v>
      </c>
      <c r="U1249">
        <v>48000</v>
      </c>
      <c r="V1249">
        <v>46200</v>
      </c>
      <c r="W1249">
        <v>49800</v>
      </c>
    </row>
    <row r="1250" spans="1:23">
      <c r="A1250" s="30">
        <v>45534</v>
      </c>
      <c r="B1250" s="29">
        <v>44800</v>
      </c>
      <c r="C1250" s="29">
        <v>46200</v>
      </c>
      <c r="D1250" s="29">
        <v>45000</v>
      </c>
      <c r="E1250" s="29">
        <v>40900</v>
      </c>
      <c r="F1250" s="29">
        <v>46400</v>
      </c>
      <c r="G1250" s="29" t="str">
        <v>-</v>
      </c>
      <c r="H1250" s="29">
        <v>43500</v>
      </c>
      <c r="I1250" s="29">
        <v>44200</v>
      </c>
      <c r="J1250" s="29">
        <v>44600</v>
      </c>
      <c r="K1250" s="29" t="str">
        <v>-</v>
      </c>
      <c r="L1250" s="29">
        <v>46400</v>
      </c>
      <c r="M1250" s="29">
        <v>45800</v>
      </c>
      <c r="N1250" s="29">
        <v>44300</v>
      </c>
      <c r="O1250" s="29">
        <v>42400</v>
      </c>
      <c r="P1250" s="29">
        <v>41000</v>
      </c>
      <c r="Q1250" s="29">
        <v>41500</v>
      </c>
      <c r="R1250" s="29">
        <v>41200</v>
      </c>
      <c r="S1250">
        <v>43000</v>
      </c>
      <c r="T1250">
        <v>44800</v>
      </c>
      <c r="U1250">
        <v>47600</v>
      </c>
      <c r="V1250">
        <v>46200</v>
      </c>
      <c r="W1250">
        <v>49800</v>
      </c>
    </row>
    <row r="1251" spans="1:23">
      <c r="A1251" s="30">
        <v>45535</v>
      </c>
      <c r="B1251" s="29">
        <v>44800</v>
      </c>
      <c r="C1251" s="29">
        <v>46200</v>
      </c>
      <c r="D1251" s="29">
        <v>44800</v>
      </c>
      <c r="E1251" s="29">
        <v>40800</v>
      </c>
      <c r="F1251" s="29">
        <v>46400</v>
      </c>
      <c r="G1251" s="29" t="str">
        <v>-</v>
      </c>
      <c r="H1251" s="29">
        <v>43500</v>
      </c>
      <c r="I1251" s="29">
        <v>43900</v>
      </c>
      <c r="J1251" s="29">
        <v>44600</v>
      </c>
      <c r="K1251" s="29" t="str">
        <v>-</v>
      </c>
      <c r="L1251" s="29">
        <v>46400</v>
      </c>
      <c r="M1251" s="29">
        <v>45800</v>
      </c>
      <c r="N1251" s="29">
        <v>44100</v>
      </c>
      <c r="O1251" s="29">
        <v>42400</v>
      </c>
      <c r="P1251" s="29">
        <v>40900</v>
      </c>
      <c r="Q1251" s="29">
        <v>41500</v>
      </c>
      <c r="R1251" s="29">
        <v>41100</v>
      </c>
      <c r="S1251">
        <v>42900</v>
      </c>
      <c r="T1251">
        <v>44800</v>
      </c>
      <c r="U1251">
        <v>47400</v>
      </c>
      <c r="V1251">
        <v>46200</v>
      </c>
      <c r="W1251">
        <v>49800</v>
      </c>
    </row>
    <row r="1252" spans="1:23">
      <c r="A1252" s="30">
        <v>45536</v>
      </c>
      <c r="B1252" s="29" t="str">
        <v>H</v>
      </c>
      <c r="C1252" s="29" t="str">
        <v>H</v>
      </c>
      <c r="D1252" s="29" t="str">
        <v>H</v>
      </c>
      <c r="E1252" s="29" t="str">
        <v>H</v>
      </c>
      <c r="F1252" s="29" t="str">
        <v>H</v>
      </c>
      <c r="G1252" s="29" t="str">
        <v>H</v>
      </c>
      <c r="H1252" s="29" t="str">
        <v>H</v>
      </c>
      <c r="I1252" s="29" t="str">
        <v>H</v>
      </c>
      <c r="J1252" s="29" t="str">
        <v>H</v>
      </c>
      <c r="K1252" s="29" t="str">
        <v>H</v>
      </c>
      <c r="L1252" s="29" t="str">
        <v>H</v>
      </c>
      <c r="M1252" s="29" t="str">
        <v>H</v>
      </c>
      <c r="N1252" s="29" t="str">
        <v>H</v>
      </c>
      <c r="O1252" s="29" t="str">
        <v>H</v>
      </c>
      <c r="P1252" s="29" t="str">
        <v>H</v>
      </c>
      <c r="Q1252" s="29" t="str">
        <v>H</v>
      </c>
      <c r="R1252" s="29" t="str">
        <v>H</v>
      </c>
      <c r="S1252" t="str">
        <v>H</v>
      </c>
      <c r="T1252" t="str">
        <v>H</v>
      </c>
      <c r="U1252" t="str">
        <v>H</v>
      </c>
      <c r="V1252" t="str">
        <v>H</v>
      </c>
      <c r="W1252" t="str">
        <v>H</v>
      </c>
    </row>
    <row r="1253" spans="1:23">
      <c r="A1253" s="30">
        <v>45537</v>
      </c>
      <c r="B1253" s="29">
        <v>44800</v>
      </c>
      <c r="C1253" s="29">
        <v>46200</v>
      </c>
      <c r="D1253" s="29">
        <v>44700</v>
      </c>
      <c r="E1253" s="29">
        <v>40600</v>
      </c>
      <c r="F1253" s="29">
        <v>46000</v>
      </c>
      <c r="G1253" s="29" t="str">
        <v>-</v>
      </c>
      <c r="H1253" s="29">
        <v>43500</v>
      </c>
      <c r="I1253" s="29">
        <v>43800</v>
      </c>
      <c r="J1253" s="29">
        <v>44600</v>
      </c>
      <c r="K1253" s="29" t="str">
        <v>-</v>
      </c>
      <c r="L1253" s="29">
        <v>46300</v>
      </c>
      <c r="M1253" s="29">
        <v>45700</v>
      </c>
      <c r="N1253" s="29">
        <v>43700</v>
      </c>
      <c r="O1253" s="29">
        <v>42300</v>
      </c>
      <c r="P1253" s="29">
        <v>40800</v>
      </c>
      <c r="Q1253" s="29">
        <v>41300</v>
      </c>
      <c r="R1253" s="29">
        <v>40900</v>
      </c>
      <c r="S1253">
        <v>42700</v>
      </c>
      <c r="T1253">
        <v>44800</v>
      </c>
      <c r="U1253">
        <v>47200</v>
      </c>
      <c r="V1253">
        <v>46200</v>
      </c>
      <c r="W1253">
        <v>49500</v>
      </c>
    </row>
    <row r="1254" spans="1:23">
      <c r="A1254" s="30">
        <v>45538</v>
      </c>
      <c r="B1254" s="29">
        <v>44800</v>
      </c>
      <c r="C1254" s="29">
        <v>46200</v>
      </c>
      <c r="D1254" s="29">
        <v>44900</v>
      </c>
      <c r="E1254" s="29">
        <v>40600</v>
      </c>
      <c r="F1254" s="29">
        <v>46000</v>
      </c>
      <c r="G1254" s="29" t="str">
        <v>-</v>
      </c>
      <c r="H1254" s="29">
        <v>43500</v>
      </c>
      <c r="I1254" s="29">
        <v>43900</v>
      </c>
      <c r="J1254" s="29">
        <v>44300</v>
      </c>
      <c r="K1254" s="29" t="str">
        <v>-</v>
      </c>
      <c r="L1254" s="29">
        <v>46300</v>
      </c>
      <c r="M1254" s="29">
        <v>45700</v>
      </c>
      <c r="N1254" s="29">
        <v>43900</v>
      </c>
      <c r="O1254" s="29">
        <v>42300</v>
      </c>
      <c r="P1254" s="29">
        <v>40800</v>
      </c>
      <c r="Q1254" s="29">
        <v>41300</v>
      </c>
      <c r="R1254" s="29">
        <v>41000</v>
      </c>
      <c r="S1254">
        <v>42700</v>
      </c>
      <c r="T1254">
        <v>44600</v>
      </c>
      <c r="U1254">
        <v>47000</v>
      </c>
      <c r="V1254">
        <v>46200</v>
      </c>
      <c r="W1254">
        <v>49500</v>
      </c>
    </row>
    <row r="1255" spans="1:23">
      <c r="A1255" s="30">
        <v>45539</v>
      </c>
      <c r="B1255" s="29">
        <v>44800</v>
      </c>
      <c r="C1255" s="29">
        <v>46000</v>
      </c>
      <c r="D1255" s="29">
        <v>44900</v>
      </c>
      <c r="E1255" s="29">
        <v>40300</v>
      </c>
      <c r="F1255" s="29">
        <v>46000</v>
      </c>
      <c r="G1255" s="29" t="str">
        <v>-</v>
      </c>
      <c r="H1255" s="29">
        <v>43500</v>
      </c>
      <c r="I1255" s="29">
        <v>43900</v>
      </c>
      <c r="J1255" s="29">
        <v>44400</v>
      </c>
      <c r="K1255" s="29" t="str">
        <v>-</v>
      </c>
      <c r="L1255" s="29">
        <v>46300</v>
      </c>
      <c r="M1255" s="29">
        <v>45700</v>
      </c>
      <c r="N1255" s="29">
        <v>43900</v>
      </c>
      <c r="O1255" s="29">
        <v>42300</v>
      </c>
      <c r="P1255" s="29">
        <v>41200</v>
      </c>
      <c r="Q1255" s="29">
        <v>41300</v>
      </c>
      <c r="R1255" s="29">
        <v>41000</v>
      </c>
      <c r="S1255">
        <v>42600</v>
      </c>
      <c r="T1255">
        <v>44500</v>
      </c>
      <c r="U1255">
        <v>47000</v>
      </c>
      <c r="V1255">
        <v>46200</v>
      </c>
      <c r="W1255">
        <v>49500</v>
      </c>
    </row>
    <row r="1256" spans="1:23">
      <c r="A1256" s="30">
        <v>45540</v>
      </c>
      <c r="B1256" s="29">
        <v>44800</v>
      </c>
      <c r="C1256" s="29">
        <v>46000</v>
      </c>
      <c r="D1256" s="29">
        <v>45000</v>
      </c>
      <c r="E1256" s="29">
        <v>40400</v>
      </c>
      <c r="F1256" s="29">
        <v>46000</v>
      </c>
      <c r="G1256" s="29" t="str">
        <v>-</v>
      </c>
      <c r="H1256" s="29">
        <v>43500</v>
      </c>
      <c r="I1256" s="29">
        <v>44000</v>
      </c>
      <c r="J1256" s="29">
        <v>44800</v>
      </c>
      <c r="K1256" s="29" t="str">
        <v>-</v>
      </c>
      <c r="L1256" s="29">
        <v>46400</v>
      </c>
      <c r="M1256" s="29">
        <v>45700</v>
      </c>
      <c r="N1256" s="29">
        <v>44000</v>
      </c>
      <c r="O1256" s="29">
        <v>42500</v>
      </c>
      <c r="P1256" s="29">
        <v>41300</v>
      </c>
      <c r="Q1256" s="29">
        <v>41500</v>
      </c>
      <c r="R1256" s="29">
        <v>41200</v>
      </c>
      <c r="S1256">
        <v>42700</v>
      </c>
      <c r="T1256">
        <v>45000</v>
      </c>
      <c r="U1256">
        <v>47000</v>
      </c>
      <c r="V1256">
        <v>46200</v>
      </c>
      <c r="W1256">
        <v>49500</v>
      </c>
    </row>
    <row r="1257" spans="1:23">
      <c r="A1257" s="30">
        <v>45541</v>
      </c>
      <c r="B1257" s="29">
        <v>44800</v>
      </c>
      <c r="C1257" s="29">
        <v>46000</v>
      </c>
      <c r="D1257" s="29">
        <v>44800</v>
      </c>
      <c r="E1257" s="29">
        <v>40300</v>
      </c>
      <c r="F1257" s="29">
        <v>46000</v>
      </c>
      <c r="G1257" s="29" t="str">
        <v>-</v>
      </c>
      <c r="H1257" s="29">
        <v>43500</v>
      </c>
      <c r="I1257" s="29">
        <v>44000</v>
      </c>
      <c r="J1257" s="29">
        <v>44700</v>
      </c>
      <c r="K1257" s="29" t="str">
        <v>-</v>
      </c>
      <c r="L1257" s="29">
        <v>46400</v>
      </c>
      <c r="M1257" s="29">
        <v>45700</v>
      </c>
      <c r="N1257" s="29">
        <v>43700</v>
      </c>
      <c r="O1257" s="29">
        <v>42500</v>
      </c>
      <c r="P1257" s="29">
        <v>41100</v>
      </c>
      <c r="Q1257" s="29">
        <v>41300</v>
      </c>
      <c r="R1257" s="29">
        <v>41100</v>
      </c>
      <c r="S1257">
        <v>42400</v>
      </c>
      <c r="T1257">
        <v>44800</v>
      </c>
      <c r="U1257">
        <v>47000</v>
      </c>
      <c r="V1257">
        <v>46200</v>
      </c>
      <c r="W1257">
        <v>49500</v>
      </c>
    </row>
    <row r="1258" spans="1:23">
      <c r="A1258" s="30">
        <v>45542</v>
      </c>
      <c r="B1258" s="29">
        <v>44800</v>
      </c>
      <c r="C1258" s="29">
        <v>46000</v>
      </c>
      <c r="D1258" s="29">
        <v>44600</v>
      </c>
      <c r="E1258" s="29">
        <v>40300</v>
      </c>
      <c r="F1258" s="29">
        <v>46000</v>
      </c>
      <c r="G1258" s="29" t="str">
        <v>-</v>
      </c>
      <c r="H1258" s="29">
        <v>43500</v>
      </c>
      <c r="I1258" s="29">
        <v>44000</v>
      </c>
      <c r="J1258" s="29">
        <v>44700</v>
      </c>
      <c r="K1258" s="29" t="str">
        <v>-</v>
      </c>
      <c r="L1258" s="29">
        <v>46300</v>
      </c>
      <c r="M1258" s="29">
        <v>45700</v>
      </c>
      <c r="N1258" s="29">
        <v>43800</v>
      </c>
      <c r="O1258" s="29">
        <v>42500</v>
      </c>
      <c r="P1258" s="29">
        <v>41000</v>
      </c>
      <c r="Q1258" s="29">
        <v>41300</v>
      </c>
      <c r="R1258" s="29">
        <v>41000</v>
      </c>
      <c r="S1258">
        <v>42400</v>
      </c>
      <c r="T1258">
        <v>45000</v>
      </c>
      <c r="U1258">
        <v>47000</v>
      </c>
      <c r="V1258">
        <v>46200</v>
      </c>
      <c r="W1258">
        <v>49500</v>
      </c>
    </row>
    <row r="1259" spans="1:23">
      <c r="A1259" s="30">
        <v>45543</v>
      </c>
      <c r="B1259" s="29" t="str">
        <v>H</v>
      </c>
      <c r="C1259" s="29" t="str">
        <v>H</v>
      </c>
      <c r="D1259" s="29" t="str">
        <v>H</v>
      </c>
      <c r="E1259" s="29" t="str">
        <v>H</v>
      </c>
      <c r="F1259" s="29" t="str">
        <v>H</v>
      </c>
      <c r="G1259" s="29" t="str">
        <v>H</v>
      </c>
      <c r="H1259" s="29" t="str">
        <v>H</v>
      </c>
      <c r="I1259" s="29" t="str">
        <v>H</v>
      </c>
      <c r="J1259" s="29" t="str">
        <v>H</v>
      </c>
      <c r="K1259" s="29" t="str">
        <v>H</v>
      </c>
      <c r="L1259" s="29" t="str">
        <v>H</v>
      </c>
      <c r="M1259" s="29" t="str">
        <v>H</v>
      </c>
      <c r="N1259" s="29" t="str">
        <v>H</v>
      </c>
      <c r="O1259" s="29" t="str">
        <v>H</v>
      </c>
      <c r="P1259" s="29" t="str">
        <v>H</v>
      </c>
      <c r="Q1259" s="29" t="str">
        <v>H</v>
      </c>
      <c r="R1259" s="29" t="str">
        <v>H</v>
      </c>
      <c r="S1259" t="str">
        <v>H</v>
      </c>
      <c r="T1259" t="str">
        <v>H</v>
      </c>
      <c r="U1259" t="str">
        <v>H</v>
      </c>
      <c r="V1259" t="str">
        <v>H</v>
      </c>
      <c r="W1259" t="str">
        <v>H</v>
      </c>
    </row>
    <row r="1260" spans="1:23">
      <c r="A1260" s="30">
        <v>45544</v>
      </c>
      <c r="B1260" s="29">
        <v>44700</v>
      </c>
      <c r="C1260" s="29">
        <v>46000</v>
      </c>
      <c r="D1260" s="29">
        <v>44600</v>
      </c>
      <c r="E1260" s="29">
        <v>40300</v>
      </c>
      <c r="F1260" s="29">
        <v>46000</v>
      </c>
      <c r="G1260" s="29" t="str">
        <v>-</v>
      </c>
      <c r="H1260" s="29">
        <v>43500</v>
      </c>
      <c r="I1260" s="29">
        <v>43800</v>
      </c>
      <c r="J1260" s="29">
        <v>44700</v>
      </c>
      <c r="K1260" s="29" t="str">
        <v>-</v>
      </c>
      <c r="L1260" s="29">
        <v>46200</v>
      </c>
      <c r="M1260" s="29">
        <v>45700</v>
      </c>
      <c r="N1260" s="29">
        <v>43400</v>
      </c>
      <c r="O1260" s="29">
        <v>42300</v>
      </c>
      <c r="P1260" s="29">
        <v>40600</v>
      </c>
      <c r="Q1260" s="29">
        <v>41000</v>
      </c>
      <c r="R1260" s="29">
        <v>40800</v>
      </c>
      <c r="S1260">
        <v>42400</v>
      </c>
      <c r="T1260">
        <v>44500</v>
      </c>
      <c r="U1260">
        <v>46500</v>
      </c>
      <c r="V1260">
        <v>46200</v>
      </c>
      <c r="W1260">
        <v>49500</v>
      </c>
    </row>
    <row r="1261" spans="1:23">
      <c r="A1261" s="30">
        <v>45545</v>
      </c>
      <c r="B1261" s="29">
        <v>44700</v>
      </c>
      <c r="C1261" s="29">
        <v>46000</v>
      </c>
      <c r="D1261" s="29">
        <v>44300</v>
      </c>
      <c r="E1261" s="29">
        <v>40200</v>
      </c>
      <c r="F1261" s="29">
        <v>46000</v>
      </c>
      <c r="G1261" s="29" t="str">
        <v>-</v>
      </c>
      <c r="H1261" s="29">
        <v>43500</v>
      </c>
      <c r="I1261" s="29">
        <v>43700</v>
      </c>
      <c r="J1261" s="29">
        <v>44700</v>
      </c>
      <c r="K1261" s="29" t="str">
        <v>-</v>
      </c>
      <c r="L1261" s="29">
        <v>46200</v>
      </c>
      <c r="M1261" s="29">
        <v>45700</v>
      </c>
      <c r="N1261" s="29">
        <v>43000</v>
      </c>
      <c r="O1261" s="29">
        <v>42300</v>
      </c>
      <c r="P1261" s="29">
        <v>40500</v>
      </c>
      <c r="Q1261" s="29">
        <v>41000</v>
      </c>
      <c r="R1261" s="29">
        <v>40800</v>
      </c>
      <c r="S1261">
        <v>42300</v>
      </c>
      <c r="T1261">
        <v>44500</v>
      </c>
      <c r="U1261">
        <v>46500</v>
      </c>
      <c r="V1261">
        <v>46200</v>
      </c>
      <c r="W1261">
        <v>49500</v>
      </c>
    </row>
    <row r="1262" spans="1:23">
      <c r="A1262" s="30">
        <v>45546</v>
      </c>
      <c r="B1262" s="29">
        <v>44500</v>
      </c>
      <c r="C1262" s="29">
        <v>46000</v>
      </c>
      <c r="D1262" s="29">
        <v>44200</v>
      </c>
      <c r="E1262" s="29">
        <v>40100</v>
      </c>
      <c r="F1262" s="29">
        <v>46000</v>
      </c>
      <c r="G1262" s="29" t="str">
        <v>-</v>
      </c>
      <c r="H1262" s="29">
        <v>43000</v>
      </c>
      <c r="I1262" s="29">
        <v>43500</v>
      </c>
      <c r="J1262" s="29">
        <v>44700</v>
      </c>
      <c r="K1262" s="29" t="str">
        <v>-</v>
      </c>
      <c r="L1262" s="29">
        <v>46000</v>
      </c>
      <c r="M1262" s="29">
        <v>45700</v>
      </c>
      <c r="N1262" s="29">
        <v>43200</v>
      </c>
      <c r="O1262" s="29">
        <v>42300</v>
      </c>
      <c r="P1262" s="29">
        <v>40600</v>
      </c>
      <c r="Q1262" s="29">
        <v>40900</v>
      </c>
      <c r="R1262" s="29">
        <v>40600</v>
      </c>
      <c r="S1262">
        <v>42200</v>
      </c>
      <c r="T1262">
        <v>44300</v>
      </c>
      <c r="U1262">
        <v>46500</v>
      </c>
      <c r="V1262">
        <v>46200</v>
      </c>
      <c r="W1262">
        <v>49500</v>
      </c>
    </row>
    <row r="1263" spans="1:23">
      <c r="A1263" s="30">
        <v>45547</v>
      </c>
      <c r="B1263" s="29">
        <v>44500</v>
      </c>
      <c r="C1263" s="29">
        <v>46000</v>
      </c>
      <c r="D1263" s="29">
        <v>43800</v>
      </c>
      <c r="E1263" s="29">
        <v>40100</v>
      </c>
      <c r="F1263" s="29">
        <v>46000</v>
      </c>
      <c r="G1263" s="29" t="str">
        <v>-</v>
      </c>
      <c r="H1263" s="29">
        <v>43000</v>
      </c>
      <c r="I1263" s="29">
        <v>43100</v>
      </c>
      <c r="J1263" s="29">
        <v>44400</v>
      </c>
      <c r="K1263" s="29" t="str">
        <v>-</v>
      </c>
      <c r="L1263" s="29">
        <v>45800</v>
      </c>
      <c r="M1263" s="29">
        <v>45600</v>
      </c>
      <c r="N1263" s="29">
        <v>42800</v>
      </c>
      <c r="O1263" s="29">
        <v>42300</v>
      </c>
      <c r="P1263" s="29">
        <v>40300</v>
      </c>
      <c r="Q1263" s="29">
        <v>40700</v>
      </c>
      <c r="R1263" s="29">
        <v>40500</v>
      </c>
      <c r="S1263">
        <v>42200</v>
      </c>
      <c r="T1263">
        <v>44100</v>
      </c>
      <c r="U1263">
        <v>46500</v>
      </c>
      <c r="V1263">
        <v>46000</v>
      </c>
      <c r="W1263">
        <v>49300</v>
      </c>
    </row>
    <row r="1264" spans="1:23">
      <c r="A1264" s="30">
        <v>45548</v>
      </c>
      <c r="B1264" s="29">
        <v>44500</v>
      </c>
      <c r="C1264" s="29">
        <v>46000</v>
      </c>
      <c r="D1264" s="29">
        <v>43800</v>
      </c>
      <c r="E1264" s="29">
        <v>40200</v>
      </c>
      <c r="F1264" s="29">
        <v>46000</v>
      </c>
      <c r="G1264" s="29" t="str">
        <v>-</v>
      </c>
      <c r="H1264" s="29">
        <v>43000</v>
      </c>
      <c r="I1264" s="29">
        <v>43400</v>
      </c>
      <c r="J1264" s="29">
        <v>44600</v>
      </c>
      <c r="K1264" s="29" t="str">
        <v>-</v>
      </c>
      <c r="L1264" s="29">
        <v>46000</v>
      </c>
      <c r="M1264" s="29">
        <v>45600</v>
      </c>
      <c r="N1264" s="29">
        <v>42800</v>
      </c>
      <c r="O1264" s="29">
        <v>42300</v>
      </c>
      <c r="P1264" s="29">
        <v>40500</v>
      </c>
      <c r="Q1264" s="29">
        <v>40800</v>
      </c>
      <c r="R1264" s="29">
        <v>40800</v>
      </c>
      <c r="S1264">
        <v>42300</v>
      </c>
      <c r="T1264">
        <v>44000</v>
      </c>
      <c r="U1264">
        <v>46500</v>
      </c>
      <c r="V1264">
        <v>46000</v>
      </c>
      <c r="W1264">
        <v>49300</v>
      </c>
    </row>
    <row r="1265" spans="1:23">
      <c r="A1265" s="30">
        <v>45549</v>
      </c>
      <c r="B1265" s="29">
        <v>44500</v>
      </c>
      <c r="C1265" s="29">
        <v>46000</v>
      </c>
      <c r="D1265" s="29">
        <v>43800</v>
      </c>
      <c r="E1265" s="29">
        <v>40000</v>
      </c>
      <c r="F1265" s="29">
        <v>45900</v>
      </c>
      <c r="G1265" s="29" t="str">
        <v>-</v>
      </c>
      <c r="H1265" s="29">
        <v>43000</v>
      </c>
      <c r="I1265" s="29">
        <v>43200</v>
      </c>
      <c r="J1265" s="29">
        <v>44600</v>
      </c>
      <c r="K1265" s="29" t="str">
        <v>-</v>
      </c>
      <c r="L1265" s="29">
        <v>45900</v>
      </c>
      <c r="M1265" s="29">
        <v>45600</v>
      </c>
      <c r="N1265" s="29">
        <v>42600</v>
      </c>
      <c r="O1265" s="29">
        <v>42300</v>
      </c>
      <c r="P1265" s="29">
        <v>40300</v>
      </c>
      <c r="Q1265" s="29">
        <v>40700</v>
      </c>
      <c r="R1265" s="29">
        <v>40500</v>
      </c>
      <c r="S1265">
        <v>42100</v>
      </c>
      <c r="T1265">
        <v>44000</v>
      </c>
      <c r="U1265">
        <v>46500</v>
      </c>
      <c r="V1265">
        <v>46000</v>
      </c>
      <c r="W1265">
        <v>49300</v>
      </c>
    </row>
    <row r="1266" spans="1:23">
      <c r="A1266" s="30">
        <v>45550</v>
      </c>
      <c r="B1266" s="29" t="str">
        <v>H</v>
      </c>
      <c r="C1266" s="29" t="str">
        <v>H</v>
      </c>
      <c r="D1266" s="29" t="str">
        <v>H</v>
      </c>
      <c r="E1266" s="29" t="str">
        <v>H</v>
      </c>
      <c r="F1266" s="29" t="str">
        <v>H</v>
      </c>
      <c r="G1266" s="29" t="str">
        <v>H</v>
      </c>
      <c r="H1266" s="29" t="str">
        <v>H</v>
      </c>
      <c r="I1266" s="29" t="str">
        <v>H</v>
      </c>
      <c r="J1266" s="29" t="str">
        <v>H</v>
      </c>
      <c r="K1266" s="29" t="str">
        <v>H</v>
      </c>
      <c r="L1266" s="29" t="str">
        <v>H</v>
      </c>
      <c r="M1266" s="29" t="str">
        <v>H</v>
      </c>
      <c r="N1266" s="29" t="str">
        <v>H</v>
      </c>
      <c r="O1266" s="29" t="str">
        <v>H</v>
      </c>
      <c r="P1266" s="29" t="str">
        <v>H</v>
      </c>
      <c r="Q1266" s="29" t="str">
        <v>H</v>
      </c>
      <c r="R1266" s="29" t="str">
        <v>H</v>
      </c>
      <c r="S1266" t="str">
        <v>H</v>
      </c>
      <c r="T1266" t="str">
        <v>H</v>
      </c>
      <c r="U1266" t="str">
        <v>H</v>
      </c>
      <c r="V1266" t="str">
        <v>H</v>
      </c>
      <c r="W1266" t="str">
        <v>H</v>
      </c>
    </row>
    <row r="1267" spans="1:23">
      <c r="A1267" s="30">
        <v>45551</v>
      </c>
      <c r="B1267" s="29">
        <v>44200</v>
      </c>
      <c r="C1267" s="29">
        <v>46000</v>
      </c>
      <c r="D1267" s="29">
        <v>43600</v>
      </c>
      <c r="E1267" s="29">
        <v>39800</v>
      </c>
      <c r="F1267" s="29">
        <v>45900</v>
      </c>
      <c r="G1267" s="29" t="str">
        <v>-</v>
      </c>
      <c r="H1267" s="29">
        <v>42500</v>
      </c>
      <c r="I1267" s="29">
        <v>42900</v>
      </c>
      <c r="J1267" s="29">
        <v>44600</v>
      </c>
      <c r="K1267" s="29" t="str">
        <v>-</v>
      </c>
      <c r="L1267" s="29">
        <v>45500</v>
      </c>
      <c r="M1267" s="29">
        <v>45300</v>
      </c>
      <c r="N1267" s="29">
        <v>42500</v>
      </c>
      <c r="O1267" s="29">
        <v>42300</v>
      </c>
      <c r="P1267" s="29">
        <v>40300</v>
      </c>
      <c r="Q1267" s="29">
        <v>40700</v>
      </c>
      <c r="R1267" s="29">
        <v>40500</v>
      </c>
      <c r="S1267">
        <v>41900</v>
      </c>
      <c r="T1267">
        <v>43800</v>
      </c>
      <c r="U1267">
        <v>46500</v>
      </c>
      <c r="V1267">
        <v>46000</v>
      </c>
      <c r="W1267">
        <v>49100</v>
      </c>
    </row>
    <row r="1268" spans="1:23">
      <c r="A1268" s="30">
        <v>45552</v>
      </c>
      <c r="B1268" s="29">
        <v>44000</v>
      </c>
      <c r="C1268" s="29">
        <v>45800</v>
      </c>
      <c r="D1268" s="29">
        <v>43700</v>
      </c>
      <c r="E1268" s="29">
        <v>40100</v>
      </c>
      <c r="F1268" s="29">
        <v>45900</v>
      </c>
      <c r="G1268" s="29" t="str">
        <v>-</v>
      </c>
      <c r="H1268" s="29">
        <v>42500</v>
      </c>
      <c r="I1268" s="29">
        <v>43000</v>
      </c>
      <c r="J1268" s="29">
        <v>44600</v>
      </c>
      <c r="K1268" s="29" t="str">
        <v>-</v>
      </c>
      <c r="L1268" s="29">
        <v>45500</v>
      </c>
      <c r="M1268" s="29">
        <v>45100</v>
      </c>
      <c r="N1268" s="29">
        <v>42600</v>
      </c>
      <c r="O1268" s="29">
        <v>42300</v>
      </c>
      <c r="P1268" s="29">
        <v>40400</v>
      </c>
      <c r="Q1268" s="29">
        <v>40700</v>
      </c>
      <c r="R1268" s="29" t="str">
        <v>-</v>
      </c>
      <c r="S1268">
        <v>42200</v>
      </c>
      <c r="T1268">
        <v>44000</v>
      </c>
      <c r="U1268" t="str">
        <v>-</v>
      </c>
      <c r="V1268">
        <v>46000</v>
      </c>
      <c r="W1268">
        <v>49100</v>
      </c>
    </row>
    <row r="1269" spans="1:23">
      <c r="A1269" s="30">
        <v>45553</v>
      </c>
      <c r="B1269" s="29">
        <v>44000</v>
      </c>
      <c r="C1269" s="29">
        <v>45800</v>
      </c>
      <c r="D1269" s="29">
        <v>43600</v>
      </c>
      <c r="E1269" s="29">
        <v>40100</v>
      </c>
      <c r="F1269" s="29">
        <v>45900</v>
      </c>
      <c r="G1269" s="29" t="str">
        <v>-</v>
      </c>
      <c r="H1269" s="29">
        <v>42500</v>
      </c>
      <c r="I1269" s="29">
        <v>43000</v>
      </c>
      <c r="J1269" s="29">
        <v>44800</v>
      </c>
      <c r="K1269" s="29" t="str">
        <v>-</v>
      </c>
      <c r="L1269" s="29">
        <v>45400</v>
      </c>
      <c r="M1269" s="29">
        <v>45100</v>
      </c>
      <c r="N1269" s="29">
        <v>42600</v>
      </c>
      <c r="O1269" s="29">
        <v>42300</v>
      </c>
      <c r="P1269" s="29">
        <v>40800</v>
      </c>
      <c r="Q1269" s="29">
        <v>41000</v>
      </c>
      <c r="R1269" s="29">
        <v>40500</v>
      </c>
      <c r="S1269">
        <v>42200</v>
      </c>
      <c r="T1269">
        <v>44000</v>
      </c>
      <c r="U1269">
        <v>46500</v>
      </c>
      <c r="V1269">
        <v>45900</v>
      </c>
      <c r="W1269">
        <v>49000</v>
      </c>
    </row>
    <row r="1270" spans="1:23">
      <c r="A1270" s="30">
        <v>45554</v>
      </c>
      <c r="B1270" s="29">
        <v>44500</v>
      </c>
      <c r="C1270" s="29">
        <v>45800</v>
      </c>
      <c r="D1270" s="29">
        <v>44100</v>
      </c>
      <c r="E1270" s="29">
        <v>40500</v>
      </c>
      <c r="F1270" s="29">
        <v>46400</v>
      </c>
      <c r="G1270" s="29" t="str">
        <v>-</v>
      </c>
      <c r="H1270" s="29">
        <v>42500</v>
      </c>
      <c r="I1270" s="29">
        <v>43600</v>
      </c>
      <c r="J1270" s="29">
        <v>45200</v>
      </c>
      <c r="K1270" s="29" t="str">
        <v>-</v>
      </c>
      <c r="L1270" s="29">
        <v>45700</v>
      </c>
      <c r="M1270" s="29">
        <v>45200</v>
      </c>
      <c r="N1270" s="29">
        <v>43100</v>
      </c>
      <c r="O1270" s="29">
        <v>42600</v>
      </c>
      <c r="P1270" s="29">
        <v>41200</v>
      </c>
      <c r="Q1270" s="29">
        <v>41500</v>
      </c>
      <c r="R1270" s="29">
        <v>40800</v>
      </c>
      <c r="S1270">
        <v>42600</v>
      </c>
      <c r="T1270">
        <v>44500</v>
      </c>
      <c r="U1270">
        <v>46500</v>
      </c>
      <c r="V1270">
        <v>45900</v>
      </c>
      <c r="W1270">
        <v>49000</v>
      </c>
    </row>
    <row r="1271" spans="1:23">
      <c r="A1271" s="30">
        <v>45555</v>
      </c>
      <c r="B1271" s="29">
        <v>44700</v>
      </c>
      <c r="C1271" s="29">
        <v>46000</v>
      </c>
      <c r="D1271" s="29">
        <v>44200</v>
      </c>
      <c r="E1271" s="29">
        <v>40600</v>
      </c>
      <c r="F1271" s="29">
        <v>46700</v>
      </c>
      <c r="G1271" s="29" t="str">
        <v>-</v>
      </c>
      <c r="H1271" s="29">
        <v>42500</v>
      </c>
      <c r="I1271" s="29">
        <v>43800</v>
      </c>
      <c r="J1271" s="29">
        <v>45500</v>
      </c>
      <c r="K1271" s="29" t="str">
        <v>-</v>
      </c>
      <c r="L1271" s="29">
        <v>45800</v>
      </c>
      <c r="M1271" s="29">
        <v>45200</v>
      </c>
      <c r="N1271" s="29">
        <v>43200</v>
      </c>
      <c r="O1271" s="29">
        <v>42500</v>
      </c>
      <c r="P1271" s="29">
        <v>41200</v>
      </c>
      <c r="Q1271" s="29">
        <v>41700</v>
      </c>
      <c r="R1271" s="29">
        <v>41000</v>
      </c>
      <c r="S1271">
        <v>42700</v>
      </c>
      <c r="T1271">
        <v>44500</v>
      </c>
      <c r="U1271">
        <v>46500</v>
      </c>
      <c r="V1271">
        <v>46000</v>
      </c>
      <c r="W1271">
        <v>49000</v>
      </c>
    </row>
    <row r="1272" spans="1:23">
      <c r="A1272" s="30">
        <v>45556</v>
      </c>
      <c r="B1272" s="29">
        <v>45000</v>
      </c>
      <c r="C1272" s="29">
        <v>46000</v>
      </c>
      <c r="D1272" s="29">
        <v>44800</v>
      </c>
      <c r="E1272" s="29">
        <v>41000</v>
      </c>
      <c r="F1272" s="29">
        <v>47300</v>
      </c>
      <c r="G1272" s="29" t="str">
        <v>-</v>
      </c>
      <c r="H1272" s="29">
        <v>43700</v>
      </c>
      <c r="I1272" s="29">
        <v>44000</v>
      </c>
      <c r="J1272" s="29">
        <v>45700</v>
      </c>
      <c r="K1272" s="29" t="str">
        <v>-</v>
      </c>
      <c r="L1272" s="29">
        <v>46000</v>
      </c>
      <c r="M1272" s="29">
        <v>45200</v>
      </c>
      <c r="N1272" s="29">
        <v>43700</v>
      </c>
      <c r="O1272" s="29">
        <v>42500</v>
      </c>
      <c r="P1272" s="29">
        <v>41500</v>
      </c>
      <c r="Q1272" s="29">
        <v>42200</v>
      </c>
      <c r="R1272" s="29">
        <v>41100</v>
      </c>
      <c r="S1272">
        <v>43200</v>
      </c>
      <c r="T1272">
        <v>45200</v>
      </c>
      <c r="U1272">
        <v>46500</v>
      </c>
      <c r="V1272">
        <v>46200</v>
      </c>
      <c r="W1272">
        <v>49000</v>
      </c>
    </row>
    <row r="1273" spans="1:23">
      <c r="A1273" s="30">
        <v>45557</v>
      </c>
      <c r="B1273" s="29" t="str">
        <v>H</v>
      </c>
      <c r="C1273" s="29" t="str">
        <v>H</v>
      </c>
      <c r="D1273" s="29" t="str">
        <v>H</v>
      </c>
      <c r="E1273" s="29" t="str">
        <v>H</v>
      </c>
      <c r="F1273" s="29" t="str">
        <v>H</v>
      </c>
      <c r="G1273" s="29" t="str">
        <v>H</v>
      </c>
      <c r="H1273" s="29" t="str">
        <v>H</v>
      </c>
      <c r="I1273" s="29" t="str">
        <v>H</v>
      </c>
      <c r="J1273" s="29" t="str">
        <v>H</v>
      </c>
      <c r="K1273" s="29" t="str">
        <v>H</v>
      </c>
      <c r="L1273" s="29" t="str">
        <v>H</v>
      </c>
      <c r="M1273" s="29" t="str">
        <v>H</v>
      </c>
      <c r="N1273" s="29" t="str">
        <v>H</v>
      </c>
      <c r="O1273" s="29" t="str">
        <v>H</v>
      </c>
      <c r="P1273" s="29" t="str">
        <v>H</v>
      </c>
      <c r="Q1273" s="29" t="str">
        <v>H</v>
      </c>
      <c r="R1273" s="29" t="str">
        <v>H</v>
      </c>
      <c r="S1273" t="str">
        <v>H</v>
      </c>
      <c r="T1273" t="str">
        <v>H</v>
      </c>
      <c r="U1273" t="str">
        <v>H</v>
      </c>
      <c r="V1273" t="str">
        <v>H</v>
      </c>
      <c r="W1273" t="str">
        <v>H</v>
      </c>
    </row>
    <row r="1274" spans="1:23">
      <c r="A1274" s="30">
        <v>45558</v>
      </c>
      <c r="B1274" s="29">
        <v>45300</v>
      </c>
      <c r="C1274" s="29">
        <v>46200</v>
      </c>
      <c r="D1274" s="29">
        <v>45100</v>
      </c>
      <c r="E1274" s="29">
        <v>41500</v>
      </c>
      <c r="F1274" s="29">
        <v>47300</v>
      </c>
      <c r="G1274" s="29" t="str">
        <v>-</v>
      </c>
      <c r="H1274" s="29">
        <v>44300</v>
      </c>
      <c r="I1274" s="29">
        <v>44200</v>
      </c>
      <c r="J1274" s="29">
        <v>46400</v>
      </c>
      <c r="K1274" s="29" t="str">
        <v>-</v>
      </c>
      <c r="L1274" s="29">
        <v>46400</v>
      </c>
      <c r="M1274" s="29">
        <v>45700</v>
      </c>
      <c r="N1274" s="29">
        <v>43800</v>
      </c>
      <c r="O1274" s="29">
        <v>42900</v>
      </c>
      <c r="P1274" s="29">
        <v>42700</v>
      </c>
      <c r="Q1274" s="29">
        <v>42900</v>
      </c>
      <c r="R1274" s="29">
        <v>41700</v>
      </c>
      <c r="S1274">
        <v>43600</v>
      </c>
      <c r="T1274">
        <v>45500</v>
      </c>
      <c r="U1274">
        <v>47000</v>
      </c>
      <c r="V1274">
        <v>46400</v>
      </c>
      <c r="W1274">
        <v>49200</v>
      </c>
    </row>
    <row r="1275" spans="1:23">
      <c r="A1275" s="30">
        <v>45559</v>
      </c>
      <c r="B1275" s="29">
        <v>46000</v>
      </c>
      <c r="C1275" s="29">
        <v>46500</v>
      </c>
      <c r="D1275" s="29">
        <v>45500</v>
      </c>
      <c r="E1275" s="29">
        <v>42000</v>
      </c>
      <c r="F1275" s="29">
        <v>47300</v>
      </c>
      <c r="G1275" s="29" t="str">
        <v>-</v>
      </c>
      <c r="H1275" s="29">
        <v>44800</v>
      </c>
      <c r="I1275" s="29">
        <v>44600</v>
      </c>
      <c r="J1275" s="29">
        <v>46600</v>
      </c>
      <c r="K1275" s="29" t="str">
        <v>-</v>
      </c>
      <c r="L1275" s="29">
        <v>46900</v>
      </c>
      <c r="M1275" s="29">
        <v>46000</v>
      </c>
      <c r="N1275" s="29">
        <v>44500</v>
      </c>
      <c r="O1275" s="29">
        <v>43400</v>
      </c>
      <c r="P1275" s="29">
        <v>43000</v>
      </c>
      <c r="Q1275" s="29">
        <v>43400</v>
      </c>
      <c r="R1275" s="29">
        <v>42800</v>
      </c>
      <c r="S1275">
        <v>44100</v>
      </c>
      <c r="T1275">
        <v>46300</v>
      </c>
      <c r="U1275">
        <v>47500</v>
      </c>
      <c r="V1275">
        <v>46800</v>
      </c>
      <c r="W1275">
        <v>49500</v>
      </c>
    </row>
    <row r="1276" spans="1:23">
      <c r="A1276" s="30">
        <v>45560</v>
      </c>
      <c r="B1276" s="29">
        <v>46300</v>
      </c>
      <c r="C1276" s="29">
        <v>47000</v>
      </c>
      <c r="D1276" s="29">
        <v>46400</v>
      </c>
      <c r="E1276" s="29">
        <v>42500</v>
      </c>
      <c r="F1276" s="29">
        <v>47500</v>
      </c>
      <c r="G1276" s="29" t="str">
        <v>-</v>
      </c>
      <c r="H1276" s="29">
        <v>44800</v>
      </c>
      <c r="I1276" s="29">
        <v>45100</v>
      </c>
      <c r="J1276" s="29">
        <v>47200</v>
      </c>
      <c r="K1276" s="29" t="str">
        <v>-</v>
      </c>
      <c r="L1276" s="29">
        <v>47500</v>
      </c>
      <c r="M1276" s="29">
        <v>46200</v>
      </c>
      <c r="N1276" s="29">
        <v>45000</v>
      </c>
      <c r="O1276" s="29">
        <v>43600</v>
      </c>
      <c r="P1276" s="29">
        <v>43800</v>
      </c>
      <c r="Q1276" s="29">
        <v>44000</v>
      </c>
      <c r="R1276" s="29">
        <v>43000</v>
      </c>
      <c r="S1276">
        <v>44600</v>
      </c>
      <c r="T1276">
        <v>46800</v>
      </c>
      <c r="U1276">
        <v>47500</v>
      </c>
      <c r="V1276">
        <v>47500</v>
      </c>
      <c r="W1276">
        <v>50200</v>
      </c>
    </row>
    <row r="1277" spans="1:23">
      <c r="A1277" s="30">
        <v>45561</v>
      </c>
      <c r="B1277" s="29">
        <v>46500</v>
      </c>
      <c r="C1277" s="29">
        <v>47000</v>
      </c>
      <c r="D1277" s="29">
        <v>47000</v>
      </c>
      <c r="E1277" s="29">
        <v>42800</v>
      </c>
      <c r="F1277" s="29">
        <v>47900</v>
      </c>
      <c r="G1277" s="29" t="str">
        <v>-</v>
      </c>
      <c r="H1277" s="29">
        <v>44800</v>
      </c>
      <c r="I1277" s="29">
        <v>45600</v>
      </c>
      <c r="J1277" s="29">
        <v>47200</v>
      </c>
      <c r="K1277" s="29" t="str">
        <v>-</v>
      </c>
      <c r="L1277" s="29">
        <v>48000</v>
      </c>
      <c r="M1277" s="29">
        <v>46400</v>
      </c>
      <c r="N1277" s="29">
        <v>45700</v>
      </c>
      <c r="O1277" s="29">
        <v>44500</v>
      </c>
      <c r="P1277" s="29">
        <v>44200</v>
      </c>
      <c r="Q1277" s="29">
        <v>44200</v>
      </c>
      <c r="R1277" s="29">
        <v>43300</v>
      </c>
      <c r="S1277">
        <v>44900</v>
      </c>
      <c r="T1277">
        <v>47300</v>
      </c>
      <c r="U1277">
        <v>47500</v>
      </c>
      <c r="V1277">
        <v>47500</v>
      </c>
      <c r="W1277">
        <v>50500</v>
      </c>
    </row>
    <row r="1278" spans="1:23">
      <c r="A1278" s="30">
        <v>45562</v>
      </c>
      <c r="B1278" s="29">
        <v>46500</v>
      </c>
      <c r="C1278" s="29">
        <v>47000</v>
      </c>
      <c r="D1278" s="29">
        <v>46800</v>
      </c>
      <c r="E1278" s="29">
        <v>42500</v>
      </c>
      <c r="F1278" s="29">
        <v>48100</v>
      </c>
      <c r="G1278" s="29" t="str">
        <v>-</v>
      </c>
      <c r="H1278" s="29">
        <v>44800</v>
      </c>
      <c r="I1278" s="29">
        <v>45500</v>
      </c>
      <c r="J1278" s="29">
        <v>47200</v>
      </c>
      <c r="K1278" s="29" t="str">
        <v>-</v>
      </c>
      <c r="L1278" s="29">
        <v>48000</v>
      </c>
      <c r="M1278" s="29">
        <v>46400</v>
      </c>
      <c r="N1278" s="29">
        <v>45500</v>
      </c>
      <c r="O1278" s="29">
        <v>44500</v>
      </c>
      <c r="P1278" s="29">
        <v>43800</v>
      </c>
      <c r="Q1278" s="29">
        <v>44000</v>
      </c>
      <c r="R1278" s="29">
        <v>43200</v>
      </c>
      <c r="S1278">
        <v>44600</v>
      </c>
      <c r="T1278">
        <v>47300</v>
      </c>
      <c r="U1278">
        <v>47500</v>
      </c>
      <c r="V1278">
        <v>47500</v>
      </c>
      <c r="W1278">
        <v>50500</v>
      </c>
    </row>
    <row r="1279" spans="1:23">
      <c r="A1279" s="30">
        <v>45563</v>
      </c>
      <c r="B1279" s="29">
        <v>46500</v>
      </c>
      <c r="C1279" s="29">
        <v>47300</v>
      </c>
      <c r="D1279" s="29">
        <v>47300</v>
      </c>
      <c r="E1279" s="29">
        <v>42800</v>
      </c>
      <c r="F1279" s="29">
        <v>48100</v>
      </c>
      <c r="G1279" s="29" t="str">
        <v>-</v>
      </c>
      <c r="H1279" s="29">
        <v>44800</v>
      </c>
      <c r="I1279" s="29">
        <v>45900</v>
      </c>
      <c r="J1279" s="29">
        <v>47300</v>
      </c>
      <c r="K1279" s="29" t="str">
        <v>-</v>
      </c>
      <c r="L1279" s="29">
        <v>48100</v>
      </c>
      <c r="M1279" s="29">
        <v>46400</v>
      </c>
      <c r="N1279" s="29">
        <v>45500</v>
      </c>
      <c r="O1279" s="29">
        <v>44600</v>
      </c>
      <c r="P1279" s="29">
        <v>44000</v>
      </c>
      <c r="Q1279" s="29">
        <v>44200</v>
      </c>
      <c r="R1279" s="29">
        <v>43300</v>
      </c>
      <c r="S1279">
        <v>44900</v>
      </c>
      <c r="T1279">
        <v>47500</v>
      </c>
      <c r="U1279">
        <v>47500</v>
      </c>
      <c r="V1279">
        <v>47700</v>
      </c>
      <c r="W1279">
        <v>50900</v>
      </c>
    </row>
    <row r="1280" spans="1:23">
      <c r="A1280" s="30">
        <v>45564</v>
      </c>
      <c r="B1280" s="29" t="str">
        <v>H</v>
      </c>
      <c r="C1280" s="29" t="str">
        <v>H</v>
      </c>
      <c r="D1280" s="29" t="str">
        <v>H</v>
      </c>
      <c r="E1280" s="29" t="str">
        <v>H</v>
      </c>
      <c r="F1280" s="29" t="str">
        <v>H</v>
      </c>
      <c r="G1280" s="29" t="str">
        <v>H</v>
      </c>
      <c r="H1280" s="29" t="str">
        <v>H</v>
      </c>
      <c r="I1280" s="29" t="str">
        <v>H</v>
      </c>
      <c r="J1280" s="29" t="str">
        <v>H</v>
      </c>
      <c r="K1280" s="29" t="str">
        <v>H</v>
      </c>
      <c r="L1280" s="29" t="str">
        <v>H</v>
      </c>
      <c r="M1280" s="29" t="str">
        <v>H</v>
      </c>
      <c r="N1280" s="29" t="str">
        <v>H</v>
      </c>
      <c r="O1280" s="29" t="str">
        <v>H</v>
      </c>
      <c r="P1280" s="29" t="str">
        <v>H</v>
      </c>
      <c r="Q1280" s="29" t="str">
        <v>H</v>
      </c>
      <c r="R1280" s="29" t="str">
        <v>H</v>
      </c>
      <c r="S1280" t="str">
        <v>H</v>
      </c>
      <c r="T1280" t="str">
        <v>H</v>
      </c>
      <c r="U1280" t="str">
        <v>H</v>
      </c>
      <c r="V1280" t="str">
        <v>H</v>
      </c>
      <c r="W1280" t="str">
        <v>H</v>
      </c>
    </row>
    <row r="1281" spans="1:23">
      <c r="A1281" s="30">
        <v>45565</v>
      </c>
      <c r="B1281" s="29">
        <v>47300</v>
      </c>
      <c r="C1281" s="29">
        <v>47500</v>
      </c>
      <c r="D1281" s="29">
        <v>47700</v>
      </c>
      <c r="E1281" s="29">
        <v>43500</v>
      </c>
      <c r="F1281" s="29">
        <v>48900</v>
      </c>
      <c r="G1281" s="29" t="str">
        <v>-</v>
      </c>
      <c r="H1281" s="29">
        <v>47000</v>
      </c>
      <c r="I1281" s="29">
        <v>46800</v>
      </c>
      <c r="J1281" s="29">
        <v>48200</v>
      </c>
      <c r="K1281" s="29" t="str">
        <v>-</v>
      </c>
      <c r="L1281" s="29">
        <v>48300</v>
      </c>
      <c r="M1281" s="29">
        <v>47100</v>
      </c>
      <c r="N1281" s="29">
        <v>46200</v>
      </c>
      <c r="O1281" s="29">
        <v>44800</v>
      </c>
      <c r="P1281" s="29">
        <v>45000</v>
      </c>
      <c r="Q1281" s="29">
        <v>45000</v>
      </c>
      <c r="R1281" s="29">
        <v>43500</v>
      </c>
      <c r="S1281">
        <v>45600</v>
      </c>
      <c r="T1281">
        <v>48000</v>
      </c>
      <c r="U1281">
        <v>47500</v>
      </c>
      <c r="V1281">
        <v>49400</v>
      </c>
      <c r="W1281">
        <v>52500</v>
      </c>
    </row>
    <row r="1282" spans="1:23">
      <c r="A1282" s="30">
        <v>45566</v>
      </c>
      <c r="B1282" s="29">
        <v>47600</v>
      </c>
      <c r="C1282" s="29">
        <v>47800</v>
      </c>
      <c r="D1282" s="29">
        <v>47800</v>
      </c>
      <c r="E1282" s="29">
        <v>43800</v>
      </c>
      <c r="F1282" s="29">
        <v>49200</v>
      </c>
      <c r="G1282" s="29" t="str">
        <v>-</v>
      </c>
      <c r="H1282" s="29">
        <v>47000</v>
      </c>
      <c r="I1282" s="29">
        <v>47000</v>
      </c>
      <c r="J1282" s="29">
        <v>48800</v>
      </c>
      <c r="K1282" s="29" t="str">
        <v>-</v>
      </c>
      <c r="L1282" s="29">
        <v>48600</v>
      </c>
      <c r="M1282" s="29">
        <v>47600</v>
      </c>
      <c r="N1282" s="29">
        <v>47000</v>
      </c>
      <c r="O1282" s="29">
        <v>44800</v>
      </c>
      <c r="P1282" s="29">
        <v>45200</v>
      </c>
      <c r="Q1282" s="29">
        <v>45400</v>
      </c>
      <c r="R1282" s="29">
        <v>43800</v>
      </c>
      <c r="S1282">
        <v>45900</v>
      </c>
      <c r="T1282">
        <v>48600</v>
      </c>
      <c r="U1282">
        <v>47500</v>
      </c>
      <c r="V1282">
        <v>49400</v>
      </c>
      <c r="W1282">
        <v>52500</v>
      </c>
    </row>
    <row r="1283" spans="1:23">
      <c r="A1283" s="30">
        <v>45567</v>
      </c>
      <c r="B1283" s="29" t="str">
        <v>H</v>
      </c>
      <c r="C1283" s="29" t="str">
        <v>H</v>
      </c>
      <c r="D1283" s="29" t="str">
        <v>H</v>
      </c>
      <c r="E1283" s="29" t="str">
        <v>H</v>
      </c>
      <c r="F1283" s="29" t="str">
        <v>H</v>
      </c>
      <c r="G1283" s="29" t="str">
        <v>H</v>
      </c>
      <c r="H1283" s="29" t="str">
        <v>H</v>
      </c>
      <c r="I1283" s="29" t="str">
        <v>H</v>
      </c>
      <c r="J1283" s="29" t="str">
        <v>H</v>
      </c>
      <c r="K1283" s="29" t="str">
        <v>H</v>
      </c>
      <c r="L1283" s="29" t="str">
        <v>H</v>
      </c>
      <c r="M1283" s="29" t="str">
        <v>H</v>
      </c>
      <c r="N1283" s="29" t="str">
        <v>H</v>
      </c>
      <c r="O1283" s="29" t="str">
        <v>H</v>
      </c>
      <c r="P1283" s="29" t="str">
        <v>H</v>
      </c>
      <c r="Q1283" s="29" t="str">
        <v>H</v>
      </c>
      <c r="R1283" s="29" t="str">
        <v>H</v>
      </c>
      <c r="S1283" t="str">
        <v>H</v>
      </c>
      <c r="T1283" t="str">
        <v>H</v>
      </c>
      <c r="U1283" t="str">
        <v>H</v>
      </c>
      <c r="V1283" t="str">
        <v>H</v>
      </c>
      <c r="W1283" t="str">
        <v>H</v>
      </c>
    </row>
    <row r="1284" spans="1:23">
      <c r="A1284" s="30">
        <v>45568</v>
      </c>
      <c r="B1284" s="29">
        <v>47800</v>
      </c>
      <c r="C1284" s="29">
        <v>48200</v>
      </c>
      <c r="D1284" s="29">
        <v>48500</v>
      </c>
      <c r="E1284" s="29">
        <v>44000</v>
      </c>
      <c r="F1284" s="29">
        <v>49200</v>
      </c>
      <c r="G1284" s="29" t="str">
        <v>-</v>
      </c>
      <c r="H1284" s="29">
        <v>47000</v>
      </c>
      <c r="I1284" s="29">
        <v>47000</v>
      </c>
      <c r="J1284" s="29">
        <v>49100</v>
      </c>
      <c r="K1284" s="29" t="str">
        <v>-</v>
      </c>
      <c r="L1284" s="29">
        <v>48600</v>
      </c>
      <c r="M1284" s="29">
        <v>47800</v>
      </c>
      <c r="N1284" s="29">
        <v>47400</v>
      </c>
      <c r="O1284" s="29">
        <v>44900</v>
      </c>
      <c r="P1284" s="29">
        <v>45600</v>
      </c>
      <c r="Q1284" s="29">
        <v>45700</v>
      </c>
      <c r="R1284" s="29">
        <v>44500</v>
      </c>
      <c r="S1284">
        <v>46100</v>
      </c>
      <c r="T1284">
        <v>49000</v>
      </c>
      <c r="U1284">
        <v>47500</v>
      </c>
      <c r="V1284">
        <v>49400</v>
      </c>
      <c r="W1284">
        <v>52500</v>
      </c>
    </row>
    <row r="1285" spans="1:23">
      <c r="A1285" s="30">
        <v>45569</v>
      </c>
      <c r="B1285" s="29">
        <v>48000</v>
      </c>
      <c r="C1285" s="29">
        <v>48200</v>
      </c>
      <c r="D1285" s="29">
        <v>48700</v>
      </c>
      <c r="E1285" s="29">
        <v>44500</v>
      </c>
      <c r="F1285" s="29">
        <v>49600</v>
      </c>
      <c r="G1285" s="29" t="str">
        <v>-</v>
      </c>
      <c r="H1285" s="29">
        <v>47000</v>
      </c>
      <c r="I1285" s="29">
        <v>47500</v>
      </c>
      <c r="J1285" s="29">
        <v>49600</v>
      </c>
      <c r="K1285" s="29" t="str">
        <v>-</v>
      </c>
      <c r="L1285" s="29">
        <v>49000</v>
      </c>
      <c r="M1285" s="29">
        <v>48600</v>
      </c>
      <c r="N1285" s="29">
        <v>48200</v>
      </c>
      <c r="O1285" s="29">
        <v>45000</v>
      </c>
      <c r="P1285" s="29">
        <v>45800</v>
      </c>
      <c r="Q1285" s="29">
        <v>46100</v>
      </c>
      <c r="R1285" s="29">
        <v>44800</v>
      </c>
      <c r="S1285">
        <v>46600</v>
      </c>
      <c r="T1285">
        <v>49300</v>
      </c>
      <c r="U1285">
        <v>47500</v>
      </c>
      <c r="V1285">
        <v>49800</v>
      </c>
      <c r="W1285">
        <v>53000</v>
      </c>
    </row>
    <row r="1286" spans="1:23">
      <c r="A1286" s="30">
        <v>45570</v>
      </c>
      <c r="B1286" s="29">
        <v>48000</v>
      </c>
      <c r="C1286" s="29">
        <v>48200</v>
      </c>
      <c r="D1286" s="29">
        <v>48700</v>
      </c>
      <c r="E1286" s="29">
        <v>44800</v>
      </c>
      <c r="F1286" s="29">
        <v>49600</v>
      </c>
      <c r="G1286" s="29" t="str">
        <v>-</v>
      </c>
      <c r="H1286" s="29">
        <v>47000</v>
      </c>
      <c r="I1286" s="29">
        <v>47500</v>
      </c>
      <c r="J1286" s="29">
        <v>49600</v>
      </c>
      <c r="K1286" s="29" t="str">
        <v>-</v>
      </c>
      <c r="L1286" s="29">
        <v>49000</v>
      </c>
      <c r="M1286" s="29">
        <v>49000</v>
      </c>
      <c r="N1286" s="29">
        <v>47800</v>
      </c>
      <c r="O1286" s="29">
        <v>45200</v>
      </c>
      <c r="P1286" s="29">
        <v>45800</v>
      </c>
      <c r="Q1286" s="29">
        <v>45800</v>
      </c>
      <c r="R1286" s="29">
        <v>44900</v>
      </c>
      <c r="S1286">
        <v>46900</v>
      </c>
      <c r="T1286">
        <v>49100</v>
      </c>
      <c r="U1286">
        <v>47500</v>
      </c>
      <c r="V1286">
        <v>49800</v>
      </c>
      <c r="W1286">
        <v>53000</v>
      </c>
    </row>
    <row r="1287" spans="1:23">
      <c r="A1287" s="30">
        <v>45571</v>
      </c>
      <c r="B1287" s="29" t="str">
        <v>H</v>
      </c>
      <c r="C1287" s="29" t="str">
        <v>H</v>
      </c>
      <c r="D1287" s="29" t="str">
        <v>H</v>
      </c>
      <c r="E1287" s="29" t="str">
        <v>H</v>
      </c>
      <c r="F1287" s="29" t="str">
        <v>H</v>
      </c>
      <c r="G1287" s="29" t="str">
        <v>H</v>
      </c>
      <c r="H1287" s="29" t="str">
        <v>H</v>
      </c>
      <c r="I1287" s="29" t="str">
        <v>H</v>
      </c>
      <c r="J1287" s="29" t="str">
        <v>H</v>
      </c>
      <c r="K1287" s="29" t="str">
        <v>H</v>
      </c>
      <c r="L1287" s="29" t="str">
        <v>H</v>
      </c>
      <c r="M1287" s="29" t="str">
        <v>H</v>
      </c>
      <c r="N1287" s="29" t="str">
        <v>H</v>
      </c>
      <c r="O1287" s="29" t="str">
        <v>H</v>
      </c>
      <c r="P1287" s="29" t="str">
        <v>H</v>
      </c>
      <c r="Q1287" s="29" t="str">
        <v>H</v>
      </c>
      <c r="R1287" s="29" t="str">
        <v>H</v>
      </c>
      <c r="S1287" t="str">
        <v>H</v>
      </c>
      <c r="T1287" t="str">
        <v>H</v>
      </c>
      <c r="U1287" t="str">
        <v>H</v>
      </c>
      <c r="V1287" t="str">
        <v>H</v>
      </c>
      <c r="W1287" t="str">
        <v>H</v>
      </c>
    </row>
    <row r="1288" spans="1:23">
      <c r="A1288" s="30">
        <v>45572</v>
      </c>
      <c r="B1288" s="29">
        <v>48000</v>
      </c>
      <c r="C1288" s="29">
        <v>48500</v>
      </c>
      <c r="D1288" s="29">
        <v>48800</v>
      </c>
      <c r="E1288" s="29">
        <v>44700</v>
      </c>
      <c r="F1288" s="29">
        <v>49700</v>
      </c>
      <c r="G1288" s="29" t="str">
        <v>-</v>
      </c>
      <c r="H1288" s="29">
        <v>47000</v>
      </c>
      <c r="I1288" s="29">
        <v>47400</v>
      </c>
      <c r="J1288" s="29">
        <v>50000</v>
      </c>
      <c r="K1288" s="29" t="str">
        <v>-</v>
      </c>
      <c r="L1288" s="29">
        <v>48800</v>
      </c>
      <c r="M1288" s="29">
        <v>49700</v>
      </c>
      <c r="N1288" s="29">
        <v>47600</v>
      </c>
      <c r="O1288" s="29">
        <v>45600</v>
      </c>
      <c r="P1288" s="29">
        <v>45700</v>
      </c>
      <c r="Q1288" s="29">
        <v>46000</v>
      </c>
      <c r="R1288" s="29">
        <v>45000</v>
      </c>
      <c r="S1288">
        <v>46800</v>
      </c>
      <c r="T1288">
        <v>49100</v>
      </c>
      <c r="U1288">
        <v>47500</v>
      </c>
      <c r="V1288">
        <v>49800</v>
      </c>
      <c r="W1288">
        <v>53000</v>
      </c>
    </row>
    <row r="1289" spans="1:23">
      <c r="A1289" s="30">
        <v>45573</v>
      </c>
      <c r="B1289" s="29">
        <v>48200</v>
      </c>
      <c r="C1289" s="29">
        <v>48500</v>
      </c>
      <c r="D1289" s="29">
        <v>49000</v>
      </c>
      <c r="E1289" s="29">
        <v>45000</v>
      </c>
      <c r="F1289" s="29">
        <v>49700</v>
      </c>
      <c r="G1289" s="29" t="str">
        <v>-</v>
      </c>
      <c r="H1289" s="29">
        <v>46800</v>
      </c>
      <c r="I1289" s="29">
        <v>47400</v>
      </c>
      <c r="J1289" s="29">
        <v>50000</v>
      </c>
      <c r="K1289" s="29" t="str">
        <v>-</v>
      </c>
      <c r="L1289" s="29">
        <v>48900</v>
      </c>
      <c r="M1289" s="29">
        <v>49700</v>
      </c>
      <c r="N1289" s="29">
        <v>48200</v>
      </c>
      <c r="O1289" s="29">
        <v>45600</v>
      </c>
      <c r="P1289" s="29">
        <v>45900</v>
      </c>
      <c r="Q1289" s="29">
        <v>46300</v>
      </c>
      <c r="R1289" s="29">
        <v>45500</v>
      </c>
      <c r="S1289">
        <v>47100</v>
      </c>
      <c r="T1289">
        <v>49300</v>
      </c>
      <c r="U1289">
        <v>47500</v>
      </c>
      <c r="V1289">
        <v>49800</v>
      </c>
      <c r="W1289">
        <v>53000</v>
      </c>
    </row>
    <row r="1290" spans="1:23">
      <c r="A1290" s="30">
        <v>45574</v>
      </c>
      <c r="B1290" s="29">
        <v>48200</v>
      </c>
      <c r="C1290" s="29">
        <v>48500</v>
      </c>
      <c r="D1290" s="29">
        <v>48700</v>
      </c>
      <c r="E1290" s="29">
        <v>44700</v>
      </c>
      <c r="F1290" s="29">
        <v>49700</v>
      </c>
      <c r="G1290" s="29" t="str">
        <v>-</v>
      </c>
      <c r="H1290" s="29">
        <v>46800</v>
      </c>
      <c r="I1290" s="29">
        <v>47200</v>
      </c>
      <c r="J1290" s="29">
        <v>50000</v>
      </c>
      <c r="K1290" s="29" t="str">
        <v>-</v>
      </c>
      <c r="L1290" s="29">
        <v>48900</v>
      </c>
      <c r="M1290" s="29">
        <v>49600</v>
      </c>
      <c r="N1290" s="29">
        <v>47800</v>
      </c>
      <c r="O1290" s="29">
        <v>45600</v>
      </c>
      <c r="P1290" s="29">
        <v>45600</v>
      </c>
      <c r="Q1290" s="29">
        <v>45800</v>
      </c>
      <c r="R1290" s="29">
        <v>45500</v>
      </c>
      <c r="S1290">
        <v>46800</v>
      </c>
      <c r="T1290">
        <v>49100</v>
      </c>
      <c r="U1290">
        <v>47500</v>
      </c>
      <c r="V1290">
        <v>49800</v>
      </c>
      <c r="W1290">
        <v>53000</v>
      </c>
    </row>
    <row r="1291" spans="1:23">
      <c r="A1291" s="30">
        <v>45575</v>
      </c>
      <c r="B1291" s="29">
        <v>47800</v>
      </c>
      <c r="C1291" s="29">
        <v>48500</v>
      </c>
      <c r="D1291" s="29">
        <v>48600</v>
      </c>
      <c r="E1291" s="29" t="str">
        <v>-</v>
      </c>
      <c r="F1291" s="29">
        <v>49400</v>
      </c>
      <c r="G1291" s="29" t="str">
        <v>-</v>
      </c>
      <c r="H1291" s="29">
        <v>46800</v>
      </c>
      <c r="I1291" s="29">
        <v>46900</v>
      </c>
      <c r="J1291" s="29">
        <v>49500</v>
      </c>
      <c r="K1291" s="29" t="str">
        <v>-</v>
      </c>
      <c r="L1291" s="29">
        <v>48800</v>
      </c>
      <c r="M1291" s="29">
        <v>48900</v>
      </c>
      <c r="N1291" s="29">
        <v>47600</v>
      </c>
      <c r="O1291" s="29">
        <v>45200</v>
      </c>
      <c r="P1291" s="29">
        <v>45100</v>
      </c>
      <c r="Q1291" s="29">
        <v>45300</v>
      </c>
      <c r="R1291" s="29">
        <v>45200</v>
      </c>
      <c r="S1291" t="str">
        <v>-</v>
      </c>
      <c r="T1291">
        <v>48700</v>
      </c>
      <c r="U1291">
        <v>47500</v>
      </c>
      <c r="V1291">
        <v>49800</v>
      </c>
      <c r="W1291">
        <v>53000</v>
      </c>
    </row>
    <row r="1292" spans="1:23">
      <c r="A1292" s="30">
        <v>45576</v>
      </c>
      <c r="B1292" s="29">
        <v>47800</v>
      </c>
      <c r="C1292" s="29">
        <v>48300</v>
      </c>
      <c r="D1292" s="29">
        <v>48500</v>
      </c>
      <c r="E1292" s="29" t="str">
        <v>-</v>
      </c>
      <c r="F1292" s="29">
        <v>49400</v>
      </c>
      <c r="G1292" s="29" t="str">
        <v>-</v>
      </c>
      <c r="H1292" s="29">
        <v>46800</v>
      </c>
      <c r="I1292" s="29">
        <v>46800</v>
      </c>
      <c r="J1292" s="29">
        <v>49300</v>
      </c>
      <c r="K1292" s="29" t="str">
        <v>-</v>
      </c>
      <c r="L1292" s="29">
        <v>48700</v>
      </c>
      <c r="M1292" s="29">
        <v>48600</v>
      </c>
      <c r="N1292" s="29">
        <v>47300</v>
      </c>
      <c r="O1292" s="29">
        <v>45200</v>
      </c>
      <c r="P1292" s="29">
        <v>44300</v>
      </c>
      <c r="Q1292" s="29">
        <v>44500</v>
      </c>
      <c r="R1292" s="29">
        <v>45000</v>
      </c>
      <c r="S1292" t="str">
        <v>-</v>
      </c>
      <c r="T1292">
        <v>48200</v>
      </c>
      <c r="U1292">
        <v>48000</v>
      </c>
      <c r="V1292">
        <v>49800</v>
      </c>
      <c r="W1292">
        <v>53000</v>
      </c>
    </row>
    <row r="1293" spans="1:23">
      <c r="A1293" s="30">
        <v>45577</v>
      </c>
      <c r="B1293" s="29" t="str">
        <v>H</v>
      </c>
      <c r="C1293" s="29" t="str">
        <v>H</v>
      </c>
      <c r="D1293" s="29" t="str">
        <v>H</v>
      </c>
      <c r="E1293" s="29" t="str">
        <v>H</v>
      </c>
      <c r="F1293" s="29" t="str">
        <v>H</v>
      </c>
      <c r="G1293" s="29" t="str">
        <v>H</v>
      </c>
      <c r="H1293" s="29" t="str">
        <v>H</v>
      </c>
      <c r="I1293" s="29" t="str">
        <v>H</v>
      </c>
      <c r="J1293" s="29" t="str">
        <v>H</v>
      </c>
      <c r="K1293" s="29" t="str">
        <v>H</v>
      </c>
      <c r="L1293" s="29" t="str">
        <v>H</v>
      </c>
      <c r="M1293" s="29" t="str">
        <v>H</v>
      </c>
      <c r="N1293" s="29" t="str">
        <v>H</v>
      </c>
      <c r="O1293" s="29" t="str">
        <v>H</v>
      </c>
      <c r="P1293" s="29" t="str">
        <v>H</v>
      </c>
      <c r="Q1293" s="29" t="str">
        <v>H</v>
      </c>
      <c r="R1293" s="29" t="str">
        <v>H</v>
      </c>
      <c r="S1293" t="str">
        <v>H</v>
      </c>
      <c r="T1293" t="str">
        <v>H</v>
      </c>
      <c r="U1293" t="str">
        <v>H</v>
      </c>
      <c r="V1293" t="str">
        <v>H</v>
      </c>
      <c r="W1293" t="str">
        <v>H</v>
      </c>
    </row>
    <row r="1294" spans="1:23">
      <c r="A1294" s="30">
        <v>45578</v>
      </c>
      <c r="B1294" s="29" t="str">
        <v>H</v>
      </c>
      <c r="C1294" s="29" t="str">
        <v>H</v>
      </c>
      <c r="D1294" s="29" t="str">
        <v>H</v>
      </c>
      <c r="E1294" s="29" t="str">
        <v>H</v>
      </c>
      <c r="F1294" s="29" t="str">
        <v>H</v>
      </c>
      <c r="G1294" s="29" t="str">
        <v>H</v>
      </c>
      <c r="H1294" s="29" t="str">
        <v>H</v>
      </c>
      <c r="I1294" s="29" t="str">
        <v>H</v>
      </c>
      <c r="J1294" s="29" t="str">
        <v>H</v>
      </c>
      <c r="K1294" s="29" t="str">
        <v>H</v>
      </c>
      <c r="L1294" s="29" t="str">
        <v>H</v>
      </c>
      <c r="M1294" s="29" t="str">
        <v>H</v>
      </c>
      <c r="N1294" s="29" t="str">
        <v>H</v>
      </c>
      <c r="O1294" s="29" t="str">
        <v>H</v>
      </c>
      <c r="P1294" s="29" t="str">
        <v>H</v>
      </c>
      <c r="Q1294" s="29" t="str">
        <v>H</v>
      </c>
      <c r="R1294" s="29" t="str">
        <v>H</v>
      </c>
      <c r="S1294" t="str">
        <v>H</v>
      </c>
      <c r="T1294" t="str">
        <v>H</v>
      </c>
      <c r="U1294" t="str">
        <v>H</v>
      </c>
      <c r="V1294" t="str">
        <v>H</v>
      </c>
      <c r="W1294" t="str">
        <v>H</v>
      </c>
    </row>
    <row r="1295" spans="1:23">
      <c r="A1295" s="30">
        <v>45579</v>
      </c>
      <c r="B1295" s="29">
        <v>47600</v>
      </c>
      <c r="C1295" s="29">
        <v>48300</v>
      </c>
      <c r="D1295" s="29">
        <v>49000</v>
      </c>
      <c r="E1295" s="29">
        <v>44800</v>
      </c>
      <c r="F1295" s="29">
        <v>49400</v>
      </c>
      <c r="G1295" s="29" t="str">
        <v>-</v>
      </c>
      <c r="H1295" s="29">
        <v>46500</v>
      </c>
      <c r="I1295" s="29">
        <v>47000</v>
      </c>
      <c r="J1295" s="29">
        <v>49300</v>
      </c>
      <c r="K1295" s="29" t="str">
        <v>-</v>
      </c>
      <c r="L1295" s="29">
        <v>49000</v>
      </c>
      <c r="M1295" s="29">
        <v>48800</v>
      </c>
      <c r="N1295" s="29">
        <v>47600</v>
      </c>
      <c r="O1295" s="29">
        <v>45200</v>
      </c>
      <c r="P1295" s="29">
        <v>44800</v>
      </c>
      <c r="Q1295" s="29">
        <v>44900</v>
      </c>
      <c r="R1295" s="29">
        <v>45000</v>
      </c>
      <c r="S1295">
        <v>46900</v>
      </c>
      <c r="T1295">
        <v>48200</v>
      </c>
      <c r="U1295">
        <v>48000</v>
      </c>
      <c r="V1295">
        <v>49800</v>
      </c>
      <c r="W1295">
        <v>53000</v>
      </c>
    </row>
    <row r="1296" spans="1:23">
      <c r="A1296" s="30">
        <v>45580</v>
      </c>
      <c r="B1296" s="29">
        <v>47400</v>
      </c>
      <c r="C1296" s="29">
        <v>48000</v>
      </c>
      <c r="D1296" s="29">
        <v>49000</v>
      </c>
      <c r="E1296" s="29">
        <v>44500</v>
      </c>
      <c r="F1296" s="29">
        <v>49400</v>
      </c>
      <c r="G1296" s="29" t="str">
        <v>-</v>
      </c>
      <c r="H1296" s="29">
        <v>46500</v>
      </c>
      <c r="I1296" s="29">
        <v>47000</v>
      </c>
      <c r="J1296" s="29">
        <v>49300</v>
      </c>
      <c r="K1296" s="29" t="str">
        <v>-</v>
      </c>
      <c r="L1296" s="29">
        <v>49000</v>
      </c>
      <c r="M1296" s="29">
        <v>48800</v>
      </c>
      <c r="N1296" s="29">
        <v>47600</v>
      </c>
      <c r="O1296" s="29">
        <v>44600</v>
      </c>
      <c r="P1296" s="29">
        <v>44400</v>
      </c>
      <c r="Q1296" s="29">
        <v>44800</v>
      </c>
      <c r="R1296" s="29">
        <v>44800</v>
      </c>
      <c r="S1296">
        <v>46600</v>
      </c>
      <c r="T1296">
        <v>48200</v>
      </c>
      <c r="U1296">
        <v>49000</v>
      </c>
      <c r="V1296">
        <v>49800</v>
      </c>
      <c r="W1296">
        <v>53000</v>
      </c>
    </row>
    <row r="1297" spans="1:23">
      <c r="A1297" s="30">
        <v>45581</v>
      </c>
      <c r="B1297" s="29">
        <v>47200</v>
      </c>
      <c r="C1297" s="29">
        <v>48000</v>
      </c>
      <c r="D1297" s="29">
        <v>48700</v>
      </c>
      <c r="E1297" s="29">
        <v>44900</v>
      </c>
      <c r="F1297" s="29">
        <v>49400</v>
      </c>
      <c r="G1297" s="29" t="str">
        <v>-</v>
      </c>
      <c r="H1297" s="29">
        <v>46500</v>
      </c>
      <c r="I1297" s="29">
        <v>46900</v>
      </c>
      <c r="J1297" s="29">
        <v>49300</v>
      </c>
      <c r="K1297" s="29" t="str">
        <v>-</v>
      </c>
      <c r="L1297" s="29">
        <v>49000</v>
      </c>
      <c r="M1297" s="29">
        <v>48800</v>
      </c>
      <c r="N1297" s="29">
        <v>47600</v>
      </c>
      <c r="O1297" s="29">
        <v>44500</v>
      </c>
      <c r="P1297" s="29">
        <v>44300</v>
      </c>
      <c r="Q1297" s="29">
        <v>44700</v>
      </c>
      <c r="R1297" s="29">
        <v>44600</v>
      </c>
      <c r="S1297">
        <v>47000</v>
      </c>
      <c r="T1297">
        <v>48000</v>
      </c>
      <c r="U1297">
        <v>49000</v>
      </c>
      <c r="V1297">
        <v>49600</v>
      </c>
      <c r="W1297">
        <v>53000</v>
      </c>
    </row>
    <row r="1298" spans="1:23">
      <c r="A1298" s="30">
        <v>45582</v>
      </c>
      <c r="B1298" s="29">
        <v>47200</v>
      </c>
      <c r="C1298" s="29">
        <v>48000</v>
      </c>
      <c r="D1298" s="29">
        <v>48400</v>
      </c>
      <c r="E1298" s="29">
        <v>44500</v>
      </c>
      <c r="F1298" s="29">
        <v>49200</v>
      </c>
      <c r="G1298" s="29" t="str">
        <v>-</v>
      </c>
      <c r="H1298" s="29">
        <v>46300</v>
      </c>
      <c r="I1298" s="29">
        <v>46600</v>
      </c>
      <c r="J1298" s="29">
        <v>49300</v>
      </c>
      <c r="K1298" s="29" t="str">
        <v>-</v>
      </c>
      <c r="L1298" s="29">
        <v>48800</v>
      </c>
      <c r="M1298" s="29">
        <v>48500</v>
      </c>
      <c r="N1298" s="29">
        <v>47500</v>
      </c>
      <c r="O1298" s="29">
        <v>44500</v>
      </c>
      <c r="P1298" s="29">
        <v>44000</v>
      </c>
      <c r="Q1298" s="29">
        <v>44500</v>
      </c>
      <c r="R1298" s="29">
        <v>44600</v>
      </c>
      <c r="S1298">
        <v>46600</v>
      </c>
      <c r="T1298">
        <v>47800</v>
      </c>
      <c r="U1298">
        <v>49500</v>
      </c>
      <c r="V1298">
        <v>49600</v>
      </c>
      <c r="W1298">
        <v>53000</v>
      </c>
    </row>
    <row r="1299" spans="1:23">
      <c r="A1299" s="30">
        <v>45583</v>
      </c>
      <c r="B1299" s="29">
        <v>47200</v>
      </c>
      <c r="C1299" s="29">
        <v>47800</v>
      </c>
      <c r="D1299" s="29">
        <v>48500</v>
      </c>
      <c r="E1299" s="29">
        <v>44500</v>
      </c>
      <c r="F1299" s="29">
        <v>48700</v>
      </c>
      <c r="G1299" s="29" t="str">
        <v>-</v>
      </c>
      <c r="H1299" s="29">
        <v>45800</v>
      </c>
      <c r="I1299" s="29">
        <v>46600</v>
      </c>
      <c r="J1299" s="29">
        <v>49000</v>
      </c>
      <c r="K1299" s="29" t="str">
        <v>-</v>
      </c>
      <c r="L1299" s="29">
        <v>48800</v>
      </c>
      <c r="M1299" s="29">
        <v>48000</v>
      </c>
      <c r="N1299" s="29">
        <v>47600</v>
      </c>
      <c r="O1299" s="29">
        <v>44500</v>
      </c>
      <c r="P1299" s="29">
        <v>43900</v>
      </c>
      <c r="Q1299" s="29">
        <v>44500</v>
      </c>
      <c r="R1299" s="29">
        <v>44600</v>
      </c>
      <c r="S1299">
        <v>46600</v>
      </c>
      <c r="T1299">
        <v>47800</v>
      </c>
      <c r="U1299">
        <v>49500</v>
      </c>
      <c r="V1299">
        <v>49500</v>
      </c>
      <c r="W1299">
        <v>52800</v>
      </c>
    </row>
    <row r="1300" spans="1:23">
      <c r="A1300" s="30">
        <v>45584</v>
      </c>
      <c r="B1300" s="29">
        <v>47000</v>
      </c>
      <c r="C1300" s="29">
        <v>47800</v>
      </c>
      <c r="D1300" s="29">
        <v>48400</v>
      </c>
      <c r="E1300" s="29">
        <v>44200</v>
      </c>
      <c r="F1300" s="29">
        <v>48600</v>
      </c>
      <c r="G1300" s="29" t="str">
        <v>-</v>
      </c>
      <c r="H1300" s="29">
        <v>45500</v>
      </c>
      <c r="I1300" s="29">
        <v>46200</v>
      </c>
      <c r="J1300" s="29">
        <v>48900</v>
      </c>
      <c r="K1300" s="29" t="str">
        <v>-</v>
      </c>
      <c r="L1300" s="29">
        <v>48700</v>
      </c>
      <c r="M1300" s="29">
        <v>48200</v>
      </c>
      <c r="N1300" s="29">
        <v>47300</v>
      </c>
      <c r="O1300" s="29">
        <v>44300</v>
      </c>
      <c r="P1300" s="29">
        <v>43500</v>
      </c>
      <c r="Q1300" s="29">
        <v>44000</v>
      </c>
      <c r="R1300" s="29">
        <v>44500</v>
      </c>
      <c r="S1300">
        <v>46300</v>
      </c>
      <c r="T1300">
        <v>47500</v>
      </c>
      <c r="U1300">
        <v>49500</v>
      </c>
      <c r="V1300">
        <v>49300</v>
      </c>
      <c r="W1300">
        <v>52800</v>
      </c>
    </row>
    <row r="1301" spans="1:23">
      <c r="A1301" s="30">
        <v>45585</v>
      </c>
      <c r="B1301" s="29" t="str">
        <v>H</v>
      </c>
      <c r="C1301" s="29" t="str">
        <v>H</v>
      </c>
      <c r="D1301" s="29" t="str">
        <v>H</v>
      </c>
      <c r="E1301" s="29" t="str">
        <v>H</v>
      </c>
      <c r="F1301" s="29" t="str">
        <v>H</v>
      </c>
      <c r="G1301" s="29" t="str">
        <v>H</v>
      </c>
      <c r="H1301" s="29" t="str">
        <v>H</v>
      </c>
      <c r="I1301" s="29" t="str">
        <v>H</v>
      </c>
      <c r="J1301" s="29" t="str">
        <v>H</v>
      </c>
      <c r="K1301" s="29" t="str">
        <v>H</v>
      </c>
      <c r="L1301" s="29" t="str">
        <v>H</v>
      </c>
      <c r="M1301" s="29" t="str">
        <v>H</v>
      </c>
      <c r="N1301" s="29" t="str">
        <v>H</v>
      </c>
      <c r="O1301" s="29" t="str">
        <v>H</v>
      </c>
      <c r="P1301" s="29" t="str">
        <v>H</v>
      </c>
      <c r="Q1301" s="29" t="str">
        <v>H</v>
      </c>
      <c r="R1301" s="29" t="str">
        <v>H</v>
      </c>
      <c r="S1301" t="str">
        <v>H</v>
      </c>
      <c r="T1301" t="str">
        <v>H</v>
      </c>
      <c r="U1301" t="str">
        <v>H</v>
      </c>
      <c r="V1301" t="str">
        <v>H</v>
      </c>
      <c r="W1301" t="str">
        <v>H</v>
      </c>
    </row>
    <row r="1302" spans="1:23">
      <c r="A1302" s="30">
        <v>45586</v>
      </c>
      <c r="B1302" s="29">
        <v>46500</v>
      </c>
      <c r="C1302" s="29">
        <v>47500</v>
      </c>
      <c r="D1302" s="29">
        <v>47900</v>
      </c>
      <c r="E1302" s="29">
        <v>43900</v>
      </c>
      <c r="F1302" s="29">
        <v>48500</v>
      </c>
      <c r="G1302" s="29" t="str">
        <v>-</v>
      </c>
      <c r="H1302" s="29">
        <v>45500</v>
      </c>
      <c r="I1302" s="29">
        <v>45900</v>
      </c>
      <c r="J1302" s="29">
        <v>48500</v>
      </c>
      <c r="K1302" s="29" t="str">
        <v>-</v>
      </c>
      <c r="L1302" s="29">
        <v>48600</v>
      </c>
      <c r="M1302" s="29">
        <v>48500</v>
      </c>
      <c r="N1302" s="29">
        <v>46800</v>
      </c>
      <c r="O1302" s="29">
        <v>44000</v>
      </c>
      <c r="P1302" s="29">
        <v>43000</v>
      </c>
      <c r="Q1302" s="29">
        <v>43400</v>
      </c>
      <c r="R1302" s="29">
        <v>44200</v>
      </c>
      <c r="S1302">
        <v>46000</v>
      </c>
      <c r="T1302">
        <v>47300</v>
      </c>
      <c r="U1302">
        <v>49500</v>
      </c>
      <c r="V1302">
        <v>49000</v>
      </c>
      <c r="W1302">
        <v>52800</v>
      </c>
    </row>
    <row r="1303" spans="1:23">
      <c r="A1303" s="30">
        <v>45587</v>
      </c>
      <c r="B1303" s="29">
        <v>46200</v>
      </c>
      <c r="C1303" s="29">
        <v>47200</v>
      </c>
      <c r="D1303" s="29">
        <v>47600</v>
      </c>
      <c r="E1303" s="29">
        <v>43100</v>
      </c>
      <c r="F1303" s="29">
        <v>48200</v>
      </c>
      <c r="G1303" s="29" t="str">
        <v>-</v>
      </c>
      <c r="H1303" s="29">
        <v>45000</v>
      </c>
      <c r="I1303" s="29">
        <v>45500</v>
      </c>
      <c r="J1303" s="29">
        <v>48100</v>
      </c>
      <c r="K1303" s="29" t="str">
        <v>-</v>
      </c>
      <c r="L1303" s="29">
        <v>48300</v>
      </c>
      <c r="M1303" s="29">
        <v>47800</v>
      </c>
      <c r="N1303" s="29">
        <v>46200</v>
      </c>
      <c r="O1303" s="29">
        <v>43700</v>
      </c>
      <c r="P1303" s="29">
        <v>42600</v>
      </c>
      <c r="Q1303" s="29">
        <v>42900</v>
      </c>
      <c r="R1303" s="29">
        <v>43900</v>
      </c>
      <c r="S1303">
        <v>45200</v>
      </c>
      <c r="T1303">
        <v>46800</v>
      </c>
      <c r="U1303">
        <v>49500</v>
      </c>
      <c r="V1303">
        <v>48800</v>
      </c>
      <c r="W1303">
        <v>52000</v>
      </c>
    </row>
    <row r="1304" spans="1:23">
      <c r="A1304" s="30">
        <v>45588</v>
      </c>
      <c r="B1304" s="29">
        <v>46000</v>
      </c>
      <c r="C1304" s="29">
        <v>47000</v>
      </c>
      <c r="D1304" s="29">
        <v>47200</v>
      </c>
      <c r="E1304" s="29">
        <v>42800</v>
      </c>
      <c r="F1304" s="29">
        <v>47800</v>
      </c>
      <c r="G1304" s="29" t="str">
        <v>-</v>
      </c>
      <c r="H1304" s="29">
        <v>45000</v>
      </c>
      <c r="I1304" s="29">
        <v>45100</v>
      </c>
      <c r="J1304" s="29">
        <v>47600</v>
      </c>
      <c r="K1304" s="29" t="str">
        <v>-</v>
      </c>
      <c r="L1304" s="29">
        <v>47900</v>
      </c>
      <c r="M1304" s="29">
        <v>47500</v>
      </c>
      <c r="N1304" s="29">
        <v>45700</v>
      </c>
      <c r="O1304" s="29">
        <v>43400</v>
      </c>
      <c r="P1304" s="29">
        <v>42300</v>
      </c>
      <c r="Q1304" s="29">
        <v>42700</v>
      </c>
      <c r="R1304" s="29">
        <v>43500</v>
      </c>
      <c r="S1304">
        <v>44900</v>
      </c>
      <c r="T1304">
        <v>46500</v>
      </c>
      <c r="U1304">
        <v>49500</v>
      </c>
      <c r="V1304">
        <v>48800</v>
      </c>
      <c r="W1304">
        <v>51800</v>
      </c>
    </row>
    <row r="1305" spans="1:23">
      <c r="A1305" s="30">
        <v>45589</v>
      </c>
      <c r="B1305" s="29">
        <v>45600</v>
      </c>
      <c r="C1305" s="29">
        <v>47000</v>
      </c>
      <c r="D1305" s="29">
        <v>46700</v>
      </c>
      <c r="E1305" s="29">
        <v>42700</v>
      </c>
      <c r="F1305" s="29">
        <v>47800</v>
      </c>
      <c r="G1305" s="29" t="str">
        <v>-</v>
      </c>
      <c r="H1305" s="29">
        <v>44800</v>
      </c>
      <c r="I1305" s="29">
        <v>44900</v>
      </c>
      <c r="J1305" s="29">
        <v>47500</v>
      </c>
      <c r="K1305" s="29" t="str">
        <v>-</v>
      </c>
      <c r="L1305" s="29">
        <v>47500</v>
      </c>
      <c r="M1305" s="29">
        <v>47500</v>
      </c>
      <c r="N1305" s="29">
        <v>45300</v>
      </c>
      <c r="O1305" s="29">
        <v>43400</v>
      </c>
      <c r="P1305" s="29">
        <v>42100</v>
      </c>
      <c r="Q1305" s="29">
        <v>42500</v>
      </c>
      <c r="R1305" s="29">
        <v>43000</v>
      </c>
      <c r="S1305">
        <v>44800</v>
      </c>
      <c r="T1305">
        <v>46300</v>
      </c>
      <c r="U1305">
        <v>49500</v>
      </c>
      <c r="V1305">
        <v>48500</v>
      </c>
      <c r="W1305">
        <v>51800</v>
      </c>
    </row>
    <row r="1306" spans="1:23">
      <c r="A1306" s="30">
        <v>45590</v>
      </c>
      <c r="B1306" s="29">
        <v>45600</v>
      </c>
      <c r="C1306" s="29">
        <v>47000</v>
      </c>
      <c r="D1306" s="29">
        <v>46800</v>
      </c>
      <c r="E1306" s="29">
        <v>42800</v>
      </c>
      <c r="F1306" s="29">
        <v>47600</v>
      </c>
      <c r="G1306" s="29" t="str">
        <v>-</v>
      </c>
      <c r="H1306" s="29">
        <v>44500</v>
      </c>
      <c r="I1306" s="29">
        <v>45000</v>
      </c>
      <c r="J1306" s="29">
        <v>47300</v>
      </c>
      <c r="K1306" s="29" t="str">
        <v>-</v>
      </c>
      <c r="L1306" s="29">
        <v>47500</v>
      </c>
      <c r="M1306" s="29">
        <v>47200</v>
      </c>
      <c r="N1306" s="29">
        <v>45500</v>
      </c>
      <c r="O1306" s="29">
        <v>43400</v>
      </c>
      <c r="P1306" s="29">
        <v>42600</v>
      </c>
      <c r="Q1306" s="29">
        <v>43000</v>
      </c>
      <c r="R1306" s="29">
        <v>42800</v>
      </c>
      <c r="S1306">
        <v>44900</v>
      </c>
      <c r="T1306">
        <v>46600</v>
      </c>
      <c r="U1306">
        <v>49500</v>
      </c>
      <c r="V1306">
        <v>48200</v>
      </c>
      <c r="W1306">
        <v>51500</v>
      </c>
    </row>
    <row r="1307" spans="1:23">
      <c r="A1307" s="30">
        <v>45591</v>
      </c>
      <c r="B1307" s="29">
        <v>45600</v>
      </c>
      <c r="C1307" s="29">
        <v>47000</v>
      </c>
      <c r="D1307" s="29">
        <v>46400</v>
      </c>
      <c r="E1307" s="29">
        <v>42600</v>
      </c>
      <c r="F1307" s="29">
        <v>47600</v>
      </c>
      <c r="G1307" s="29" t="str">
        <v>-</v>
      </c>
      <c r="H1307" s="29">
        <v>44500</v>
      </c>
      <c r="I1307" s="29">
        <v>44700</v>
      </c>
      <c r="J1307" s="29">
        <v>47300</v>
      </c>
      <c r="K1307" s="29" t="str">
        <v>-</v>
      </c>
      <c r="L1307" s="29">
        <v>47200</v>
      </c>
      <c r="M1307" s="29">
        <v>47200</v>
      </c>
      <c r="N1307" s="29">
        <v>45300</v>
      </c>
      <c r="O1307" s="29">
        <v>43200</v>
      </c>
      <c r="P1307" s="29">
        <v>42100</v>
      </c>
      <c r="Q1307" s="29">
        <v>42800</v>
      </c>
      <c r="R1307" s="29">
        <v>42700</v>
      </c>
      <c r="S1307">
        <v>44700</v>
      </c>
      <c r="T1307">
        <v>46500</v>
      </c>
      <c r="U1307">
        <v>49500</v>
      </c>
      <c r="V1307">
        <v>48200</v>
      </c>
      <c r="W1307">
        <v>51500</v>
      </c>
    </row>
    <row r="1308" spans="1:23">
      <c r="A1308" s="30">
        <v>45592</v>
      </c>
      <c r="B1308" s="29" t="str">
        <v>H</v>
      </c>
      <c r="C1308" s="29" t="str">
        <v>H</v>
      </c>
      <c r="D1308" s="29" t="str">
        <v>H</v>
      </c>
      <c r="E1308" s="29" t="str">
        <v>H</v>
      </c>
      <c r="F1308" s="29" t="str">
        <v>H</v>
      </c>
      <c r="G1308" s="29" t="str">
        <v>H</v>
      </c>
      <c r="H1308" s="29" t="str">
        <v>H</v>
      </c>
      <c r="I1308" s="29" t="str">
        <v>H</v>
      </c>
      <c r="J1308" s="29" t="str">
        <v>H</v>
      </c>
      <c r="K1308" s="29" t="str">
        <v>H</v>
      </c>
      <c r="L1308" s="29" t="str">
        <v>H</v>
      </c>
      <c r="M1308" s="29" t="str">
        <v>H</v>
      </c>
      <c r="N1308" s="29" t="str">
        <v>H</v>
      </c>
      <c r="O1308" s="29" t="str">
        <v>H</v>
      </c>
      <c r="P1308" s="29" t="str">
        <v>H</v>
      </c>
      <c r="Q1308" s="29" t="str">
        <v>H</v>
      </c>
      <c r="R1308" s="29" t="str">
        <v>H</v>
      </c>
      <c r="S1308" t="str">
        <v>H</v>
      </c>
      <c r="T1308" t="str">
        <v>H</v>
      </c>
      <c r="U1308" t="str">
        <v>H</v>
      </c>
      <c r="V1308" t="str">
        <v>H</v>
      </c>
      <c r="W1308" t="str">
        <v>H</v>
      </c>
    </row>
    <row r="1309" spans="1:23">
      <c r="A1309" s="30">
        <v>45593</v>
      </c>
      <c r="B1309" s="29">
        <v>45500</v>
      </c>
      <c r="C1309" s="29">
        <v>47000</v>
      </c>
      <c r="D1309" s="29">
        <v>46000</v>
      </c>
      <c r="E1309" s="29">
        <v>42200</v>
      </c>
      <c r="F1309" s="29">
        <v>47600</v>
      </c>
      <c r="G1309" s="29" t="str">
        <v>-</v>
      </c>
      <c r="H1309" s="29">
        <v>44500</v>
      </c>
      <c r="I1309" s="29">
        <v>44600</v>
      </c>
      <c r="J1309" s="29">
        <v>47300</v>
      </c>
      <c r="K1309" s="29" t="str">
        <v>-</v>
      </c>
      <c r="L1309" s="29">
        <v>46900</v>
      </c>
      <c r="M1309" s="29">
        <v>47200</v>
      </c>
      <c r="N1309" s="29">
        <v>45000</v>
      </c>
      <c r="O1309" s="29">
        <v>43000</v>
      </c>
      <c r="P1309" s="29">
        <v>42200</v>
      </c>
      <c r="Q1309" s="29">
        <v>42700</v>
      </c>
      <c r="R1309" s="29">
        <v>42500</v>
      </c>
      <c r="S1309">
        <v>44300</v>
      </c>
      <c r="T1309">
        <v>46500</v>
      </c>
      <c r="U1309">
        <v>49000</v>
      </c>
      <c r="V1309">
        <v>47800</v>
      </c>
      <c r="W1309">
        <v>50700</v>
      </c>
    </row>
    <row r="1310" spans="1:23">
      <c r="A1310" s="30">
        <v>45594</v>
      </c>
      <c r="B1310" s="29">
        <v>45500</v>
      </c>
      <c r="C1310" s="29">
        <v>47000</v>
      </c>
      <c r="D1310" s="29">
        <v>46000</v>
      </c>
      <c r="E1310" s="29">
        <v>42000</v>
      </c>
      <c r="F1310" s="29">
        <v>47600</v>
      </c>
      <c r="G1310" s="29" t="str">
        <v>-</v>
      </c>
      <c r="H1310" s="29">
        <v>44500</v>
      </c>
      <c r="I1310" s="29">
        <v>44500</v>
      </c>
      <c r="J1310" s="29">
        <v>47300</v>
      </c>
      <c r="K1310" s="29" t="str">
        <v>-</v>
      </c>
      <c r="L1310" s="29">
        <v>46700</v>
      </c>
      <c r="M1310" s="29">
        <v>47300</v>
      </c>
      <c r="N1310" s="29">
        <v>44700</v>
      </c>
      <c r="O1310" s="29">
        <v>42900</v>
      </c>
      <c r="P1310" s="29">
        <v>41800</v>
      </c>
      <c r="Q1310" s="29">
        <v>42500</v>
      </c>
      <c r="R1310" s="29">
        <v>42400</v>
      </c>
      <c r="S1310">
        <v>44100</v>
      </c>
      <c r="T1310">
        <v>45500</v>
      </c>
      <c r="U1310">
        <v>48500</v>
      </c>
      <c r="V1310">
        <v>47800</v>
      </c>
      <c r="W1310">
        <v>50700</v>
      </c>
    </row>
    <row r="1311" spans="1:23">
      <c r="A1311" s="30">
        <v>45595</v>
      </c>
      <c r="B1311" s="29">
        <v>45500</v>
      </c>
      <c r="C1311" s="29">
        <v>47000</v>
      </c>
      <c r="D1311" s="29">
        <v>45800</v>
      </c>
      <c r="E1311" s="29">
        <v>41800</v>
      </c>
      <c r="F1311" s="29">
        <v>47500</v>
      </c>
      <c r="G1311" s="29" t="str">
        <v>-</v>
      </c>
      <c r="H1311" s="29">
        <v>44500</v>
      </c>
      <c r="I1311" s="29">
        <v>44400</v>
      </c>
      <c r="J1311" s="29">
        <v>47200</v>
      </c>
      <c r="K1311" s="29" t="str">
        <v>-</v>
      </c>
      <c r="L1311" s="29">
        <v>46500</v>
      </c>
      <c r="M1311" s="29">
        <v>47300</v>
      </c>
      <c r="N1311" s="29">
        <v>44500</v>
      </c>
      <c r="O1311" s="29">
        <v>42900</v>
      </c>
      <c r="P1311" s="29">
        <v>41800</v>
      </c>
      <c r="Q1311" s="29">
        <v>42500</v>
      </c>
      <c r="R1311" s="29">
        <v>42200</v>
      </c>
      <c r="S1311">
        <v>44000</v>
      </c>
      <c r="T1311">
        <v>45500</v>
      </c>
      <c r="U1311">
        <v>48500</v>
      </c>
      <c r="V1311">
        <v>47800</v>
      </c>
      <c r="W1311">
        <v>50700</v>
      </c>
    </row>
    <row r="1312" spans="1:23">
      <c r="A1312" s="30">
        <v>45596</v>
      </c>
      <c r="B1312" s="29" t="str">
        <v>H</v>
      </c>
      <c r="C1312" s="29" t="str">
        <v>H</v>
      </c>
      <c r="D1312" s="29" t="str">
        <v>H</v>
      </c>
      <c r="E1312" s="29" t="str">
        <v>H</v>
      </c>
      <c r="F1312" s="29" t="str">
        <v>H</v>
      </c>
      <c r="G1312" s="29" t="str">
        <v>H</v>
      </c>
      <c r="H1312" s="29" t="str">
        <v>H</v>
      </c>
      <c r="I1312" s="29" t="str">
        <v>H</v>
      </c>
      <c r="J1312" s="29" t="str">
        <v>H</v>
      </c>
      <c r="K1312" s="29" t="str">
        <v>H</v>
      </c>
      <c r="L1312" s="29" t="str">
        <v>H</v>
      </c>
      <c r="M1312" s="29" t="str">
        <v>H</v>
      </c>
      <c r="N1312" s="29" t="str">
        <v>H</v>
      </c>
      <c r="O1312" s="29" t="str">
        <v>H</v>
      </c>
      <c r="P1312" s="29" t="str">
        <v>H</v>
      </c>
      <c r="Q1312" s="29" t="str">
        <v>H</v>
      </c>
      <c r="R1312" s="29" t="str">
        <v>H</v>
      </c>
      <c r="S1312" t="str">
        <v>H</v>
      </c>
      <c r="T1312" t="str">
        <v>H</v>
      </c>
      <c r="U1312" t="str">
        <v>H</v>
      </c>
      <c r="V1312" t="str">
        <v>H</v>
      </c>
      <c r="W1312" t="str">
        <v>H</v>
      </c>
    </row>
    <row r="1313" spans="1:23">
      <c r="A1313" s="30">
        <v>45597</v>
      </c>
      <c r="B1313" s="29" t="str">
        <v>H</v>
      </c>
      <c r="C1313" s="29" t="str">
        <v>H</v>
      </c>
      <c r="D1313" s="29" t="str">
        <v>H</v>
      </c>
      <c r="E1313" s="29" t="str">
        <v>H</v>
      </c>
      <c r="F1313" s="29" t="str">
        <v>H</v>
      </c>
      <c r="G1313" s="29" t="str">
        <v>H</v>
      </c>
      <c r="H1313" s="29" t="str">
        <v>H</v>
      </c>
      <c r="I1313" s="29" t="str">
        <v>H</v>
      </c>
      <c r="J1313" s="29" t="str">
        <v>H</v>
      </c>
      <c r="K1313" s="29" t="str">
        <v>H</v>
      </c>
      <c r="L1313" s="29" t="str">
        <v>H</v>
      </c>
      <c r="M1313" s="29" t="str">
        <v>H</v>
      </c>
      <c r="N1313" s="29" t="str">
        <v>H</v>
      </c>
      <c r="O1313" s="29" t="str">
        <v>H</v>
      </c>
      <c r="P1313" s="29" t="str">
        <v>H</v>
      </c>
      <c r="Q1313" s="29" t="str">
        <v>H</v>
      </c>
      <c r="R1313" s="29" t="str">
        <v>H</v>
      </c>
      <c r="S1313" t="str">
        <v>H</v>
      </c>
      <c r="T1313" t="str">
        <v>H</v>
      </c>
      <c r="U1313" t="str">
        <v>H</v>
      </c>
      <c r="V1313" t="str">
        <v>H</v>
      </c>
      <c r="W1313" t="str">
        <v>H</v>
      </c>
    </row>
    <row r="1314" spans="1:23">
      <c r="A1314" s="30">
        <v>45598</v>
      </c>
      <c r="B1314" s="29" t="str">
        <v>-</v>
      </c>
      <c r="C1314" s="29">
        <v>47000</v>
      </c>
      <c r="D1314" s="29">
        <v>45700</v>
      </c>
      <c r="E1314" s="29" t="str">
        <v>-</v>
      </c>
      <c r="F1314" s="29">
        <v>47200</v>
      </c>
      <c r="G1314" s="29" t="str">
        <v>-</v>
      </c>
      <c r="H1314" s="29">
        <v>44500</v>
      </c>
      <c r="I1314" s="29" t="str">
        <v>-</v>
      </c>
      <c r="J1314" s="29">
        <v>47200</v>
      </c>
      <c r="K1314" s="29" t="str">
        <v>-</v>
      </c>
      <c r="L1314" s="29" t="str">
        <v>-</v>
      </c>
      <c r="M1314" s="29">
        <v>47300</v>
      </c>
      <c r="N1314" s="29">
        <v>44400</v>
      </c>
      <c r="O1314" s="29">
        <v>42900</v>
      </c>
      <c r="P1314" s="29">
        <v>41800</v>
      </c>
      <c r="Q1314" s="29" t="str">
        <v>-</v>
      </c>
      <c r="R1314" s="29">
        <v>42200</v>
      </c>
      <c r="S1314" t="str">
        <v>-</v>
      </c>
      <c r="T1314" t="str">
        <v>-</v>
      </c>
      <c r="U1314">
        <v>48500</v>
      </c>
      <c r="V1314">
        <v>47800</v>
      </c>
      <c r="W1314">
        <v>50700</v>
      </c>
    </row>
    <row r="1315" spans="1:23">
      <c r="A1315" s="30">
        <v>45599</v>
      </c>
      <c r="B1315" s="29" t="str">
        <v>H</v>
      </c>
      <c r="C1315" s="29" t="str">
        <v>H</v>
      </c>
      <c r="D1315" s="29" t="str">
        <v>H</v>
      </c>
      <c r="E1315" s="29" t="str">
        <v>H</v>
      </c>
      <c r="F1315" s="29" t="str">
        <v>H</v>
      </c>
      <c r="G1315" s="29" t="str">
        <v>H</v>
      </c>
      <c r="H1315" s="29" t="str">
        <v>H</v>
      </c>
      <c r="I1315" s="29" t="str">
        <v>H</v>
      </c>
      <c r="J1315" s="29" t="str">
        <v>H</v>
      </c>
      <c r="K1315" s="29" t="str">
        <v>H</v>
      </c>
      <c r="L1315" s="29" t="str">
        <v>H</v>
      </c>
      <c r="M1315" s="29" t="str">
        <v>H</v>
      </c>
      <c r="N1315" s="29" t="str">
        <v>H</v>
      </c>
      <c r="O1315" s="29" t="str">
        <v>H</v>
      </c>
      <c r="P1315" s="29" t="str">
        <v>H</v>
      </c>
      <c r="Q1315" s="29" t="str">
        <v>H</v>
      </c>
      <c r="R1315" s="29" t="str">
        <v>H</v>
      </c>
      <c r="S1315" t="str">
        <v>H</v>
      </c>
      <c r="T1315" t="str">
        <v>H</v>
      </c>
      <c r="U1315" t="str">
        <v>H</v>
      </c>
      <c r="V1315" t="str">
        <v>H</v>
      </c>
      <c r="W1315" t="str">
        <v>H</v>
      </c>
    </row>
    <row r="1316" spans="1:23">
      <c r="A1316" s="30">
        <v>45600</v>
      </c>
      <c r="B1316" s="29">
        <v>45500</v>
      </c>
      <c r="C1316" s="29">
        <v>47000</v>
      </c>
      <c r="D1316" s="29">
        <v>45500</v>
      </c>
      <c r="E1316" s="29">
        <v>41400</v>
      </c>
      <c r="F1316" s="29">
        <v>47200</v>
      </c>
      <c r="G1316" s="29" t="str">
        <v>-</v>
      </c>
      <c r="H1316" s="29">
        <v>44500</v>
      </c>
      <c r="I1316" s="29">
        <v>44300</v>
      </c>
      <c r="J1316" s="29">
        <v>46800</v>
      </c>
      <c r="K1316" s="29" t="str">
        <v>-</v>
      </c>
      <c r="L1316" s="29">
        <v>46300</v>
      </c>
      <c r="M1316" s="29">
        <v>47100</v>
      </c>
      <c r="N1316" s="29">
        <v>44400</v>
      </c>
      <c r="O1316" s="29">
        <v>42700</v>
      </c>
      <c r="P1316" s="29">
        <v>41500</v>
      </c>
      <c r="Q1316" s="29">
        <v>42300</v>
      </c>
      <c r="R1316" s="29">
        <v>41700</v>
      </c>
      <c r="S1316">
        <v>43500</v>
      </c>
      <c r="T1316">
        <v>45700</v>
      </c>
      <c r="U1316">
        <v>48500</v>
      </c>
      <c r="V1316">
        <v>47300</v>
      </c>
      <c r="W1316">
        <v>50700</v>
      </c>
    </row>
    <row r="1317" spans="1:23">
      <c r="A1317" s="30">
        <v>45601</v>
      </c>
      <c r="B1317" s="29">
        <v>45500</v>
      </c>
      <c r="C1317" s="29">
        <v>47000</v>
      </c>
      <c r="D1317" s="29">
        <v>45700</v>
      </c>
      <c r="E1317" s="29">
        <v>42000</v>
      </c>
      <c r="F1317" s="29">
        <v>47200</v>
      </c>
      <c r="G1317" s="29" t="str">
        <v>-</v>
      </c>
      <c r="H1317" s="29">
        <v>44500</v>
      </c>
      <c r="I1317" s="29">
        <v>44300</v>
      </c>
      <c r="J1317" s="29">
        <v>46900</v>
      </c>
      <c r="K1317" s="29" t="str">
        <v>-</v>
      </c>
      <c r="L1317" s="29">
        <v>46300</v>
      </c>
      <c r="M1317" s="29">
        <v>47200</v>
      </c>
      <c r="N1317" s="29">
        <v>44800</v>
      </c>
      <c r="O1317" s="29">
        <v>42700</v>
      </c>
      <c r="P1317" s="29">
        <v>41900</v>
      </c>
      <c r="Q1317" s="29">
        <v>42600</v>
      </c>
      <c r="R1317" s="29">
        <v>41800</v>
      </c>
      <c r="S1317">
        <v>44100</v>
      </c>
      <c r="T1317">
        <v>46000</v>
      </c>
      <c r="U1317">
        <v>48500</v>
      </c>
      <c r="V1317">
        <v>47500</v>
      </c>
      <c r="W1317">
        <v>50900</v>
      </c>
    </row>
    <row r="1318" spans="1:23">
      <c r="A1318" s="30">
        <v>45602</v>
      </c>
      <c r="B1318" s="29">
        <v>46000</v>
      </c>
      <c r="C1318" s="29">
        <v>47000</v>
      </c>
      <c r="D1318" s="29">
        <v>46000</v>
      </c>
      <c r="E1318" s="29">
        <v>42100</v>
      </c>
      <c r="F1318" s="29">
        <v>47400</v>
      </c>
      <c r="G1318" s="29" t="str">
        <v>-</v>
      </c>
      <c r="H1318" s="29">
        <v>45000</v>
      </c>
      <c r="I1318" s="29">
        <v>44600</v>
      </c>
      <c r="J1318" s="29">
        <v>47100</v>
      </c>
      <c r="K1318" s="29" t="str">
        <v>-</v>
      </c>
      <c r="L1318" s="29">
        <v>46600</v>
      </c>
      <c r="M1318" s="29">
        <v>47300</v>
      </c>
      <c r="N1318" s="29">
        <v>45300</v>
      </c>
      <c r="O1318" s="29">
        <v>42700</v>
      </c>
      <c r="P1318" s="29">
        <v>42500</v>
      </c>
      <c r="Q1318" s="29">
        <v>43100</v>
      </c>
      <c r="R1318" s="29">
        <v>41800</v>
      </c>
      <c r="S1318">
        <v>44200</v>
      </c>
      <c r="T1318">
        <v>46300</v>
      </c>
      <c r="U1318">
        <v>48500</v>
      </c>
      <c r="V1318">
        <v>47700</v>
      </c>
      <c r="W1318">
        <v>50900</v>
      </c>
    </row>
    <row r="1319" spans="1:23">
      <c r="A1319" s="30">
        <v>45603</v>
      </c>
      <c r="B1319" s="29">
        <v>46200</v>
      </c>
      <c r="C1319" s="29">
        <v>47200</v>
      </c>
      <c r="D1319" s="29">
        <v>46200</v>
      </c>
      <c r="E1319" s="29">
        <v>42400</v>
      </c>
      <c r="F1319" s="29">
        <v>47400</v>
      </c>
      <c r="G1319" s="29" t="str">
        <v>-</v>
      </c>
      <c r="H1319" s="29">
        <v>45000</v>
      </c>
      <c r="I1319" s="29">
        <v>44800</v>
      </c>
      <c r="J1319" s="29">
        <v>47100</v>
      </c>
      <c r="K1319" s="29" t="str">
        <v>-</v>
      </c>
      <c r="L1319" s="29">
        <v>46900</v>
      </c>
      <c r="M1319" s="29">
        <v>47300</v>
      </c>
      <c r="N1319" s="29">
        <v>45500</v>
      </c>
      <c r="O1319" s="29" t="str">
        <v>-</v>
      </c>
      <c r="P1319" s="29">
        <v>42400</v>
      </c>
      <c r="Q1319" s="29">
        <v>43100</v>
      </c>
      <c r="R1319" s="29">
        <v>42300</v>
      </c>
      <c r="S1319">
        <v>44500</v>
      </c>
      <c r="T1319">
        <v>46300</v>
      </c>
      <c r="U1319">
        <v>48500</v>
      </c>
      <c r="V1319">
        <v>47700</v>
      </c>
      <c r="W1319">
        <v>50900</v>
      </c>
    </row>
    <row r="1320" spans="1:23">
      <c r="A1320" s="30">
        <v>45604</v>
      </c>
      <c r="B1320" s="29">
        <v>46500</v>
      </c>
      <c r="C1320" s="29">
        <v>47500</v>
      </c>
      <c r="D1320" s="29">
        <v>46900</v>
      </c>
      <c r="E1320" s="29">
        <v>42800</v>
      </c>
      <c r="F1320" s="29">
        <v>48000</v>
      </c>
      <c r="G1320" s="29" t="str">
        <v>-</v>
      </c>
      <c r="H1320" s="29">
        <v>45500</v>
      </c>
      <c r="I1320" s="29">
        <v>45700</v>
      </c>
      <c r="J1320" s="29">
        <v>47700</v>
      </c>
      <c r="K1320" s="29" t="str">
        <v>-</v>
      </c>
      <c r="L1320" s="29">
        <v>47500</v>
      </c>
      <c r="M1320" s="29">
        <v>47600</v>
      </c>
      <c r="N1320" s="29">
        <v>45900</v>
      </c>
      <c r="O1320" s="29" t="str">
        <v>-</v>
      </c>
      <c r="P1320" s="29">
        <v>43000</v>
      </c>
      <c r="Q1320" s="29">
        <v>44000</v>
      </c>
      <c r="R1320" s="29">
        <v>42700</v>
      </c>
      <c r="S1320">
        <v>44900</v>
      </c>
      <c r="T1320">
        <v>47000</v>
      </c>
      <c r="U1320">
        <v>48500</v>
      </c>
      <c r="V1320">
        <v>48000</v>
      </c>
      <c r="W1320">
        <v>50900</v>
      </c>
    </row>
    <row r="1321" spans="1:23">
      <c r="A1321" s="30">
        <v>45605</v>
      </c>
      <c r="B1321" s="29">
        <v>46500</v>
      </c>
      <c r="C1321" s="29">
        <v>47500</v>
      </c>
      <c r="D1321" s="29">
        <v>46900</v>
      </c>
      <c r="E1321" s="29">
        <v>43000</v>
      </c>
      <c r="F1321" s="29">
        <v>48000</v>
      </c>
      <c r="G1321" s="29" t="str">
        <v>-</v>
      </c>
      <c r="H1321" s="29">
        <v>45500</v>
      </c>
      <c r="I1321" s="29">
        <v>45500</v>
      </c>
      <c r="J1321" s="29">
        <v>47700</v>
      </c>
      <c r="K1321" s="29" t="str">
        <v>-</v>
      </c>
      <c r="L1321" s="29">
        <v>47500</v>
      </c>
      <c r="M1321" s="29">
        <v>48200</v>
      </c>
      <c r="N1321" s="29">
        <v>45800</v>
      </c>
      <c r="O1321" s="29">
        <v>43200</v>
      </c>
      <c r="P1321" s="29">
        <v>43000</v>
      </c>
      <c r="Q1321" s="29">
        <v>43800</v>
      </c>
      <c r="R1321" s="29">
        <v>42600</v>
      </c>
      <c r="S1321">
        <v>45100</v>
      </c>
      <c r="T1321">
        <v>47000</v>
      </c>
      <c r="U1321">
        <v>48500</v>
      </c>
      <c r="V1321">
        <v>48200</v>
      </c>
      <c r="W1321">
        <v>50900</v>
      </c>
    </row>
    <row r="1322" spans="1:23">
      <c r="A1322" s="30">
        <v>45606</v>
      </c>
      <c r="B1322" s="29" t="str">
        <v>H</v>
      </c>
      <c r="C1322" s="29" t="str">
        <v>H</v>
      </c>
      <c r="D1322" s="29" t="str">
        <v>H</v>
      </c>
      <c r="E1322" s="29" t="str">
        <v>H</v>
      </c>
      <c r="F1322" s="29" t="str">
        <v>H</v>
      </c>
      <c r="G1322" s="29" t="str">
        <v>H</v>
      </c>
      <c r="H1322" s="29" t="str">
        <v>H</v>
      </c>
      <c r="I1322" s="29" t="str">
        <v>H</v>
      </c>
      <c r="J1322" s="29" t="str">
        <v>H</v>
      </c>
      <c r="K1322" s="29" t="str">
        <v>H</v>
      </c>
      <c r="L1322" s="29" t="str">
        <v>H</v>
      </c>
      <c r="M1322" s="29" t="str">
        <v>H</v>
      </c>
      <c r="N1322" s="29" t="str">
        <v>H</v>
      </c>
      <c r="O1322" s="29" t="str">
        <v>H</v>
      </c>
      <c r="P1322" s="29" t="str">
        <v>H</v>
      </c>
      <c r="Q1322" s="29" t="str">
        <v>H</v>
      </c>
      <c r="R1322" s="29" t="str">
        <v>H</v>
      </c>
      <c r="S1322" t="str">
        <v>H</v>
      </c>
      <c r="T1322" t="str">
        <v>H</v>
      </c>
      <c r="U1322" t="str">
        <v>H</v>
      </c>
      <c r="V1322" t="str">
        <v>H</v>
      </c>
      <c r="W1322" t="str">
        <v>H</v>
      </c>
    </row>
    <row r="1323" spans="1:23">
      <c r="A1323" s="30">
        <v>45607</v>
      </c>
      <c r="B1323" s="29">
        <v>46700</v>
      </c>
      <c r="C1323" s="29">
        <v>47500</v>
      </c>
      <c r="D1323" s="29">
        <v>47400</v>
      </c>
      <c r="E1323" s="29">
        <v>43200</v>
      </c>
      <c r="F1323" s="29">
        <v>48000</v>
      </c>
      <c r="G1323" s="29" t="str">
        <v>-</v>
      </c>
      <c r="H1323" s="29">
        <v>45500</v>
      </c>
      <c r="I1323" s="29">
        <v>45600</v>
      </c>
      <c r="J1323" s="29">
        <v>47400</v>
      </c>
      <c r="K1323" s="29" t="str">
        <v>-</v>
      </c>
      <c r="L1323" s="29">
        <v>47600</v>
      </c>
      <c r="M1323" s="29">
        <v>48000</v>
      </c>
      <c r="N1323" s="29">
        <v>46000</v>
      </c>
      <c r="O1323" s="29">
        <v>42500</v>
      </c>
      <c r="P1323" s="29">
        <v>43000</v>
      </c>
      <c r="Q1323" s="29">
        <v>43800</v>
      </c>
      <c r="R1323" s="29">
        <v>43000</v>
      </c>
      <c r="S1323">
        <v>45300</v>
      </c>
      <c r="T1323">
        <v>47000</v>
      </c>
      <c r="U1323">
        <v>48500</v>
      </c>
      <c r="V1323">
        <v>48200</v>
      </c>
      <c r="W1323">
        <v>50900</v>
      </c>
    </row>
    <row r="1324" spans="1:23">
      <c r="A1324" s="30">
        <v>45608</v>
      </c>
      <c r="B1324" s="29">
        <v>46500</v>
      </c>
      <c r="C1324" s="29">
        <v>47500</v>
      </c>
      <c r="D1324" s="29">
        <v>47200</v>
      </c>
      <c r="E1324" s="29">
        <v>43000</v>
      </c>
      <c r="F1324" s="29">
        <v>47900</v>
      </c>
      <c r="G1324" s="29" t="str">
        <v>-</v>
      </c>
      <c r="H1324" s="29">
        <v>45500</v>
      </c>
      <c r="I1324" s="29">
        <v>45600</v>
      </c>
      <c r="J1324" s="29">
        <v>47300</v>
      </c>
      <c r="K1324" s="29" t="str">
        <v>-</v>
      </c>
      <c r="L1324" s="29">
        <v>47600</v>
      </c>
      <c r="M1324" s="29">
        <v>48000</v>
      </c>
      <c r="N1324" s="29">
        <v>45900</v>
      </c>
      <c r="O1324" s="29">
        <v>42500</v>
      </c>
      <c r="P1324" s="29">
        <v>42800</v>
      </c>
      <c r="Q1324" s="29">
        <v>43600</v>
      </c>
      <c r="R1324" s="29">
        <v>43000</v>
      </c>
      <c r="S1324">
        <v>45300</v>
      </c>
      <c r="T1324">
        <v>47000</v>
      </c>
      <c r="U1324">
        <v>48500</v>
      </c>
      <c r="V1324">
        <v>48200</v>
      </c>
      <c r="W1324">
        <v>50900</v>
      </c>
    </row>
    <row r="1325" spans="1:23">
      <c r="A1325" s="30">
        <v>45609</v>
      </c>
      <c r="B1325" s="29">
        <v>46500</v>
      </c>
      <c r="C1325" s="29">
        <v>47300</v>
      </c>
      <c r="D1325" s="29">
        <v>47000</v>
      </c>
      <c r="E1325" s="29">
        <v>42500</v>
      </c>
      <c r="F1325" s="29">
        <v>47900</v>
      </c>
      <c r="G1325" s="29" t="str">
        <v>-</v>
      </c>
      <c r="H1325" s="29">
        <v>45500</v>
      </c>
      <c r="I1325" s="29">
        <v>45300</v>
      </c>
      <c r="J1325" s="29">
        <v>47100</v>
      </c>
      <c r="K1325" s="29" t="str">
        <v>-</v>
      </c>
      <c r="L1325" s="29">
        <v>47500</v>
      </c>
      <c r="M1325" s="29">
        <v>47900</v>
      </c>
      <c r="N1325" s="29">
        <v>45400</v>
      </c>
      <c r="O1325" s="29">
        <v>42000</v>
      </c>
      <c r="P1325" s="29">
        <v>42300</v>
      </c>
      <c r="Q1325" s="29">
        <v>43300</v>
      </c>
      <c r="R1325" s="29">
        <v>42600</v>
      </c>
      <c r="S1325">
        <v>45100</v>
      </c>
      <c r="T1325">
        <v>46700</v>
      </c>
      <c r="U1325">
        <v>48500</v>
      </c>
      <c r="V1325">
        <v>48000</v>
      </c>
      <c r="W1325">
        <v>50900</v>
      </c>
    </row>
    <row r="1326" spans="1:23">
      <c r="A1326" s="30">
        <v>45610</v>
      </c>
      <c r="B1326" s="29">
        <v>46300</v>
      </c>
      <c r="C1326" s="29">
        <v>47000</v>
      </c>
      <c r="D1326" s="29">
        <v>46700</v>
      </c>
      <c r="E1326" s="29">
        <v>42200</v>
      </c>
      <c r="F1326" s="29">
        <v>47700</v>
      </c>
      <c r="G1326" s="29" t="str">
        <v>-</v>
      </c>
      <c r="H1326" s="29">
        <v>45000</v>
      </c>
      <c r="I1326" s="29">
        <v>44900</v>
      </c>
      <c r="J1326" s="29">
        <v>46900</v>
      </c>
      <c r="K1326" s="29" t="str">
        <v>-</v>
      </c>
      <c r="L1326" s="29">
        <v>47200</v>
      </c>
      <c r="M1326" s="29">
        <v>47800</v>
      </c>
      <c r="N1326" s="29">
        <v>45200</v>
      </c>
      <c r="O1326" s="29">
        <v>41600</v>
      </c>
      <c r="P1326" s="29">
        <v>42000</v>
      </c>
      <c r="Q1326" s="29">
        <v>42800</v>
      </c>
      <c r="R1326" s="29">
        <v>42600</v>
      </c>
      <c r="S1326">
        <v>44800</v>
      </c>
      <c r="T1326">
        <v>46500</v>
      </c>
      <c r="U1326">
        <v>48500</v>
      </c>
      <c r="V1326">
        <v>47700</v>
      </c>
      <c r="W1326">
        <v>50900</v>
      </c>
    </row>
    <row r="1327" spans="1:23">
      <c r="A1327" s="30">
        <v>45611</v>
      </c>
      <c r="B1327" s="29">
        <v>46000</v>
      </c>
      <c r="C1327" s="29">
        <v>47000</v>
      </c>
      <c r="D1327" s="29">
        <v>46300</v>
      </c>
      <c r="E1327" s="29">
        <v>41700</v>
      </c>
      <c r="F1327" s="29">
        <v>47700</v>
      </c>
      <c r="G1327" s="29" t="str">
        <v>-</v>
      </c>
      <c r="H1327" s="29" t="str">
        <v>-</v>
      </c>
      <c r="I1327" s="29">
        <v>44600</v>
      </c>
      <c r="J1327" s="29">
        <v>46800</v>
      </c>
      <c r="K1327" s="29" t="str">
        <v>-</v>
      </c>
      <c r="L1327" s="29">
        <v>47000</v>
      </c>
      <c r="M1327" s="29">
        <v>47800</v>
      </c>
      <c r="N1327" s="29">
        <v>44800</v>
      </c>
      <c r="O1327" s="29">
        <v>41600</v>
      </c>
      <c r="P1327" s="29">
        <v>41500</v>
      </c>
      <c r="Q1327" s="29">
        <v>42500</v>
      </c>
      <c r="R1327" s="29">
        <v>42200</v>
      </c>
      <c r="S1327">
        <v>44300</v>
      </c>
      <c r="T1327">
        <v>46200</v>
      </c>
      <c r="U1327">
        <v>48500</v>
      </c>
      <c r="V1327">
        <v>47700</v>
      </c>
      <c r="W1327">
        <v>50800</v>
      </c>
    </row>
    <row r="1328" spans="1:23">
      <c r="A1328" s="30">
        <v>45612</v>
      </c>
      <c r="B1328" s="29">
        <v>46000</v>
      </c>
      <c r="C1328" s="29">
        <v>46500</v>
      </c>
      <c r="D1328" s="29">
        <v>46000</v>
      </c>
      <c r="E1328" s="29">
        <v>41500</v>
      </c>
      <c r="F1328" s="29">
        <v>47300</v>
      </c>
      <c r="G1328" s="29" t="str">
        <v>-</v>
      </c>
      <c r="H1328" s="29">
        <v>45000</v>
      </c>
      <c r="I1328" s="29">
        <v>44400</v>
      </c>
      <c r="J1328" s="29">
        <v>46500</v>
      </c>
      <c r="K1328" s="29" t="str">
        <v>-</v>
      </c>
      <c r="L1328" s="29">
        <v>46700</v>
      </c>
      <c r="M1328" s="29">
        <v>47500</v>
      </c>
      <c r="N1328" s="29">
        <v>44500</v>
      </c>
      <c r="O1328" s="29">
        <v>41600</v>
      </c>
      <c r="P1328" s="29">
        <v>41500</v>
      </c>
      <c r="Q1328" s="29">
        <v>42300</v>
      </c>
      <c r="R1328" s="29">
        <v>42200</v>
      </c>
      <c r="S1328">
        <v>43600</v>
      </c>
      <c r="T1328">
        <v>46000</v>
      </c>
      <c r="U1328">
        <v>48500</v>
      </c>
      <c r="V1328">
        <v>47500</v>
      </c>
      <c r="W1328">
        <v>50700</v>
      </c>
    </row>
    <row r="1329" spans="1:23">
      <c r="A1329" s="30">
        <v>45613</v>
      </c>
      <c r="B1329" s="29" t="str">
        <v>H</v>
      </c>
      <c r="C1329" s="29" t="str">
        <v>H</v>
      </c>
      <c r="D1329" s="29" t="str">
        <v>H</v>
      </c>
      <c r="E1329" s="29" t="str">
        <v>H</v>
      </c>
      <c r="F1329" s="29" t="str">
        <v>H</v>
      </c>
      <c r="G1329" s="29" t="str">
        <v>H</v>
      </c>
      <c r="H1329" s="29" t="str">
        <v>H</v>
      </c>
      <c r="I1329" s="29" t="str">
        <v>H</v>
      </c>
      <c r="J1329" s="29" t="str">
        <v>H</v>
      </c>
      <c r="K1329" s="29" t="str">
        <v>H</v>
      </c>
      <c r="L1329" s="29" t="str">
        <v>H</v>
      </c>
      <c r="M1329" s="29" t="str">
        <v>H</v>
      </c>
      <c r="N1329" s="29" t="str">
        <v>H</v>
      </c>
      <c r="O1329" s="29" t="str">
        <v>H</v>
      </c>
      <c r="P1329" s="29" t="str">
        <v>H</v>
      </c>
      <c r="Q1329" s="29" t="str">
        <v>H</v>
      </c>
      <c r="R1329" s="29" t="str">
        <v>H</v>
      </c>
      <c r="S1329" t="str">
        <v>H</v>
      </c>
      <c r="T1329" t="str">
        <v>H</v>
      </c>
      <c r="U1329" t="str">
        <v>H</v>
      </c>
      <c r="V1329" t="str">
        <v>H</v>
      </c>
      <c r="W1329" t="str">
        <v>H</v>
      </c>
    </row>
    <row r="1330" spans="1:23">
      <c r="A1330" s="30">
        <v>45614</v>
      </c>
      <c r="B1330" s="29">
        <v>45900</v>
      </c>
      <c r="C1330" s="29">
        <v>46500</v>
      </c>
      <c r="D1330" s="29">
        <v>45800</v>
      </c>
      <c r="E1330" s="29">
        <v>41300</v>
      </c>
      <c r="F1330" s="29">
        <v>47300</v>
      </c>
      <c r="G1330" s="29" t="str">
        <v>-</v>
      </c>
      <c r="H1330" s="29">
        <v>44500</v>
      </c>
      <c r="I1330" s="29">
        <v>44600</v>
      </c>
      <c r="J1330" s="29">
        <v>46100</v>
      </c>
      <c r="K1330" s="29" t="str">
        <v>-</v>
      </c>
      <c r="L1330" s="29">
        <v>46700</v>
      </c>
      <c r="M1330" s="29">
        <v>47500</v>
      </c>
      <c r="N1330" s="29">
        <v>44300</v>
      </c>
      <c r="O1330" s="29">
        <v>41200</v>
      </c>
      <c r="P1330" s="29">
        <v>41500</v>
      </c>
      <c r="Q1330" s="29">
        <v>42300</v>
      </c>
      <c r="R1330" s="29">
        <v>42000</v>
      </c>
      <c r="S1330">
        <v>43400</v>
      </c>
      <c r="T1330">
        <v>46000</v>
      </c>
      <c r="U1330">
        <v>48500</v>
      </c>
      <c r="V1330">
        <v>47200</v>
      </c>
      <c r="W1330">
        <v>50200</v>
      </c>
    </row>
    <row r="1331" spans="1:23">
      <c r="A1331" s="30">
        <v>45615</v>
      </c>
      <c r="B1331" s="29">
        <v>45800</v>
      </c>
      <c r="C1331" s="29">
        <v>46500</v>
      </c>
      <c r="D1331" s="29">
        <v>45500</v>
      </c>
      <c r="E1331" s="29">
        <v>41100</v>
      </c>
      <c r="F1331" s="29">
        <v>47200</v>
      </c>
      <c r="G1331" s="29" t="str">
        <v>-</v>
      </c>
      <c r="H1331" s="29">
        <v>44500</v>
      </c>
      <c r="I1331" s="29">
        <v>44500</v>
      </c>
      <c r="J1331" s="29">
        <v>46100</v>
      </c>
      <c r="K1331" s="29" t="str">
        <v>-</v>
      </c>
      <c r="L1331" s="29">
        <v>46500</v>
      </c>
      <c r="M1331" s="29">
        <v>47500</v>
      </c>
      <c r="N1331" s="29">
        <v>44000</v>
      </c>
      <c r="O1331" s="29">
        <v>41000</v>
      </c>
      <c r="P1331" s="29">
        <v>41500</v>
      </c>
      <c r="Q1331" s="29">
        <v>42200</v>
      </c>
      <c r="R1331" s="29">
        <v>42000</v>
      </c>
      <c r="S1331">
        <v>43200</v>
      </c>
      <c r="T1331">
        <v>45800</v>
      </c>
      <c r="U1331">
        <v>48000</v>
      </c>
      <c r="V1331">
        <v>47200</v>
      </c>
      <c r="W1331">
        <v>50200</v>
      </c>
    </row>
    <row r="1332" spans="1:23">
      <c r="A1332" s="30">
        <v>45616</v>
      </c>
      <c r="B1332" s="29">
        <v>45800</v>
      </c>
      <c r="C1332" s="29">
        <v>46300</v>
      </c>
      <c r="D1332" s="29">
        <v>45300</v>
      </c>
      <c r="E1332" s="29">
        <v>41100</v>
      </c>
      <c r="F1332" s="29">
        <v>47000</v>
      </c>
      <c r="G1332" s="29" t="str">
        <v>-</v>
      </c>
      <c r="H1332" s="29">
        <v>44500</v>
      </c>
      <c r="I1332" s="29">
        <v>44400</v>
      </c>
      <c r="J1332" s="29">
        <v>46100</v>
      </c>
      <c r="K1332" s="29" t="str">
        <v>-</v>
      </c>
      <c r="L1332" s="29">
        <v>46500</v>
      </c>
      <c r="M1332" s="29" t="str">
        <v>-</v>
      </c>
      <c r="N1332" s="29">
        <v>43900</v>
      </c>
      <c r="O1332" s="29">
        <v>41000</v>
      </c>
      <c r="P1332" s="29">
        <v>41500</v>
      </c>
      <c r="Q1332" s="29">
        <v>42200</v>
      </c>
      <c r="R1332" s="29">
        <v>42000</v>
      </c>
      <c r="S1332">
        <v>43600</v>
      </c>
      <c r="T1332">
        <v>45500</v>
      </c>
      <c r="U1332">
        <v>48000</v>
      </c>
      <c r="V1332">
        <v>47000</v>
      </c>
      <c r="W1332">
        <v>50200</v>
      </c>
    </row>
    <row r="1333" spans="1:23">
      <c r="A1333" s="30">
        <v>45617</v>
      </c>
      <c r="B1333" s="29">
        <v>46000</v>
      </c>
      <c r="C1333" s="29">
        <v>46300</v>
      </c>
      <c r="D1333" s="29">
        <v>45400</v>
      </c>
      <c r="E1333" s="29">
        <v>41400</v>
      </c>
      <c r="F1333" s="29">
        <v>47100</v>
      </c>
      <c r="G1333" s="29" t="str">
        <v>-</v>
      </c>
      <c r="H1333" s="29">
        <v>44000</v>
      </c>
      <c r="I1333" s="29">
        <v>44700</v>
      </c>
      <c r="J1333" s="29">
        <v>47000</v>
      </c>
      <c r="K1333" s="29" t="str">
        <v>-</v>
      </c>
      <c r="L1333" s="29">
        <v>46700</v>
      </c>
      <c r="M1333" s="29">
        <v>47700</v>
      </c>
      <c r="N1333" s="29">
        <v>44100</v>
      </c>
      <c r="O1333" s="29">
        <v>40800</v>
      </c>
      <c r="P1333" s="29">
        <v>41700</v>
      </c>
      <c r="Q1333" s="29">
        <v>42500</v>
      </c>
      <c r="R1333" s="29">
        <v>41700</v>
      </c>
      <c r="S1333">
        <v>43500</v>
      </c>
      <c r="T1333">
        <v>45600</v>
      </c>
      <c r="U1333">
        <v>47500</v>
      </c>
      <c r="V1333">
        <v>46900</v>
      </c>
      <c r="W1333">
        <v>50200</v>
      </c>
    </row>
    <row r="1334" spans="1:23">
      <c r="A1334" s="30">
        <v>45618</v>
      </c>
      <c r="B1334" s="29">
        <v>46000</v>
      </c>
      <c r="C1334" s="29">
        <v>46300</v>
      </c>
      <c r="D1334" s="29">
        <v>45500</v>
      </c>
      <c r="E1334" s="29">
        <v>41400</v>
      </c>
      <c r="F1334" s="29">
        <v>47400</v>
      </c>
      <c r="G1334" s="29" t="str">
        <v>-</v>
      </c>
      <c r="H1334" s="29">
        <v>44500</v>
      </c>
      <c r="I1334" s="29">
        <v>44700</v>
      </c>
      <c r="J1334" s="29">
        <v>47000</v>
      </c>
      <c r="K1334" s="29" t="str">
        <v>-</v>
      </c>
      <c r="L1334" s="29">
        <v>46700</v>
      </c>
      <c r="M1334" s="29">
        <v>47700</v>
      </c>
      <c r="N1334" s="29">
        <v>44400</v>
      </c>
      <c r="O1334" s="29">
        <v>41200</v>
      </c>
      <c r="P1334" s="29">
        <v>41800</v>
      </c>
      <c r="Q1334" s="29">
        <v>42500</v>
      </c>
      <c r="R1334" s="29">
        <v>42000</v>
      </c>
      <c r="S1334">
        <v>43500</v>
      </c>
      <c r="T1334">
        <v>45600</v>
      </c>
      <c r="U1334">
        <v>47000</v>
      </c>
      <c r="V1334">
        <v>46900</v>
      </c>
      <c r="W1334">
        <v>50200</v>
      </c>
    </row>
    <row r="1335" spans="1:23">
      <c r="A1335" s="30">
        <v>45619</v>
      </c>
      <c r="B1335" s="29">
        <v>46000</v>
      </c>
      <c r="C1335" s="29">
        <v>46300</v>
      </c>
      <c r="D1335" s="29">
        <v>45500</v>
      </c>
      <c r="E1335" s="29">
        <v>41200</v>
      </c>
      <c r="F1335" s="29">
        <v>47400</v>
      </c>
      <c r="G1335" s="29" t="str">
        <v>-</v>
      </c>
      <c r="H1335" s="29">
        <v>44500</v>
      </c>
      <c r="I1335" s="29">
        <v>44700</v>
      </c>
      <c r="J1335" s="29">
        <v>47000</v>
      </c>
      <c r="K1335" s="29" t="str">
        <v>-</v>
      </c>
      <c r="L1335" s="29">
        <v>46600</v>
      </c>
      <c r="M1335" s="29">
        <v>47700</v>
      </c>
      <c r="N1335" s="29">
        <v>44000</v>
      </c>
      <c r="O1335" s="29">
        <v>41000</v>
      </c>
      <c r="P1335" s="29">
        <v>41800</v>
      </c>
      <c r="Q1335" s="29">
        <v>42400</v>
      </c>
      <c r="R1335" s="29">
        <v>41800</v>
      </c>
      <c r="S1335">
        <v>43300</v>
      </c>
      <c r="T1335">
        <v>45600</v>
      </c>
      <c r="U1335">
        <v>46500</v>
      </c>
      <c r="V1335">
        <v>47000</v>
      </c>
      <c r="W1335">
        <v>50200</v>
      </c>
    </row>
    <row r="1336" spans="1:23">
      <c r="A1336" s="30">
        <v>45620</v>
      </c>
      <c r="B1336" s="29" t="str">
        <v>H</v>
      </c>
      <c r="C1336" s="29" t="str">
        <v>H</v>
      </c>
      <c r="D1336" s="29" t="str">
        <v>H</v>
      </c>
      <c r="E1336" s="29" t="str">
        <v>H</v>
      </c>
      <c r="F1336" s="29" t="str">
        <v>H</v>
      </c>
      <c r="G1336" s="29" t="str">
        <v>H</v>
      </c>
      <c r="H1336" s="29" t="str">
        <v>H</v>
      </c>
      <c r="I1336" s="29" t="str">
        <v>H</v>
      </c>
      <c r="J1336" s="29" t="str">
        <v>H</v>
      </c>
      <c r="K1336" s="29" t="str">
        <v>H</v>
      </c>
      <c r="L1336" s="29" t="str">
        <v>H</v>
      </c>
      <c r="M1336" s="29" t="str">
        <v>H</v>
      </c>
      <c r="N1336" s="29" t="str">
        <v>H</v>
      </c>
      <c r="O1336" s="29" t="str">
        <v>H</v>
      </c>
      <c r="P1336" s="29" t="str">
        <v>H</v>
      </c>
      <c r="Q1336" s="29" t="str">
        <v>H</v>
      </c>
      <c r="R1336" s="29" t="str">
        <v>H</v>
      </c>
      <c r="S1336" t="str">
        <v>H</v>
      </c>
      <c r="T1336" t="str">
        <v>H</v>
      </c>
      <c r="U1336" t="str">
        <v>H</v>
      </c>
      <c r="V1336" t="str">
        <v>H</v>
      </c>
      <c r="W1336" t="str">
        <v>H</v>
      </c>
    </row>
    <row r="1337" spans="1:23">
      <c r="A1337" s="30">
        <v>45621</v>
      </c>
      <c r="B1337" s="29">
        <v>46000</v>
      </c>
      <c r="C1337" s="29">
        <v>46300</v>
      </c>
      <c r="D1337" s="29">
        <v>45000</v>
      </c>
      <c r="E1337" s="29">
        <v>41000</v>
      </c>
      <c r="F1337" s="29">
        <v>47400</v>
      </c>
      <c r="G1337" s="29" t="str">
        <v>-</v>
      </c>
      <c r="H1337" s="29">
        <v>44000</v>
      </c>
      <c r="I1337" s="29">
        <v>44000</v>
      </c>
      <c r="J1337" s="29">
        <v>47000</v>
      </c>
      <c r="K1337" s="29" t="str">
        <v>-</v>
      </c>
      <c r="L1337" s="29">
        <v>46500</v>
      </c>
      <c r="M1337" s="29">
        <v>47600</v>
      </c>
      <c r="N1337" s="29">
        <v>43500</v>
      </c>
      <c r="O1337" s="29">
        <v>40900</v>
      </c>
      <c r="P1337" s="29">
        <v>41500</v>
      </c>
      <c r="Q1337" s="29">
        <v>42200</v>
      </c>
      <c r="R1337" s="29">
        <v>41300</v>
      </c>
      <c r="S1337">
        <v>43100</v>
      </c>
      <c r="T1337">
        <v>45500</v>
      </c>
      <c r="U1337">
        <v>46500</v>
      </c>
      <c r="V1337">
        <v>47300</v>
      </c>
      <c r="W1337">
        <v>50200</v>
      </c>
    </row>
    <row r="1338" spans="1:23">
      <c r="A1338" s="30">
        <v>45622</v>
      </c>
      <c r="B1338" s="29">
        <v>46000</v>
      </c>
      <c r="C1338" s="29">
        <v>46000</v>
      </c>
      <c r="D1338" s="29">
        <v>44800</v>
      </c>
      <c r="E1338" s="29">
        <v>41000</v>
      </c>
      <c r="F1338" s="29">
        <v>47300</v>
      </c>
      <c r="G1338" s="29" t="str">
        <v>-</v>
      </c>
      <c r="H1338" s="29">
        <v>44000</v>
      </c>
      <c r="I1338" s="29">
        <v>44200</v>
      </c>
      <c r="J1338" s="29">
        <v>46800</v>
      </c>
      <c r="K1338" s="29" t="str">
        <v>-</v>
      </c>
      <c r="L1338" s="29">
        <v>46400</v>
      </c>
      <c r="M1338" s="29">
        <v>47400</v>
      </c>
      <c r="N1338" s="29">
        <v>43200</v>
      </c>
      <c r="O1338" s="29">
        <v>40900</v>
      </c>
      <c r="P1338" s="29">
        <v>41300</v>
      </c>
      <c r="Q1338" s="29">
        <v>42000</v>
      </c>
      <c r="R1338" s="29">
        <v>41300</v>
      </c>
      <c r="S1338">
        <v>43100</v>
      </c>
      <c r="T1338">
        <v>45300</v>
      </c>
      <c r="U1338">
        <v>45500</v>
      </c>
      <c r="V1338">
        <v>47300</v>
      </c>
      <c r="W1338">
        <v>50200</v>
      </c>
    </row>
    <row r="1339" spans="1:23">
      <c r="A1339" s="30">
        <v>45623</v>
      </c>
      <c r="B1339" s="29">
        <v>45800</v>
      </c>
      <c r="C1339" s="29">
        <v>46000</v>
      </c>
      <c r="D1339" s="29">
        <v>44800</v>
      </c>
      <c r="E1339" s="29">
        <v>40800</v>
      </c>
      <c r="F1339" s="29">
        <v>47300</v>
      </c>
      <c r="G1339" s="29" t="str">
        <v>-</v>
      </c>
      <c r="H1339" s="29">
        <v>44000</v>
      </c>
      <c r="I1339" s="29">
        <v>44000</v>
      </c>
      <c r="J1339" s="29">
        <v>46700</v>
      </c>
      <c r="K1339" s="29" t="str">
        <v>-</v>
      </c>
      <c r="L1339" s="29">
        <v>46200</v>
      </c>
      <c r="M1339" s="29">
        <v>47400</v>
      </c>
      <c r="N1339" s="29">
        <v>43300</v>
      </c>
      <c r="O1339" s="29">
        <v>40900</v>
      </c>
      <c r="P1339" s="29">
        <v>41000</v>
      </c>
      <c r="Q1339" s="29">
        <v>41700</v>
      </c>
      <c r="R1339" s="29">
        <v>41300</v>
      </c>
      <c r="S1339">
        <v>42900</v>
      </c>
      <c r="T1339">
        <v>45000</v>
      </c>
      <c r="U1339">
        <v>45500</v>
      </c>
      <c r="V1339">
        <v>47000</v>
      </c>
      <c r="W1339">
        <v>50200</v>
      </c>
    </row>
    <row r="1340" spans="1:23">
      <c r="A1340" s="30">
        <v>45624</v>
      </c>
      <c r="B1340" s="29">
        <v>45800</v>
      </c>
      <c r="C1340" s="29">
        <v>46000</v>
      </c>
      <c r="D1340" s="29">
        <v>45000</v>
      </c>
      <c r="E1340" s="29">
        <v>40900</v>
      </c>
      <c r="F1340" s="29">
        <v>47000</v>
      </c>
      <c r="G1340" s="29" t="str">
        <v>-</v>
      </c>
      <c r="H1340" s="29">
        <v>44000</v>
      </c>
      <c r="I1340" s="29">
        <v>44000</v>
      </c>
      <c r="J1340" s="29">
        <v>46300</v>
      </c>
      <c r="K1340" s="29" t="str">
        <v>-</v>
      </c>
      <c r="L1340" s="29">
        <v>46300</v>
      </c>
      <c r="M1340" s="29">
        <v>46900</v>
      </c>
      <c r="N1340" s="29">
        <v>43600</v>
      </c>
      <c r="O1340" s="29">
        <v>41100</v>
      </c>
      <c r="P1340" s="29">
        <v>41200</v>
      </c>
      <c r="Q1340" s="29">
        <v>41800</v>
      </c>
      <c r="R1340" s="29">
        <v>41500</v>
      </c>
      <c r="S1340">
        <v>43000</v>
      </c>
      <c r="T1340">
        <v>45200</v>
      </c>
      <c r="U1340">
        <v>45500</v>
      </c>
      <c r="V1340">
        <v>47000</v>
      </c>
      <c r="W1340">
        <v>50200</v>
      </c>
    </row>
    <row r="1341" spans="1:23">
      <c r="A1341" s="30">
        <v>45625</v>
      </c>
      <c r="B1341" s="29">
        <v>45500</v>
      </c>
      <c r="C1341" s="29">
        <v>46000</v>
      </c>
      <c r="D1341" s="29">
        <v>45000</v>
      </c>
      <c r="E1341" s="29">
        <v>40700</v>
      </c>
      <c r="F1341" s="29">
        <v>47000</v>
      </c>
      <c r="G1341" s="29" t="str">
        <v>-</v>
      </c>
      <c r="H1341" s="29">
        <v>44000</v>
      </c>
      <c r="I1341" s="29">
        <v>44000</v>
      </c>
      <c r="J1341" s="29">
        <v>46300</v>
      </c>
      <c r="K1341" s="29" t="str">
        <v>-</v>
      </c>
      <c r="L1341" s="29">
        <v>46300</v>
      </c>
      <c r="M1341" s="29">
        <v>46600</v>
      </c>
      <c r="N1341" s="29">
        <v>43400</v>
      </c>
      <c r="O1341" s="29">
        <v>41100</v>
      </c>
      <c r="P1341" s="29">
        <v>41000</v>
      </c>
      <c r="Q1341" s="29">
        <v>41800</v>
      </c>
      <c r="R1341" s="29">
        <v>41500</v>
      </c>
      <c r="S1341">
        <v>42800</v>
      </c>
      <c r="T1341">
        <v>45000</v>
      </c>
      <c r="U1341">
        <v>45500</v>
      </c>
      <c r="V1341">
        <v>46600</v>
      </c>
      <c r="W1341">
        <v>49900</v>
      </c>
    </row>
    <row r="1342" spans="1:23">
      <c r="A1342" s="30">
        <v>45626</v>
      </c>
      <c r="B1342" s="29">
        <v>45500</v>
      </c>
      <c r="C1342" s="29">
        <v>46000</v>
      </c>
      <c r="D1342" s="29">
        <v>44800</v>
      </c>
      <c r="E1342" s="29">
        <v>40600</v>
      </c>
      <c r="F1342" s="29">
        <v>46900</v>
      </c>
      <c r="G1342" s="29" t="str">
        <v>-</v>
      </c>
      <c r="H1342" s="29">
        <v>44000</v>
      </c>
      <c r="I1342" s="29">
        <v>43800</v>
      </c>
      <c r="J1342" s="29">
        <v>45800</v>
      </c>
      <c r="K1342" s="29" t="str">
        <v>-</v>
      </c>
      <c r="L1342" s="29">
        <v>46100</v>
      </c>
      <c r="M1342" s="29">
        <v>46500</v>
      </c>
      <c r="N1342" s="29">
        <v>43200</v>
      </c>
      <c r="O1342" s="29">
        <v>41100</v>
      </c>
      <c r="P1342" s="29">
        <v>40800</v>
      </c>
      <c r="Q1342" s="29">
        <v>41600</v>
      </c>
      <c r="R1342" s="29">
        <v>41400</v>
      </c>
      <c r="S1342">
        <v>42700</v>
      </c>
      <c r="T1342">
        <v>44800</v>
      </c>
      <c r="U1342">
        <v>45500</v>
      </c>
      <c r="V1342">
        <v>46600</v>
      </c>
      <c r="W1342">
        <v>50200</v>
      </c>
    </row>
    <row r="1343" spans="1:23">
      <c r="A1343" s="30">
        <v>45627</v>
      </c>
      <c r="B1343" s="29" t="str">
        <v>H</v>
      </c>
      <c r="C1343" s="29" t="str">
        <v>H</v>
      </c>
      <c r="D1343" s="29" t="str">
        <v>H</v>
      </c>
      <c r="E1343" s="29" t="str">
        <v>H</v>
      </c>
      <c r="F1343" s="29" t="str">
        <v>H</v>
      </c>
      <c r="G1343" s="29" t="str">
        <v>H</v>
      </c>
      <c r="H1343" s="29" t="str">
        <v>H</v>
      </c>
      <c r="I1343" s="29" t="str">
        <v>H</v>
      </c>
      <c r="J1343" s="29" t="str">
        <v>H</v>
      </c>
      <c r="K1343" s="29" t="str">
        <v>H</v>
      </c>
      <c r="L1343" s="29" t="str">
        <v>H</v>
      </c>
      <c r="M1343" s="29" t="str">
        <v>H</v>
      </c>
      <c r="N1343" s="29" t="str">
        <v>H</v>
      </c>
      <c r="O1343" s="29" t="str">
        <v>H</v>
      </c>
      <c r="P1343" s="29" t="str">
        <v>H</v>
      </c>
      <c r="Q1343" s="29" t="str">
        <v>H</v>
      </c>
      <c r="R1343" s="29" t="str">
        <v>H</v>
      </c>
      <c r="S1343" t="str">
        <v>H</v>
      </c>
      <c r="T1343" t="str">
        <v>H</v>
      </c>
      <c r="U1343" t="str">
        <v>H</v>
      </c>
      <c r="V1343" t="str">
        <v>H</v>
      </c>
      <c r="W1343" t="str">
        <v>H</v>
      </c>
    </row>
    <row r="1344" spans="1:23">
      <c r="A1344" s="30">
        <v>45628</v>
      </c>
      <c r="B1344" s="29">
        <v>45400</v>
      </c>
      <c r="C1344" s="29">
        <v>46000</v>
      </c>
      <c r="D1344" s="29">
        <v>44400</v>
      </c>
      <c r="E1344" s="29">
        <v>40200</v>
      </c>
      <c r="F1344" s="29">
        <v>46400</v>
      </c>
      <c r="G1344" s="29" t="str">
        <v>-</v>
      </c>
      <c r="H1344" s="29">
        <v>43500</v>
      </c>
      <c r="I1344" s="29">
        <v>43400</v>
      </c>
      <c r="J1344" s="29">
        <v>46000</v>
      </c>
      <c r="K1344" s="29" t="str">
        <v>-</v>
      </c>
      <c r="L1344" s="29">
        <v>45800</v>
      </c>
      <c r="M1344" s="29">
        <v>46500</v>
      </c>
      <c r="N1344" s="29">
        <v>42800</v>
      </c>
      <c r="O1344" s="29">
        <v>40800</v>
      </c>
      <c r="P1344" s="29">
        <v>40800</v>
      </c>
      <c r="Q1344" s="29">
        <v>41400</v>
      </c>
      <c r="R1344" s="29">
        <v>41000</v>
      </c>
      <c r="S1344">
        <v>42300</v>
      </c>
      <c r="T1344">
        <v>44600</v>
      </c>
      <c r="U1344">
        <v>45000</v>
      </c>
      <c r="V1344">
        <v>46600</v>
      </c>
      <c r="W1344">
        <v>49600</v>
      </c>
    </row>
    <row r="1345" spans="1:23">
      <c r="A1345" s="30">
        <v>45629</v>
      </c>
      <c r="B1345" s="29">
        <v>45700</v>
      </c>
      <c r="C1345" s="29">
        <v>46000</v>
      </c>
      <c r="D1345" s="29">
        <v>44600</v>
      </c>
      <c r="E1345" s="29">
        <v>40500</v>
      </c>
      <c r="F1345" s="29">
        <v>46500</v>
      </c>
      <c r="G1345" s="29" t="str">
        <v>-</v>
      </c>
      <c r="H1345" s="29">
        <v>43700</v>
      </c>
      <c r="I1345" s="29">
        <v>43800</v>
      </c>
      <c r="J1345" s="29">
        <v>46500</v>
      </c>
      <c r="K1345" s="29" t="str">
        <v>-</v>
      </c>
      <c r="L1345" s="29">
        <v>45800</v>
      </c>
      <c r="M1345" s="29">
        <v>46500</v>
      </c>
      <c r="N1345" s="29">
        <v>43400</v>
      </c>
      <c r="O1345" s="29">
        <v>40800</v>
      </c>
      <c r="P1345" s="29">
        <v>41200</v>
      </c>
      <c r="Q1345" s="29">
        <v>41600</v>
      </c>
      <c r="R1345" s="29">
        <v>41300</v>
      </c>
      <c r="S1345">
        <v>42600</v>
      </c>
      <c r="T1345">
        <v>44700</v>
      </c>
      <c r="U1345">
        <v>45000</v>
      </c>
      <c r="V1345">
        <v>46600</v>
      </c>
      <c r="W1345">
        <v>49600</v>
      </c>
    </row>
    <row r="1346" spans="1:23">
      <c r="A1346" s="30">
        <v>45630</v>
      </c>
      <c r="B1346" s="29">
        <v>45800</v>
      </c>
      <c r="C1346" s="29">
        <v>46000</v>
      </c>
      <c r="D1346" s="29">
        <v>44600</v>
      </c>
      <c r="E1346" s="29">
        <v>41000</v>
      </c>
      <c r="F1346" s="29">
        <v>46600</v>
      </c>
      <c r="G1346" s="29" t="str">
        <v>-</v>
      </c>
      <c r="H1346" s="29">
        <v>43700</v>
      </c>
      <c r="I1346" s="29">
        <v>43800</v>
      </c>
      <c r="J1346" s="29">
        <v>46800</v>
      </c>
      <c r="K1346" s="29" t="str">
        <v>-</v>
      </c>
      <c r="L1346" s="29">
        <v>46100</v>
      </c>
      <c r="M1346" s="29">
        <v>46600</v>
      </c>
      <c r="N1346" s="29">
        <v>43700</v>
      </c>
      <c r="O1346" s="29">
        <v>40800</v>
      </c>
      <c r="P1346" s="29">
        <v>41500</v>
      </c>
      <c r="Q1346" s="29">
        <v>42000</v>
      </c>
      <c r="R1346" s="29">
        <v>42000</v>
      </c>
      <c r="S1346">
        <v>43100</v>
      </c>
      <c r="T1346">
        <v>44900</v>
      </c>
      <c r="U1346">
        <v>45000</v>
      </c>
      <c r="V1346">
        <v>46600</v>
      </c>
      <c r="W1346">
        <v>49600</v>
      </c>
    </row>
    <row r="1347" spans="1:23">
      <c r="A1347" s="30">
        <v>45631</v>
      </c>
      <c r="B1347" s="29">
        <v>46400</v>
      </c>
      <c r="C1347" s="29">
        <v>46200</v>
      </c>
      <c r="D1347" s="29">
        <v>45700</v>
      </c>
      <c r="E1347" s="29">
        <v>41400</v>
      </c>
      <c r="F1347" s="29">
        <v>46700</v>
      </c>
      <c r="G1347" s="29" t="str">
        <v>-</v>
      </c>
      <c r="H1347" s="29">
        <v>44000</v>
      </c>
      <c r="I1347" s="29">
        <v>44200</v>
      </c>
      <c r="J1347" s="29">
        <v>47000</v>
      </c>
      <c r="K1347" s="29" t="str">
        <v>-</v>
      </c>
      <c r="L1347" s="29">
        <v>46500</v>
      </c>
      <c r="M1347" s="29">
        <v>46700</v>
      </c>
      <c r="N1347" s="29">
        <v>44400</v>
      </c>
      <c r="O1347" s="29">
        <v>41300</v>
      </c>
      <c r="P1347" s="29">
        <v>42200</v>
      </c>
      <c r="Q1347" s="29">
        <v>42600</v>
      </c>
      <c r="R1347" s="29">
        <v>42500</v>
      </c>
      <c r="S1347">
        <v>43500</v>
      </c>
      <c r="T1347">
        <v>45500</v>
      </c>
      <c r="U1347">
        <v>45500</v>
      </c>
      <c r="V1347">
        <v>46600</v>
      </c>
      <c r="W1347">
        <v>49600</v>
      </c>
    </row>
    <row r="1348" spans="1:23">
      <c r="A1348" s="30">
        <v>45632</v>
      </c>
      <c r="B1348" s="29">
        <v>46500</v>
      </c>
      <c r="C1348" s="29">
        <v>46200</v>
      </c>
      <c r="D1348" s="29">
        <v>45700</v>
      </c>
      <c r="E1348" s="29">
        <v>41900</v>
      </c>
      <c r="F1348" s="29">
        <v>47100</v>
      </c>
      <c r="G1348" s="29" t="str">
        <v>-</v>
      </c>
      <c r="H1348" s="29">
        <v>44000</v>
      </c>
      <c r="I1348" s="29">
        <v>44600</v>
      </c>
      <c r="J1348" s="29">
        <v>47100</v>
      </c>
      <c r="K1348" s="29" t="str">
        <v>-</v>
      </c>
      <c r="L1348" s="29">
        <v>46700</v>
      </c>
      <c r="M1348" s="29">
        <v>46700</v>
      </c>
      <c r="N1348" s="29">
        <v>45000</v>
      </c>
      <c r="O1348" s="29">
        <v>40900</v>
      </c>
      <c r="P1348" s="29">
        <v>42000</v>
      </c>
      <c r="Q1348" s="29">
        <v>42500</v>
      </c>
      <c r="R1348" s="29">
        <v>42000</v>
      </c>
      <c r="S1348">
        <v>44000</v>
      </c>
      <c r="T1348">
        <v>45700</v>
      </c>
      <c r="U1348">
        <v>45500</v>
      </c>
      <c r="V1348">
        <v>46600</v>
      </c>
      <c r="W1348">
        <v>49600</v>
      </c>
    </row>
    <row r="1349" spans="1:23">
      <c r="A1349" s="30">
        <v>45633</v>
      </c>
      <c r="B1349" s="29">
        <v>46700</v>
      </c>
      <c r="C1349" s="29">
        <v>46000</v>
      </c>
      <c r="D1349" s="29">
        <v>45500</v>
      </c>
      <c r="E1349" s="29">
        <v>41700</v>
      </c>
      <c r="F1349" s="29">
        <v>47100</v>
      </c>
      <c r="G1349" s="29" t="str">
        <v>-</v>
      </c>
      <c r="H1349" s="29">
        <v>44000</v>
      </c>
      <c r="I1349" s="29">
        <v>44200</v>
      </c>
      <c r="J1349" s="29">
        <v>47100</v>
      </c>
      <c r="K1349" s="29" t="str">
        <v>-</v>
      </c>
      <c r="L1349" s="29">
        <v>46700</v>
      </c>
      <c r="M1349" s="29">
        <v>46500</v>
      </c>
      <c r="N1349" s="29">
        <v>44600</v>
      </c>
      <c r="O1349" s="29">
        <v>40700</v>
      </c>
      <c r="P1349" s="29">
        <v>41800</v>
      </c>
      <c r="Q1349" s="29">
        <v>42200</v>
      </c>
      <c r="R1349" s="29">
        <v>41800</v>
      </c>
      <c r="S1349">
        <v>43800</v>
      </c>
      <c r="T1349">
        <v>45700</v>
      </c>
      <c r="U1349">
        <v>45500</v>
      </c>
      <c r="V1349">
        <v>46600</v>
      </c>
      <c r="W1349">
        <v>49600</v>
      </c>
    </row>
    <row r="1350" spans="1:23">
      <c r="A1350" s="30">
        <v>45634</v>
      </c>
      <c r="B1350" s="29" t="str">
        <v>H</v>
      </c>
      <c r="C1350" s="29" t="str">
        <v>H</v>
      </c>
      <c r="D1350" s="29" t="str">
        <v>H</v>
      </c>
      <c r="E1350" s="29" t="str">
        <v>H</v>
      </c>
      <c r="F1350" s="29" t="str">
        <v>H</v>
      </c>
      <c r="G1350" s="29" t="str">
        <v>H</v>
      </c>
      <c r="H1350" s="29" t="str">
        <v>H</v>
      </c>
      <c r="I1350" s="29" t="str">
        <v>H</v>
      </c>
      <c r="J1350" s="29" t="str">
        <v>H</v>
      </c>
      <c r="K1350" s="29" t="str">
        <v>H</v>
      </c>
      <c r="L1350" s="29" t="str">
        <v>H</v>
      </c>
      <c r="M1350" s="29" t="str">
        <v>H</v>
      </c>
      <c r="N1350" s="29" t="str">
        <v>H</v>
      </c>
      <c r="O1350" s="29" t="str">
        <v>H</v>
      </c>
      <c r="P1350" s="29" t="str">
        <v>H</v>
      </c>
      <c r="Q1350" s="29" t="str">
        <v>H</v>
      </c>
      <c r="R1350" s="29" t="str">
        <v>H</v>
      </c>
      <c r="S1350" t="str">
        <v>H</v>
      </c>
      <c r="T1350" t="str">
        <v>H</v>
      </c>
      <c r="U1350" t="str">
        <v>H</v>
      </c>
      <c r="V1350" t="str">
        <v>H</v>
      </c>
      <c r="W1350" t="str">
        <v>H</v>
      </c>
    </row>
    <row r="1351" spans="1:23">
      <c r="A1351" s="30">
        <v>45635</v>
      </c>
      <c r="B1351" s="29">
        <v>46500</v>
      </c>
      <c r="C1351" s="29">
        <v>46000</v>
      </c>
      <c r="D1351" s="29">
        <v>45600</v>
      </c>
      <c r="E1351" s="29">
        <v>41400</v>
      </c>
      <c r="F1351" s="29">
        <v>47100</v>
      </c>
      <c r="G1351" s="29" t="str">
        <v>-</v>
      </c>
      <c r="H1351" s="29">
        <v>44000</v>
      </c>
      <c r="I1351" s="29">
        <v>44400</v>
      </c>
      <c r="J1351" s="29">
        <v>46900</v>
      </c>
      <c r="K1351" s="29" t="str">
        <v>-</v>
      </c>
      <c r="L1351" s="29">
        <v>46500</v>
      </c>
      <c r="M1351" s="29">
        <v>46500</v>
      </c>
      <c r="N1351" s="29">
        <v>44500</v>
      </c>
      <c r="O1351" s="29">
        <v>40700</v>
      </c>
      <c r="P1351" s="29">
        <v>41500</v>
      </c>
      <c r="Q1351" s="29">
        <v>42000</v>
      </c>
      <c r="R1351" s="29">
        <v>41800</v>
      </c>
      <c r="S1351">
        <v>43500</v>
      </c>
      <c r="T1351">
        <v>45700</v>
      </c>
      <c r="U1351">
        <v>45500</v>
      </c>
      <c r="V1351">
        <v>46800</v>
      </c>
      <c r="W1351">
        <v>49600</v>
      </c>
    </row>
    <row r="1352" spans="1:23">
      <c r="A1352" s="30">
        <v>45636</v>
      </c>
      <c r="B1352" s="29">
        <v>46500</v>
      </c>
      <c r="C1352" s="29">
        <v>46000</v>
      </c>
      <c r="D1352" s="29">
        <v>45300</v>
      </c>
      <c r="E1352" s="29">
        <v>41000</v>
      </c>
      <c r="F1352" s="29">
        <v>47000</v>
      </c>
      <c r="G1352" s="29" t="str">
        <v>-</v>
      </c>
      <c r="H1352" s="29">
        <v>44000</v>
      </c>
      <c r="I1352" s="29">
        <v>44200</v>
      </c>
      <c r="J1352" s="29">
        <v>46800</v>
      </c>
      <c r="K1352" s="29" t="str">
        <v>-</v>
      </c>
      <c r="L1352" s="29">
        <v>46400</v>
      </c>
      <c r="M1352" s="29">
        <v>46300</v>
      </c>
      <c r="N1352" s="29">
        <v>44100</v>
      </c>
      <c r="O1352" s="29">
        <v>40500</v>
      </c>
      <c r="P1352" s="29">
        <v>41100</v>
      </c>
      <c r="Q1352" s="29">
        <v>41600</v>
      </c>
      <c r="R1352" s="29">
        <v>41300</v>
      </c>
      <c r="S1352">
        <v>43100</v>
      </c>
      <c r="T1352">
        <v>45500</v>
      </c>
      <c r="U1352">
        <v>45500</v>
      </c>
      <c r="V1352">
        <v>46900</v>
      </c>
      <c r="W1352">
        <v>49600</v>
      </c>
    </row>
    <row r="1353" spans="1:23">
      <c r="A1353" s="30">
        <v>45637</v>
      </c>
      <c r="B1353" s="29">
        <v>46500</v>
      </c>
      <c r="C1353" s="29">
        <v>46000</v>
      </c>
      <c r="D1353" s="29">
        <v>45000</v>
      </c>
      <c r="E1353" s="29">
        <v>40800</v>
      </c>
      <c r="F1353" s="29">
        <v>46800</v>
      </c>
      <c r="G1353" s="29" t="str">
        <v>-</v>
      </c>
      <c r="H1353" s="29">
        <v>43500</v>
      </c>
      <c r="I1353" s="29">
        <v>43800</v>
      </c>
      <c r="J1353" s="29">
        <v>46500</v>
      </c>
      <c r="K1353" s="29" t="str">
        <v>-</v>
      </c>
      <c r="L1353" s="29">
        <v>46200</v>
      </c>
      <c r="M1353" s="29">
        <v>46100</v>
      </c>
      <c r="N1353" s="29">
        <v>43600</v>
      </c>
      <c r="O1353" s="29">
        <v>40300</v>
      </c>
      <c r="P1353" s="29">
        <v>41000</v>
      </c>
      <c r="Q1353" s="29">
        <v>41400</v>
      </c>
      <c r="R1353" s="29">
        <v>41200</v>
      </c>
      <c r="S1353">
        <v>42900</v>
      </c>
      <c r="T1353">
        <v>45000</v>
      </c>
      <c r="U1353">
        <v>45500</v>
      </c>
      <c r="V1353">
        <v>46500</v>
      </c>
      <c r="W1353">
        <v>49400</v>
      </c>
    </row>
    <row r="1354" spans="1:23">
      <c r="A1354" s="30">
        <v>45638</v>
      </c>
      <c r="B1354" s="29">
        <v>46500</v>
      </c>
      <c r="C1354" s="29">
        <v>45800</v>
      </c>
      <c r="D1354" s="29">
        <v>45200</v>
      </c>
      <c r="E1354" s="29">
        <v>41000</v>
      </c>
      <c r="F1354" s="29">
        <v>46800</v>
      </c>
      <c r="G1354" s="29" t="str">
        <v>-</v>
      </c>
      <c r="H1354" s="29">
        <v>43500</v>
      </c>
      <c r="I1354" s="29">
        <v>44200</v>
      </c>
      <c r="J1354" s="29">
        <v>46800</v>
      </c>
      <c r="K1354" s="29" t="str">
        <v>-</v>
      </c>
      <c r="L1354" s="29">
        <v>46300</v>
      </c>
      <c r="M1354" s="29">
        <v>46300</v>
      </c>
      <c r="N1354" s="29">
        <v>43800</v>
      </c>
      <c r="O1354" s="29">
        <v>40500</v>
      </c>
      <c r="P1354" s="29">
        <v>41100</v>
      </c>
      <c r="Q1354" s="29">
        <v>41600</v>
      </c>
      <c r="R1354" s="29">
        <v>41300</v>
      </c>
      <c r="S1354">
        <v>43100</v>
      </c>
      <c r="T1354">
        <v>45300</v>
      </c>
      <c r="U1354">
        <v>45500</v>
      </c>
      <c r="V1354">
        <v>46500</v>
      </c>
      <c r="W1354">
        <v>49400</v>
      </c>
    </row>
    <row r="1355" spans="1:23">
      <c r="A1355" s="30">
        <v>45639</v>
      </c>
      <c r="B1355" s="29">
        <v>46500</v>
      </c>
      <c r="C1355" s="29">
        <v>45800</v>
      </c>
      <c r="D1355" s="29">
        <v>45000</v>
      </c>
      <c r="E1355" s="29">
        <v>41000</v>
      </c>
      <c r="F1355" s="29">
        <v>46800</v>
      </c>
      <c r="G1355" s="29" t="str">
        <v>-</v>
      </c>
      <c r="H1355" s="29">
        <v>43500</v>
      </c>
      <c r="I1355" s="29">
        <v>44000</v>
      </c>
      <c r="J1355" s="29">
        <v>46800</v>
      </c>
      <c r="K1355" s="29" t="str">
        <v>-</v>
      </c>
      <c r="L1355" s="29">
        <v>46300</v>
      </c>
      <c r="M1355" s="29">
        <v>46700</v>
      </c>
      <c r="N1355" s="29">
        <v>43700</v>
      </c>
      <c r="O1355" s="29">
        <v>40350</v>
      </c>
      <c r="P1355" s="29">
        <v>40900</v>
      </c>
      <c r="Q1355" s="29">
        <v>41600</v>
      </c>
      <c r="R1355" s="29">
        <v>41200</v>
      </c>
      <c r="S1355">
        <v>43100</v>
      </c>
      <c r="T1355">
        <v>45300</v>
      </c>
      <c r="U1355">
        <v>45500</v>
      </c>
      <c r="V1355">
        <v>46500</v>
      </c>
      <c r="W1355">
        <v>49400</v>
      </c>
    </row>
    <row r="1356" spans="1:23">
      <c r="A1356" s="30">
        <v>45640</v>
      </c>
      <c r="B1356" s="29">
        <v>46500</v>
      </c>
      <c r="C1356" s="29">
        <v>45800</v>
      </c>
      <c r="D1356" s="29">
        <v>45200</v>
      </c>
      <c r="E1356" s="29">
        <v>41200</v>
      </c>
      <c r="F1356" s="29">
        <v>46600</v>
      </c>
      <c r="G1356" s="29" t="str">
        <v>-</v>
      </c>
      <c r="H1356" s="29">
        <v>43500</v>
      </c>
      <c r="I1356" s="29">
        <v>44200</v>
      </c>
      <c r="J1356" s="29">
        <v>47000</v>
      </c>
      <c r="K1356" s="29" t="str">
        <v>-</v>
      </c>
      <c r="L1356" s="29">
        <v>46500</v>
      </c>
      <c r="M1356" s="29">
        <v>46700</v>
      </c>
      <c r="N1356" s="29">
        <v>43800</v>
      </c>
      <c r="O1356" s="29">
        <v>40500</v>
      </c>
      <c r="P1356" s="29">
        <v>41200</v>
      </c>
      <c r="Q1356" s="29">
        <v>41600</v>
      </c>
      <c r="R1356" s="29">
        <v>41300</v>
      </c>
      <c r="S1356">
        <v>43300</v>
      </c>
      <c r="T1356">
        <v>45000</v>
      </c>
      <c r="U1356">
        <v>45500</v>
      </c>
      <c r="V1356">
        <v>46500</v>
      </c>
      <c r="W1356">
        <v>49400</v>
      </c>
    </row>
    <row r="1357" spans="1:23">
      <c r="A1357" s="30">
        <v>45641</v>
      </c>
      <c r="B1357" s="29" t="str">
        <v>H</v>
      </c>
      <c r="C1357" s="29" t="str">
        <v>H</v>
      </c>
      <c r="D1357" s="29" t="str">
        <v>H</v>
      </c>
      <c r="E1357" s="29" t="str">
        <v>H</v>
      </c>
      <c r="F1357" s="29" t="str">
        <v>H</v>
      </c>
      <c r="G1357" s="29" t="str">
        <v>H</v>
      </c>
      <c r="H1357" s="29" t="str">
        <v>H</v>
      </c>
      <c r="I1357" s="29" t="str">
        <v>H</v>
      </c>
      <c r="J1357" s="29" t="str">
        <v>H</v>
      </c>
      <c r="K1357" s="29" t="str">
        <v>H</v>
      </c>
      <c r="L1357" s="29" t="str">
        <v>H</v>
      </c>
      <c r="M1357" s="29" t="str">
        <v>H</v>
      </c>
      <c r="N1357" s="29" t="str">
        <v>H</v>
      </c>
      <c r="O1357" s="29" t="str">
        <v>H</v>
      </c>
      <c r="P1357" s="29" t="str">
        <v>H</v>
      </c>
      <c r="Q1357" s="29" t="str">
        <v>H</v>
      </c>
      <c r="R1357" s="29" t="str">
        <v>H</v>
      </c>
      <c r="S1357" t="str">
        <v>H</v>
      </c>
      <c r="T1357" t="str">
        <v>H</v>
      </c>
      <c r="U1357" t="str">
        <v>H</v>
      </c>
      <c r="V1357" t="str">
        <v>H</v>
      </c>
      <c r="W1357" t="str">
        <v>H</v>
      </c>
    </row>
    <row r="1358" spans="1:23">
      <c r="A1358" s="30">
        <v>45642</v>
      </c>
      <c r="B1358" s="29">
        <v>46800</v>
      </c>
      <c r="C1358" s="29">
        <v>45800</v>
      </c>
      <c r="D1358" s="29">
        <v>45200</v>
      </c>
      <c r="E1358" s="29">
        <v>41400</v>
      </c>
      <c r="F1358" s="29">
        <v>46800</v>
      </c>
      <c r="G1358" s="29" t="str">
        <v>-</v>
      </c>
      <c r="H1358" s="29">
        <v>44000</v>
      </c>
      <c r="I1358" s="29">
        <v>44400</v>
      </c>
      <c r="J1358" s="29">
        <v>47200</v>
      </c>
      <c r="K1358" s="29" t="str">
        <v>-</v>
      </c>
      <c r="L1358" s="29">
        <v>46800</v>
      </c>
      <c r="M1358" s="29">
        <v>46900</v>
      </c>
      <c r="N1358" s="29">
        <v>44400</v>
      </c>
      <c r="O1358" s="29">
        <v>41000</v>
      </c>
      <c r="P1358" s="29">
        <v>42200</v>
      </c>
      <c r="Q1358" s="29">
        <v>42300</v>
      </c>
      <c r="R1358" s="29">
        <v>41800</v>
      </c>
      <c r="S1358">
        <v>43500</v>
      </c>
      <c r="T1358">
        <v>45300</v>
      </c>
      <c r="U1358">
        <v>46000</v>
      </c>
      <c r="V1358">
        <v>46700</v>
      </c>
      <c r="W1358">
        <v>49400</v>
      </c>
    </row>
    <row r="1359" spans="1:23">
      <c r="A1359" s="30">
        <v>45643</v>
      </c>
      <c r="B1359" s="29">
        <v>47000</v>
      </c>
      <c r="C1359" s="29">
        <v>46300</v>
      </c>
      <c r="D1359" s="29">
        <v>45200</v>
      </c>
      <c r="E1359" s="29">
        <v>41200</v>
      </c>
      <c r="F1359" s="29">
        <v>46800</v>
      </c>
      <c r="G1359" s="29" t="str">
        <v>-</v>
      </c>
      <c r="H1359" s="29">
        <v>44500</v>
      </c>
      <c r="I1359" s="29">
        <v>44400</v>
      </c>
      <c r="J1359" s="29">
        <v>47200</v>
      </c>
      <c r="K1359" s="29" t="str">
        <v>-</v>
      </c>
      <c r="L1359" s="29">
        <v>46700</v>
      </c>
      <c r="M1359" s="29">
        <v>47100</v>
      </c>
      <c r="N1359" s="29">
        <v>44200</v>
      </c>
      <c r="O1359" s="29">
        <v>41000</v>
      </c>
      <c r="P1359" s="29">
        <v>42100</v>
      </c>
      <c r="Q1359" s="29">
        <v>42300</v>
      </c>
      <c r="R1359" s="29">
        <v>41800</v>
      </c>
      <c r="S1359">
        <v>43500</v>
      </c>
      <c r="T1359">
        <v>45500</v>
      </c>
      <c r="U1359">
        <v>46000</v>
      </c>
      <c r="V1359">
        <v>46900</v>
      </c>
      <c r="W1359">
        <v>49400</v>
      </c>
    </row>
    <row r="1360" spans="1:23">
      <c r="A1360" s="30">
        <v>45644</v>
      </c>
      <c r="B1360" s="29">
        <v>47400</v>
      </c>
      <c r="C1360" s="29">
        <v>46300</v>
      </c>
      <c r="D1360" s="29">
        <v>45800</v>
      </c>
      <c r="E1360" s="29">
        <v>42000</v>
      </c>
      <c r="F1360" s="29">
        <v>47100</v>
      </c>
      <c r="G1360" s="29" t="str">
        <v>-</v>
      </c>
      <c r="H1360" s="29">
        <v>44500</v>
      </c>
      <c r="I1360" s="29">
        <v>45000</v>
      </c>
      <c r="J1360" s="29">
        <v>47300</v>
      </c>
      <c r="K1360" s="29" t="str">
        <v>-</v>
      </c>
      <c r="L1360" s="29">
        <v>47100</v>
      </c>
      <c r="M1360" s="29">
        <v>47300</v>
      </c>
      <c r="N1360" s="29">
        <v>44700</v>
      </c>
      <c r="O1360" s="29">
        <v>41300</v>
      </c>
      <c r="P1360" s="29">
        <v>42200</v>
      </c>
      <c r="Q1360" s="29">
        <v>42500</v>
      </c>
      <c r="R1360" s="29">
        <v>42100</v>
      </c>
      <c r="S1360">
        <v>44200</v>
      </c>
      <c r="T1360">
        <v>45500</v>
      </c>
      <c r="U1360">
        <v>46000</v>
      </c>
      <c r="V1360">
        <v>47200</v>
      </c>
      <c r="W1360">
        <v>49500</v>
      </c>
    </row>
    <row r="1361" spans="1:23">
      <c r="A1361" s="30">
        <v>45645</v>
      </c>
      <c r="B1361" s="29">
        <v>47400</v>
      </c>
      <c r="C1361" s="29">
        <v>46300</v>
      </c>
      <c r="D1361" s="29">
        <v>45800</v>
      </c>
      <c r="E1361" s="29">
        <v>41800</v>
      </c>
      <c r="F1361" s="29">
        <v>47400</v>
      </c>
      <c r="G1361" s="29" t="str">
        <v>-</v>
      </c>
      <c r="H1361" s="29">
        <v>44800</v>
      </c>
      <c r="I1361" s="29">
        <v>45000</v>
      </c>
      <c r="J1361" s="29">
        <v>47500</v>
      </c>
      <c r="K1361" s="29" t="str">
        <v>-</v>
      </c>
      <c r="L1361" s="29">
        <v>47000</v>
      </c>
      <c r="M1361" s="29">
        <v>47300</v>
      </c>
      <c r="N1361" s="29">
        <v>44700</v>
      </c>
      <c r="O1361" s="29">
        <v>41500</v>
      </c>
      <c r="P1361" s="29">
        <v>42000</v>
      </c>
      <c r="Q1361" s="29">
        <v>42500</v>
      </c>
      <c r="R1361" s="29">
        <v>42100</v>
      </c>
      <c r="S1361">
        <v>43900</v>
      </c>
      <c r="T1361">
        <v>45800</v>
      </c>
      <c r="U1361">
        <v>46000</v>
      </c>
      <c r="V1361">
        <v>47400</v>
      </c>
      <c r="W1361">
        <v>49800</v>
      </c>
    </row>
    <row r="1362" spans="1:23">
      <c r="A1362" s="30">
        <v>45646</v>
      </c>
      <c r="B1362" s="29">
        <v>47400</v>
      </c>
      <c r="C1362" s="29">
        <v>46300</v>
      </c>
      <c r="D1362" s="29">
        <v>46000</v>
      </c>
      <c r="E1362" s="29">
        <v>41800</v>
      </c>
      <c r="F1362" s="29">
        <v>47500</v>
      </c>
      <c r="G1362" s="29" t="str">
        <v>-</v>
      </c>
      <c r="H1362" s="29">
        <v>45000</v>
      </c>
      <c r="I1362" s="29">
        <v>45000</v>
      </c>
      <c r="J1362" s="29">
        <v>47500</v>
      </c>
      <c r="K1362" s="29" t="str">
        <v>-</v>
      </c>
      <c r="L1362" s="29">
        <v>47200</v>
      </c>
      <c r="M1362" s="29">
        <v>47300</v>
      </c>
      <c r="N1362" s="29">
        <v>44500</v>
      </c>
      <c r="O1362" s="29">
        <v>42000</v>
      </c>
      <c r="P1362" s="29">
        <v>42000</v>
      </c>
      <c r="Q1362" s="29">
        <v>42400</v>
      </c>
      <c r="R1362" s="29">
        <v>42100</v>
      </c>
      <c r="S1362">
        <v>43900</v>
      </c>
      <c r="T1362">
        <v>45800</v>
      </c>
      <c r="U1362">
        <v>46000</v>
      </c>
      <c r="V1362">
        <v>47500</v>
      </c>
      <c r="W1362">
        <v>50000</v>
      </c>
    </row>
    <row r="1363" spans="1:23">
      <c r="A1363" s="30">
        <v>45647</v>
      </c>
      <c r="B1363" s="29">
        <v>47400</v>
      </c>
      <c r="C1363" s="29">
        <v>46200</v>
      </c>
      <c r="D1363" s="29">
        <v>45800</v>
      </c>
      <c r="E1363" s="29">
        <v>41800</v>
      </c>
      <c r="F1363" s="29">
        <v>47500</v>
      </c>
      <c r="G1363" s="29" t="str">
        <v>-</v>
      </c>
      <c r="H1363" s="29">
        <v>45000</v>
      </c>
      <c r="I1363" s="29">
        <v>44800</v>
      </c>
      <c r="J1363" s="29">
        <v>47500</v>
      </c>
      <c r="K1363" s="29" t="str">
        <v>-</v>
      </c>
      <c r="L1363" s="29">
        <v>47100</v>
      </c>
      <c r="M1363" s="29">
        <v>47300</v>
      </c>
      <c r="N1363" s="29">
        <v>44600</v>
      </c>
      <c r="O1363" s="29">
        <v>42200</v>
      </c>
      <c r="P1363" s="29">
        <v>41800</v>
      </c>
      <c r="Q1363" s="29">
        <v>42300</v>
      </c>
      <c r="R1363" s="29">
        <v>42000</v>
      </c>
      <c r="S1363">
        <v>43900</v>
      </c>
      <c r="T1363">
        <v>45700</v>
      </c>
      <c r="U1363">
        <v>46000</v>
      </c>
      <c r="V1363">
        <v>47500</v>
      </c>
      <c r="W1363">
        <v>50000</v>
      </c>
    </row>
    <row r="1364" spans="1:23">
      <c r="A1364" s="30">
        <v>45648</v>
      </c>
      <c r="B1364" s="29" t="str">
        <v>H</v>
      </c>
      <c r="C1364" s="29" t="str">
        <v>H</v>
      </c>
      <c r="D1364" s="29" t="str">
        <v>H</v>
      </c>
      <c r="E1364" s="29" t="str">
        <v>H</v>
      </c>
      <c r="F1364" s="29" t="str">
        <v>H</v>
      </c>
      <c r="G1364" s="29" t="str">
        <v>H</v>
      </c>
      <c r="H1364" s="29" t="str">
        <v>H</v>
      </c>
      <c r="I1364" s="29" t="str">
        <v>H</v>
      </c>
      <c r="J1364" s="29" t="str">
        <v>H</v>
      </c>
      <c r="K1364" s="29" t="str">
        <v>H</v>
      </c>
      <c r="L1364" s="29" t="str">
        <v>H</v>
      </c>
      <c r="M1364" s="29" t="str">
        <v>H</v>
      </c>
      <c r="N1364" s="29" t="str">
        <v>H</v>
      </c>
      <c r="O1364" s="29" t="str">
        <v>H</v>
      </c>
      <c r="P1364" s="29" t="str">
        <v>H</v>
      </c>
      <c r="Q1364" s="29" t="str">
        <v>H</v>
      </c>
      <c r="R1364" s="29" t="str">
        <v>H</v>
      </c>
      <c r="S1364" t="str">
        <v>H</v>
      </c>
      <c r="T1364" t="str">
        <v>H</v>
      </c>
      <c r="U1364" t="str">
        <v>H</v>
      </c>
      <c r="V1364" t="str">
        <v>H</v>
      </c>
      <c r="W1364" t="str">
        <v>H</v>
      </c>
    </row>
    <row r="1365" spans="1:23">
      <c r="A1365" s="30">
        <v>45649</v>
      </c>
      <c r="B1365" s="29">
        <v>47700</v>
      </c>
      <c r="C1365" s="29">
        <v>46000</v>
      </c>
      <c r="D1365" s="29">
        <v>45600</v>
      </c>
      <c r="E1365" s="29">
        <v>41900</v>
      </c>
      <c r="F1365" s="29">
        <v>47300</v>
      </c>
      <c r="G1365" s="29" t="str">
        <v>-</v>
      </c>
      <c r="H1365" s="29">
        <v>45000</v>
      </c>
      <c r="I1365" s="29">
        <v>45100</v>
      </c>
      <c r="J1365" s="29">
        <v>47500</v>
      </c>
      <c r="K1365" s="29" t="str">
        <v>-</v>
      </c>
      <c r="L1365" s="29">
        <v>47100</v>
      </c>
      <c r="M1365" s="29">
        <v>47300</v>
      </c>
      <c r="N1365" s="29">
        <v>44800</v>
      </c>
      <c r="O1365" s="29">
        <v>42600</v>
      </c>
      <c r="P1365" s="29">
        <v>41800</v>
      </c>
      <c r="Q1365" s="29">
        <v>42300</v>
      </c>
      <c r="R1365" s="29">
        <v>41800</v>
      </c>
      <c r="S1365">
        <v>44000</v>
      </c>
      <c r="T1365">
        <v>45700</v>
      </c>
      <c r="U1365">
        <v>46000</v>
      </c>
      <c r="V1365">
        <v>47500</v>
      </c>
      <c r="W1365">
        <v>50200</v>
      </c>
    </row>
    <row r="1366" spans="1:23">
      <c r="A1366" s="30">
        <v>45650</v>
      </c>
      <c r="B1366" s="29">
        <v>48000</v>
      </c>
      <c r="C1366" s="29">
        <v>46000</v>
      </c>
      <c r="D1366" s="29">
        <v>45500</v>
      </c>
      <c r="E1366" s="29">
        <v>41800</v>
      </c>
      <c r="F1366" s="29">
        <v>47300</v>
      </c>
      <c r="G1366" s="29" t="str">
        <v>-</v>
      </c>
      <c r="H1366" s="29">
        <v>44700</v>
      </c>
      <c r="I1366" s="29">
        <v>45100</v>
      </c>
      <c r="J1366" s="29">
        <v>47500</v>
      </c>
      <c r="K1366" s="29" t="str">
        <v>-</v>
      </c>
      <c r="L1366" s="29">
        <v>47100</v>
      </c>
      <c r="M1366" s="29">
        <v>47300</v>
      </c>
      <c r="N1366" s="29">
        <v>44600</v>
      </c>
      <c r="O1366" s="29">
        <v>42800</v>
      </c>
      <c r="P1366" s="29">
        <v>41700</v>
      </c>
      <c r="Q1366" s="29">
        <v>42000</v>
      </c>
      <c r="R1366" s="29">
        <v>41600</v>
      </c>
      <c r="S1366">
        <v>43900</v>
      </c>
      <c r="T1366">
        <v>45500</v>
      </c>
      <c r="U1366">
        <v>46000</v>
      </c>
      <c r="V1366">
        <v>47500</v>
      </c>
      <c r="W1366">
        <v>50200</v>
      </c>
    </row>
    <row r="1367" spans="1:23">
      <c r="A1367" s="30">
        <v>45651</v>
      </c>
      <c r="B1367" s="29" t="str">
        <v>H</v>
      </c>
      <c r="C1367" s="29" t="str">
        <v>H</v>
      </c>
      <c r="D1367" s="29" t="str">
        <v>H</v>
      </c>
      <c r="E1367" s="29" t="str">
        <v>H</v>
      </c>
      <c r="F1367" s="29" t="str">
        <v>H</v>
      </c>
      <c r="G1367" s="29" t="str">
        <v>H</v>
      </c>
      <c r="H1367" s="29" t="str">
        <v>H</v>
      </c>
      <c r="I1367" s="29" t="str">
        <v>H</v>
      </c>
      <c r="J1367" s="29" t="str">
        <v>H</v>
      </c>
      <c r="K1367" s="29" t="str">
        <v>H</v>
      </c>
      <c r="L1367" s="29" t="str">
        <v>H</v>
      </c>
      <c r="M1367" s="29" t="str">
        <v>H</v>
      </c>
      <c r="N1367" s="29" t="str">
        <v>H</v>
      </c>
      <c r="O1367" s="29" t="str">
        <v>H</v>
      </c>
      <c r="P1367" s="29" t="str">
        <v>H</v>
      </c>
      <c r="Q1367" s="29" t="str">
        <v>H</v>
      </c>
      <c r="R1367" s="29" t="str">
        <v>H</v>
      </c>
      <c r="S1367" t="str">
        <v>H</v>
      </c>
      <c r="T1367" t="str">
        <v>H</v>
      </c>
      <c r="U1367" t="str">
        <v>H</v>
      </c>
      <c r="V1367" t="str">
        <v>H</v>
      </c>
      <c r="W1367" t="str">
        <v>H</v>
      </c>
    </row>
    <row r="1368" spans="1:23">
      <c r="A1368" s="30">
        <v>45652</v>
      </c>
      <c r="B1368" s="29">
        <v>48300</v>
      </c>
      <c r="C1368" s="29">
        <v>46000</v>
      </c>
      <c r="D1368" s="29">
        <v>45700</v>
      </c>
      <c r="E1368" s="29">
        <v>41800</v>
      </c>
      <c r="F1368" s="29">
        <v>47200</v>
      </c>
      <c r="G1368" s="29" t="str">
        <v>-</v>
      </c>
      <c r="H1368" s="29">
        <v>44700</v>
      </c>
      <c r="I1368" s="29">
        <v>45100</v>
      </c>
      <c r="J1368" s="29">
        <v>47200</v>
      </c>
      <c r="K1368" s="29" t="str">
        <v>-</v>
      </c>
      <c r="L1368" s="29">
        <v>47000</v>
      </c>
      <c r="M1368" s="29">
        <v>47300</v>
      </c>
      <c r="N1368" s="29">
        <v>44500</v>
      </c>
      <c r="O1368" s="29">
        <v>43000</v>
      </c>
      <c r="P1368" s="29">
        <v>41600</v>
      </c>
      <c r="Q1368" s="29">
        <v>41900</v>
      </c>
      <c r="R1368" s="29">
        <v>41800</v>
      </c>
      <c r="S1368">
        <v>43900</v>
      </c>
      <c r="T1368">
        <v>45500</v>
      </c>
      <c r="U1368">
        <v>45500</v>
      </c>
      <c r="V1368">
        <v>47500</v>
      </c>
      <c r="W1368">
        <v>50200</v>
      </c>
    </row>
    <row r="1369" spans="1:23">
      <c r="A1369" s="30">
        <v>45653</v>
      </c>
      <c r="B1369" s="29">
        <v>48300</v>
      </c>
      <c r="C1369" s="29">
        <v>45800</v>
      </c>
      <c r="D1369" s="29">
        <v>45500</v>
      </c>
      <c r="E1369" s="29">
        <v>41800</v>
      </c>
      <c r="F1369" s="29">
        <v>47200</v>
      </c>
      <c r="G1369" s="29" t="str">
        <v>-</v>
      </c>
      <c r="H1369" s="29">
        <v>44500</v>
      </c>
      <c r="I1369" s="29">
        <v>45100</v>
      </c>
      <c r="J1369" s="29">
        <v>47200</v>
      </c>
      <c r="K1369" s="29" t="str">
        <v>-</v>
      </c>
      <c r="L1369" s="29">
        <v>47000</v>
      </c>
      <c r="M1369" s="29">
        <v>47300</v>
      </c>
      <c r="N1369" s="29">
        <v>44400</v>
      </c>
      <c r="O1369" s="29">
        <v>43000</v>
      </c>
      <c r="P1369" s="29">
        <v>41600</v>
      </c>
      <c r="Q1369" s="29">
        <v>41600</v>
      </c>
      <c r="R1369" s="29">
        <v>41800</v>
      </c>
      <c r="S1369">
        <v>43900</v>
      </c>
      <c r="T1369">
        <v>45200</v>
      </c>
      <c r="U1369">
        <v>45500</v>
      </c>
      <c r="V1369">
        <v>47500</v>
      </c>
      <c r="W1369">
        <v>50200</v>
      </c>
    </row>
    <row r="1370" spans="1:23">
      <c r="A1370" s="30">
        <v>45654</v>
      </c>
      <c r="B1370" s="29">
        <v>48300</v>
      </c>
      <c r="C1370" s="29">
        <v>45800</v>
      </c>
      <c r="D1370" s="29">
        <v>45600</v>
      </c>
      <c r="E1370" s="29">
        <v>41800</v>
      </c>
      <c r="F1370" s="29">
        <v>47200</v>
      </c>
      <c r="G1370" s="29" t="str">
        <v>-</v>
      </c>
      <c r="H1370" s="29">
        <v>44500</v>
      </c>
      <c r="I1370" s="29">
        <v>45200</v>
      </c>
      <c r="J1370" s="29">
        <v>47200</v>
      </c>
      <c r="K1370" s="29" t="str">
        <v>-</v>
      </c>
      <c r="L1370" s="29">
        <v>47100</v>
      </c>
      <c r="M1370" s="29">
        <v>47300</v>
      </c>
      <c r="N1370" s="29">
        <v>44300</v>
      </c>
      <c r="O1370" s="29">
        <v>43200</v>
      </c>
      <c r="P1370" s="29">
        <v>41600</v>
      </c>
      <c r="Q1370" s="29">
        <v>41700</v>
      </c>
      <c r="R1370" s="29">
        <v>42200</v>
      </c>
      <c r="S1370">
        <v>43900</v>
      </c>
      <c r="T1370">
        <v>45200</v>
      </c>
      <c r="U1370">
        <v>45500</v>
      </c>
      <c r="V1370">
        <v>47500</v>
      </c>
      <c r="W1370">
        <v>50200</v>
      </c>
    </row>
    <row r="1371" spans="1:23">
      <c r="A1371" s="30">
        <v>45655</v>
      </c>
      <c r="B1371" s="29" t="str">
        <v>H</v>
      </c>
      <c r="C1371" s="29" t="str">
        <v>H</v>
      </c>
      <c r="D1371" s="29" t="str">
        <v>H</v>
      </c>
      <c r="E1371" s="29" t="str">
        <v>H</v>
      </c>
      <c r="F1371" s="29" t="str">
        <v>H</v>
      </c>
      <c r="G1371" s="29" t="str">
        <v>H</v>
      </c>
      <c r="H1371" s="29" t="str">
        <v>H</v>
      </c>
      <c r="I1371" s="29" t="str">
        <v>H</v>
      </c>
      <c r="J1371" s="29" t="str">
        <v>H</v>
      </c>
      <c r="K1371" s="29" t="str">
        <v>H</v>
      </c>
      <c r="L1371" s="29" t="str">
        <v>H</v>
      </c>
      <c r="M1371" s="29" t="str">
        <v>H</v>
      </c>
      <c r="N1371" s="29" t="str">
        <v>H</v>
      </c>
      <c r="O1371" s="29" t="str">
        <v>H</v>
      </c>
      <c r="P1371" s="29" t="str">
        <v>H</v>
      </c>
      <c r="Q1371" s="29" t="str">
        <v>H</v>
      </c>
      <c r="R1371" s="29" t="str">
        <v>H</v>
      </c>
      <c r="S1371" t="str">
        <v>H</v>
      </c>
      <c r="T1371" t="str">
        <v>H</v>
      </c>
      <c r="U1371" t="str">
        <v>H</v>
      </c>
      <c r="V1371" t="str">
        <v>H</v>
      </c>
      <c r="W1371" t="str">
        <v>H</v>
      </c>
    </row>
    <row r="1372" spans="1:23">
      <c r="A1372" s="30">
        <v>45656</v>
      </c>
      <c r="B1372" s="29">
        <v>48500</v>
      </c>
      <c r="C1372" s="29">
        <v>45800</v>
      </c>
      <c r="D1372" s="29">
        <v>46000</v>
      </c>
      <c r="E1372" s="29">
        <v>42100</v>
      </c>
      <c r="F1372" s="29">
        <v>47200</v>
      </c>
      <c r="G1372" s="29" t="str">
        <v>-</v>
      </c>
      <c r="H1372" s="29">
        <v>44500</v>
      </c>
      <c r="I1372" s="29">
        <v>45600</v>
      </c>
      <c r="J1372" s="29">
        <v>47200</v>
      </c>
      <c r="K1372" s="29" t="str">
        <v>-</v>
      </c>
      <c r="L1372" s="29">
        <v>47200</v>
      </c>
      <c r="M1372" s="29">
        <v>47300</v>
      </c>
      <c r="N1372" s="29">
        <v>44700</v>
      </c>
      <c r="O1372" s="29">
        <v>43200</v>
      </c>
      <c r="P1372" s="29">
        <v>41900</v>
      </c>
      <c r="Q1372" s="29">
        <v>42200</v>
      </c>
      <c r="R1372" s="29">
        <v>42200</v>
      </c>
      <c r="S1372">
        <v>44200</v>
      </c>
      <c r="T1372">
        <v>45500</v>
      </c>
      <c r="U1372">
        <v>45500</v>
      </c>
      <c r="V1372">
        <v>47500</v>
      </c>
      <c r="W1372">
        <v>50200</v>
      </c>
    </row>
    <row r="1373" spans="1:23">
      <c r="A1373" s="30">
        <v>45657</v>
      </c>
      <c r="B1373" s="29">
        <v>48700</v>
      </c>
      <c r="C1373" s="29">
        <v>45800</v>
      </c>
      <c r="D1373" s="29">
        <v>46300</v>
      </c>
      <c r="E1373" s="29">
        <v>42200</v>
      </c>
      <c r="F1373" s="29">
        <v>47200</v>
      </c>
      <c r="G1373" s="29" t="str">
        <v>-</v>
      </c>
      <c r="H1373" s="29">
        <v>44500</v>
      </c>
      <c r="I1373" s="29">
        <v>45500</v>
      </c>
      <c r="J1373" s="29">
        <v>47200</v>
      </c>
      <c r="K1373" s="29" t="str">
        <v>-</v>
      </c>
      <c r="L1373" s="29">
        <v>47500</v>
      </c>
      <c r="M1373" s="29">
        <v>47300</v>
      </c>
      <c r="N1373" s="29">
        <v>45100</v>
      </c>
      <c r="O1373" s="29">
        <v>43300</v>
      </c>
      <c r="P1373" s="29">
        <v>42300</v>
      </c>
      <c r="Q1373" s="29">
        <v>42400</v>
      </c>
      <c r="R1373" s="29">
        <v>42500</v>
      </c>
      <c r="S1373">
        <v>44300</v>
      </c>
      <c r="T1373">
        <v>45800</v>
      </c>
      <c r="U1373">
        <v>45500</v>
      </c>
      <c r="V1373">
        <v>47500</v>
      </c>
      <c r="W1373">
        <v>50200</v>
      </c>
    </row>
    <row r="1374" spans="1:23">
      <c r="A1374" s="30">
        <v>45658</v>
      </c>
      <c r="B1374" s="29">
        <v>48700</v>
      </c>
      <c r="C1374" s="29">
        <v>45800</v>
      </c>
      <c r="D1374" s="29">
        <v>46000</v>
      </c>
      <c r="E1374" s="29">
        <v>42200</v>
      </c>
      <c r="F1374" s="29">
        <v>47200</v>
      </c>
      <c r="G1374" s="29" t="str">
        <v>-</v>
      </c>
      <c r="H1374" s="29">
        <v>44500</v>
      </c>
      <c r="I1374" s="29">
        <v>45500</v>
      </c>
      <c r="J1374" s="29">
        <v>47200</v>
      </c>
      <c r="K1374" s="29" t="str">
        <v>-</v>
      </c>
      <c r="L1374" s="29">
        <v>47300</v>
      </c>
      <c r="M1374" s="29">
        <v>47500</v>
      </c>
      <c r="N1374" s="29">
        <v>44900</v>
      </c>
      <c r="O1374" s="29">
        <v>43200</v>
      </c>
      <c r="P1374" s="29">
        <v>41800</v>
      </c>
      <c r="Q1374" s="29">
        <v>42400</v>
      </c>
      <c r="R1374" s="29">
        <v>42200</v>
      </c>
      <c r="S1374">
        <v>44300</v>
      </c>
      <c r="T1374">
        <v>45800</v>
      </c>
      <c r="U1374">
        <v>45500</v>
      </c>
      <c r="V1374">
        <v>47200</v>
      </c>
      <c r="W1374">
        <v>50200</v>
      </c>
    </row>
    <row r="1375" spans="1:23">
      <c r="A1375" s="30">
        <v>45659</v>
      </c>
      <c r="B1375" s="29">
        <v>48700</v>
      </c>
      <c r="C1375" s="29">
        <v>45500</v>
      </c>
      <c r="D1375" s="29">
        <v>45900</v>
      </c>
      <c r="E1375" s="29">
        <v>42300</v>
      </c>
      <c r="F1375" s="29">
        <v>47200</v>
      </c>
      <c r="G1375" s="29" t="str">
        <v>-</v>
      </c>
      <c r="H1375" s="29">
        <v>44500</v>
      </c>
      <c r="I1375" s="29">
        <v>45400</v>
      </c>
      <c r="J1375" s="29">
        <v>47200</v>
      </c>
      <c r="K1375" s="29" t="str">
        <v>-</v>
      </c>
      <c r="L1375" s="29">
        <v>47600</v>
      </c>
      <c r="M1375" s="29">
        <v>47500</v>
      </c>
      <c r="N1375" s="29">
        <v>45200</v>
      </c>
      <c r="O1375" s="29">
        <v>43200</v>
      </c>
      <c r="P1375" s="29">
        <v>42100</v>
      </c>
      <c r="Q1375" s="29">
        <v>42400</v>
      </c>
      <c r="R1375" s="29">
        <v>42400</v>
      </c>
      <c r="S1375">
        <v>44400</v>
      </c>
      <c r="T1375">
        <v>45800</v>
      </c>
      <c r="U1375">
        <v>46000</v>
      </c>
      <c r="V1375">
        <v>47000</v>
      </c>
      <c r="W1375">
        <v>50200</v>
      </c>
    </row>
    <row r="1376" spans="1:23">
      <c r="A1376" s="30">
        <v>45660</v>
      </c>
      <c r="B1376" s="29">
        <v>48700</v>
      </c>
      <c r="C1376" s="29">
        <v>45800</v>
      </c>
      <c r="D1376" s="29">
        <v>45700</v>
      </c>
      <c r="E1376" s="29">
        <v>42100</v>
      </c>
      <c r="F1376" s="29">
        <v>47200</v>
      </c>
      <c r="G1376" s="29" t="str">
        <v>-</v>
      </c>
      <c r="H1376" s="29">
        <v>44800</v>
      </c>
      <c r="I1376" s="29">
        <v>45300</v>
      </c>
      <c r="J1376" s="29">
        <v>46900</v>
      </c>
      <c r="K1376" s="29" t="str">
        <v>-</v>
      </c>
      <c r="L1376" s="29">
        <v>47300</v>
      </c>
      <c r="M1376" s="29">
        <v>47500</v>
      </c>
      <c r="N1376" s="29">
        <v>44900</v>
      </c>
      <c r="O1376" s="29">
        <v>43200</v>
      </c>
      <c r="P1376" s="29">
        <v>41600</v>
      </c>
      <c r="Q1376" s="29">
        <v>42300</v>
      </c>
      <c r="R1376" s="29">
        <v>42400</v>
      </c>
      <c r="S1376">
        <v>44200</v>
      </c>
      <c r="T1376">
        <v>45600</v>
      </c>
      <c r="U1376">
        <v>46500</v>
      </c>
      <c r="V1376">
        <v>47000</v>
      </c>
      <c r="W1376">
        <v>50200</v>
      </c>
    </row>
    <row r="1377" spans="1:23">
      <c r="A1377" s="30">
        <v>45661</v>
      </c>
      <c r="B1377" s="29">
        <v>48700</v>
      </c>
      <c r="C1377" s="29">
        <v>45800</v>
      </c>
      <c r="D1377" s="29">
        <v>45500</v>
      </c>
      <c r="E1377" s="29">
        <v>42100</v>
      </c>
      <c r="F1377" s="29">
        <v>47000</v>
      </c>
      <c r="G1377" s="29" t="str">
        <v>-</v>
      </c>
      <c r="H1377" s="29">
        <v>44800</v>
      </c>
      <c r="I1377" s="29">
        <v>45300</v>
      </c>
      <c r="J1377" s="29">
        <v>46900</v>
      </c>
      <c r="K1377" s="29" t="str">
        <v>-</v>
      </c>
      <c r="L1377" s="29">
        <v>47300</v>
      </c>
      <c r="M1377" s="29">
        <v>47400</v>
      </c>
      <c r="N1377" s="29">
        <v>44500</v>
      </c>
      <c r="O1377" s="29">
        <v>43000</v>
      </c>
      <c r="P1377" s="29">
        <v>41500</v>
      </c>
      <c r="Q1377" s="29">
        <v>42200</v>
      </c>
      <c r="R1377" s="29">
        <v>42000</v>
      </c>
      <c r="S1377">
        <v>44200</v>
      </c>
      <c r="T1377">
        <v>45600</v>
      </c>
      <c r="U1377">
        <v>46500</v>
      </c>
      <c r="V1377">
        <v>47000</v>
      </c>
      <c r="W1377">
        <v>49800</v>
      </c>
    </row>
    <row r="1378" spans="1:23">
      <c r="A1378" s="30">
        <v>45662</v>
      </c>
      <c r="B1378" s="29" t="str">
        <v>H</v>
      </c>
      <c r="C1378" s="29" t="str">
        <v>H</v>
      </c>
      <c r="D1378" s="29" t="str">
        <v>H</v>
      </c>
      <c r="E1378" s="29" t="str">
        <v>H</v>
      </c>
      <c r="F1378" s="29" t="str">
        <v>H</v>
      </c>
      <c r="G1378" s="29" t="str">
        <v>H</v>
      </c>
      <c r="H1378" s="29" t="str">
        <v>H</v>
      </c>
      <c r="I1378" s="29" t="str">
        <v>H</v>
      </c>
      <c r="J1378" s="29" t="str">
        <v>H</v>
      </c>
      <c r="K1378" s="29" t="str">
        <v>H</v>
      </c>
      <c r="L1378" s="29" t="str">
        <v>H</v>
      </c>
      <c r="M1378" s="29" t="str">
        <v>H</v>
      </c>
      <c r="N1378" s="29" t="str">
        <v>H</v>
      </c>
      <c r="O1378" s="29" t="str">
        <v>H</v>
      </c>
      <c r="P1378" s="29" t="str">
        <v>H</v>
      </c>
      <c r="Q1378" s="29" t="str">
        <v>H</v>
      </c>
      <c r="R1378" s="29" t="str">
        <v>H</v>
      </c>
      <c r="S1378" t="str">
        <v>H</v>
      </c>
      <c r="T1378" t="str">
        <v>H</v>
      </c>
      <c r="U1378" t="str">
        <v>H</v>
      </c>
      <c r="V1378" t="str">
        <v>H</v>
      </c>
      <c r="W1378" t="str">
        <v>H</v>
      </c>
    </row>
    <row r="1379" spans="1:23">
      <c r="A1379" s="30">
        <v>45663</v>
      </c>
      <c r="B1379" s="29">
        <v>48700</v>
      </c>
      <c r="C1379" s="29">
        <v>45800</v>
      </c>
      <c r="D1379" s="29">
        <v>45000</v>
      </c>
      <c r="E1379" s="29">
        <v>41500</v>
      </c>
      <c r="F1379" s="29">
        <v>46800</v>
      </c>
      <c r="G1379" s="29" t="str">
        <v>-</v>
      </c>
      <c r="H1379" s="29">
        <v>44300</v>
      </c>
      <c r="I1379" s="29">
        <v>45000</v>
      </c>
      <c r="J1379" s="29">
        <v>46600</v>
      </c>
      <c r="K1379" s="29" t="str">
        <v>-</v>
      </c>
      <c r="L1379" s="29">
        <v>47000</v>
      </c>
      <c r="M1379" s="29">
        <v>47300</v>
      </c>
      <c r="N1379" s="29">
        <v>44500</v>
      </c>
      <c r="O1379" s="29">
        <v>43000</v>
      </c>
      <c r="P1379" s="29">
        <v>41300</v>
      </c>
      <c r="Q1379" s="29">
        <v>41800</v>
      </c>
      <c r="R1379" s="29">
        <v>41800</v>
      </c>
      <c r="S1379">
        <v>43900</v>
      </c>
      <c r="T1379">
        <v>45500</v>
      </c>
      <c r="U1379">
        <v>46300</v>
      </c>
      <c r="V1379">
        <v>46800</v>
      </c>
      <c r="W1379">
        <v>49700</v>
      </c>
    </row>
    <row r="1380" spans="1:23">
      <c r="A1380" s="30">
        <v>45664</v>
      </c>
      <c r="B1380" s="29">
        <v>48700</v>
      </c>
      <c r="C1380" s="29">
        <v>45800</v>
      </c>
      <c r="D1380" s="29">
        <v>45000</v>
      </c>
      <c r="E1380" s="29">
        <v>41400</v>
      </c>
      <c r="F1380" s="29">
        <v>46700</v>
      </c>
      <c r="G1380" s="29" t="str">
        <v>-</v>
      </c>
      <c r="H1380" s="29">
        <v>44300</v>
      </c>
      <c r="I1380" s="29">
        <v>45000</v>
      </c>
      <c r="J1380" s="29">
        <v>46600</v>
      </c>
      <c r="K1380" s="29" t="str">
        <v>-</v>
      </c>
      <c r="L1380" s="29">
        <v>47000</v>
      </c>
      <c r="M1380" s="29">
        <v>47100</v>
      </c>
      <c r="N1380" s="29">
        <v>44600</v>
      </c>
      <c r="O1380" s="29">
        <v>43000</v>
      </c>
      <c r="P1380" s="29">
        <v>41400</v>
      </c>
      <c r="Q1380" s="29">
        <v>41800</v>
      </c>
      <c r="R1380" s="29">
        <v>41800</v>
      </c>
      <c r="S1380">
        <v>43600</v>
      </c>
      <c r="T1380">
        <v>45400</v>
      </c>
      <c r="U1380">
        <v>46300</v>
      </c>
      <c r="V1380">
        <v>46800</v>
      </c>
      <c r="W1380">
        <v>49700</v>
      </c>
    </row>
    <row r="1381" spans="1:23">
      <c r="A1381" s="30">
        <v>45665</v>
      </c>
      <c r="B1381" s="29">
        <v>48000</v>
      </c>
      <c r="C1381" s="29">
        <v>45800</v>
      </c>
      <c r="D1381" s="29">
        <v>44800</v>
      </c>
      <c r="E1381" s="29">
        <v>41500</v>
      </c>
      <c r="F1381" s="29">
        <v>46400</v>
      </c>
      <c r="G1381" s="29" t="str">
        <v>-</v>
      </c>
      <c r="H1381" s="29">
        <v>44000</v>
      </c>
      <c r="I1381" s="29">
        <v>44800</v>
      </c>
      <c r="J1381" s="29">
        <v>46500</v>
      </c>
      <c r="K1381" s="29" t="str">
        <v>-</v>
      </c>
      <c r="L1381" s="29">
        <v>46800</v>
      </c>
      <c r="M1381" s="29">
        <v>47000</v>
      </c>
      <c r="N1381" s="29">
        <v>44400</v>
      </c>
      <c r="O1381" s="29">
        <v>43000</v>
      </c>
      <c r="P1381" s="29">
        <v>41300</v>
      </c>
      <c r="Q1381" s="29">
        <v>41600</v>
      </c>
      <c r="R1381" s="29">
        <v>41800</v>
      </c>
      <c r="S1381">
        <v>43600</v>
      </c>
      <c r="T1381">
        <v>45200</v>
      </c>
      <c r="U1381">
        <v>46300</v>
      </c>
      <c r="V1381">
        <v>46800</v>
      </c>
      <c r="W1381">
        <v>49700</v>
      </c>
    </row>
    <row r="1382" spans="1:23">
      <c r="A1382" s="30">
        <v>45666</v>
      </c>
      <c r="B1382" s="29">
        <v>47800</v>
      </c>
      <c r="C1382" s="29">
        <v>45700</v>
      </c>
      <c r="D1382" s="29">
        <v>44700</v>
      </c>
      <c r="E1382" s="29">
        <v>41300</v>
      </c>
      <c r="F1382" s="29">
        <v>46400</v>
      </c>
      <c r="G1382" s="29" t="str">
        <v>-</v>
      </c>
      <c r="H1382" s="29">
        <v>44000</v>
      </c>
      <c r="I1382" s="29">
        <v>44500</v>
      </c>
      <c r="J1382" s="29">
        <v>46000</v>
      </c>
      <c r="K1382" s="29" t="str">
        <v>-</v>
      </c>
      <c r="L1382" s="29">
        <v>46600</v>
      </c>
      <c r="M1382" s="29">
        <v>47000</v>
      </c>
      <c r="N1382" s="29">
        <v>44500</v>
      </c>
      <c r="O1382" s="29">
        <v>42800</v>
      </c>
      <c r="P1382" s="29">
        <v>41100</v>
      </c>
      <c r="Q1382" s="29">
        <v>41400</v>
      </c>
      <c r="R1382" s="29">
        <v>41600</v>
      </c>
      <c r="S1382">
        <v>43400</v>
      </c>
      <c r="T1382">
        <v>45000</v>
      </c>
      <c r="U1382">
        <v>45800</v>
      </c>
      <c r="V1382">
        <v>46800</v>
      </c>
      <c r="W1382">
        <v>49700</v>
      </c>
    </row>
    <row r="1383" spans="1:23">
      <c r="A1383" s="30">
        <v>45667</v>
      </c>
      <c r="B1383" s="29">
        <v>47800</v>
      </c>
      <c r="C1383" s="29">
        <v>45700</v>
      </c>
      <c r="D1383" s="29">
        <v>44700</v>
      </c>
      <c r="E1383" s="29">
        <v>41500</v>
      </c>
      <c r="F1383" s="29">
        <v>46400</v>
      </c>
      <c r="G1383" s="29" t="str">
        <v>-</v>
      </c>
      <c r="H1383" s="29">
        <v>44000</v>
      </c>
      <c r="I1383" s="29">
        <v>44400</v>
      </c>
      <c r="J1383" s="29">
        <v>46000</v>
      </c>
      <c r="K1383" s="29" t="str">
        <v>-</v>
      </c>
      <c r="L1383" s="29">
        <v>46600</v>
      </c>
      <c r="M1383" s="29">
        <v>47000</v>
      </c>
      <c r="N1383" s="29">
        <v>44700</v>
      </c>
      <c r="O1383" s="29">
        <v>42800</v>
      </c>
      <c r="P1383" s="29">
        <v>41300</v>
      </c>
      <c r="Q1383" s="29">
        <v>41600</v>
      </c>
      <c r="R1383" s="29">
        <v>41700</v>
      </c>
      <c r="S1383">
        <v>43600</v>
      </c>
      <c r="T1383">
        <v>45200</v>
      </c>
      <c r="U1383">
        <v>45800</v>
      </c>
      <c r="V1383">
        <v>46800</v>
      </c>
      <c r="W1383">
        <v>49700</v>
      </c>
    </row>
    <row r="1384" spans="1:23">
      <c r="A1384" s="30">
        <v>45668</v>
      </c>
      <c r="B1384" s="29">
        <v>47800</v>
      </c>
      <c r="C1384" s="29">
        <v>45800</v>
      </c>
      <c r="D1384" s="29">
        <v>44500</v>
      </c>
      <c r="E1384" s="29">
        <v>41500</v>
      </c>
      <c r="F1384" s="29">
        <v>46400</v>
      </c>
      <c r="G1384" s="29" t="str">
        <v>-</v>
      </c>
      <c r="H1384" s="29">
        <v>43800</v>
      </c>
      <c r="I1384" s="29">
        <v>44400</v>
      </c>
      <c r="J1384" s="29">
        <v>46100</v>
      </c>
      <c r="K1384" s="29" t="str">
        <v>-</v>
      </c>
      <c r="L1384" s="29">
        <v>46500</v>
      </c>
      <c r="M1384" s="29">
        <v>47000</v>
      </c>
      <c r="N1384" s="29">
        <v>44400</v>
      </c>
      <c r="O1384" s="29">
        <v>42800</v>
      </c>
      <c r="P1384" s="29">
        <v>41100</v>
      </c>
      <c r="Q1384" s="29">
        <v>41500</v>
      </c>
      <c r="R1384" s="29">
        <v>41600</v>
      </c>
      <c r="S1384">
        <v>43600</v>
      </c>
      <c r="T1384">
        <v>45200</v>
      </c>
      <c r="U1384">
        <v>45800</v>
      </c>
      <c r="V1384">
        <v>46800</v>
      </c>
      <c r="W1384">
        <v>49700</v>
      </c>
    </row>
    <row r="1385" spans="1:23">
      <c r="A1385" s="30">
        <v>45669</v>
      </c>
      <c r="B1385" s="29" t="str">
        <v>H</v>
      </c>
      <c r="C1385" s="29" t="str">
        <v>H</v>
      </c>
      <c r="D1385" s="29" t="str">
        <v>H</v>
      </c>
      <c r="E1385" s="29" t="str">
        <v>H</v>
      </c>
      <c r="F1385" s="29" t="str">
        <v>H</v>
      </c>
      <c r="G1385" s="29" t="str">
        <v>H</v>
      </c>
      <c r="H1385" s="29" t="str">
        <v>H</v>
      </c>
      <c r="I1385" s="29" t="str">
        <v>H</v>
      </c>
      <c r="J1385" s="29" t="str">
        <v>H</v>
      </c>
      <c r="K1385" s="29" t="str">
        <v>H</v>
      </c>
      <c r="L1385" s="29" t="str">
        <v>H</v>
      </c>
      <c r="M1385" s="29" t="str">
        <v>H</v>
      </c>
      <c r="N1385" s="29" t="str">
        <v>H</v>
      </c>
      <c r="O1385" s="29" t="str">
        <v>H</v>
      </c>
      <c r="P1385" s="29" t="str">
        <v>H</v>
      </c>
      <c r="Q1385" s="29" t="str">
        <v>H</v>
      </c>
      <c r="R1385" s="29" t="str">
        <v>H</v>
      </c>
      <c r="S1385" t="str">
        <v>H</v>
      </c>
      <c r="T1385" t="str">
        <v>H</v>
      </c>
      <c r="U1385" t="str">
        <v>H</v>
      </c>
      <c r="V1385" t="str">
        <v>H</v>
      </c>
      <c r="W1385" t="str">
        <v>H</v>
      </c>
    </row>
    <row r="1386" spans="1:23">
      <c r="A1386" s="30">
        <v>45670</v>
      </c>
      <c r="B1386" s="29">
        <v>47600</v>
      </c>
      <c r="C1386" s="29">
        <v>45800</v>
      </c>
      <c r="D1386" s="29">
        <v>44700</v>
      </c>
      <c r="E1386" s="29">
        <v>41600</v>
      </c>
      <c r="F1386" s="29">
        <v>46400</v>
      </c>
      <c r="G1386" s="29" t="str">
        <v>-</v>
      </c>
      <c r="H1386" s="29">
        <v>43800</v>
      </c>
      <c r="I1386" s="29">
        <v>44700</v>
      </c>
      <c r="J1386" s="29">
        <v>46300</v>
      </c>
      <c r="K1386" s="29" t="str">
        <v>-</v>
      </c>
      <c r="L1386" s="29">
        <v>46500</v>
      </c>
      <c r="M1386" s="29">
        <v>47000</v>
      </c>
      <c r="N1386" s="29">
        <v>44700</v>
      </c>
      <c r="O1386" s="29">
        <v>42600</v>
      </c>
      <c r="P1386" s="29">
        <v>41300</v>
      </c>
      <c r="Q1386" s="29">
        <v>41600</v>
      </c>
      <c r="R1386" s="29">
        <v>41600</v>
      </c>
      <c r="S1386">
        <v>43700</v>
      </c>
      <c r="T1386">
        <v>45200</v>
      </c>
      <c r="U1386">
        <v>45800</v>
      </c>
      <c r="V1386">
        <v>46400</v>
      </c>
      <c r="W1386">
        <v>49500</v>
      </c>
    </row>
    <row r="1387" spans="1:23">
      <c r="A1387" s="30">
        <v>45671</v>
      </c>
      <c r="B1387" s="29" t="str">
        <v>-</v>
      </c>
      <c r="C1387" s="29" t="str">
        <v>-</v>
      </c>
      <c r="D1387" s="29">
        <v>45000</v>
      </c>
      <c r="E1387" s="29">
        <v>41700</v>
      </c>
      <c r="F1387" s="29">
        <v>46400</v>
      </c>
      <c r="G1387" s="29" t="str">
        <v>-</v>
      </c>
      <c r="H1387" s="29" t="str">
        <v>-</v>
      </c>
      <c r="I1387" s="29" t="str">
        <v>-</v>
      </c>
      <c r="J1387" s="29">
        <v>46300</v>
      </c>
      <c r="K1387" s="29" t="str">
        <v>-</v>
      </c>
      <c r="L1387" s="29">
        <v>46700</v>
      </c>
      <c r="M1387" s="29">
        <v>47000</v>
      </c>
      <c r="N1387" s="29">
        <v>44700</v>
      </c>
      <c r="O1387" s="29">
        <v>42600</v>
      </c>
      <c r="P1387" s="29">
        <v>41300</v>
      </c>
      <c r="Q1387" s="29">
        <v>41700</v>
      </c>
      <c r="R1387" s="29">
        <v>41600</v>
      </c>
      <c r="S1387">
        <v>43800</v>
      </c>
      <c r="T1387">
        <v>45200</v>
      </c>
      <c r="U1387">
        <v>45800</v>
      </c>
      <c r="V1387">
        <v>46400</v>
      </c>
      <c r="W1387">
        <v>49200</v>
      </c>
    </row>
    <row r="1388" spans="1:23">
      <c r="A1388" s="30">
        <v>45672</v>
      </c>
      <c r="B1388" s="29">
        <v>47600</v>
      </c>
      <c r="C1388" s="29" t="str">
        <v>-</v>
      </c>
      <c r="D1388" s="29">
        <v>45000</v>
      </c>
      <c r="E1388" s="29">
        <v>41600</v>
      </c>
      <c r="F1388" s="29">
        <v>46400</v>
      </c>
      <c r="G1388" s="29" t="str">
        <v>-</v>
      </c>
      <c r="H1388" s="29">
        <v>43800</v>
      </c>
      <c r="I1388" s="29">
        <v>44500</v>
      </c>
      <c r="J1388" s="29">
        <v>46300</v>
      </c>
      <c r="K1388" s="29" t="str">
        <v>-</v>
      </c>
      <c r="L1388" s="29">
        <v>46700</v>
      </c>
      <c r="M1388" s="29">
        <v>47000</v>
      </c>
      <c r="N1388" s="29">
        <v>45000</v>
      </c>
      <c r="O1388" s="29">
        <v>42600</v>
      </c>
      <c r="P1388" s="29">
        <v>41400</v>
      </c>
      <c r="Q1388" s="29">
        <v>41700</v>
      </c>
      <c r="R1388" s="29">
        <v>41600</v>
      </c>
      <c r="S1388">
        <v>43700</v>
      </c>
      <c r="T1388">
        <v>45200</v>
      </c>
      <c r="U1388">
        <v>45800</v>
      </c>
      <c r="V1388">
        <v>46200</v>
      </c>
      <c r="W1388">
        <v>49200</v>
      </c>
    </row>
    <row r="1389" spans="1:23">
      <c r="A1389" s="30">
        <v>45673</v>
      </c>
      <c r="B1389" s="29">
        <v>47600</v>
      </c>
      <c r="C1389" s="29">
        <v>45800</v>
      </c>
      <c r="D1389" s="29">
        <v>44800</v>
      </c>
      <c r="E1389" s="29">
        <v>41800</v>
      </c>
      <c r="F1389" s="29">
        <v>46100</v>
      </c>
      <c r="G1389" s="29" t="str">
        <v>-</v>
      </c>
      <c r="H1389" s="29">
        <v>43700</v>
      </c>
      <c r="I1389" s="29">
        <v>44500</v>
      </c>
      <c r="J1389" s="29">
        <v>46300</v>
      </c>
      <c r="K1389" s="29" t="str">
        <v>-</v>
      </c>
      <c r="L1389" s="29">
        <v>46600</v>
      </c>
      <c r="M1389" s="29">
        <v>47000</v>
      </c>
      <c r="N1389" s="29">
        <v>44600</v>
      </c>
      <c r="O1389" s="29">
        <v>42600</v>
      </c>
      <c r="P1389" s="29">
        <v>41200</v>
      </c>
      <c r="Q1389" s="29">
        <v>41500</v>
      </c>
      <c r="R1389" s="29">
        <v>41600</v>
      </c>
      <c r="S1389">
        <v>43900</v>
      </c>
      <c r="T1389">
        <v>45000</v>
      </c>
      <c r="U1389">
        <v>45800</v>
      </c>
      <c r="V1389">
        <v>46200</v>
      </c>
      <c r="W1389">
        <v>49200</v>
      </c>
    </row>
    <row r="1390" spans="1:23">
      <c r="A1390" s="30">
        <v>45674</v>
      </c>
      <c r="B1390" s="29">
        <v>47200</v>
      </c>
      <c r="C1390" s="29">
        <v>45700</v>
      </c>
      <c r="D1390" s="29">
        <v>44800</v>
      </c>
      <c r="E1390" s="29">
        <v>41700</v>
      </c>
      <c r="F1390" s="29">
        <v>46100</v>
      </c>
      <c r="G1390" s="29" t="str">
        <v>-</v>
      </c>
      <c r="H1390" s="29">
        <v>43700</v>
      </c>
      <c r="I1390" s="29">
        <v>44600</v>
      </c>
      <c r="J1390" s="29">
        <v>46300</v>
      </c>
      <c r="K1390" s="29" t="str">
        <v>-</v>
      </c>
      <c r="L1390" s="29">
        <v>46600</v>
      </c>
      <c r="M1390" s="29">
        <v>47000</v>
      </c>
      <c r="N1390" s="29">
        <v>44600</v>
      </c>
      <c r="O1390" s="29">
        <v>42600</v>
      </c>
      <c r="P1390" s="29">
        <v>41200</v>
      </c>
      <c r="Q1390" s="29">
        <v>41400</v>
      </c>
      <c r="R1390" s="29">
        <v>41600</v>
      </c>
      <c r="S1390">
        <v>43800</v>
      </c>
      <c r="T1390">
        <v>44800</v>
      </c>
      <c r="U1390">
        <v>45800</v>
      </c>
      <c r="V1390">
        <v>46000</v>
      </c>
      <c r="W1390">
        <v>49200</v>
      </c>
    </row>
    <row r="1391" spans="1:23">
      <c r="A1391" s="30">
        <v>45675</v>
      </c>
      <c r="B1391" s="29">
        <v>47200</v>
      </c>
      <c r="C1391" s="29">
        <v>45700</v>
      </c>
      <c r="D1391" s="29">
        <v>44700</v>
      </c>
      <c r="E1391" s="29">
        <v>41700</v>
      </c>
      <c r="F1391" s="29">
        <v>46100</v>
      </c>
      <c r="G1391" s="29" t="str">
        <v>-</v>
      </c>
      <c r="H1391" s="29">
        <v>43700</v>
      </c>
      <c r="I1391" s="29">
        <v>44600</v>
      </c>
      <c r="J1391" s="29">
        <v>46300</v>
      </c>
      <c r="K1391" s="29" t="str">
        <v>-</v>
      </c>
      <c r="L1391" s="29">
        <v>46500</v>
      </c>
      <c r="M1391" s="29">
        <v>46900</v>
      </c>
      <c r="N1391" s="29">
        <v>44400</v>
      </c>
      <c r="O1391" s="29">
        <v>42500</v>
      </c>
      <c r="P1391" s="29">
        <v>41000</v>
      </c>
      <c r="Q1391" s="29">
        <v>41300</v>
      </c>
      <c r="R1391" s="29">
        <v>41500</v>
      </c>
      <c r="S1391">
        <v>43800</v>
      </c>
      <c r="T1391">
        <v>44800</v>
      </c>
      <c r="U1391">
        <v>45800</v>
      </c>
      <c r="V1391">
        <v>46000</v>
      </c>
      <c r="W1391">
        <v>49200</v>
      </c>
    </row>
    <row r="1392" spans="1:23">
      <c r="A1392" s="30">
        <v>45676</v>
      </c>
      <c r="B1392" s="29" t="str">
        <v>H</v>
      </c>
      <c r="C1392" s="29" t="str">
        <v>H</v>
      </c>
      <c r="D1392" s="29" t="str">
        <v>H</v>
      </c>
      <c r="E1392" s="29" t="str">
        <v>H</v>
      </c>
      <c r="F1392" s="29" t="str">
        <v>H</v>
      </c>
      <c r="G1392" s="29" t="str">
        <v>H</v>
      </c>
      <c r="H1392" s="29" t="str">
        <v>H</v>
      </c>
      <c r="I1392" s="29" t="str">
        <v>H</v>
      </c>
      <c r="J1392" s="29" t="str">
        <v>H</v>
      </c>
      <c r="K1392" s="29" t="str">
        <v>H</v>
      </c>
      <c r="L1392" s="29" t="str">
        <v>H</v>
      </c>
      <c r="M1392" s="29" t="str">
        <v>H</v>
      </c>
      <c r="N1392" s="29" t="str">
        <v>H</v>
      </c>
      <c r="O1392" s="29" t="str">
        <v>H</v>
      </c>
      <c r="P1392" s="29" t="str">
        <v>H</v>
      </c>
      <c r="Q1392" s="29" t="str">
        <v>H</v>
      </c>
      <c r="R1392" s="29" t="str">
        <v>H</v>
      </c>
      <c r="S1392" t="str">
        <v>H</v>
      </c>
      <c r="T1392" t="str">
        <v>H</v>
      </c>
      <c r="U1392" t="str">
        <v>H</v>
      </c>
      <c r="V1392" t="str">
        <v>H</v>
      </c>
      <c r="W1392" t="str">
        <v>H</v>
      </c>
    </row>
    <row r="1393" spans="1:23">
      <c r="A1393" s="30">
        <v>45677</v>
      </c>
      <c r="B1393" s="29">
        <v>46800</v>
      </c>
      <c r="C1393" s="29">
        <v>45800</v>
      </c>
      <c r="D1393" s="29">
        <v>44700</v>
      </c>
      <c r="E1393" s="29">
        <v>41700</v>
      </c>
      <c r="F1393" s="29">
        <v>46000</v>
      </c>
      <c r="G1393" s="29" t="str">
        <v>-</v>
      </c>
      <c r="H1393" s="29">
        <v>43500</v>
      </c>
      <c r="I1393" s="29">
        <v>44600</v>
      </c>
      <c r="J1393" s="29">
        <v>46000</v>
      </c>
      <c r="K1393" s="29" t="str">
        <v>-</v>
      </c>
      <c r="L1393" s="29">
        <v>46500</v>
      </c>
      <c r="M1393" s="29">
        <v>46900</v>
      </c>
      <c r="N1393" s="29">
        <v>44300</v>
      </c>
      <c r="O1393" s="29">
        <v>42800</v>
      </c>
      <c r="P1393" s="29">
        <v>41300</v>
      </c>
      <c r="Q1393" s="29">
        <v>41300</v>
      </c>
      <c r="R1393" s="29">
        <v>41800</v>
      </c>
      <c r="S1393">
        <v>43800</v>
      </c>
      <c r="T1393">
        <v>44700</v>
      </c>
      <c r="U1393">
        <v>45800</v>
      </c>
      <c r="V1393">
        <v>45600</v>
      </c>
      <c r="W1393">
        <v>48700</v>
      </c>
    </row>
    <row r="1394" spans="1:23">
      <c r="A1394" s="30">
        <v>45678</v>
      </c>
      <c r="B1394" s="29">
        <v>46800</v>
      </c>
      <c r="C1394" s="29">
        <v>45700</v>
      </c>
      <c r="D1394" s="29">
        <v>44900</v>
      </c>
      <c r="E1394" s="29">
        <v>41700</v>
      </c>
      <c r="F1394" s="29">
        <v>46000</v>
      </c>
      <c r="G1394" s="29" t="str">
        <v>-</v>
      </c>
      <c r="H1394" s="29">
        <v>43500</v>
      </c>
      <c r="I1394" s="29">
        <v>44600</v>
      </c>
      <c r="J1394" s="29">
        <v>46000</v>
      </c>
      <c r="K1394" s="29" t="str">
        <v>-</v>
      </c>
      <c r="L1394" s="29">
        <v>46400</v>
      </c>
      <c r="M1394" s="29">
        <v>46900</v>
      </c>
      <c r="N1394" s="29">
        <v>44300</v>
      </c>
      <c r="O1394" s="29">
        <v>42800</v>
      </c>
      <c r="P1394" s="29">
        <v>41100</v>
      </c>
      <c r="Q1394" s="29">
        <v>41200</v>
      </c>
      <c r="R1394" s="29">
        <v>41700</v>
      </c>
      <c r="S1394">
        <v>43800</v>
      </c>
      <c r="T1394">
        <v>44500</v>
      </c>
      <c r="U1394">
        <v>45800</v>
      </c>
      <c r="V1394">
        <v>45600</v>
      </c>
      <c r="W1394">
        <v>48700</v>
      </c>
    </row>
    <row r="1395" spans="1:23">
      <c r="A1395" s="30">
        <v>45679</v>
      </c>
      <c r="B1395" s="29">
        <v>46200</v>
      </c>
      <c r="C1395" s="29">
        <v>45700</v>
      </c>
      <c r="D1395" s="29">
        <v>44800</v>
      </c>
      <c r="E1395" s="29">
        <v>41500</v>
      </c>
      <c r="F1395" s="29">
        <v>45800</v>
      </c>
      <c r="G1395" s="29" t="str">
        <v>-</v>
      </c>
      <c r="H1395" s="29">
        <v>43500</v>
      </c>
      <c r="I1395" s="29">
        <v>44400</v>
      </c>
      <c r="J1395" s="29">
        <v>46000</v>
      </c>
      <c r="K1395" s="29" t="str">
        <v>-</v>
      </c>
      <c r="L1395" s="29">
        <v>46300</v>
      </c>
      <c r="M1395" s="29">
        <v>46900</v>
      </c>
      <c r="N1395" s="29">
        <v>44200</v>
      </c>
      <c r="O1395" s="29">
        <v>42700</v>
      </c>
      <c r="P1395" s="29">
        <v>41100</v>
      </c>
      <c r="Q1395" s="29">
        <v>41200</v>
      </c>
      <c r="R1395" s="29">
        <v>41500</v>
      </c>
      <c r="S1395">
        <v>43600</v>
      </c>
      <c r="T1395">
        <v>44500</v>
      </c>
      <c r="U1395">
        <v>45800</v>
      </c>
      <c r="V1395">
        <v>45600</v>
      </c>
      <c r="W1395">
        <v>48700</v>
      </c>
    </row>
    <row r="1396" spans="1:23">
      <c r="A1396" s="30">
        <v>45680</v>
      </c>
      <c r="B1396" s="29">
        <v>46400</v>
      </c>
      <c r="C1396" s="29">
        <v>45700</v>
      </c>
      <c r="D1396" s="29">
        <v>45000</v>
      </c>
      <c r="E1396" s="29">
        <v>42000</v>
      </c>
      <c r="F1396" s="29">
        <v>45900</v>
      </c>
      <c r="G1396" s="29" t="str">
        <v>-</v>
      </c>
      <c r="H1396" s="29">
        <v>44000</v>
      </c>
      <c r="I1396" s="29">
        <v>44600</v>
      </c>
      <c r="J1396" s="29">
        <v>46200</v>
      </c>
      <c r="K1396" s="29" t="str">
        <v>-</v>
      </c>
      <c r="L1396" s="29">
        <v>46500</v>
      </c>
      <c r="M1396" s="29">
        <v>46900</v>
      </c>
      <c r="N1396" s="29">
        <v>44500</v>
      </c>
      <c r="O1396" s="29">
        <v>42800</v>
      </c>
      <c r="P1396" s="29">
        <v>41400</v>
      </c>
      <c r="Q1396" s="29">
        <v>41500</v>
      </c>
      <c r="R1396" s="29">
        <v>41700</v>
      </c>
      <c r="S1396">
        <v>43800</v>
      </c>
      <c r="T1396">
        <v>44800</v>
      </c>
      <c r="U1396">
        <v>45800</v>
      </c>
      <c r="V1396">
        <v>46000</v>
      </c>
      <c r="W1396">
        <v>48900</v>
      </c>
    </row>
    <row r="1397" spans="1:23">
      <c r="A1397" s="30">
        <v>45681</v>
      </c>
      <c r="B1397" s="29">
        <v>46600</v>
      </c>
      <c r="C1397" s="29">
        <v>45700</v>
      </c>
      <c r="D1397" s="29">
        <v>45200</v>
      </c>
      <c r="E1397" s="29">
        <v>42200</v>
      </c>
      <c r="F1397" s="29">
        <v>46000</v>
      </c>
      <c r="G1397" s="29" t="str">
        <v>-</v>
      </c>
      <c r="H1397" s="29">
        <v>44000</v>
      </c>
      <c r="I1397" s="29">
        <v>44800</v>
      </c>
      <c r="J1397" s="29">
        <v>46500</v>
      </c>
      <c r="K1397" s="29" t="str">
        <v>-</v>
      </c>
      <c r="L1397" s="29">
        <v>46700</v>
      </c>
      <c r="M1397" s="29">
        <v>46900</v>
      </c>
      <c r="N1397" s="29">
        <v>45000</v>
      </c>
      <c r="O1397" s="29">
        <v>43000</v>
      </c>
      <c r="P1397" s="29">
        <v>41500</v>
      </c>
      <c r="Q1397" s="29">
        <v>41500</v>
      </c>
      <c r="R1397" s="29">
        <v>41800</v>
      </c>
      <c r="S1397">
        <v>44200</v>
      </c>
      <c r="T1397">
        <v>44800</v>
      </c>
      <c r="U1397">
        <v>45500</v>
      </c>
      <c r="V1397">
        <v>46500</v>
      </c>
      <c r="W1397">
        <v>49200</v>
      </c>
    </row>
    <row r="1398" spans="1:23">
      <c r="A1398" s="30">
        <v>45682</v>
      </c>
      <c r="B1398" s="29">
        <v>46800</v>
      </c>
      <c r="C1398" s="29">
        <v>45700</v>
      </c>
      <c r="D1398" s="29">
        <v>45200</v>
      </c>
      <c r="E1398" s="29">
        <v>42300</v>
      </c>
      <c r="F1398" s="29">
        <v>46000</v>
      </c>
      <c r="G1398" s="29" t="str">
        <v>-</v>
      </c>
      <c r="H1398" s="29">
        <v>44000</v>
      </c>
      <c r="I1398" s="29">
        <v>44800</v>
      </c>
      <c r="J1398" s="29">
        <v>46500</v>
      </c>
      <c r="K1398" s="29" t="str">
        <v>-</v>
      </c>
      <c r="L1398" s="29">
        <v>46700</v>
      </c>
      <c r="M1398" s="29">
        <v>46900</v>
      </c>
      <c r="N1398" s="29">
        <v>44700</v>
      </c>
      <c r="O1398" s="29">
        <v>42900</v>
      </c>
      <c r="P1398" s="29">
        <v>41300</v>
      </c>
      <c r="Q1398" s="29">
        <v>41500</v>
      </c>
      <c r="R1398" s="29">
        <v>41700</v>
      </c>
      <c r="S1398">
        <v>44400</v>
      </c>
      <c r="T1398">
        <v>44800</v>
      </c>
      <c r="U1398">
        <v>45500</v>
      </c>
      <c r="V1398">
        <v>46500</v>
      </c>
      <c r="W1398">
        <v>49200</v>
      </c>
    </row>
    <row r="1399" spans="1:23">
      <c r="A1399" s="30">
        <v>45683</v>
      </c>
      <c r="B1399" s="29" t="str">
        <v>H</v>
      </c>
      <c r="C1399" s="29" t="str">
        <v>H</v>
      </c>
      <c r="D1399" s="29" t="str">
        <v>H</v>
      </c>
      <c r="E1399" s="29" t="str">
        <v>H</v>
      </c>
      <c r="F1399" s="29" t="str">
        <v>H</v>
      </c>
      <c r="G1399" s="29" t="str">
        <v>H</v>
      </c>
      <c r="H1399" s="29" t="str">
        <v>H</v>
      </c>
      <c r="I1399" s="29" t="str">
        <v>H</v>
      </c>
      <c r="J1399" s="29" t="str">
        <v>H</v>
      </c>
      <c r="K1399" s="29" t="str">
        <v>H</v>
      </c>
      <c r="L1399" s="29" t="str">
        <v>H</v>
      </c>
      <c r="M1399" s="29" t="str">
        <v>H</v>
      </c>
      <c r="N1399" s="29" t="str">
        <v>H</v>
      </c>
      <c r="O1399" s="29" t="str">
        <v>H</v>
      </c>
      <c r="P1399" s="29" t="str">
        <v>H</v>
      </c>
      <c r="Q1399" s="29" t="str">
        <v>H</v>
      </c>
      <c r="R1399" s="29" t="str">
        <v>H</v>
      </c>
      <c r="S1399" t="str">
        <v>H</v>
      </c>
      <c r="T1399" t="str">
        <v>H</v>
      </c>
      <c r="U1399" t="str">
        <v>H</v>
      </c>
      <c r="V1399" t="str">
        <v>H</v>
      </c>
      <c r="W1399" t="str">
        <v>H</v>
      </c>
    </row>
    <row r="1400" spans="1:23">
      <c r="A1400" s="30">
        <v>45684</v>
      </c>
      <c r="B1400" s="29">
        <v>47000</v>
      </c>
      <c r="C1400" s="29">
        <v>45800</v>
      </c>
      <c r="D1400" s="29">
        <v>45700</v>
      </c>
      <c r="E1400" s="29">
        <v>42700</v>
      </c>
      <c r="F1400" s="29">
        <v>46000</v>
      </c>
      <c r="G1400" s="29" t="str">
        <v>-</v>
      </c>
      <c r="H1400" s="29">
        <v>44000</v>
      </c>
      <c r="I1400" s="29">
        <v>45200</v>
      </c>
      <c r="J1400" s="29">
        <v>46800</v>
      </c>
      <c r="K1400" s="29" t="str">
        <v>-</v>
      </c>
      <c r="L1400" s="29">
        <v>47000</v>
      </c>
      <c r="M1400" s="29">
        <v>47000</v>
      </c>
      <c r="N1400" s="29">
        <v>45700</v>
      </c>
      <c r="O1400" s="29">
        <v>43300</v>
      </c>
      <c r="P1400" s="29">
        <v>42000</v>
      </c>
      <c r="Q1400" s="29">
        <v>42100</v>
      </c>
      <c r="R1400" s="29">
        <v>42000</v>
      </c>
      <c r="S1400">
        <v>44800</v>
      </c>
      <c r="T1400">
        <v>45100</v>
      </c>
      <c r="U1400">
        <v>45800</v>
      </c>
      <c r="V1400">
        <v>46700</v>
      </c>
      <c r="W1400">
        <v>49200</v>
      </c>
    </row>
    <row r="1401" spans="1:23">
      <c r="A1401" s="30">
        <v>45685</v>
      </c>
      <c r="B1401" s="29">
        <v>47300</v>
      </c>
      <c r="C1401" s="29">
        <v>45800</v>
      </c>
      <c r="D1401" s="29">
        <v>46000</v>
      </c>
      <c r="E1401" s="29">
        <v>42900</v>
      </c>
      <c r="F1401" s="29">
        <v>46500</v>
      </c>
      <c r="G1401" s="29" t="str">
        <v>-</v>
      </c>
      <c r="H1401" s="29">
        <v>44500</v>
      </c>
      <c r="I1401" s="29">
        <v>45500</v>
      </c>
      <c r="J1401" s="29">
        <v>46800</v>
      </c>
      <c r="K1401" s="29" t="str">
        <v>-</v>
      </c>
      <c r="L1401" s="29">
        <v>47200</v>
      </c>
      <c r="M1401" s="29">
        <v>47100</v>
      </c>
      <c r="N1401" s="29">
        <v>45800</v>
      </c>
      <c r="O1401" s="29">
        <v>43300</v>
      </c>
      <c r="P1401" s="29">
        <v>42000</v>
      </c>
      <c r="Q1401" s="29">
        <v>42300</v>
      </c>
      <c r="R1401" s="29">
        <v>42100</v>
      </c>
      <c r="S1401">
        <v>45000</v>
      </c>
      <c r="T1401">
        <v>45600</v>
      </c>
      <c r="U1401">
        <v>45800</v>
      </c>
      <c r="V1401">
        <v>46800</v>
      </c>
      <c r="W1401">
        <v>49200</v>
      </c>
    </row>
    <row r="1402" spans="1:23">
      <c r="A1402" s="30">
        <v>45686</v>
      </c>
      <c r="B1402" s="29">
        <v>47500</v>
      </c>
      <c r="C1402" s="29">
        <v>45800</v>
      </c>
      <c r="D1402" s="29">
        <v>46000</v>
      </c>
      <c r="E1402" s="29">
        <v>43100</v>
      </c>
      <c r="F1402" s="29">
        <v>46500</v>
      </c>
      <c r="G1402" s="29" t="str">
        <v>-</v>
      </c>
      <c r="H1402" s="29">
        <v>44500</v>
      </c>
      <c r="I1402" s="29">
        <v>45500</v>
      </c>
      <c r="J1402" s="29">
        <v>46800</v>
      </c>
      <c r="K1402" s="29" t="str">
        <v>-</v>
      </c>
      <c r="L1402" s="29">
        <v>47200</v>
      </c>
      <c r="M1402" s="29">
        <v>47100</v>
      </c>
      <c r="N1402" s="29">
        <v>46000</v>
      </c>
      <c r="O1402" s="29">
        <v>43400</v>
      </c>
      <c r="P1402" s="29">
        <v>42000</v>
      </c>
      <c r="Q1402" s="29">
        <v>42200</v>
      </c>
      <c r="R1402" s="29">
        <v>42300</v>
      </c>
      <c r="S1402">
        <v>45200</v>
      </c>
      <c r="T1402">
        <v>45600</v>
      </c>
      <c r="U1402">
        <v>45800</v>
      </c>
      <c r="V1402">
        <v>46800</v>
      </c>
      <c r="W1402">
        <v>49200</v>
      </c>
    </row>
    <row r="1403" spans="1:23">
      <c r="A1403" s="30">
        <v>45687</v>
      </c>
      <c r="B1403" s="29">
        <v>47600</v>
      </c>
      <c r="C1403" s="29">
        <v>45800</v>
      </c>
      <c r="D1403" s="29">
        <v>46000</v>
      </c>
      <c r="E1403" s="29">
        <v>43000</v>
      </c>
      <c r="F1403" s="29">
        <v>46700</v>
      </c>
      <c r="G1403" s="29" t="str">
        <v>-</v>
      </c>
      <c r="H1403" s="29">
        <v>44500</v>
      </c>
      <c r="I1403" s="29">
        <v>45400</v>
      </c>
      <c r="J1403" s="29">
        <v>46800</v>
      </c>
      <c r="K1403" s="29" t="str">
        <v>-</v>
      </c>
      <c r="L1403" s="29">
        <v>47200</v>
      </c>
      <c r="M1403" s="29">
        <v>47100</v>
      </c>
      <c r="N1403" s="29">
        <v>45700</v>
      </c>
      <c r="O1403" s="29">
        <v>43400</v>
      </c>
      <c r="P1403" s="29">
        <v>41800</v>
      </c>
      <c r="Q1403" s="29">
        <v>42200</v>
      </c>
      <c r="R1403" s="29">
        <v>42500</v>
      </c>
      <c r="S1403">
        <v>45100</v>
      </c>
      <c r="T1403">
        <v>45600</v>
      </c>
      <c r="U1403">
        <v>45800</v>
      </c>
      <c r="V1403">
        <v>47000</v>
      </c>
      <c r="W1403">
        <v>49600</v>
      </c>
    </row>
    <row r="1404" spans="1:23">
      <c r="A1404" s="30">
        <v>45688</v>
      </c>
      <c r="B1404" s="29">
        <v>47600</v>
      </c>
      <c r="C1404" s="29">
        <v>45800</v>
      </c>
      <c r="D1404" s="29">
        <v>46100</v>
      </c>
      <c r="E1404" s="29">
        <v>43100</v>
      </c>
      <c r="F1404" s="29">
        <v>46700</v>
      </c>
      <c r="G1404" s="29" t="str">
        <v>-</v>
      </c>
      <c r="H1404" s="29">
        <v>44500</v>
      </c>
      <c r="I1404" s="29">
        <v>45500</v>
      </c>
      <c r="J1404" s="29">
        <v>47000</v>
      </c>
      <c r="K1404" s="29" t="str">
        <v>-</v>
      </c>
      <c r="L1404" s="29">
        <v>47400</v>
      </c>
      <c r="M1404" s="29">
        <v>47100</v>
      </c>
      <c r="N1404" s="29">
        <v>45900</v>
      </c>
      <c r="O1404" s="29">
        <v>43400</v>
      </c>
      <c r="P1404" s="29">
        <v>42200</v>
      </c>
      <c r="Q1404" s="29">
        <v>42200</v>
      </c>
      <c r="R1404" s="29">
        <v>42500</v>
      </c>
      <c r="S1404">
        <v>45100</v>
      </c>
      <c r="T1404">
        <v>45600</v>
      </c>
      <c r="U1404">
        <v>45800</v>
      </c>
      <c r="V1404">
        <v>47200</v>
      </c>
      <c r="W1404">
        <v>49600</v>
      </c>
    </row>
    <row r="1405" spans="1:23">
      <c r="A1405" s="30">
        <v>45689</v>
      </c>
      <c r="B1405" s="29">
        <v>47600</v>
      </c>
      <c r="C1405" s="29">
        <v>45800</v>
      </c>
      <c r="D1405" s="29">
        <v>46000</v>
      </c>
      <c r="E1405" s="29">
        <v>43000</v>
      </c>
      <c r="F1405" s="29">
        <v>46700</v>
      </c>
      <c r="G1405" s="29" t="str">
        <v>-</v>
      </c>
      <c r="H1405" s="29">
        <v>44500</v>
      </c>
      <c r="I1405" s="29">
        <v>45500</v>
      </c>
      <c r="J1405" s="29">
        <v>47000</v>
      </c>
      <c r="K1405" s="29" t="str">
        <v>-</v>
      </c>
      <c r="L1405" s="29">
        <v>47300</v>
      </c>
      <c r="M1405" s="29">
        <v>47100</v>
      </c>
      <c r="N1405" s="29">
        <v>45600</v>
      </c>
      <c r="O1405" s="29">
        <v>43300</v>
      </c>
      <c r="P1405" s="29">
        <v>42000</v>
      </c>
      <c r="Q1405" s="29">
        <v>42100</v>
      </c>
      <c r="R1405" s="29">
        <v>42300</v>
      </c>
      <c r="S1405">
        <v>45300</v>
      </c>
      <c r="T1405">
        <v>45600</v>
      </c>
      <c r="U1405">
        <v>46300</v>
      </c>
      <c r="V1405">
        <v>47200</v>
      </c>
      <c r="W1405">
        <v>49600</v>
      </c>
    </row>
    <row r="1406" spans="1:23">
      <c r="A1406" s="30">
        <v>45690</v>
      </c>
      <c r="B1406" s="29" t="str">
        <v>H</v>
      </c>
      <c r="C1406" s="29" t="str">
        <v>H</v>
      </c>
      <c r="D1406" s="29" t="str">
        <v>H</v>
      </c>
      <c r="E1406" s="29" t="str">
        <v>H</v>
      </c>
      <c r="F1406" s="29" t="str">
        <v>H</v>
      </c>
      <c r="G1406" s="29" t="str">
        <v>H</v>
      </c>
      <c r="H1406" s="29" t="str">
        <v>H</v>
      </c>
      <c r="I1406" s="29" t="str">
        <v>H</v>
      </c>
      <c r="J1406" s="29" t="str">
        <v>H</v>
      </c>
      <c r="K1406" s="29" t="str">
        <v>H</v>
      </c>
      <c r="L1406" s="29" t="str">
        <v>H</v>
      </c>
      <c r="M1406" s="29" t="str">
        <v>H</v>
      </c>
      <c r="N1406" s="29" t="str">
        <v>H</v>
      </c>
      <c r="O1406" s="29" t="str">
        <v>H</v>
      </c>
      <c r="P1406" s="29" t="str">
        <v>H</v>
      </c>
      <c r="Q1406" s="29" t="str">
        <v>H</v>
      </c>
      <c r="R1406" s="29" t="str">
        <v>H</v>
      </c>
      <c r="S1406" t="str">
        <v>H</v>
      </c>
      <c r="T1406" t="str">
        <v>H</v>
      </c>
      <c r="U1406" t="str">
        <v>H</v>
      </c>
      <c r="V1406" t="str">
        <v>H</v>
      </c>
      <c r="W1406" t="str">
        <v>H</v>
      </c>
    </row>
    <row r="1407" spans="1:23">
      <c r="A1407" s="30">
        <v>45691</v>
      </c>
      <c r="B1407" s="29">
        <v>47200</v>
      </c>
      <c r="C1407" s="29">
        <v>45800</v>
      </c>
      <c r="D1407" s="29">
        <v>45800</v>
      </c>
      <c r="E1407" s="29">
        <v>42900</v>
      </c>
      <c r="F1407" s="29">
        <v>46500</v>
      </c>
      <c r="G1407" s="29" t="str">
        <v>-</v>
      </c>
      <c r="H1407" s="29">
        <v>44000</v>
      </c>
      <c r="I1407" s="29">
        <v>45200</v>
      </c>
      <c r="J1407" s="29">
        <v>47000</v>
      </c>
      <c r="K1407" s="29" t="str">
        <v>-</v>
      </c>
      <c r="L1407" s="29">
        <v>47200</v>
      </c>
      <c r="M1407" s="29">
        <v>47100</v>
      </c>
      <c r="N1407" s="29">
        <v>45300</v>
      </c>
      <c r="O1407" s="29">
        <v>43300</v>
      </c>
      <c r="P1407" s="29">
        <v>41600</v>
      </c>
      <c r="Q1407" s="29">
        <v>42000</v>
      </c>
      <c r="R1407" s="29">
        <v>42300</v>
      </c>
      <c r="S1407">
        <v>45000</v>
      </c>
      <c r="T1407">
        <v>45500</v>
      </c>
      <c r="U1407">
        <v>46300</v>
      </c>
      <c r="V1407">
        <v>47200</v>
      </c>
      <c r="W1407">
        <v>49400</v>
      </c>
    </row>
    <row r="1408" spans="1:23">
      <c r="A1408" s="30">
        <v>45692</v>
      </c>
      <c r="B1408" s="29">
        <v>47200</v>
      </c>
      <c r="C1408" s="29">
        <v>45800</v>
      </c>
      <c r="D1408" s="29">
        <v>45500</v>
      </c>
      <c r="E1408" s="29">
        <v>42800</v>
      </c>
      <c r="F1408" s="29">
        <v>46300</v>
      </c>
      <c r="G1408" s="29" t="str">
        <v>-</v>
      </c>
      <c r="H1408" s="29">
        <v>44500</v>
      </c>
      <c r="I1408" s="29">
        <v>44900</v>
      </c>
      <c r="J1408" s="29">
        <v>47000</v>
      </c>
      <c r="K1408" s="29" t="str">
        <v>-</v>
      </c>
      <c r="L1408" s="29">
        <v>47100</v>
      </c>
      <c r="M1408" s="29">
        <v>47100</v>
      </c>
      <c r="N1408" s="29">
        <v>45200</v>
      </c>
      <c r="O1408" s="29">
        <v>43200</v>
      </c>
      <c r="P1408" s="29">
        <v>41500</v>
      </c>
      <c r="Q1408" s="29">
        <v>42000</v>
      </c>
      <c r="R1408" s="29">
        <v>42200</v>
      </c>
      <c r="S1408">
        <v>44900</v>
      </c>
      <c r="T1408">
        <v>45500</v>
      </c>
      <c r="U1408">
        <v>46300</v>
      </c>
      <c r="V1408">
        <v>47200</v>
      </c>
      <c r="W1408">
        <v>49400</v>
      </c>
    </row>
    <row r="1409" spans="1:23">
      <c r="A1409" s="30">
        <v>45693</v>
      </c>
      <c r="B1409" s="29">
        <v>46700</v>
      </c>
      <c r="C1409" s="29">
        <v>45700</v>
      </c>
      <c r="D1409" s="29">
        <v>45300</v>
      </c>
      <c r="E1409" s="29">
        <v>42700</v>
      </c>
      <c r="F1409" s="29">
        <v>46200</v>
      </c>
      <c r="G1409" s="29" t="str">
        <v>-</v>
      </c>
      <c r="H1409" s="29">
        <v>44500</v>
      </c>
      <c r="I1409" s="29">
        <v>44700</v>
      </c>
      <c r="J1409" s="29">
        <v>46800</v>
      </c>
      <c r="K1409" s="29" t="str">
        <v>-</v>
      </c>
      <c r="L1409" s="29">
        <v>46900</v>
      </c>
      <c r="M1409" s="29">
        <v>47000</v>
      </c>
      <c r="N1409" s="29">
        <v>44900</v>
      </c>
      <c r="O1409" s="29">
        <v>43000</v>
      </c>
      <c r="P1409" s="29">
        <v>41500</v>
      </c>
      <c r="Q1409" s="29">
        <v>41800</v>
      </c>
      <c r="R1409" s="29">
        <v>42000</v>
      </c>
      <c r="S1409">
        <v>44800</v>
      </c>
      <c r="T1409">
        <v>45100</v>
      </c>
      <c r="U1409">
        <v>46300</v>
      </c>
      <c r="V1409">
        <v>47000</v>
      </c>
      <c r="W1409">
        <v>49400</v>
      </c>
    </row>
    <row r="1410" spans="1:23">
      <c r="A1410" s="30">
        <v>45694</v>
      </c>
      <c r="B1410" s="29">
        <v>47000</v>
      </c>
      <c r="C1410" s="29">
        <v>45700</v>
      </c>
      <c r="D1410" s="29">
        <v>45600</v>
      </c>
      <c r="E1410" s="29">
        <v>43000</v>
      </c>
      <c r="F1410" s="29">
        <v>46400</v>
      </c>
      <c r="G1410" s="29" t="str">
        <v>-</v>
      </c>
      <c r="H1410" s="29">
        <v>44500</v>
      </c>
      <c r="I1410" s="29">
        <v>44900</v>
      </c>
      <c r="J1410" s="29">
        <v>46800</v>
      </c>
      <c r="K1410" s="29" t="str">
        <v>-</v>
      </c>
      <c r="L1410" s="29">
        <v>47000</v>
      </c>
      <c r="M1410" s="29">
        <v>47100</v>
      </c>
      <c r="N1410" s="29">
        <v>45200</v>
      </c>
      <c r="O1410" s="29">
        <v>43200</v>
      </c>
      <c r="P1410" s="29">
        <v>42000</v>
      </c>
      <c r="Q1410" s="29">
        <v>42000</v>
      </c>
      <c r="R1410" s="29">
        <v>42200</v>
      </c>
      <c r="S1410">
        <v>45100</v>
      </c>
      <c r="T1410">
        <v>45300</v>
      </c>
      <c r="U1410">
        <v>46300</v>
      </c>
      <c r="V1410">
        <v>47000</v>
      </c>
      <c r="W1410">
        <v>49400</v>
      </c>
    </row>
    <row r="1411" spans="1:23">
      <c r="A1411" s="30">
        <v>45695</v>
      </c>
      <c r="B1411" s="29">
        <v>47000</v>
      </c>
      <c r="C1411" s="29">
        <v>45700</v>
      </c>
      <c r="D1411" s="29">
        <v>45900</v>
      </c>
      <c r="E1411" s="29">
        <v>42700</v>
      </c>
      <c r="F1411" s="29">
        <v>46400</v>
      </c>
      <c r="G1411" s="29" t="str">
        <v>-</v>
      </c>
      <c r="H1411" s="29">
        <v>44500</v>
      </c>
      <c r="I1411" s="29">
        <v>45000</v>
      </c>
      <c r="J1411" s="29">
        <v>46800</v>
      </c>
      <c r="K1411" s="29" t="str">
        <v>-</v>
      </c>
      <c r="L1411" s="29">
        <v>47000</v>
      </c>
      <c r="M1411" s="29">
        <v>47100</v>
      </c>
      <c r="N1411" s="29">
        <v>45200</v>
      </c>
      <c r="O1411" s="29">
        <v>43100</v>
      </c>
      <c r="P1411" s="29">
        <v>42000</v>
      </c>
      <c r="Q1411" s="29">
        <v>41900</v>
      </c>
      <c r="R1411" s="29">
        <v>42100</v>
      </c>
      <c r="S1411">
        <v>44800</v>
      </c>
      <c r="T1411">
        <v>45200</v>
      </c>
      <c r="U1411">
        <v>46300</v>
      </c>
      <c r="V1411">
        <v>47000</v>
      </c>
      <c r="W1411">
        <v>49400</v>
      </c>
    </row>
    <row r="1412" spans="1:23">
      <c r="A1412" s="30">
        <v>45696</v>
      </c>
      <c r="B1412" s="29">
        <v>46700</v>
      </c>
      <c r="C1412" s="29">
        <v>45700</v>
      </c>
      <c r="D1412" s="29">
        <v>46000</v>
      </c>
      <c r="E1412" s="29">
        <v>42800</v>
      </c>
      <c r="F1412" s="29">
        <v>46400</v>
      </c>
      <c r="G1412" s="29" t="str">
        <v>-</v>
      </c>
      <c r="H1412" s="29">
        <v>45000</v>
      </c>
      <c r="I1412" s="29">
        <v>45100</v>
      </c>
      <c r="J1412" s="29">
        <v>46800</v>
      </c>
      <c r="K1412" s="29" t="str">
        <v>-</v>
      </c>
      <c r="L1412" s="29">
        <v>46900</v>
      </c>
      <c r="M1412" s="29">
        <v>47000</v>
      </c>
      <c r="N1412" s="29">
        <v>45200</v>
      </c>
      <c r="O1412" s="29">
        <v>43300</v>
      </c>
      <c r="P1412" s="29">
        <v>41700</v>
      </c>
      <c r="Q1412" s="29">
        <v>42100</v>
      </c>
      <c r="R1412" s="29">
        <v>42300</v>
      </c>
      <c r="S1412">
        <v>44900</v>
      </c>
      <c r="T1412">
        <v>45300</v>
      </c>
      <c r="U1412">
        <v>46400</v>
      </c>
      <c r="V1412">
        <v>47300</v>
      </c>
      <c r="W1412">
        <v>49400</v>
      </c>
    </row>
    <row r="1413" spans="1:23">
      <c r="A1413" s="30">
        <v>45697</v>
      </c>
      <c r="B1413" s="29" t="str">
        <v>H</v>
      </c>
      <c r="C1413" s="29" t="str">
        <v>H</v>
      </c>
      <c r="D1413" s="29" t="str">
        <v>H</v>
      </c>
      <c r="E1413" s="29" t="str">
        <v>H</v>
      </c>
      <c r="F1413" s="29" t="str">
        <v>H</v>
      </c>
      <c r="G1413" s="29" t="str">
        <v>H</v>
      </c>
      <c r="H1413" s="29" t="str">
        <v>H</v>
      </c>
      <c r="I1413" s="29" t="str">
        <v>H</v>
      </c>
      <c r="J1413" s="29" t="str">
        <v>H</v>
      </c>
      <c r="K1413" s="29" t="str">
        <v>H</v>
      </c>
      <c r="L1413" s="29" t="str">
        <v>H</v>
      </c>
      <c r="M1413" s="29" t="str">
        <v>H</v>
      </c>
      <c r="N1413" s="29" t="str">
        <v>H</v>
      </c>
      <c r="O1413" s="29" t="str">
        <v>H</v>
      </c>
      <c r="P1413" s="29" t="str">
        <v>H</v>
      </c>
      <c r="Q1413" s="29" t="str">
        <v>H</v>
      </c>
      <c r="R1413" s="29" t="str">
        <v>H</v>
      </c>
      <c r="S1413" t="str">
        <v>H</v>
      </c>
      <c r="T1413" t="str">
        <v>H</v>
      </c>
      <c r="U1413" t="str">
        <v>H</v>
      </c>
      <c r="V1413" t="str">
        <v>H</v>
      </c>
      <c r="W1413" t="str">
        <v>H</v>
      </c>
    </row>
    <row r="1414" spans="1:23">
      <c r="A1414" s="30">
        <v>45698</v>
      </c>
      <c r="B1414" s="29">
        <v>47200</v>
      </c>
      <c r="C1414" s="29">
        <v>45900</v>
      </c>
      <c r="D1414" s="29">
        <v>46200</v>
      </c>
      <c r="E1414" s="29">
        <v>43200</v>
      </c>
      <c r="F1414" s="29">
        <v>46700</v>
      </c>
      <c r="G1414" s="29" t="str">
        <v>-</v>
      </c>
      <c r="H1414" s="29">
        <v>45000</v>
      </c>
      <c r="I1414" s="29">
        <v>45200</v>
      </c>
      <c r="J1414" s="29">
        <v>47500</v>
      </c>
      <c r="K1414" s="29" t="str">
        <v>-</v>
      </c>
      <c r="L1414" s="29">
        <v>47200</v>
      </c>
      <c r="M1414" s="29">
        <v>47500</v>
      </c>
      <c r="N1414" s="29">
        <v>45600</v>
      </c>
      <c r="O1414" s="29">
        <v>43500</v>
      </c>
      <c r="P1414" s="29">
        <v>42000</v>
      </c>
      <c r="Q1414" s="29">
        <v>42700</v>
      </c>
      <c r="R1414" s="29">
        <v>42800</v>
      </c>
      <c r="S1414">
        <v>45300</v>
      </c>
      <c r="T1414">
        <v>45800</v>
      </c>
      <c r="U1414">
        <v>46500</v>
      </c>
      <c r="V1414">
        <v>47400</v>
      </c>
      <c r="W1414">
        <v>49600</v>
      </c>
    </row>
    <row r="1415" spans="1:23">
      <c r="A1415" s="30">
        <v>45699</v>
      </c>
      <c r="B1415" s="29">
        <v>47200</v>
      </c>
      <c r="C1415" s="29">
        <v>46000</v>
      </c>
      <c r="D1415" s="29">
        <v>46700</v>
      </c>
      <c r="E1415" s="29">
        <v>43100</v>
      </c>
      <c r="F1415" s="29">
        <v>47000</v>
      </c>
      <c r="G1415" s="29" t="str">
        <v>-</v>
      </c>
      <c r="H1415" s="29">
        <v>44700</v>
      </c>
      <c r="I1415" s="29">
        <v>45400</v>
      </c>
      <c r="J1415" s="29">
        <v>47500</v>
      </c>
      <c r="K1415" s="29" t="str">
        <v>-</v>
      </c>
      <c r="L1415" s="29">
        <v>47200</v>
      </c>
      <c r="M1415" s="29">
        <v>47600</v>
      </c>
      <c r="N1415" s="29">
        <v>45600</v>
      </c>
      <c r="O1415" s="29">
        <v>43400</v>
      </c>
      <c r="P1415" s="29">
        <v>42000</v>
      </c>
      <c r="Q1415" s="29">
        <v>42600</v>
      </c>
      <c r="R1415" s="29">
        <v>42700</v>
      </c>
      <c r="S1415">
        <v>45200</v>
      </c>
      <c r="T1415">
        <v>45800</v>
      </c>
      <c r="U1415">
        <v>46500</v>
      </c>
      <c r="V1415">
        <v>47400</v>
      </c>
      <c r="W1415">
        <v>49600</v>
      </c>
    </row>
    <row r="1416" spans="1:23">
      <c r="A1416" s="30">
        <v>45700</v>
      </c>
      <c r="B1416" s="29">
        <v>47200</v>
      </c>
      <c r="C1416" s="29">
        <v>46000</v>
      </c>
      <c r="D1416" s="29">
        <v>46700</v>
      </c>
      <c r="E1416" s="29">
        <v>42900</v>
      </c>
      <c r="F1416" s="29">
        <v>47000</v>
      </c>
      <c r="G1416" s="29" t="str">
        <v>-</v>
      </c>
      <c r="H1416" s="29">
        <v>44300</v>
      </c>
      <c r="I1416" s="29">
        <v>45200</v>
      </c>
      <c r="J1416" s="29">
        <v>47100</v>
      </c>
      <c r="K1416" s="29" t="str">
        <v>-</v>
      </c>
      <c r="L1416" s="29">
        <v>47100</v>
      </c>
      <c r="M1416" s="29">
        <v>47700</v>
      </c>
      <c r="N1416" s="29">
        <v>45400</v>
      </c>
      <c r="O1416" s="29">
        <v>43200</v>
      </c>
      <c r="P1416" s="29">
        <v>41500</v>
      </c>
      <c r="Q1416" s="29">
        <v>42600</v>
      </c>
      <c r="R1416" s="29">
        <v>42500</v>
      </c>
      <c r="S1416">
        <v>45000</v>
      </c>
      <c r="T1416">
        <v>45700</v>
      </c>
      <c r="U1416">
        <v>46500</v>
      </c>
      <c r="V1416">
        <v>47400</v>
      </c>
      <c r="W1416">
        <v>49600</v>
      </c>
    </row>
    <row r="1417" spans="1:23">
      <c r="A1417" s="30">
        <v>45701</v>
      </c>
      <c r="B1417" s="29">
        <v>47200</v>
      </c>
      <c r="C1417" s="29">
        <v>46000</v>
      </c>
      <c r="D1417" s="29">
        <v>46500</v>
      </c>
      <c r="E1417" s="29">
        <v>43300</v>
      </c>
      <c r="F1417" s="29">
        <v>47000</v>
      </c>
      <c r="G1417" s="29" t="str">
        <v>-</v>
      </c>
      <c r="H1417" s="29">
        <v>45000</v>
      </c>
      <c r="I1417" s="29">
        <v>45000</v>
      </c>
      <c r="J1417" s="29">
        <v>47100</v>
      </c>
      <c r="K1417" s="29" t="str">
        <v>-</v>
      </c>
      <c r="L1417" s="29">
        <v>47100</v>
      </c>
      <c r="M1417" s="29">
        <v>47800</v>
      </c>
      <c r="N1417" s="29">
        <v>45600</v>
      </c>
      <c r="O1417" s="29">
        <v>43800</v>
      </c>
      <c r="P1417" s="29">
        <v>42800</v>
      </c>
      <c r="Q1417" s="29">
        <v>42800</v>
      </c>
      <c r="R1417" s="29">
        <v>42800</v>
      </c>
      <c r="S1417">
        <v>45400</v>
      </c>
      <c r="T1417">
        <v>46000</v>
      </c>
      <c r="U1417">
        <v>46500</v>
      </c>
      <c r="V1417">
        <v>47400</v>
      </c>
      <c r="W1417">
        <v>49600</v>
      </c>
    </row>
    <row r="1418" spans="1:23">
      <c r="A1418" s="30">
        <v>45702</v>
      </c>
      <c r="B1418" s="29">
        <v>47000</v>
      </c>
      <c r="C1418" s="29">
        <v>46000</v>
      </c>
      <c r="D1418" s="29">
        <v>46400</v>
      </c>
      <c r="E1418" s="29">
        <v>43000</v>
      </c>
      <c r="F1418" s="29">
        <v>47400</v>
      </c>
      <c r="G1418" s="29" t="str">
        <v>-</v>
      </c>
      <c r="H1418" s="29">
        <v>45000</v>
      </c>
      <c r="I1418" s="29">
        <v>45000</v>
      </c>
      <c r="J1418" s="29">
        <v>47100</v>
      </c>
      <c r="K1418" s="29" t="str">
        <v>-</v>
      </c>
      <c r="L1418" s="29">
        <v>46900</v>
      </c>
      <c r="M1418" s="29">
        <v>47900</v>
      </c>
      <c r="N1418" s="29">
        <v>45400</v>
      </c>
      <c r="O1418" s="29">
        <v>43700</v>
      </c>
      <c r="P1418" s="29">
        <v>42600</v>
      </c>
      <c r="Q1418" s="29">
        <v>42600</v>
      </c>
      <c r="R1418" s="29">
        <v>42700</v>
      </c>
      <c r="S1418">
        <v>45100</v>
      </c>
      <c r="T1418">
        <v>45900</v>
      </c>
      <c r="U1418">
        <v>46500</v>
      </c>
      <c r="V1418">
        <v>47300</v>
      </c>
      <c r="W1418">
        <v>49600</v>
      </c>
    </row>
    <row r="1419" spans="1:23">
      <c r="A1419" s="30">
        <v>45703</v>
      </c>
      <c r="B1419" s="29">
        <v>46900</v>
      </c>
      <c r="C1419" s="29">
        <v>46000</v>
      </c>
      <c r="D1419" s="29">
        <v>46300</v>
      </c>
      <c r="E1419" s="29">
        <v>43000</v>
      </c>
      <c r="F1419" s="29">
        <v>47400</v>
      </c>
      <c r="G1419" s="29" t="str">
        <v>-</v>
      </c>
      <c r="H1419" s="29">
        <v>45000</v>
      </c>
      <c r="I1419" s="29">
        <v>44900</v>
      </c>
      <c r="J1419" s="29">
        <v>47100</v>
      </c>
      <c r="K1419" s="29" t="str">
        <v>-</v>
      </c>
      <c r="L1419" s="29">
        <v>46900</v>
      </c>
      <c r="M1419" s="29">
        <v>48000</v>
      </c>
      <c r="N1419" s="29">
        <v>45300</v>
      </c>
      <c r="O1419" s="29">
        <v>43600</v>
      </c>
      <c r="P1419" s="29">
        <v>42500</v>
      </c>
      <c r="Q1419" s="29">
        <v>42600</v>
      </c>
      <c r="R1419" s="29">
        <v>42600</v>
      </c>
      <c r="S1419">
        <v>45100</v>
      </c>
      <c r="T1419">
        <v>45900</v>
      </c>
      <c r="U1419">
        <v>46500</v>
      </c>
      <c r="V1419">
        <v>47300</v>
      </c>
      <c r="W1419">
        <v>49600</v>
      </c>
    </row>
    <row r="1420" spans="1:23">
      <c r="A1420" s="30">
        <v>45704</v>
      </c>
      <c r="B1420" s="29" t="str">
        <v>H</v>
      </c>
      <c r="C1420" s="29" t="str">
        <v>H</v>
      </c>
      <c r="D1420" s="29" t="str">
        <v>H</v>
      </c>
      <c r="E1420" s="29" t="str">
        <v>H</v>
      </c>
      <c r="F1420" s="29" t="str">
        <v>H</v>
      </c>
      <c r="G1420" s="29" t="str">
        <v>H</v>
      </c>
      <c r="H1420" s="29" t="str">
        <v>H</v>
      </c>
      <c r="I1420" s="29" t="str">
        <v>H</v>
      </c>
      <c r="J1420" s="29" t="str">
        <v>H</v>
      </c>
      <c r="K1420" s="29" t="str">
        <v>H</v>
      </c>
      <c r="L1420" s="29" t="str">
        <v>H</v>
      </c>
      <c r="M1420" s="29" t="str">
        <v>H</v>
      </c>
      <c r="N1420" s="29" t="str">
        <v>H</v>
      </c>
      <c r="O1420" s="29" t="str">
        <v>H</v>
      </c>
      <c r="P1420" s="29" t="str">
        <v>H</v>
      </c>
      <c r="Q1420" s="29" t="str">
        <v>H</v>
      </c>
      <c r="R1420" s="29" t="str">
        <v>H</v>
      </c>
      <c r="S1420" t="str">
        <v>H</v>
      </c>
      <c r="T1420" t="str">
        <v>H</v>
      </c>
      <c r="U1420" t="str">
        <v>H</v>
      </c>
      <c r="V1420" t="str">
        <v>H</v>
      </c>
      <c r="W1420" t="str">
        <v>H</v>
      </c>
    </row>
    <row r="1421" spans="1:23">
      <c r="A1421" s="30">
        <v>45705</v>
      </c>
      <c r="B1421" s="29">
        <v>46700</v>
      </c>
      <c r="C1421" s="29">
        <v>46000</v>
      </c>
      <c r="D1421" s="29">
        <v>46000</v>
      </c>
      <c r="E1421" s="29">
        <v>42800</v>
      </c>
      <c r="F1421" s="29">
        <v>47300</v>
      </c>
      <c r="G1421" s="29" t="str">
        <v>-</v>
      </c>
      <c r="H1421" s="29">
        <v>44500</v>
      </c>
      <c r="I1421" s="29">
        <v>44700</v>
      </c>
      <c r="J1421" s="29">
        <v>46900</v>
      </c>
      <c r="K1421" s="29" t="str">
        <v>-</v>
      </c>
      <c r="L1421" s="29">
        <v>46700</v>
      </c>
      <c r="M1421" s="29">
        <v>48000</v>
      </c>
      <c r="N1421" s="29">
        <v>45000</v>
      </c>
      <c r="O1421" s="29">
        <v>43500</v>
      </c>
      <c r="P1421" s="29">
        <v>42300</v>
      </c>
      <c r="Q1421" s="29">
        <v>42400</v>
      </c>
      <c r="R1421" s="29">
        <v>42500</v>
      </c>
      <c r="S1421">
        <v>44900</v>
      </c>
      <c r="T1421">
        <v>45700</v>
      </c>
      <c r="U1421">
        <v>46500</v>
      </c>
      <c r="V1421">
        <v>47100</v>
      </c>
      <c r="W1421">
        <v>49600</v>
      </c>
    </row>
    <row r="1422" spans="1:23">
      <c r="A1422" s="30">
        <v>45706</v>
      </c>
      <c r="B1422" s="29">
        <v>46500</v>
      </c>
      <c r="C1422" s="29">
        <v>46000</v>
      </c>
      <c r="D1422" s="29">
        <v>46200</v>
      </c>
      <c r="E1422" s="29">
        <v>42800</v>
      </c>
      <c r="F1422" s="29">
        <v>47300</v>
      </c>
      <c r="G1422" s="29" t="str">
        <v>-</v>
      </c>
      <c r="H1422" s="29">
        <v>44300</v>
      </c>
      <c r="I1422" s="29">
        <v>44700</v>
      </c>
      <c r="J1422" s="29">
        <v>47100</v>
      </c>
      <c r="K1422" s="29" t="str">
        <v>-</v>
      </c>
      <c r="L1422" s="29">
        <v>46700</v>
      </c>
      <c r="M1422" s="29">
        <v>48200</v>
      </c>
      <c r="N1422" s="29">
        <v>44800</v>
      </c>
      <c r="O1422" s="29">
        <v>43500</v>
      </c>
      <c r="P1422" s="29">
        <v>42300</v>
      </c>
      <c r="Q1422" s="29">
        <v>42600</v>
      </c>
      <c r="R1422" s="29">
        <v>42500</v>
      </c>
      <c r="S1422">
        <v>44900</v>
      </c>
      <c r="T1422">
        <v>45700</v>
      </c>
      <c r="U1422">
        <v>46500</v>
      </c>
      <c r="V1422">
        <v>47100</v>
      </c>
      <c r="W1422">
        <v>49500</v>
      </c>
    </row>
    <row r="1423" spans="1:23">
      <c r="A1423" s="30">
        <v>45707</v>
      </c>
      <c r="B1423" s="29">
        <v>46400</v>
      </c>
      <c r="C1423" s="29">
        <v>46000</v>
      </c>
      <c r="D1423" s="29">
        <v>46200</v>
      </c>
      <c r="E1423" s="29">
        <v>42600</v>
      </c>
      <c r="F1423" s="29">
        <v>47300</v>
      </c>
      <c r="G1423" s="29" t="str">
        <v>-</v>
      </c>
      <c r="H1423" s="29">
        <v>44300</v>
      </c>
      <c r="I1423" s="29">
        <v>44700</v>
      </c>
      <c r="J1423" s="29">
        <v>47100</v>
      </c>
      <c r="K1423" s="29" t="str">
        <v>-</v>
      </c>
      <c r="L1423" s="29">
        <v>46700</v>
      </c>
      <c r="M1423" s="29">
        <v>48200</v>
      </c>
      <c r="N1423" s="29">
        <v>44900</v>
      </c>
      <c r="O1423" s="29">
        <v>43500</v>
      </c>
      <c r="P1423" s="29">
        <v>42200</v>
      </c>
      <c r="Q1423" s="29">
        <v>42400</v>
      </c>
      <c r="R1423" s="29">
        <v>42500</v>
      </c>
      <c r="S1423">
        <v>44700</v>
      </c>
      <c r="T1423">
        <v>45600</v>
      </c>
      <c r="U1423">
        <v>46500</v>
      </c>
      <c r="V1423">
        <v>47200</v>
      </c>
      <c r="W1423">
        <v>49400</v>
      </c>
    </row>
    <row r="1424" spans="1:23">
      <c r="A1424" s="30">
        <v>45708</v>
      </c>
      <c r="B1424" s="29">
        <v>46600</v>
      </c>
      <c r="C1424" s="29">
        <v>46000</v>
      </c>
      <c r="D1424" s="29">
        <v>46200</v>
      </c>
      <c r="E1424" s="29">
        <v>42900</v>
      </c>
      <c r="F1424" s="29">
        <v>47300</v>
      </c>
      <c r="G1424" s="29" t="str">
        <v>-</v>
      </c>
      <c r="H1424" s="29">
        <v>44300</v>
      </c>
      <c r="I1424" s="29">
        <v>44800</v>
      </c>
      <c r="J1424" s="29">
        <v>47100</v>
      </c>
      <c r="K1424" s="29" t="str">
        <v>-</v>
      </c>
      <c r="L1424" s="29">
        <v>47000</v>
      </c>
      <c r="M1424" s="29">
        <v>48500</v>
      </c>
      <c r="N1424" s="29">
        <v>45100</v>
      </c>
      <c r="O1424" s="29">
        <v>43800</v>
      </c>
      <c r="P1424" s="29">
        <v>42500</v>
      </c>
      <c r="Q1424" s="29">
        <v>42700</v>
      </c>
      <c r="R1424" s="29">
        <v>42800</v>
      </c>
      <c r="S1424">
        <v>45000</v>
      </c>
      <c r="T1424">
        <v>45800</v>
      </c>
      <c r="U1424">
        <v>46800</v>
      </c>
      <c r="V1424">
        <v>47000</v>
      </c>
      <c r="W1424">
        <v>49400</v>
      </c>
    </row>
    <row r="1425" spans="1:23">
      <c r="A1425" s="30">
        <v>45709</v>
      </c>
      <c r="B1425" s="29">
        <v>46600</v>
      </c>
      <c r="C1425" s="29">
        <v>46000</v>
      </c>
      <c r="D1425" s="29">
        <v>46400</v>
      </c>
      <c r="E1425" s="29">
        <v>42800</v>
      </c>
      <c r="F1425" s="29">
        <v>47300</v>
      </c>
      <c r="G1425" s="29" t="str">
        <v>-</v>
      </c>
      <c r="H1425" s="29">
        <v>44300</v>
      </c>
      <c r="I1425" s="29">
        <v>44600</v>
      </c>
      <c r="J1425" s="29">
        <v>47100</v>
      </c>
      <c r="K1425" s="29" t="str">
        <v>-</v>
      </c>
      <c r="L1425" s="29">
        <v>46800</v>
      </c>
      <c r="M1425" s="29">
        <v>48600</v>
      </c>
      <c r="N1425" s="29">
        <v>45100</v>
      </c>
      <c r="O1425" s="29">
        <v>43700</v>
      </c>
      <c r="P1425" s="29">
        <v>42500</v>
      </c>
      <c r="Q1425" s="29">
        <v>42700</v>
      </c>
      <c r="R1425" s="29">
        <v>42700</v>
      </c>
      <c r="S1425">
        <v>44900</v>
      </c>
      <c r="T1425">
        <v>45800</v>
      </c>
      <c r="U1425">
        <v>46800</v>
      </c>
      <c r="V1425">
        <v>47000</v>
      </c>
      <c r="W1425">
        <v>49400</v>
      </c>
    </row>
    <row r="1426" spans="1:23">
      <c r="A1426" s="30">
        <v>45710</v>
      </c>
      <c r="B1426" s="29">
        <v>46700</v>
      </c>
      <c r="C1426" s="29">
        <v>46000</v>
      </c>
      <c r="D1426" s="29">
        <v>46300</v>
      </c>
      <c r="E1426" s="29">
        <v>43000</v>
      </c>
      <c r="F1426" s="29">
        <v>47300</v>
      </c>
      <c r="G1426" s="29" t="str">
        <v>-</v>
      </c>
      <c r="H1426" s="29">
        <v>44300</v>
      </c>
      <c r="I1426" s="29">
        <v>44600</v>
      </c>
      <c r="J1426" s="29">
        <v>47100</v>
      </c>
      <c r="K1426" s="29" t="str">
        <v>-</v>
      </c>
      <c r="L1426" s="29">
        <v>46800</v>
      </c>
      <c r="M1426" s="29">
        <v>48700</v>
      </c>
      <c r="N1426" s="29">
        <v>45200</v>
      </c>
      <c r="O1426" s="29">
        <v>43700</v>
      </c>
      <c r="P1426" s="29">
        <v>42700</v>
      </c>
      <c r="Q1426" s="29">
        <v>42700</v>
      </c>
      <c r="R1426" s="29">
        <v>42700</v>
      </c>
      <c r="S1426">
        <v>45100</v>
      </c>
      <c r="T1426">
        <v>46000</v>
      </c>
      <c r="U1426">
        <v>46800</v>
      </c>
      <c r="V1426">
        <v>47000</v>
      </c>
      <c r="W1426">
        <v>49400</v>
      </c>
    </row>
    <row r="1427" spans="1:23">
      <c r="A1427" s="30">
        <v>45711</v>
      </c>
      <c r="B1427" s="29" t="str">
        <v>H</v>
      </c>
      <c r="C1427" s="29" t="str">
        <v>H</v>
      </c>
      <c r="D1427" s="29" t="str">
        <v>H</v>
      </c>
      <c r="E1427" s="29" t="str">
        <v>H</v>
      </c>
      <c r="F1427" s="29" t="str">
        <v>H</v>
      </c>
      <c r="G1427" s="29" t="str">
        <v>H</v>
      </c>
      <c r="H1427" s="29" t="str">
        <v>H</v>
      </c>
      <c r="I1427" s="29" t="str">
        <v>H</v>
      </c>
      <c r="J1427" s="29" t="str">
        <v>H</v>
      </c>
      <c r="K1427" s="29" t="str">
        <v>H</v>
      </c>
      <c r="L1427" s="29" t="str">
        <v>H</v>
      </c>
      <c r="M1427" s="29" t="str">
        <v>H</v>
      </c>
      <c r="N1427" s="29" t="str">
        <v>H</v>
      </c>
      <c r="O1427" s="29" t="str">
        <v>H</v>
      </c>
      <c r="P1427" s="29" t="str">
        <v>H</v>
      </c>
      <c r="Q1427" s="29" t="str">
        <v>H</v>
      </c>
      <c r="R1427" s="29" t="str">
        <v>H</v>
      </c>
      <c r="S1427" t="str">
        <v>H</v>
      </c>
      <c r="T1427" t="str">
        <v>H</v>
      </c>
      <c r="U1427" t="str">
        <v>H</v>
      </c>
      <c r="V1427" t="str">
        <v>H</v>
      </c>
      <c r="W1427" t="str">
        <v>H</v>
      </c>
    </row>
    <row r="1428" spans="1:23">
      <c r="A1428" s="30">
        <v>45712</v>
      </c>
      <c r="B1428" s="29">
        <v>47000</v>
      </c>
      <c r="C1428" s="29">
        <v>46000</v>
      </c>
      <c r="D1428" s="29">
        <v>46600</v>
      </c>
      <c r="E1428" s="29">
        <v>43200</v>
      </c>
      <c r="F1428" s="29">
        <v>47600</v>
      </c>
      <c r="G1428" s="29" t="str">
        <v>-</v>
      </c>
      <c r="H1428" s="29">
        <v>45000</v>
      </c>
      <c r="I1428" s="29">
        <v>44900</v>
      </c>
      <c r="J1428" s="29">
        <v>47300</v>
      </c>
      <c r="K1428" s="29" t="str">
        <v>-</v>
      </c>
      <c r="L1428" s="29">
        <v>46900</v>
      </c>
      <c r="M1428" s="29">
        <v>48800</v>
      </c>
      <c r="N1428" s="29">
        <v>45700</v>
      </c>
      <c r="O1428" s="29">
        <v>44000</v>
      </c>
      <c r="P1428" s="29">
        <v>43000</v>
      </c>
      <c r="Q1428" s="29">
        <v>43000</v>
      </c>
      <c r="R1428" s="29">
        <v>43000</v>
      </c>
      <c r="S1428">
        <v>45300</v>
      </c>
      <c r="T1428">
        <v>46300</v>
      </c>
      <c r="U1428">
        <v>46800</v>
      </c>
      <c r="V1428">
        <v>47000</v>
      </c>
      <c r="W1428">
        <v>49400</v>
      </c>
    </row>
    <row r="1429" spans="1:23">
      <c r="A1429" s="30">
        <v>45713</v>
      </c>
      <c r="B1429" s="29">
        <v>47200</v>
      </c>
      <c r="C1429" s="29">
        <v>46000</v>
      </c>
      <c r="D1429" s="29">
        <v>46500</v>
      </c>
      <c r="E1429" s="29">
        <v>43100</v>
      </c>
      <c r="F1429" s="29">
        <v>48000</v>
      </c>
      <c r="G1429" s="29" t="str">
        <v>-</v>
      </c>
      <c r="H1429" s="29">
        <v>45000</v>
      </c>
      <c r="I1429" s="29">
        <v>45000</v>
      </c>
      <c r="J1429" s="29">
        <v>47500</v>
      </c>
      <c r="K1429" s="29" t="str">
        <v>-</v>
      </c>
      <c r="L1429" s="29">
        <v>46900</v>
      </c>
      <c r="M1429" s="29">
        <v>48800</v>
      </c>
      <c r="N1429" s="29">
        <v>45600</v>
      </c>
      <c r="O1429" s="29">
        <v>44200</v>
      </c>
      <c r="P1429" s="29">
        <v>42800</v>
      </c>
      <c r="Q1429" s="29">
        <v>43000</v>
      </c>
      <c r="R1429" s="29">
        <v>43200</v>
      </c>
      <c r="S1429">
        <v>45200</v>
      </c>
      <c r="T1429">
        <v>46300</v>
      </c>
      <c r="U1429">
        <v>46800</v>
      </c>
      <c r="V1429">
        <v>47500</v>
      </c>
      <c r="W1429">
        <v>49600</v>
      </c>
    </row>
    <row r="1430" spans="1:23">
      <c r="A1430" s="30">
        <v>45714</v>
      </c>
      <c r="B1430" s="29">
        <v>47200</v>
      </c>
      <c r="C1430" s="29">
        <v>46000</v>
      </c>
      <c r="D1430" s="29">
        <v>46600</v>
      </c>
      <c r="E1430" s="29">
        <v>43500</v>
      </c>
      <c r="F1430" s="29">
        <v>48000</v>
      </c>
      <c r="G1430" s="29" t="str">
        <v>-</v>
      </c>
      <c r="H1430" s="29">
        <v>45000</v>
      </c>
      <c r="I1430" s="29">
        <v>45200</v>
      </c>
      <c r="J1430" s="29">
        <v>47500</v>
      </c>
      <c r="K1430" s="29" t="str">
        <v>-</v>
      </c>
      <c r="L1430" s="29">
        <v>47100</v>
      </c>
      <c r="M1430" s="29">
        <v>48800</v>
      </c>
      <c r="N1430" s="29">
        <v>45600</v>
      </c>
      <c r="O1430" s="29">
        <v>44300</v>
      </c>
      <c r="P1430" s="29">
        <v>43300</v>
      </c>
      <c r="Q1430" s="29">
        <v>43300</v>
      </c>
      <c r="R1430" s="29">
        <v>43400</v>
      </c>
      <c r="S1430">
        <v>45600</v>
      </c>
      <c r="T1430">
        <v>46500</v>
      </c>
      <c r="U1430">
        <v>47000</v>
      </c>
      <c r="V1430">
        <v>47500</v>
      </c>
      <c r="W1430">
        <v>49600</v>
      </c>
    </row>
    <row r="1431" spans="1:23">
      <c r="A1431" s="30">
        <v>45715</v>
      </c>
      <c r="B1431" s="29">
        <v>47600</v>
      </c>
      <c r="C1431" s="29">
        <v>46200</v>
      </c>
      <c r="D1431" s="29">
        <v>46700</v>
      </c>
      <c r="E1431" s="29">
        <v>43900</v>
      </c>
      <c r="F1431" s="29">
        <v>48200</v>
      </c>
      <c r="G1431" s="29" t="str">
        <v>-</v>
      </c>
      <c r="H1431" s="29">
        <v>46000</v>
      </c>
      <c r="I1431" s="29">
        <v>45300</v>
      </c>
      <c r="J1431" s="29">
        <v>48100</v>
      </c>
      <c r="K1431" s="29" t="str">
        <v>-</v>
      </c>
      <c r="L1431" s="29">
        <v>47200</v>
      </c>
      <c r="M1431" s="29">
        <v>49000</v>
      </c>
      <c r="N1431" s="29">
        <v>46000</v>
      </c>
      <c r="O1431" s="29">
        <v>44500</v>
      </c>
      <c r="P1431" s="29">
        <v>44100</v>
      </c>
      <c r="Q1431" s="29">
        <v>43800</v>
      </c>
      <c r="R1431" s="29">
        <v>43600</v>
      </c>
      <c r="S1431">
        <v>46000</v>
      </c>
      <c r="T1431">
        <v>47000</v>
      </c>
      <c r="U1431">
        <v>47500</v>
      </c>
      <c r="V1431">
        <v>48000</v>
      </c>
      <c r="W1431">
        <v>50100</v>
      </c>
    </row>
    <row r="1432" spans="1:23">
      <c r="A1432" s="30">
        <v>45716</v>
      </c>
      <c r="B1432" s="29">
        <v>47700</v>
      </c>
      <c r="C1432" s="29">
        <v>46200</v>
      </c>
      <c r="D1432" s="29">
        <v>46700</v>
      </c>
      <c r="E1432" s="29">
        <v>43500</v>
      </c>
      <c r="F1432" s="29">
        <v>48400</v>
      </c>
      <c r="G1432" s="29" t="str">
        <v>-</v>
      </c>
      <c r="H1432" s="29">
        <v>45500</v>
      </c>
      <c r="I1432" s="29">
        <v>45300</v>
      </c>
      <c r="J1432" s="29">
        <v>48100</v>
      </c>
      <c r="K1432" s="29" t="str">
        <v>-</v>
      </c>
      <c r="L1432" s="29">
        <v>47100</v>
      </c>
      <c r="M1432" s="29">
        <v>49100</v>
      </c>
      <c r="N1432" s="29">
        <v>46000</v>
      </c>
      <c r="O1432" s="29">
        <v>44700</v>
      </c>
      <c r="P1432" s="29">
        <v>43400</v>
      </c>
      <c r="Q1432" s="29">
        <v>43700</v>
      </c>
      <c r="R1432" s="29">
        <v>44000</v>
      </c>
      <c r="S1432">
        <v>45600</v>
      </c>
      <c r="T1432">
        <v>47000</v>
      </c>
      <c r="U1432">
        <v>47500</v>
      </c>
      <c r="V1432">
        <v>48200</v>
      </c>
      <c r="W1432">
        <v>50100</v>
      </c>
    </row>
    <row r="1433" spans="1:23">
      <c r="A1433" s="30">
        <v>45717</v>
      </c>
      <c r="B1433" s="29">
        <v>47700</v>
      </c>
      <c r="C1433" s="29">
        <v>46300</v>
      </c>
      <c r="D1433" s="29">
        <v>46700</v>
      </c>
      <c r="E1433" s="29">
        <v>43700</v>
      </c>
      <c r="F1433" s="29">
        <v>48400</v>
      </c>
      <c r="G1433" s="29" t="str">
        <v>-</v>
      </c>
      <c r="H1433" s="29">
        <v>45500</v>
      </c>
      <c r="I1433" s="29">
        <v>45300</v>
      </c>
      <c r="J1433" s="29">
        <v>48100</v>
      </c>
      <c r="K1433" s="29" t="str">
        <v>-</v>
      </c>
      <c r="L1433" s="29">
        <v>47200</v>
      </c>
      <c r="M1433" s="29">
        <v>49200</v>
      </c>
      <c r="N1433" s="29">
        <v>46000</v>
      </c>
      <c r="O1433" s="29">
        <v>44700</v>
      </c>
      <c r="P1433" s="29">
        <v>43300</v>
      </c>
      <c r="Q1433" s="29">
        <v>43700</v>
      </c>
      <c r="R1433" s="29">
        <v>44000</v>
      </c>
      <c r="S1433">
        <v>45800</v>
      </c>
      <c r="T1433">
        <v>47000</v>
      </c>
      <c r="U1433">
        <v>47500</v>
      </c>
      <c r="V1433">
        <v>48200</v>
      </c>
      <c r="W1433">
        <v>50100</v>
      </c>
    </row>
    <row r="1434" spans="1:23">
      <c r="A1434" s="30">
        <v>45718</v>
      </c>
      <c r="B1434" s="29" t="str">
        <v>H</v>
      </c>
      <c r="C1434" s="29" t="str">
        <v>H</v>
      </c>
      <c r="D1434" s="29" t="str">
        <v>H</v>
      </c>
      <c r="E1434" s="29" t="str">
        <v>H</v>
      </c>
      <c r="F1434" s="29" t="str">
        <v>H</v>
      </c>
      <c r="G1434" s="29" t="str">
        <v>H</v>
      </c>
      <c r="H1434" s="29" t="str">
        <v>H</v>
      </c>
      <c r="I1434" s="29" t="str">
        <v>H</v>
      </c>
      <c r="J1434" s="29" t="str">
        <v>H</v>
      </c>
      <c r="K1434" s="29" t="str">
        <v>H</v>
      </c>
      <c r="L1434" s="29" t="str">
        <v>H</v>
      </c>
      <c r="M1434" s="29" t="str">
        <v>H</v>
      </c>
      <c r="N1434" s="29" t="str">
        <v>H</v>
      </c>
      <c r="O1434" s="29" t="str">
        <v>H</v>
      </c>
      <c r="P1434" s="29" t="str">
        <v>H</v>
      </c>
      <c r="Q1434" s="29" t="str">
        <v>H</v>
      </c>
      <c r="R1434" s="29" t="str">
        <v>H</v>
      </c>
      <c r="S1434" t="str">
        <v>H</v>
      </c>
      <c r="T1434" t="str">
        <v>H</v>
      </c>
      <c r="U1434" t="str">
        <v>H</v>
      </c>
      <c r="V1434" t="str">
        <v>H</v>
      </c>
      <c r="W1434" t="str">
        <v>H</v>
      </c>
    </row>
    <row r="1435" spans="1:23">
      <c r="A1435" s="30">
        <v>45719</v>
      </c>
      <c r="B1435" s="29">
        <v>47700</v>
      </c>
      <c r="C1435" s="29">
        <v>46300</v>
      </c>
      <c r="D1435" s="29">
        <v>46600</v>
      </c>
      <c r="E1435" s="29">
        <v>43200</v>
      </c>
      <c r="F1435" s="29">
        <v>48300</v>
      </c>
      <c r="G1435" s="29" t="str">
        <v>-</v>
      </c>
      <c r="H1435" s="29">
        <v>45500</v>
      </c>
      <c r="I1435" s="29">
        <v>45100</v>
      </c>
      <c r="J1435" s="29">
        <v>47900</v>
      </c>
      <c r="K1435" s="29" t="str">
        <v>-</v>
      </c>
      <c r="L1435" s="29">
        <v>47000</v>
      </c>
      <c r="M1435" s="29">
        <v>49100</v>
      </c>
      <c r="N1435" s="29">
        <v>45300</v>
      </c>
      <c r="O1435" s="29">
        <v>44700</v>
      </c>
      <c r="P1435" s="29">
        <v>43000</v>
      </c>
      <c r="Q1435" s="29">
        <v>43500</v>
      </c>
      <c r="R1435" s="29">
        <v>43900</v>
      </c>
      <c r="S1435">
        <v>45300</v>
      </c>
      <c r="T1435">
        <v>46800</v>
      </c>
      <c r="U1435">
        <v>47500</v>
      </c>
      <c r="V1435">
        <v>48200</v>
      </c>
      <c r="W1435">
        <v>50200</v>
      </c>
    </row>
    <row r="1436" spans="1:23">
      <c r="A1436" s="30">
        <v>45720</v>
      </c>
      <c r="B1436" s="29">
        <v>47800</v>
      </c>
      <c r="C1436" s="29">
        <v>46300</v>
      </c>
      <c r="D1436" s="29">
        <v>46600</v>
      </c>
      <c r="E1436" s="29">
        <v>43500</v>
      </c>
      <c r="F1436" s="29">
        <v>47900</v>
      </c>
      <c r="G1436" s="29" t="str">
        <v>-</v>
      </c>
      <c r="H1436" s="29">
        <v>45500</v>
      </c>
      <c r="I1436" s="29">
        <v>45300</v>
      </c>
      <c r="J1436" s="29">
        <v>48300</v>
      </c>
      <c r="K1436" s="29" t="str">
        <v>-</v>
      </c>
      <c r="L1436" s="29">
        <v>47000</v>
      </c>
      <c r="M1436" s="29">
        <v>49200</v>
      </c>
      <c r="N1436" s="29">
        <v>45600</v>
      </c>
      <c r="O1436" s="29">
        <v>44700</v>
      </c>
      <c r="P1436" s="29">
        <v>43100</v>
      </c>
      <c r="Q1436" s="29">
        <v>43500</v>
      </c>
      <c r="R1436" s="29">
        <v>43800</v>
      </c>
      <c r="S1436">
        <v>45600</v>
      </c>
      <c r="T1436">
        <v>46800</v>
      </c>
      <c r="U1436">
        <v>47500</v>
      </c>
      <c r="V1436">
        <v>48200</v>
      </c>
      <c r="W1436">
        <v>50200</v>
      </c>
    </row>
    <row r="1437" spans="1:23">
      <c r="A1437" s="30">
        <v>45721</v>
      </c>
      <c r="B1437" s="29">
        <v>47800</v>
      </c>
      <c r="C1437" s="29">
        <v>46800</v>
      </c>
      <c r="D1437" s="29">
        <v>46800</v>
      </c>
      <c r="E1437" s="29">
        <v>43800</v>
      </c>
      <c r="F1437" s="29">
        <v>48300</v>
      </c>
      <c r="G1437" s="29" t="str">
        <v>-</v>
      </c>
      <c r="H1437" s="29">
        <v>46000</v>
      </c>
      <c r="I1437" s="29">
        <v>45500</v>
      </c>
      <c r="J1437" s="29">
        <v>48600</v>
      </c>
      <c r="K1437" s="29" t="str">
        <v>-</v>
      </c>
      <c r="L1437" s="29">
        <v>47100</v>
      </c>
      <c r="M1437" s="29">
        <v>49300</v>
      </c>
      <c r="N1437" s="29">
        <v>45800</v>
      </c>
      <c r="O1437" s="29">
        <v>44500</v>
      </c>
      <c r="P1437" s="29">
        <v>43400</v>
      </c>
      <c r="Q1437" s="29">
        <v>43800</v>
      </c>
      <c r="R1437" s="29">
        <v>43700</v>
      </c>
      <c r="S1437">
        <v>45900</v>
      </c>
      <c r="T1437">
        <v>47000</v>
      </c>
      <c r="U1437">
        <v>47500</v>
      </c>
      <c r="V1437">
        <v>48200</v>
      </c>
      <c r="W1437">
        <v>50200</v>
      </c>
    </row>
    <row r="1438" spans="1:23">
      <c r="A1438" s="30">
        <v>45722</v>
      </c>
      <c r="B1438" s="29">
        <v>47800</v>
      </c>
      <c r="C1438" s="29">
        <v>47000</v>
      </c>
      <c r="D1438" s="29">
        <v>46800</v>
      </c>
      <c r="E1438" s="29">
        <v>43800</v>
      </c>
      <c r="F1438" s="29">
        <v>48300</v>
      </c>
      <c r="G1438" s="29" t="str">
        <v>-</v>
      </c>
      <c r="H1438" s="29">
        <v>46000</v>
      </c>
      <c r="I1438" s="29">
        <v>45500</v>
      </c>
      <c r="J1438" s="29">
        <v>48600</v>
      </c>
      <c r="K1438" s="29" t="str">
        <v>-</v>
      </c>
      <c r="L1438" s="29">
        <v>47100</v>
      </c>
      <c r="M1438" s="29">
        <v>49300</v>
      </c>
      <c r="N1438" s="29">
        <v>46000</v>
      </c>
      <c r="O1438" s="29">
        <v>44300</v>
      </c>
      <c r="P1438" s="29">
        <v>43300</v>
      </c>
      <c r="Q1438" s="29">
        <v>43800</v>
      </c>
      <c r="R1438" s="29">
        <v>43700</v>
      </c>
      <c r="S1438">
        <v>45900</v>
      </c>
      <c r="T1438">
        <v>47000</v>
      </c>
      <c r="U1438">
        <v>47000</v>
      </c>
      <c r="V1438">
        <v>48600</v>
      </c>
      <c r="W1438">
        <v>50200</v>
      </c>
    </row>
    <row r="1439" spans="1:23">
      <c r="A1439" s="30">
        <v>45723</v>
      </c>
      <c r="B1439" s="29">
        <v>47800</v>
      </c>
      <c r="C1439" s="29">
        <v>47000</v>
      </c>
      <c r="D1439" s="29">
        <v>47000</v>
      </c>
      <c r="E1439" s="29">
        <v>43800</v>
      </c>
      <c r="F1439" s="29">
        <v>48300</v>
      </c>
      <c r="G1439" s="29" t="str">
        <v>-</v>
      </c>
      <c r="H1439" s="29">
        <v>45800</v>
      </c>
      <c r="I1439" s="29">
        <v>45500</v>
      </c>
      <c r="J1439" s="29">
        <v>48400</v>
      </c>
      <c r="K1439" s="29" t="str">
        <v>-</v>
      </c>
      <c r="L1439" s="29">
        <v>47000</v>
      </c>
      <c r="M1439" s="29">
        <v>49400</v>
      </c>
      <c r="N1439" s="29">
        <v>45800</v>
      </c>
      <c r="O1439" s="29">
        <v>44300</v>
      </c>
      <c r="P1439" s="29">
        <v>43300</v>
      </c>
      <c r="Q1439" s="29">
        <v>43800</v>
      </c>
      <c r="R1439" s="29">
        <v>43700</v>
      </c>
      <c r="S1439">
        <v>45900</v>
      </c>
      <c r="T1439">
        <v>47000</v>
      </c>
      <c r="U1439">
        <v>47000</v>
      </c>
      <c r="V1439">
        <v>48600</v>
      </c>
      <c r="W1439">
        <v>50300</v>
      </c>
    </row>
    <row r="1440" spans="1:23">
      <c r="A1440" s="30">
        <v>45724</v>
      </c>
      <c r="B1440" s="29">
        <v>47700</v>
      </c>
      <c r="C1440" s="29">
        <v>47000</v>
      </c>
      <c r="D1440" s="29">
        <v>47000</v>
      </c>
      <c r="E1440" s="29">
        <v>43800</v>
      </c>
      <c r="F1440" s="29">
        <v>48300</v>
      </c>
      <c r="G1440" s="29" t="str">
        <v>-</v>
      </c>
      <c r="H1440" s="29">
        <v>45800</v>
      </c>
      <c r="I1440" s="29">
        <v>45500</v>
      </c>
      <c r="J1440" s="29">
        <v>48700</v>
      </c>
      <c r="K1440" s="29" t="str">
        <v>-</v>
      </c>
      <c r="L1440" s="29">
        <v>47100</v>
      </c>
      <c r="M1440" s="29">
        <v>49500</v>
      </c>
      <c r="N1440" s="29">
        <v>46000</v>
      </c>
      <c r="O1440" s="29">
        <v>44300</v>
      </c>
      <c r="P1440" s="29">
        <v>43600</v>
      </c>
      <c r="Q1440" s="29">
        <v>43700</v>
      </c>
      <c r="R1440" s="29">
        <v>43800</v>
      </c>
      <c r="S1440">
        <v>45800</v>
      </c>
      <c r="T1440">
        <v>47000</v>
      </c>
      <c r="U1440">
        <v>47000</v>
      </c>
      <c r="V1440">
        <v>48600</v>
      </c>
      <c r="W1440">
        <v>50300</v>
      </c>
    </row>
    <row r="1441" spans="1:23">
      <c r="A1441" s="30">
        <v>45725</v>
      </c>
      <c r="B1441" s="29" t="str">
        <v>H</v>
      </c>
      <c r="C1441" s="29" t="str">
        <v>H</v>
      </c>
      <c r="D1441" s="29" t="str">
        <v>H</v>
      </c>
      <c r="E1441" s="29" t="str">
        <v>H</v>
      </c>
      <c r="F1441" s="29" t="str">
        <v>H</v>
      </c>
      <c r="G1441" s="29" t="str">
        <v>H</v>
      </c>
      <c r="H1441" s="29" t="str">
        <v>H</v>
      </c>
      <c r="I1441" s="29" t="str">
        <v>H</v>
      </c>
      <c r="J1441" s="29" t="str">
        <v>H</v>
      </c>
      <c r="K1441" s="29" t="str">
        <v>H</v>
      </c>
      <c r="L1441" s="29" t="str">
        <v>H</v>
      </c>
      <c r="M1441" s="29" t="str">
        <v>H</v>
      </c>
      <c r="N1441" s="29" t="str">
        <v>H</v>
      </c>
      <c r="O1441" s="29" t="str">
        <v>H</v>
      </c>
      <c r="P1441" s="29" t="str">
        <v>H</v>
      </c>
      <c r="Q1441" s="29" t="str">
        <v>H</v>
      </c>
      <c r="R1441" s="29" t="str">
        <v>H</v>
      </c>
      <c r="S1441" t="str">
        <v>H</v>
      </c>
      <c r="T1441" t="str">
        <v>H</v>
      </c>
      <c r="U1441" t="str">
        <v>H</v>
      </c>
      <c r="V1441" t="str">
        <v>H</v>
      </c>
      <c r="W1441" t="str">
        <v>H</v>
      </c>
    </row>
    <row r="1442" spans="1:23">
      <c r="A1442" s="30">
        <v>45726</v>
      </c>
      <c r="B1442" s="29">
        <v>47600</v>
      </c>
      <c r="C1442" s="29">
        <v>47000</v>
      </c>
      <c r="D1442" s="29">
        <v>47000</v>
      </c>
      <c r="E1442" s="29">
        <v>43500</v>
      </c>
      <c r="F1442" s="29">
        <v>48300</v>
      </c>
      <c r="G1442" s="29" t="str">
        <v>-</v>
      </c>
      <c r="H1442" s="29">
        <v>45800</v>
      </c>
      <c r="I1442" s="29">
        <v>45400</v>
      </c>
      <c r="J1442" s="29">
        <v>49000</v>
      </c>
      <c r="K1442" s="29" t="str">
        <v>-</v>
      </c>
      <c r="L1442" s="29">
        <v>47000</v>
      </c>
      <c r="M1442" s="29">
        <v>49500</v>
      </c>
      <c r="N1442" s="29">
        <v>45600</v>
      </c>
      <c r="O1442" s="29">
        <v>44300</v>
      </c>
      <c r="P1442" s="29">
        <v>43400</v>
      </c>
      <c r="Q1442" s="29">
        <v>43600</v>
      </c>
      <c r="R1442" s="29">
        <v>43700</v>
      </c>
      <c r="S1442">
        <v>45600</v>
      </c>
      <c r="T1442">
        <v>46800</v>
      </c>
      <c r="U1442">
        <v>47000</v>
      </c>
      <c r="V1442">
        <v>48600</v>
      </c>
      <c r="W1442">
        <v>50300</v>
      </c>
    </row>
    <row r="1443" spans="1:23">
      <c r="A1443" s="30">
        <v>45727</v>
      </c>
      <c r="B1443" s="29">
        <v>47500</v>
      </c>
      <c r="C1443" s="29">
        <v>47000</v>
      </c>
      <c r="D1443" s="29">
        <v>47000</v>
      </c>
      <c r="E1443" s="29">
        <v>43500</v>
      </c>
      <c r="F1443" s="29">
        <v>48300</v>
      </c>
      <c r="G1443" s="29" t="str">
        <v>-</v>
      </c>
      <c r="H1443" s="29">
        <v>46000</v>
      </c>
      <c r="I1443" s="29">
        <v>45400</v>
      </c>
      <c r="J1443" s="29">
        <v>49000</v>
      </c>
      <c r="K1443" s="29" t="str">
        <v>-</v>
      </c>
      <c r="L1443" s="29">
        <v>47000</v>
      </c>
      <c r="M1443" s="29">
        <v>49500</v>
      </c>
      <c r="N1443" s="29">
        <v>45600</v>
      </c>
      <c r="O1443" s="29">
        <v>44300</v>
      </c>
      <c r="P1443" s="29">
        <v>43400</v>
      </c>
      <c r="Q1443" s="29">
        <v>43500</v>
      </c>
      <c r="R1443" s="29">
        <v>43700</v>
      </c>
      <c r="S1443">
        <v>45600</v>
      </c>
      <c r="T1443">
        <v>46800</v>
      </c>
      <c r="U1443">
        <v>47000</v>
      </c>
      <c r="V1443">
        <v>48600</v>
      </c>
      <c r="W1443">
        <v>50300</v>
      </c>
    </row>
    <row r="1444" spans="1:23">
      <c r="A1444" s="30">
        <v>45728</v>
      </c>
      <c r="B1444" s="29">
        <v>47300</v>
      </c>
      <c r="C1444" s="29">
        <v>46800</v>
      </c>
      <c r="D1444" s="29">
        <v>47000</v>
      </c>
      <c r="E1444" s="29">
        <v>43400</v>
      </c>
      <c r="F1444" s="29">
        <v>48300</v>
      </c>
      <c r="G1444" s="29" t="str">
        <v>-</v>
      </c>
      <c r="H1444" s="29">
        <v>46000</v>
      </c>
      <c r="I1444" s="29">
        <v>45400</v>
      </c>
      <c r="J1444" s="29">
        <v>49000</v>
      </c>
      <c r="K1444" s="29" t="str">
        <v>-</v>
      </c>
      <c r="L1444" s="29">
        <v>46900</v>
      </c>
      <c r="M1444" s="29">
        <v>49400</v>
      </c>
      <c r="N1444" s="29">
        <v>45400</v>
      </c>
      <c r="O1444" s="29">
        <v>44300</v>
      </c>
      <c r="P1444" s="29">
        <v>43300</v>
      </c>
      <c r="Q1444" s="29">
        <v>43500</v>
      </c>
      <c r="R1444" s="29">
        <v>43700</v>
      </c>
      <c r="S1444">
        <v>45500</v>
      </c>
      <c r="T1444">
        <v>46700</v>
      </c>
      <c r="U1444">
        <v>47000</v>
      </c>
      <c r="V1444">
        <v>48600</v>
      </c>
      <c r="W1444">
        <v>50300</v>
      </c>
    </row>
    <row r="1445" spans="1:23">
      <c r="A1445" s="30">
        <v>45729</v>
      </c>
      <c r="B1445" s="29">
        <v>47300</v>
      </c>
      <c r="C1445" s="29">
        <v>46800</v>
      </c>
      <c r="D1445" s="29">
        <v>47000</v>
      </c>
      <c r="E1445" s="29">
        <v>43400</v>
      </c>
      <c r="F1445" s="29">
        <v>48300</v>
      </c>
      <c r="G1445" s="29" t="str">
        <v>-</v>
      </c>
      <c r="H1445" s="29">
        <v>46000</v>
      </c>
      <c r="I1445" s="29">
        <v>45400</v>
      </c>
      <c r="J1445" s="29">
        <v>49000</v>
      </c>
      <c r="K1445" s="29" t="str">
        <v>-</v>
      </c>
      <c r="L1445" s="29">
        <v>46900</v>
      </c>
      <c r="M1445" s="29">
        <v>49400</v>
      </c>
      <c r="N1445" s="29">
        <v>45400</v>
      </c>
      <c r="O1445" s="29">
        <v>44100</v>
      </c>
      <c r="P1445" s="29">
        <v>43400</v>
      </c>
      <c r="Q1445" s="29">
        <v>43500</v>
      </c>
      <c r="R1445" s="29">
        <v>43800</v>
      </c>
      <c r="S1445">
        <v>45500</v>
      </c>
      <c r="T1445">
        <v>46700</v>
      </c>
      <c r="U1445">
        <v>47000</v>
      </c>
      <c r="V1445">
        <v>48600</v>
      </c>
      <c r="W1445">
        <v>50300</v>
      </c>
    </row>
    <row r="1446" spans="1:23">
      <c r="A1446" s="30">
        <v>45730</v>
      </c>
      <c r="B1446" s="29" t="str">
        <v>H</v>
      </c>
      <c r="C1446" s="29" t="str">
        <v>H</v>
      </c>
      <c r="D1446" s="29" t="str">
        <v>H</v>
      </c>
      <c r="E1446" s="29" t="str">
        <v>H</v>
      </c>
      <c r="F1446" s="29" t="str">
        <v>H</v>
      </c>
      <c r="G1446" s="29" t="str">
        <v>H</v>
      </c>
      <c r="H1446" s="29" t="str">
        <v>H</v>
      </c>
      <c r="I1446" s="29" t="str">
        <v>H</v>
      </c>
      <c r="J1446" s="29" t="str">
        <v>H</v>
      </c>
      <c r="K1446" s="29" t="str">
        <v>H</v>
      </c>
      <c r="L1446" s="29" t="str">
        <v>H</v>
      </c>
      <c r="M1446" s="29" t="str">
        <v>H</v>
      </c>
      <c r="N1446" s="29" t="str">
        <v>H</v>
      </c>
      <c r="O1446" s="29" t="str">
        <v>H</v>
      </c>
      <c r="P1446" s="29" t="str">
        <v>H</v>
      </c>
      <c r="Q1446" s="29" t="str">
        <v>H</v>
      </c>
      <c r="R1446" s="29" t="str">
        <v>H</v>
      </c>
      <c r="S1446" t="str">
        <v>H</v>
      </c>
      <c r="T1446" t="str">
        <v>H</v>
      </c>
      <c r="U1446" t="str">
        <v>H</v>
      </c>
      <c r="V1446" t="str">
        <v>H</v>
      </c>
      <c r="W1446" t="str">
        <v>H</v>
      </c>
    </row>
    <row r="1447" spans="1:23">
      <c r="A1447" s="30">
        <v>45731</v>
      </c>
      <c r="B1447" s="29" t="str">
        <v>H</v>
      </c>
      <c r="C1447" s="29" t="str">
        <v>H</v>
      </c>
      <c r="D1447" s="29" t="str">
        <v>H</v>
      </c>
      <c r="E1447" s="29" t="str">
        <v>H</v>
      </c>
      <c r="F1447" s="29" t="str">
        <v>H</v>
      </c>
      <c r="G1447" s="29" t="str">
        <v>H</v>
      </c>
      <c r="H1447" s="29" t="str">
        <v>H</v>
      </c>
      <c r="I1447" s="29" t="str">
        <v>H</v>
      </c>
      <c r="J1447" s="29" t="str">
        <v>H</v>
      </c>
      <c r="K1447" s="29" t="str">
        <v>H</v>
      </c>
      <c r="L1447" s="29" t="str">
        <v>H</v>
      </c>
      <c r="M1447" s="29" t="str">
        <v>H</v>
      </c>
      <c r="N1447" s="29" t="str">
        <v>H</v>
      </c>
      <c r="O1447" s="29" t="str">
        <v>H</v>
      </c>
      <c r="P1447" s="29" t="str">
        <v>H</v>
      </c>
      <c r="Q1447" s="29" t="str">
        <v>H</v>
      </c>
      <c r="R1447" s="29" t="str">
        <v>H</v>
      </c>
      <c r="S1447" t="str">
        <v>H</v>
      </c>
      <c r="T1447" t="str">
        <v>H</v>
      </c>
      <c r="U1447" t="str">
        <v>H</v>
      </c>
      <c r="V1447" t="str">
        <v>H</v>
      </c>
      <c r="W1447" t="str">
        <v>H</v>
      </c>
    </row>
    <row r="1448" spans="1:23">
      <c r="A1448" s="30">
        <v>45732</v>
      </c>
      <c r="B1448" s="29" t="str">
        <v>H</v>
      </c>
      <c r="C1448" s="29" t="str">
        <v>H</v>
      </c>
      <c r="D1448" s="29" t="str">
        <v>H</v>
      </c>
      <c r="E1448" s="29" t="str">
        <v>H</v>
      </c>
      <c r="F1448" s="29" t="str">
        <v>H</v>
      </c>
      <c r="G1448" s="29" t="str">
        <v>H</v>
      </c>
      <c r="H1448" s="29" t="str">
        <v>H</v>
      </c>
      <c r="I1448" s="29" t="str">
        <v>H</v>
      </c>
      <c r="J1448" s="29" t="str">
        <v>H</v>
      </c>
      <c r="K1448" s="29" t="str">
        <v>H</v>
      </c>
      <c r="L1448" s="29" t="str">
        <v>H</v>
      </c>
      <c r="M1448" s="29" t="str">
        <v>H</v>
      </c>
      <c r="N1448" s="29" t="str">
        <v>H</v>
      </c>
      <c r="O1448" s="29" t="str">
        <v>H</v>
      </c>
      <c r="P1448" s="29" t="str">
        <v>H</v>
      </c>
      <c r="Q1448" s="29" t="str">
        <v>H</v>
      </c>
      <c r="R1448" s="29" t="str">
        <v>H</v>
      </c>
      <c r="S1448" t="str">
        <v>H</v>
      </c>
      <c r="T1448" t="str">
        <v>H</v>
      </c>
      <c r="U1448" t="str">
        <v>H</v>
      </c>
      <c r="V1448" t="str">
        <v>H</v>
      </c>
      <c r="W1448" t="str">
        <v>H</v>
      </c>
    </row>
    <row r="1449" spans="1:23">
      <c r="A1449" s="30">
        <v>45733</v>
      </c>
      <c r="B1449" s="29">
        <v>47200</v>
      </c>
      <c r="C1449" s="29">
        <v>47000</v>
      </c>
      <c r="D1449" s="29">
        <v>47000</v>
      </c>
      <c r="E1449" s="29">
        <v>43600</v>
      </c>
      <c r="F1449" s="29">
        <v>48300</v>
      </c>
      <c r="G1449" s="29" t="str">
        <v>-</v>
      </c>
      <c r="H1449" s="29">
        <v>45800</v>
      </c>
      <c r="I1449" s="29">
        <v>45500</v>
      </c>
      <c r="J1449" s="29">
        <v>48800</v>
      </c>
      <c r="K1449" s="29" t="str">
        <v>-</v>
      </c>
      <c r="L1449" s="29">
        <v>47000</v>
      </c>
      <c r="M1449" s="29">
        <v>49300</v>
      </c>
      <c r="N1449" s="29">
        <v>45500</v>
      </c>
      <c r="O1449" s="29">
        <v>44100</v>
      </c>
      <c r="P1449" s="29">
        <v>43500</v>
      </c>
      <c r="Q1449" s="29">
        <v>43600</v>
      </c>
      <c r="R1449" s="29">
        <v>43700</v>
      </c>
      <c r="S1449">
        <v>45700</v>
      </c>
      <c r="T1449">
        <v>46800</v>
      </c>
      <c r="U1449">
        <v>47000</v>
      </c>
      <c r="V1449">
        <v>48600</v>
      </c>
      <c r="W1449">
        <v>50700</v>
      </c>
    </row>
    <row r="1450" spans="1:23">
      <c r="A1450" s="30">
        <v>45734</v>
      </c>
      <c r="B1450" s="29">
        <v>47200</v>
      </c>
      <c r="C1450" s="29">
        <v>47000</v>
      </c>
      <c r="D1450" s="29">
        <v>47200</v>
      </c>
      <c r="E1450" s="29">
        <v>43700</v>
      </c>
      <c r="F1450" s="29">
        <v>48400</v>
      </c>
      <c r="G1450" s="29" t="str">
        <v>-</v>
      </c>
      <c r="H1450" s="29">
        <v>45800</v>
      </c>
      <c r="I1450" s="29">
        <v>45600</v>
      </c>
      <c r="J1450" s="29">
        <v>48800</v>
      </c>
      <c r="K1450" s="29" t="str">
        <v>-</v>
      </c>
      <c r="L1450" s="29">
        <v>47000</v>
      </c>
      <c r="M1450" s="29">
        <v>49300</v>
      </c>
      <c r="N1450" s="29">
        <v>45500</v>
      </c>
      <c r="O1450" s="29">
        <v>44500</v>
      </c>
      <c r="P1450" s="29">
        <v>43900</v>
      </c>
      <c r="Q1450" s="29">
        <v>44000</v>
      </c>
      <c r="R1450" s="29">
        <v>44000</v>
      </c>
      <c r="S1450">
        <v>45800</v>
      </c>
      <c r="T1450">
        <v>47200</v>
      </c>
      <c r="U1450">
        <v>47000</v>
      </c>
      <c r="V1450">
        <v>48800</v>
      </c>
      <c r="W1450">
        <v>51200</v>
      </c>
    </row>
    <row r="1451" spans="1:23">
      <c r="A1451" s="30">
        <v>45735</v>
      </c>
      <c r="B1451" s="29">
        <v>47700</v>
      </c>
      <c r="C1451" s="29">
        <v>47500</v>
      </c>
      <c r="D1451" s="29">
        <v>47600</v>
      </c>
      <c r="E1451" s="29">
        <v>44200</v>
      </c>
      <c r="F1451" s="29">
        <v>49200</v>
      </c>
      <c r="G1451" s="29" t="str">
        <v>-</v>
      </c>
      <c r="H1451" s="29">
        <v>46500</v>
      </c>
      <c r="I1451" s="29">
        <v>46200</v>
      </c>
      <c r="J1451" s="29">
        <v>49400</v>
      </c>
      <c r="K1451" s="29" t="str">
        <v>-</v>
      </c>
      <c r="L1451" s="29">
        <v>47300</v>
      </c>
      <c r="M1451" s="29">
        <v>49400</v>
      </c>
      <c r="N1451" s="29">
        <v>46300</v>
      </c>
      <c r="O1451" s="29">
        <v>44800</v>
      </c>
      <c r="P1451" s="29">
        <v>44600</v>
      </c>
      <c r="Q1451" s="29">
        <v>44700</v>
      </c>
      <c r="R1451" s="29">
        <v>44200</v>
      </c>
      <c r="S1451">
        <v>46300</v>
      </c>
      <c r="T1451">
        <v>47600</v>
      </c>
      <c r="U1451">
        <v>47200</v>
      </c>
      <c r="V1451">
        <v>49300</v>
      </c>
      <c r="W1451">
        <v>51200</v>
      </c>
    </row>
    <row r="1452" spans="1:23">
      <c r="A1452" s="30">
        <v>45736</v>
      </c>
      <c r="B1452" s="29">
        <v>48000</v>
      </c>
      <c r="C1452" s="29">
        <v>47800</v>
      </c>
      <c r="D1452" s="29">
        <v>48100</v>
      </c>
      <c r="E1452" s="29">
        <v>44600</v>
      </c>
      <c r="F1452" s="29">
        <v>49600</v>
      </c>
      <c r="G1452" s="29" t="str">
        <v>-</v>
      </c>
      <c r="H1452" s="29">
        <v>46500</v>
      </c>
      <c r="I1452" s="29">
        <v>46300</v>
      </c>
      <c r="J1452" s="29">
        <v>49500</v>
      </c>
      <c r="K1452" s="29" t="str">
        <v>-</v>
      </c>
      <c r="L1452" s="29">
        <v>47600</v>
      </c>
      <c r="M1452" s="29">
        <v>49400</v>
      </c>
      <c r="N1452" s="29">
        <v>46400</v>
      </c>
      <c r="O1452" s="29">
        <v>45500</v>
      </c>
      <c r="P1452" s="29">
        <v>45000</v>
      </c>
      <c r="Q1452" s="29">
        <v>45100</v>
      </c>
      <c r="R1452" s="29">
        <v>44800</v>
      </c>
      <c r="S1452">
        <v>46700</v>
      </c>
      <c r="T1452">
        <v>48200</v>
      </c>
      <c r="U1452">
        <v>47500</v>
      </c>
      <c r="V1452">
        <v>49500</v>
      </c>
      <c r="W1452">
        <v>52100</v>
      </c>
    </row>
    <row r="1453" spans="1:23">
      <c r="A1453" s="30">
        <v>45737</v>
      </c>
      <c r="B1453" s="29">
        <v>48100</v>
      </c>
      <c r="C1453" s="29">
        <v>48000</v>
      </c>
      <c r="D1453" s="29">
        <v>48500</v>
      </c>
      <c r="E1453" s="29">
        <v>45300</v>
      </c>
      <c r="F1453" s="29">
        <v>50200</v>
      </c>
      <c r="G1453" s="29" t="str">
        <v>-</v>
      </c>
      <c r="H1453" s="29">
        <v>47000</v>
      </c>
      <c r="I1453" s="29">
        <v>46600</v>
      </c>
      <c r="J1453" s="29">
        <v>49500</v>
      </c>
      <c r="K1453" s="29" t="str">
        <v>-</v>
      </c>
      <c r="L1453" s="29">
        <v>48000</v>
      </c>
      <c r="M1453" s="29">
        <v>49400</v>
      </c>
      <c r="N1453" s="29">
        <v>47000</v>
      </c>
      <c r="O1453" s="29">
        <v>45800</v>
      </c>
      <c r="P1453" s="29">
        <v>45200</v>
      </c>
      <c r="Q1453" s="29">
        <v>45200</v>
      </c>
      <c r="R1453" s="29">
        <v>45000</v>
      </c>
      <c r="S1453">
        <v>47400</v>
      </c>
      <c r="T1453">
        <v>48500</v>
      </c>
      <c r="U1453">
        <v>47500</v>
      </c>
      <c r="V1453">
        <v>50200</v>
      </c>
      <c r="W1453">
        <v>52400</v>
      </c>
    </row>
    <row r="1454" spans="1:23">
      <c r="A1454" s="30">
        <v>45738</v>
      </c>
      <c r="B1454" s="29">
        <v>48100</v>
      </c>
      <c r="C1454" s="29">
        <v>48000</v>
      </c>
      <c r="D1454" s="29">
        <v>48500</v>
      </c>
      <c r="E1454" s="29">
        <v>45200</v>
      </c>
      <c r="F1454" s="29">
        <v>50200</v>
      </c>
      <c r="G1454" s="29" t="str">
        <v>-</v>
      </c>
      <c r="H1454" s="29">
        <v>47000</v>
      </c>
      <c r="I1454" s="29">
        <v>46500</v>
      </c>
      <c r="J1454" s="29">
        <v>49200</v>
      </c>
      <c r="K1454" s="29" t="str">
        <v>-</v>
      </c>
      <c r="L1454" s="29">
        <v>48000</v>
      </c>
      <c r="M1454" s="29">
        <v>49300</v>
      </c>
      <c r="N1454" s="29">
        <v>47000</v>
      </c>
      <c r="O1454" s="29">
        <v>45800</v>
      </c>
      <c r="P1454" s="29">
        <v>44900</v>
      </c>
      <c r="Q1454" s="29">
        <v>45000</v>
      </c>
      <c r="R1454" s="29">
        <v>45000</v>
      </c>
      <c r="S1454">
        <v>47300</v>
      </c>
      <c r="T1454">
        <v>48400</v>
      </c>
      <c r="U1454">
        <v>47500</v>
      </c>
      <c r="V1454">
        <v>50200</v>
      </c>
      <c r="W1454">
        <v>52400</v>
      </c>
    </row>
    <row r="1455" spans="1:23">
      <c r="A1455" s="30">
        <v>45739</v>
      </c>
      <c r="B1455" s="29" t="str">
        <v>H</v>
      </c>
      <c r="C1455" s="29" t="str">
        <v>H</v>
      </c>
      <c r="D1455" s="29" t="str">
        <v>H</v>
      </c>
      <c r="E1455" s="29" t="str">
        <v>H</v>
      </c>
      <c r="F1455" s="29" t="str">
        <v>H</v>
      </c>
      <c r="G1455" s="29" t="str">
        <v>H</v>
      </c>
      <c r="H1455" s="29" t="str">
        <v>H</v>
      </c>
      <c r="I1455" s="29" t="str">
        <v>H</v>
      </c>
      <c r="J1455" s="29" t="str">
        <v>H</v>
      </c>
      <c r="K1455" s="29" t="str">
        <v>H</v>
      </c>
      <c r="L1455" s="29" t="str">
        <v>H</v>
      </c>
      <c r="M1455" s="29" t="str">
        <v>H</v>
      </c>
      <c r="N1455" s="29" t="str">
        <v>H</v>
      </c>
      <c r="O1455" s="29" t="str">
        <v>H</v>
      </c>
      <c r="P1455" s="29" t="str">
        <v>H</v>
      </c>
      <c r="Q1455" s="29" t="str">
        <v>H</v>
      </c>
      <c r="R1455" s="29" t="str">
        <v>H</v>
      </c>
      <c r="S1455" t="str">
        <v>H</v>
      </c>
      <c r="T1455" t="str">
        <v>H</v>
      </c>
      <c r="U1455" t="str">
        <v>H</v>
      </c>
      <c r="V1455" t="str">
        <v>H</v>
      </c>
      <c r="W1455" t="str">
        <v>H</v>
      </c>
    </row>
    <row r="1456" spans="1:23">
      <c r="A1456" s="30">
        <v>45740</v>
      </c>
      <c r="B1456" s="29">
        <v>48300</v>
      </c>
      <c r="C1456" s="29">
        <v>48000</v>
      </c>
      <c r="D1456" s="29">
        <v>49500</v>
      </c>
      <c r="E1456" s="29">
        <v>45500</v>
      </c>
      <c r="F1456" s="29">
        <v>50600</v>
      </c>
      <c r="G1456" s="29" t="str">
        <v>-</v>
      </c>
      <c r="H1456" s="29">
        <v>47500</v>
      </c>
      <c r="I1456" s="29">
        <v>47500</v>
      </c>
      <c r="J1456" s="29">
        <v>49500</v>
      </c>
      <c r="K1456" s="29" t="str">
        <v>-</v>
      </c>
      <c r="L1456" s="29">
        <v>48500</v>
      </c>
      <c r="M1456" s="29">
        <v>49400</v>
      </c>
      <c r="N1456" s="29">
        <v>47800</v>
      </c>
      <c r="O1456" s="29">
        <v>46000</v>
      </c>
      <c r="P1456" s="29">
        <v>45200</v>
      </c>
      <c r="Q1456" s="29">
        <v>45300</v>
      </c>
      <c r="R1456" s="29">
        <v>45900</v>
      </c>
      <c r="S1456">
        <v>47600</v>
      </c>
      <c r="T1456">
        <v>48400</v>
      </c>
      <c r="U1456">
        <v>47500</v>
      </c>
      <c r="V1456">
        <v>50200</v>
      </c>
      <c r="W1456">
        <v>52600</v>
      </c>
    </row>
    <row r="1457" spans="1:23">
      <c r="A1457" s="30">
        <v>45741</v>
      </c>
      <c r="B1457" s="29">
        <v>48100</v>
      </c>
      <c r="C1457" s="29">
        <v>48000</v>
      </c>
      <c r="D1457" s="29">
        <v>49300</v>
      </c>
      <c r="E1457" s="29">
        <v>45500</v>
      </c>
      <c r="F1457" s="29">
        <v>50900</v>
      </c>
      <c r="G1457" s="29" t="str">
        <v>-</v>
      </c>
      <c r="H1457" s="29">
        <v>47500</v>
      </c>
      <c r="I1457" s="29">
        <v>47300</v>
      </c>
      <c r="J1457" s="29">
        <v>49500</v>
      </c>
      <c r="K1457" s="29" t="str">
        <v>-</v>
      </c>
      <c r="L1457" s="29">
        <v>48500</v>
      </c>
      <c r="M1457" s="29">
        <v>49400</v>
      </c>
      <c r="N1457" s="29">
        <v>47800</v>
      </c>
      <c r="O1457" s="29">
        <v>46300</v>
      </c>
      <c r="P1457" s="29">
        <v>45200</v>
      </c>
      <c r="Q1457" s="29">
        <v>45300</v>
      </c>
      <c r="R1457" s="29">
        <v>45900</v>
      </c>
      <c r="S1457">
        <v>47600</v>
      </c>
      <c r="T1457">
        <v>48700</v>
      </c>
      <c r="U1457">
        <v>47500</v>
      </c>
      <c r="V1457">
        <v>50300</v>
      </c>
      <c r="W1457">
        <v>52600</v>
      </c>
    </row>
    <row r="1458" spans="1:23">
      <c r="A1458" s="30">
        <v>45742</v>
      </c>
      <c r="B1458" s="29">
        <v>48100</v>
      </c>
      <c r="C1458" s="29">
        <v>48000</v>
      </c>
      <c r="D1458" s="29">
        <v>49000</v>
      </c>
      <c r="E1458" s="29">
        <v>45500</v>
      </c>
      <c r="F1458" s="29">
        <v>50900</v>
      </c>
      <c r="G1458" s="29" t="str">
        <v>-</v>
      </c>
      <c r="H1458" s="29">
        <v>47300</v>
      </c>
      <c r="I1458" s="29">
        <v>47000</v>
      </c>
      <c r="J1458" s="29">
        <v>49500</v>
      </c>
      <c r="K1458" s="29" t="str">
        <v>-</v>
      </c>
      <c r="L1458" s="29">
        <v>48400</v>
      </c>
      <c r="M1458" s="29">
        <v>49400</v>
      </c>
      <c r="N1458" s="29">
        <v>47400</v>
      </c>
      <c r="O1458" s="29">
        <v>46400</v>
      </c>
      <c r="P1458" s="29">
        <v>45000</v>
      </c>
      <c r="Q1458" s="29">
        <v>45200</v>
      </c>
      <c r="R1458" s="29">
        <v>45900</v>
      </c>
      <c r="S1458">
        <v>47600</v>
      </c>
      <c r="T1458">
        <v>48500</v>
      </c>
      <c r="U1458">
        <v>47500</v>
      </c>
      <c r="V1458">
        <v>50300</v>
      </c>
      <c r="W1458">
        <v>52600</v>
      </c>
    </row>
    <row r="1459" spans="1:23">
      <c r="A1459" s="30">
        <v>45743</v>
      </c>
      <c r="B1459" s="29">
        <v>48000</v>
      </c>
      <c r="C1459" s="29">
        <v>48000</v>
      </c>
      <c r="D1459" s="29">
        <v>49000</v>
      </c>
      <c r="E1459" s="29">
        <v>45300</v>
      </c>
      <c r="F1459" s="29">
        <v>50900</v>
      </c>
      <c r="G1459" s="29" t="str">
        <v>-</v>
      </c>
      <c r="H1459" s="29">
        <v>47500</v>
      </c>
      <c r="I1459" s="29">
        <v>47100</v>
      </c>
      <c r="J1459" s="29">
        <v>49500</v>
      </c>
      <c r="K1459" s="29" t="str">
        <v>-</v>
      </c>
      <c r="L1459" s="29">
        <v>48400</v>
      </c>
      <c r="M1459" s="29">
        <v>49400</v>
      </c>
      <c r="N1459" s="29">
        <v>47500</v>
      </c>
      <c r="O1459" s="29">
        <v>46400</v>
      </c>
      <c r="P1459" s="29">
        <v>44900</v>
      </c>
      <c r="Q1459" s="29">
        <v>45200</v>
      </c>
      <c r="R1459" s="29">
        <v>45600</v>
      </c>
      <c r="S1459">
        <v>47400</v>
      </c>
      <c r="T1459">
        <v>48500</v>
      </c>
      <c r="U1459">
        <v>47500</v>
      </c>
      <c r="V1459">
        <v>50000</v>
      </c>
      <c r="W1459">
        <v>52600</v>
      </c>
    </row>
    <row r="1460" spans="1:23">
      <c r="A1460" s="30">
        <v>45744</v>
      </c>
      <c r="B1460" s="29">
        <v>48000</v>
      </c>
      <c r="C1460" s="29">
        <v>48000</v>
      </c>
      <c r="D1460" s="29">
        <v>48800</v>
      </c>
      <c r="E1460" s="29">
        <v>45100</v>
      </c>
      <c r="F1460" s="29">
        <v>50800</v>
      </c>
      <c r="G1460" s="29" t="str">
        <v>-</v>
      </c>
      <c r="H1460" s="29">
        <v>47200</v>
      </c>
      <c r="I1460" s="29">
        <v>47000</v>
      </c>
      <c r="J1460" s="29">
        <v>49300</v>
      </c>
      <c r="K1460" s="29" t="str">
        <v>-</v>
      </c>
      <c r="L1460" s="29">
        <v>48100</v>
      </c>
      <c r="M1460" s="29">
        <v>49300</v>
      </c>
      <c r="N1460" s="29">
        <v>47300</v>
      </c>
      <c r="O1460" s="29">
        <v>46300</v>
      </c>
      <c r="P1460" s="29">
        <v>44700</v>
      </c>
      <c r="Q1460" s="29">
        <v>44800</v>
      </c>
      <c r="R1460" s="29">
        <v>45500</v>
      </c>
      <c r="S1460">
        <v>47200</v>
      </c>
      <c r="T1460">
        <v>48300</v>
      </c>
      <c r="U1460">
        <v>48000</v>
      </c>
      <c r="V1460">
        <v>49800</v>
      </c>
      <c r="W1460">
        <v>52600</v>
      </c>
    </row>
    <row r="1461" spans="1:23">
      <c r="A1461" s="30">
        <v>45745</v>
      </c>
      <c r="B1461" s="29">
        <v>48000</v>
      </c>
      <c r="C1461" s="29">
        <v>48000</v>
      </c>
      <c r="D1461" s="29">
        <v>48900</v>
      </c>
      <c r="E1461" s="29">
        <v>45200</v>
      </c>
      <c r="F1461" s="29">
        <v>50800</v>
      </c>
      <c r="G1461" s="29" t="str">
        <v>-</v>
      </c>
      <c r="H1461" s="29">
        <v>47200</v>
      </c>
      <c r="I1461" s="29">
        <v>47100</v>
      </c>
      <c r="J1461" s="29">
        <v>49300</v>
      </c>
      <c r="K1461" s="29" t="str">
        <v>-</v>
      </c>
      <c r="L1461" s="29">
        <v>48100</v>
      </c>
      <c r="M1461" s="29">
        <v>49300</v>
      </c>
      <c r="N1461" s="29">
        <v>47200</v>
      </c>
      <c r="O1461" s="29">
        <v>46000</v>
      </c>
      <c r="P1461" s="29">
        <v>44700</v>
      </c>
      <c r="Q1461" s="29">
        <v>44800</v>
      </c>
      <c r="R1461" s="29">
        <v>45500</v>
      </c>
      <c r="S1461">
        <v>47300</v>
      </c>
      <c r="T1461">
        <v>48200</v>
      </c>
      <c r="U1461">
        <v>48500</v>
      </c>
      <c r="V1461">
        <v>49800</v>
      </c>
      <c r="W1461">
        <v>52600</v>
      </c>
    </row>
    <row r="1462" spans="1:23">
      <c r="A1462" s="30">
        <v>45746</v>
      </c>
      <c r="B1462" s="29" t="str">
        <v>H</v>
      </c>
      <c r="C1462" s="29" t="str">
        <v>H</v>
      </c>
      <c r="D1462" s="29" t="str">
        <v>H</v>
      </c>
      <c r="E1462" s="29" t="str">
        <v>H</v>
      </c>
      <c r="F1462" s="29" t="str">
        <v>H</v>
      </c>
      <c r="G1462" s="29" t="str">
        <v>H</v>
      </c>
      <c r="H1462" s="29" t="str">
        <v>H</v>
      </c>
      <c r="I1462" s="29" t="str">
        <v>H</v>
      </c>
      <c r="J1462" s="29" t="str">
        <v>H</v>
      </c>
      <c r="K1462" s="29" t="str">
        <v>H</v>
      </c>
      <c r="L1462" s="29" t="str">
        <v>H</v>
      </c>
      <c r="M1462" s="29" t="str">
        <v>H</v>
      </c>
      <c r="N1462" s="29" t="str">
        <v>H</v>
      </c>
      <c r="O1462" s="29" t="str">
        <v>H</v>
      </c>
      <c r="P1462" s="29" t="str">
        <v>H</v>
      </c>
      <c r="Q1462" s="29" t="str">
        <v>H</v>
      </c>
      <c r="R1462" s="29" t="str">
        <v>H</v>
      </c>
      <c r="S1462" t="str">
        <v>H</v>
      </c>
      <c r="T1462" t="str">
        <v>H</v>
      </c>
      <c r="U1462" t="str">
        <v>H</v>
      </c>
      <c r="V1462" t="str">
        <v>H</v>
      </c>
      <c r="W1462" t="str">
        <v>H</v>
      </c>
    </row>
    <row r="1463" spans="1:23">
      <c r="A1463" s="30">
        <v>45747</v>
      </c>
      <c r="B1463" s="29">
        <v>48200</v>
      </c>
      <c r="C1463" s="29">
        <v>48000</v>
      </c>
      <c r="D1463" s="29">
        <v>49100</v>
      </c>
      <c r="E1463" s="29">
        <v>45700</v>
      </c>
      <c r="F1463" s="29">
        <v>51200</v>
      </c>
      <c r="G1463" s="29" t="str">
        <v>-</v>
      </c>
      <c r="H1463" s="29">
        <v>47500</v>
      </c>
      <c r="I1463" s="29">
        <v>47400</v>
      </c>
      <c r="J1463" s="29">
        <v>49500</v>
      </c>
      <c r="K1463" s="29" t="str">
        <v>-</v>
      </c>
      <c r="L1463" s="29">
        <v>48300</v>
      </c>
      <c r="M1463" s="29">
        <v>49500</v>
      </c>
      <c r="N1463" s="29">
        <v>47700</v>
      </c>
      <c r="O1463" s="29">
        <v>46000</v>
      </c>
      <c r="P1463" s="29">
        <v>44900</v>
      </c>
      <c r="Q1463" s="29">
        <v>45200</v>
      </c>
      <c r="R1463" s="29">
        <v>45600</v>
      </c>
      <c r="S1463">
        <v>47800</v>
      </c>
      <c r="T1463">
        <v>48200</v>
      </c>
      <c r="U1463">
        <v>48500</v>
      </c>
      <c r="V1463">
        <v>49800</v>
      </c>
      <c r="W1463">
        <v>52600</v>
      </c>
    </row>
    <row r="1464" spans="1:23">
      <c r="A1464" s="30">
        <v>45748</v>
      </c>
      <c r="B1464" s="29">
        <v>48500</v>
      </c>
      <c r="C1464" s="29">
        <v>48500</v>
      </c>
      <c r="D1464" s="29">
        <v>49500</v>
      </c>
      <c r="E1464" s="29">
        <v>46000</v>
      </c>
      <c r="F1464" s="29">
        <v>51200</v>
      </c>
      <c r="G1464" s="29" t="str">
        <v>-</v>
      </c>
      <c r="H1464" s="29">
        <v>47700</v>
      </c>
      <c r="I1464" s="29">
        <v>47800</v>
      </c>
      <c r="J1464" s="29">
        <v>49500</v>
      </c>
      <c r="K1464" s="29" t="str">
        <v>-</v>
      </c>
      <c r="L1464" s="29">
        <v>48900</v>
      </c>
      <c r="M1464" s="29">
        <v>49500</v>
      </c>
      <c r="N1464" s="29">
        <v>48400</v>
      </c>
      <c r="O1464" s="29">
        <v>46700</v>
      </c>
      <c r="P1464" s="29">
        <v>45800</v>
      </c>
      <c r="Q1464" s="29">
        <v>45700</v>
      </c>
      <c r="R1464" s="29">
        <v>46000</v>
      </c>
      <c r="S1464">
        <v>48100</v>
      </c>
      <c r="T1464">
        <v>49000</v>
      </c>
      <c r="U1464">
        <v>49000</v>
      </c>
      <c r="V1464">
        <v>50500</v>
      </c>
      <c r="W1464">
        <v>53300</v>
      </c>
    </row>
    <row r="1465" spans="1:23">
      <c r="A1465" s="30">
        <v>45749</v>
      </c>
      <c r="B1465" s="29">
        <v>48700</v>
      </c>
      <c r="C1465" s="29">
        <v>48700</v>
      </c>
      <c r="D1465" s="29">
        <v>49300</v>
      </c>
      <c r="E1465" s="29">
        <v>46300</v>
      </c>
      <c r="F1465" s="29">
        <v>51200</v>
      </c>
      <c r="G1465" s="29" t="str">
        <v>-</v>
      </c>
      <c r="H1465" s="29">
        <v>47500</v>
      </c>
      <c r="I1465" s="29">
        <v>47700</v>
      </c>
      <c r="J1465" s="29">
        <v>49600</v>
      </c>
      <c r="K1465" s="29" t="str">
        <v>-</v>
      </c>
      <c r="L1465" s="29">
        <v>49000</v>
      </c>
      <c r="M1465" s="29">
        <v>49500</v>
      </c>
      <c r="N1465" s="29">
        <v>48300</v>
      </c>
      <c r="O1465" s="29">
        <v>47000</v>
      </c>
      <c r="P1465" s="29">
        <v>45600</v>
      </c>
      <c r="Q1465" s="29">
        <v>45800</v>
      </c>
      <c r="R1465" s="29">
        <v>46200</v>
      </c>
      <c r="S1465">
        <v>48400</v>
      </c>
      <c r="T1465">
        <v>49000</v>
      </c>
      <c r="U1465">
        <v>49000</v>
      </c>
      <c r="V1465">
        <v>50500</v>
      </c>
      <c r="W1465">
        <v>53300</v>
      </c>
    </row>
    <row r="1466" spans="1:23">
      <c r="A1466" s="30">
        <v>45750</v>
      </c>
      <c r="B1466" s="29">
        <v>48700</v>
      </c>
      <c r="C1466" s="29">
        <v>48700</v>
      </c>
      <c r="D1466" s="29">
        <v>49800</v>
      </c>
      <c r="E1466" s="29">
        <v>46600</v>
      </c>
      <c r="F1466" s="29">
        <v>51400</v>
      </c>
      <c r="G1466" s="29" t="str">
        <v>-</v>
      </c>
      <c r="H1466" s="29">
        <v>47500</v>
      </c>
      <c r="I1466" s="29">
        <v>48000</v>
      </c>
      <c r="J1466" s="29">
        <v>49900</v>
      </c>
      <c r="K1466" s="29" t="str">
        <v>-</v>
      </c>
      <c r="L1466" s="29">
        <v>49300</v>
      </c>
      <c r="M1466" s="29">
        <v>49600</v>
      </c>
      <c r="N1466" s="29">
        <v>48800</v>
      </c>
      <c r="O1466" s="29">
        <v>47500</v>
      </c>
      <c r="P1466" s="29">
        <v>46200</v>
      </c>
      <c r="Q1466" s="29">
        <v>46400</v>
      </c>
      <c r="R1466" s="29">
        <v>46600</v>
      </c>
      <c r="S1466">
        <v>48700</v>
      </c>
      <c r="T1466">
        <v>49500</v>
      </c>
      <c r="U1466">
        <v>49700</v>
      </c>
      <c r="V1466">
        <v>50500</v>
      </c>
      <c r="W1466">
        <v>53300</v>
      </c>
    </row>
    <row r="1467" spans="1:23">
      <c r="A1467" s="30">
        <v>45751</v>
      </c>
      <c r="B1467" s="29">
        <v>48700</v>
      </c>
      <c r="C1467" s="29">
        <v>48700</v>
      </c>
      <c r="D1467" s="29">
        <v>50200</v>
      </c>
      <c r="E1467" s="29">
        <v>46700</v>
      </c>
      <c r="F1467" s="29">
        <v>51400</v>
      </c>
      <c r="G1467" s="29" t="str">
        <v>-</v>
      </c>
      <c r="H1467" s="29">
        <v>47500</v>
      </c>
      <c r="I1467" s="29">
        <v>48100</v>
      </c>
      <c r="J1467" s="29">
        <v>49900</v>
      </c>
      <c r="K1467" s="29" t="str">
        <v>-</v>
      </c>
      <c r="L1467" s="29">
        <v>49300</v>
      </c>
      <c r="M1467" s="29">
        <v>49600</v>
      </c>
      <c r="N1467" s="29">
        <v>48800</v>
      </c>
      <c r="O1467" s="29">
        <v>47800</v>
      </c>
      <c r="P1467" s="29">
        <v>46400</v>
      </c>
      <c r="Q1467" s="29">
        <v>46500</v>
      </c>
      <c r="R1467" s="29">
        <v>46700</v>
      </c>
      <c r="S1467">
        <v>48800</v>
      </c>
      <c r="T1467">
        <v>49600</v>
      </c>
      <c r="U1467">
        <v>50000</v>
      </c>
      <c r="V1467">
        <v>50800</v>
      </c>
      <c r="W1467">
        <v>53300</v>
      </c>
    </row>
    <row r="1468" spans="1:23">
      <c r="A1468" s="30">
        <v>45752</v>
      </c>
      <c r="B1468" s="29">
        <v>48700</v>
      </c>
      <c r="C1468" s="29">
        <v>48700</v>
      </c>
      <c r="D1468" s="29">
        <v>49800</v>
      </c>
      <c r="E1468" s="29">
        <v>46300</v>
      </c>
      <c r="F1468" s="29">
        <v>51200</v>
      </c>
      <c r="G1468" s="29" t="str">
        <v>-</v>
      </c>
      <c r="H1468" s="29">
        <v>47300</v>
      </c>
      <c r="I1468" s="29">
        <v>47800</v>
      </c>
      <c r="J1468" s="29">
        <v>49800</v>
      </c>
      <c r="K1468" s="29" t="str">
        <v>-</v>
      </c>
      <c r="L1468" s="29">
        <v>49100</v>
      </c>
      <c r="M1468" s="29">
        <v>49500</v>
      </c>
      <c r="N1468" s="29">
        <v>48600</v>
      </c>
      <c r="O1468" s="29">
        <v>47800</v>
      </c>
      <c r="P1468" s="29">
        <v>46000</v>
      </c>
      <c r="Q1468" s="29">
        <v>46200</v>
      </c>
      <c r="R1468" s="29">
        <v>46700</v>
      </c>
      <c r="S1468">
        <v>48400</v>
      </c>
      <c r="T1468">
        <v>49500</v>
      </c>
      <c r="U1468">
        <v>50000</v>
      </c>
      <c r="V1468">
        <v>50800</v>
      </c>
      <c r="W1468">
        <v>53300</v>
      </c>
    </row>
    <row r="1469" spans="1:23">
      <c r="A1469" s="30">
        <v>45753</v>
      </c>
      <c r="B1469" s="29" t="str">
        <v>H</v>
      </c>
      <c r="C1469" s="29" t="str">
        <v>H</v>
      </c>
      <c r="D1469" s="29" t="str">
        <v>H</v>
      </c>
      <c r="E1469" s="29" t="str">
        <v>H</v>
      </c>
      <c r="F1469" s="29" t="str">
        <v>H</v>
      </c>
      <c r="G1469" s="29" t="str">
        <v>H</v>
      </c>
      <c r="H1469" s="29" t="str">
        <v>H</v>
      </c>
      <c r="I1469" s="29" t="str">
        <v>H</v>
      </c>
      <c r="J1469" s="29" t="str">
        <v>H</v>
      </c>
      <c r="K1469" s="29" t="str">
        <v>H</v>
      </c>
      <c r="L1469" s="29" t="str">
        <v>H</v>
      </c>
      <c r="M1469" s="29" t="str">
        <v>H</v>
      </c>
      <c r="N1469" s="29" t="str">
        <v>H</v>
      </c>
      <c r="O1469" s="29" t="str">
        <v>H</v>
      </c>
      <c r="P1469" s="29" t="str">
        <v>H</v>
      </c>
      <c r="Q1469" s="29" t="str">
        <v>H</v>
      </c>
      <c r="R1469" s="29" t="str">
        <v>H</v>
      </c>
      <c r="S1469" t="str">
        <v>H</v>
      </c>
      <c r="T1469" t="str">
        <v>H</v>
      </c>
      <c r="U1469" t="str">
        <v>H</v>
      </c>
      <c r="V1469" t="str">
        <v>H</v>
      </c>
      <c r="W1469" t="str">
        <v>H</v>
      </c>
    </row>
    <row r="1470" spans="1:23">
      <c r="A1470" s="30">
        <v>45754</v>
      </c>
      <c r="B1470" s="29">
        <v>48300</v>
      </c>
      <c r="C1470" s="29">
        <v>48700</v>
      </c>
      <c r="D1470" s="29">
        <v>49000</v>
      </c>
      <c r="E1470" s="29">
        <v>45800</v>
      </c>
      <c r="F1470" s="29">
        <v>51200</v>
      </c>
      <c r="G1470" s="29" t="str">
        <v>-</v>
      </c>
      <c r="H1470" s="29">
        <v>47000</v>
      </c>
      <c r="I1470" s="29">
        <v>47300</v>
      </c>
      <c r="J1470" s="29">
        <v>49500</v>
      </c>
      <c r="K1470" s="29" t="str">
        <v>-</v>
      </c>
      <c r="L1470" s="29">
        <v>48700</v>
      </c>
      <c r="M1470" s="29">
        <v>49400</v>
      </c>
      <c r="N1470" s="29">
        <v>48000</v>
      </c>
      <c r="O1470" s="29">
        <v>47300</v>
      </c>
      <c r="P1470" s="29">
        <v>45500</v>
      </c>
      <c r="Q1470" s="29">
        <v>45700</v>
      </c>
      <c r="R1470" s="29">
        <v>46200</v>
      </c>
      <c r="S1470">
        <v>47900</v>
      </c>
      <c r="T1470">
        <v>49300</v>
      </c>
      <c r="U1470">
        <v>50000</v>
      </c>
      <c r="V1470">
        <v>50200</v>
      </c>
      <c r="W1470">
        <v>53300</v>
      </c>
    </row>
    <row r="1471" spans="1:23">
      <c r="A1471" s="30">
        <v>45755</v>
      </c>
      <c r="B1471" s="29">
        <v>48000</v>
      </c>
      <c r="C1471" s="29">
        <v>48500</v>
      </c>
      <c r="D1471" s="29">
        <v>49000</v>
      </c>
      <c r="E1471" s="29">
        <v>45800</v>
      </c>
      <c r="F1471" s="29">
        <v>51100</v>
      </c>
      <c r="G1471" s="29" t="str">
        <v>-</v>
      </c>
      <c r="H1471" s="29">
        <v>47000</v>
      </c>
      <c r="I1471" s="29">
        <v>47500</v>
      </c>
      <c r="J1471" s="29">
        <v>49300</v>
      </c>
      <c r="K1471" s="29" t="str">
        <v>-</v>
      </c>
      <c r="L1471" s="29">
        <v>48600</v>
      </c>
      <c r="M1471" s="29">
        <v>49400</v>
      </c>
      <c r="N1471" s="29">
        <v>47800</v>
      </c>
      <c r="O1471" s="29">
        <v>47100</v>
      </c>
      <c r="P1471" s="29">
        <v>45400</v>
      </c>
      <c r="Q1471" s="29">
        <v>45600</v>
      </c>
      <c r="R1471" s="29">
        <v>46000</v>
      </c>
      <c r="S1471">
        <v>47900</v>
      </c>
      <c r="T1471">
        <v>49000</v>
      </c>
      <c r="U1471">
        <v>50000</v>
      </c>
      <c r="V1471">
        <v>50200</v>
      </c>
      <c r="W1471">
        <v>53300</v>
      </c>
    </row>
    <row r="1472" spans="1:23">
      <c r="A1472" s="30">
        <v>45756</v>
      </c>
      <c r="B1472" s="29">
        <v>48000</v>
      </c>
      <c r="C1472" s="29">
        <v>48500</v>
      </c>
      <c r="D1472" s="29">
        <v>49200</v>
      </c>
      <c r="E1472" s="29">
        <v>46000</v>
      </c>
      <c r="F1472" s="29">
        <v>50800</v>
      </c>
      <c r="G1472" s="29" t="str">
        <v>-</v>
      </c>
      <c r="H1472" s="29">
        <v>47200</v>
      </c>
      <c r="I1472" s="29">
        <v>47700</v>
      </c>
      <c r="J1472" s="29">
        <v>49300</v>
      </c>
      <c r="K1472" s="29" t="str">
        <v>-</v>
      </c>
      <c r="L1472" s="29">
        <v>48800</v>
      </c>
      <c r="M1472" s="29">
        <v>49400</v>
      </c>
      <c r="N1472" s="29">
        <v>48200</v>
      </c>
      <c r="O1472" s="29">
        <v>47300</v>
      </c>
      <c r="P1472" s="29">
        <v>45900</v>
      </c>
      <c r="Q1472" s="29">
        <v>45800</v>
      </c>
      <c r="R1472" s="29">
        <v>46200</v>
      </c>
      <c r="S1472">
        <v>48100</v>
      </c>
      <c r="T1472">
        <v>49000</v>
      </c>
      <c r="U1472">
        <v>50500</v>
      </c>
      <c r="V1472">
        <v>50300</v>
      </c>
      <c r="W1472">
        <v>53300</v>
      </c>
    </row>
    <row r="1473" spans="1:23">
      <c r="A1473" s="30">
        <v>45757</v>
      </c>
      <c r="B1473" s="29">
        <v>48200</v>
      </c>
      <c r="C1473" s="29">
        <v>48700</v>
      </c>
      <c r="D1473" s="29">
        <v>49400</v>
      </c>
      <c r="E1473" s="29">
        <v>46200</v>
      </c>
      <c r="F1473" s="29">
        <v>50800</v>
      </c>
      <c r="G1473" s="29" t="str">
        <v>-</v>
      </c>
      <c r="H1473" s="29">
        <v>47300</v>
      </c>
      <c r="I1473" s="29">
        <v>47900</v>
      </c>
      <c r="J1473" s="29">
        <v>49300</v>
      </c>
      <c r="K1473" s="29" t="str">
        <v>-</v>
      </c>
      <c r="L1473" s="29">
        <v>48800</v>
      </c>
      <c r="M1473" s="29">
        <v>49400</v>
      </c>
      <c r="N1473" s="29">
        <v>48200</v>
      </c>
      <c r="O1473" s="29">
        <v>47300</v>
      </c>
      <c r="P1473" s="29">
        <v>45900</v>
      </c>
      <c r="Q1473" s="29">
        <v>45900</v>
      </c>
      <c r="R1473" s="29">
        <v>46200</v>
      </c>
      <c r="S1473">
        <v>48300</v>
      </c>
      <c r="T1473">
        <v>49300</v>
      </c>
      <c r="U1473">
        <v>51000</v>
      </c>
      <c r="V1473">
        <v>50300</v>
      </c>
      <c r="W1473">
        <v>53300</v>
      </c>
    </row>
    <row r="1474" spans="1:23">
      <c r="A1474" s="30">
        <v>45758</v>
      </c>
      <c r="B1474" s="29">
        <v>48600</v>
      </c>
      <c r="C1474" s="29">
        <v>48700</v>
      </c>
      <c r="D1474" s="29">
        <v>49500</v>
      </c>
      <c r="E1474" s="29">
        <v>46600</v>
      </c>
      <c r="F1474" s="29">
        <v>51000</v>
      </c>
      <c r="G1474" s="29" t="str">
        <v>-</v>
      </c>
      <c r="H1474" s="29">
        <v>47300</v>
      </c>
      <c r="I1474" s="29">
        <v>47900</v>
      </c>
      <c r="J1474" s="29">
        <v>49700</v>
      </c>
      <c r="K1474" s="29" t="str">
        <v>-</v>
      </c>
      <c r="L1474" s="29">
        <v>48900</v>
      </c>
      <c r="M1474" s="29">
        <v>49400</v>
      </c>
      <c r="N1474" s="29">
        <v>48500</v>
      </c>
      <c r="O1474" s="29">
        <v>47300</v>
      </c>
      <c r="P1474" s="29">
        <v>46000</v>
      </c>
      <c r="Q1474" s="29">
        <v>46100</v>
      </c>
      <c r="R1474" s="29">
        <v>46300</v>
      </c>
      <c r="S1474">
        <v>48700</v>
      </c>
      <c r="T1474">
        <v>49300</v>
      </c>
      <c r="U1474">
        <v>51500</v>
      </c>
      <c r="V1474">
        <v>50400</v>
      </c>
      <c r="W1474">
        <v>53300</v>
      </c>
    </row>
    <row r="1475" spans="1:23">
      <c r="A1475" s="30">
        <v>45759</v>
      </c>
      <c r="B1475" s="29">
        <v>48600</v>
      </c>
      <c r="C1475" s="29">
        <v>48700</v>
      </c>
      <c r="D1475" s="29">
        <v>49500</v>
      </c>
      <c r="E1475" s="29">
        <v>46400</v>
      </c>
      <c r="F1475" s="29">
        <v>50800</v>
      </c>
      <c r="G1475" s="29" t="str">
        <v>-</v>
      </c>
      <c r="H1475" s="29">
        <v>47300</v>
      </c>
      <c r="I1475" s="29">
        <v>47700</v>
      </c>
      <c r="J1475" s="29">
        <v>49700</v>
      </c>
      <c r="K1475" s="29" t="str">
        <v>-</v>
      </c>
      <c r="L1475" s="29">
        <v>48900</v>
      </c>
      <c r="M1475" s="29">
        <v>49400</v>
      </c>
      <c r="N1475" s="29">
        <v>48400</v>
      </c>
      <c r="O1475" s="29">
        <v>47100</v>
      </c>
      <c r="P1475" s="29">
        <v>45800</v>
      </c>
      <c r="Q1475" s="29">
        <v>46000</v>
      </c>
      <c r="R1475" s="29">
        <v>46100</v>
      </c>
      <c r="S1475">
        <v>48500</v>
      </c>
      <c r="T1475">
        <v>49200</v>
      </c>
      <c r="U1475">
        <v>52000</v>
      </c>
      <c r="V1475">
        <v>50400</v>
      </c>
      <c r="W1475">
        <v>53300</v>
      </c>
    </row>
    <row r="1476" spans="1:23">
      <c r="A1476" s="30">
        <v>45760</v>
      </c>
      <c r="B1476" s="29" t="str">
        <v>H</v>
      </c>
      <c r="C1476" s="29" t="str">
        <v>H</v>
      </c>
      <c r="D1476" s="29" t="str">
        <v>H</v>
      </c>
      <c r="E1476" s="29" t="str">
        <v>H</v>
      </c>
      <c r="F1476" s="29" t="str">
        <v>H</v>
      </c>
      <c r="G1476" s="29" t="str">
        <v>H</v>
      </c>
      <c r="H1476" s="29" t="str">
        <v>H</v>
      </c>
      <c r="I1476" s="29" t="str">
        <v>H</v>
      </c>
      <c r="J1476" s="29" t="str">
        <v>H</v>
      </c>
      <c r="K1476" s="29" t="str">
        <v>H</v>
      </c>
      <c r="L1476" s="29" t="str">
        <v>H</v>
      </c>
      <c r="M1476" s="29" t="str">
        <v>H</v>
      </c>
      <c r="N1476" s="29" t="str">
        <v>H</v>
      </c>
      <c r="O1476" s="29" t="str">
        <v>H</v>
      </c>
      <c r="P1476" s="29" t="str">
        <v>H</v>
      </c>
      <c r="Q1476" s="29" t="str">
        <v>H</v>
      </c>
      <c r="R1476" s="29" t="str">
        <v>H</v>
      </c>
      <c r="S1476" t="str">
        <v>H</v>
      </c>
      <c r="T1476" t="str">
        <v>H</v>
      </c>
      <c r="U1476" t="str">
        <v>H</v>
      </c>
      <c r="V1476" t="str">
        <v>H</v>
      </c>
      <c r="W1476" t="str">
        <v>H</v>
      </c>
    </row>
    <row r="1477" spans="1:23">
      <c r="A1477" s="30">
        <v>45761</v>
      </c>
      <c r="B1477" s="29">
        <v>48200</v>
      </c>
      <c r="C1477" s="29" t="str">
        <v>-</v>
      </c>
      <c r="D1477" s="29">
        <v>48900</v>
      </c>
      <c r="E1477" s="29">
        <v>45900</v>
      </c>
      <c r="F1477" s="29">
        <v>50000</v>
      </c>
      <c r="G1477" s="29" t="str">
        <v>-</v>
      </c>
      <c r="H1477" s="29">
        <v>47000</v>
      </c>
      <c r="I1477" s="29">
        <v>47500</v>
      </c>
      <c r="J1477" s="29">
        <v>49700</v>
      </c>
      <c r="K1477" s="29" t="str">
        <v>-</v>
      </c>
      <c r="L1477" s="29">
        <v>48800</v>
      </c>
      <c r="M1477" s="29">
        <v>49400</v>
      </c>
      <c r="N1477" s="29">
        <v>47600</v>
      </c>
      <c r="O1477" s="29">
        <v>47000</v>
      </c>
      <c r="P1477" s="29">
        <v>45600</v>
      </c>
      <c r="Q1477" s="29">
        <v>45600</v>
      </c>
      <c r="R1477" s="29">
        <v>46000</v>
      </c>
      <c r="S1477">
        <v>48000</v>
      </c>
      <c r="T1477">
        <v>48800</v>
      </c>
      <c r="U1477">
        <v>52000</v>
      </c>
      <c r="V1477">
        <v>50200</v>
      </c>
      <c r="W1477">
        <v>53300</v>
      </c>
    </row>
    <row r="1478" spans="1:23">
      <c r="A1478" s="30">
        <v>45762</v>
      </c>
      <c r="B1478" s="29">
        <v>48200</v>
      </c>
      <c r="C1478" s="29">
        <v>48700</v>
      </c>
      <c r="D1478" s="29">
        <v>48700</v>
      </c>
      <c r="E1478" s="29">
        <v>45600</v>
      </c>
      <c r="F1478" s="29">
        <v>49600</v>
      </c>
      <c r="G1478" s="29" t="str">
        <v>-</v>
      </c>
      <c r="H1478" s="29">
        <v>47000</v>
      </c>
      <c r="I1478" s="29">
        <v>47400</v>
      </c>
      <c r="J1478" s="29">
        <v>49500</v>
      </c>
      <c r="K1478" s="29" t="str">
        <v>-</v>
      </c>
      <c r="L1478" s="29">
        <v>48700</v>
      </c>
      <c r="M1478" s="29">
        <v>49300</v>
      </c>
      <c r="N1478" s="29">
        <v>47300</v>
      </c>
      <c r="O1478" s="29">
        <v>47000</v>
      </c>
      <c r="P1478" s="29">
        <v>45400</v>
      </c>
      <c r="Q1478" s="29">
        <v>45400</v>
      </c>
      <c r="R1478" s="29">
        <v>46000</v>
      </c>
      <c r="S1478">
        <v>47800</v>
      </c>
      <c r="T1478">
        <v>48700</v>
      </c>
      <c r="U1478">
        <v>52000</v>
      </c>
      <c r="V1478">
        <v>50100</v>
      </c>
      <c r="W1478">
        <v>53000</v>
      </c>
    </row>
    <row r="1479" spans="1:23">
      <c r="A1479" s="30">
        <v>45763</v>
      </c>
      <c r="B1479" s="29">
        <v>48200</v>
      </c>
      <c r="C1479" s="29">
        <v>48700</v>
      </c>
      <c r="D1479" s="29">
        <v>48700</v>
      </c>
      <c r="E1479" s="29">
        <v>45800</v>
      </c>
      <c r="F1479" s="29">
        <v>49600</v>
      </c>
      <c r="G1479" s="29" t="str">
        <v>-</v>
      </c>
      <c r="H1479" s="29">
        <v>47000</v>
      </c>
      <c r="I1479" s="29">
        <v>47500</v>
      </c>
      <c r="J1479" s="29">
        <v>49500</v>
      </c>
      <c r="K1479" s="29" t="str">
        <v>-</v>
      </c>
      <c r="L1479" s="29">
        <v>48700</v>
      </c>
      <c r="M1479" s="29">
        <v>49400</v>
      </c>
      <c r="N1479" s="29">
        <v>47600</v>
      </c>
      <c r="O1479" s="29">
        <v>47200</v>
      </c>
      <c r="P1479" s="29">
        <v>45500</v>
      </c>
      <c r="Q1479" s="29">
        <v>45800</v>
      </c>
      <c r="R1479" s="29">
        <v>46000</v>
      </c>
      <c r="S1479">
        <v>47900</v>
      </c>
      <c r="T1479">
        <v>49000</v>
      </c>
      <c r="U1479">
        <v>52000</v>
      </c>
      <c r="V1479">
        <v>50000</v>
      </c>
      <c r="W1479">
        <v>53000</v>
      </c>
    </row>
    <row r="1480" spans="1:23">
      <c r="A1480" s="30">
        <v>45764</v>
      </c>
      <c r="B1480" s="29">
        <v>48100</v>
      </c>
      <c r="C1480" s="29">
        <v>48700</v>
      </c>
      <c r="D1480" s="29">
        <v>48600</v>
      </c>
      <c r="E1480" s="29">
        <v>45500</v>
      </c>
      <c r="F1480" s="29">
        <v>49800</v>
      </c>
      <c r="G1480" s="29" t="str">
        <v>-</v>
      </c>
      <c r="H1480" s="29">
        <v>47000</v>
      </c>
      <c r="I1480" s="29">
        <v>47200</v>
      </c>
      <c r="J1480" s="29">
        <v>49300</v>
      </c>
      <c r="K1480" s="29" t="str">
        <v>-</v>
      </c>
      <c r="L1480" s="29">
        <v>48400</v>
      </c>
      <c r="M1480" s="29">
        <v>49300</v>
      </c>
      <c r="N1480" s="29">
        <v>47300</v>
      </c>
      <c r="O1480" s="29">
        <v>47000</v>
      </c>
      <c r="P1480" s="29">
        <v>45100</v>
      </c>
      <c r="Q1480" s="29">
        <v>45400</v>
      </c>
      <c r="R1480" s="29">
        <v>45800</v>
      </c>
      <c r="S1480">
        <v>47600</v>
      </c>
      <c r="T1480">
        <v>48600</v>
      </c>
      <c r="U1480">
        <v>52000</v>
      </c>
      <c r="V1480">
        <v>49200</v>
      </c>
      <c r="W1480">
        <v>52500</v>
      </c>
    </row>
    <row r="1481" spans="1:23">
      <c r="A1481" s="30">
        <v>45765</v>
      </c>
      <c r="B1481" s="29">
        <v>48100</v>
      </c>
      <c r="C1481" s="29">
        <v>48700</v>
      </c>
      <c r="D1481" s="29">
        <v>48600</v>
      </c>
      <c r="E1481" s="29">
        <v>45500</v>
      </c>
      <c r="F1481" s="29">
        <v>49600</v>
      </c>
      <c r="G1481" s="29" t="str">
        <v>-</v>
      </c>
      <c r="H1481" s="29">
        <v>47000</v>
      </c>
      <c r="I1481" s="29">
        <v>47000</v>
      </c>
      <c r="J1481" s="29">
        <v>49300</v>
      </c>
      <c r="K1481" s="29" t="str">
        <v>-</v>
      </c>
      <c r="L1481" s="29">
        <v>48300</v>
      </c>
      <c r="M1481" s="29">
        <v>49300</v>
      </c>
      <c r="N1481" s="29">
        <v>47200</v>
      </c>
      <c r="O1481" s="29">
        <v>47200</v>
      </c>
      <c r="P1481" s="29">
        <v>44900</v>
      </c>
      <c r="Q1481" s="29">
        <v>45200</v>
      </c>
      <c r="R1481" s="29">
        <v>45700</v>
      </c>
      <c r="S1481">
        <v>47500</v>
      </c>
      <c r="T1481">
        <v>48500</v>
      </c>
      <c r="U1481">
        <v>52000</v>
      </c>
      <c r="V1481">
        <v>49200</v>
      </c>
      <c r="W1481">
        <v>52500</v>
      </c>
    </row>
    <row r="1482" spans="1:23">
      <c r="A1482" s="30">
        <v>45766</v>
      </c>
      <c r="B1482" s="29">
        <v>48000</v>
      </c>
      <c r="C1482" s="29">
        <v>48500</v>
      </c>
      <c r="D1482" s="29">
        <v>48400</v>
      </c>
      <c r="E1482" s="29">
        <v>45300</v>
      </c>
      <c r="F1482" s="29">
        <v>49600</v>
      </c>
      <c r="G1482" s="29" t="str">
        <v>-</v>
      </c>
      <c r="H1482" s="29">
        <v>47000</v>
      </c>
      <c r="I1482" s="29">
        <v>46800</v>
      </c>
      <c r="J1482" s="29">
        <v>49000</v>
      </c>
      <c r="K1482" s="29" t="str">
        <v>-</v>
      </c>
      <c r="L1482" s="29">
        <v>48100</v>
      </c>
      <c r="M1482" s="29">
        <v>49300</v>
      </c>
      <c r="N1482" s="29">
        <v>46800</v>
      </c>
      <c r="O1482" s="29">
        <v>47000</v>
      </c>
      <c r="P1482" s="29">
        <v>44500</v>
      </c>
      <c r="Q1482" s="29">
        <v>44800</v>
      </c>
      <c r="R1482" s="29">
        <v>45600</v>
      </c>
      <c r="S1482">
        <v>47400</v>
      </c>
      <c r="T1482">
        <v>48200</v>
      </c>
      <c r="U1482">
        <v>51500</v>
      </c>
      <c r="V1482">
        <v>49200</v>
      </c>
      <c r="W1482">
        <v>52500</v>
      </c>
    </row>
    <row r="1483" spans="1:23">
      <c r="A1483" s="30">
        <v>45767</v>
      </c>
      <c r="B1483" s="29" t="str">
        <v>H</v>
      </c>
      <c r="C1483" s="29" t="str">
        <v>H</v>
      </c>
      <c r="D1483" s="29" t="str">
        <v>H</v>
      </c>
      <c r="E1483" s="29" t="str">
        <v>H</v>
      </c>
      <c r="F1483" s="29" t="str">
        <v>H</v>
      </c>
      <c r="G1483" s="29" t="str">
        <v>H</v>
      </c>
      <c r="H1483" s="29" t="str">
        <v>H</v>
      </c>
      <c r="I1483" s="29" t="str">
        <v>H</v>
      </c>
      <c r="J1483" s="29" t="str">
        <v>H</v>
      </c>
      <c r="K1483" s="29" t="str">
        <v>H</v>
      </c>
      <c r="L1483" s="29" t="str">
        <v>H</v>
      </c>
      <c r="M1483" s="29" t="str">
        <v>H</v>
      </c>
      <c r="N1483" s="29" t="str">
        <v>H</v>
      </c>
      <c r="O1483" s="29" t="str">
        <v>H</v>
      </c>
      <c r="P1483" s="29" t="str">
        <v>H</v>
      </c>
      <c r="Q1483" s="29" t="str">
        <v>H</v>
      </c>
      <c r="R1483" s="29" t="str">
        <v>H</v>
      </c>
      <c r="S1483" t="str">
        <v>H</v>
      </c>
      <c r="T1483" t="str">
        <v>H</v>
      </c>
      <c r="U1483" t="str">
        <v>H</v>
      </c>
      <c r="V1483" t="str">
        <v>H</v>
      </c>
      <c r="W1483" t="str">
        <v>H</v>
      </c>
    </row>
    <row r="1484" spans="1:23">
      <c r="A1484" s="30">
        <v>45768</v>
      </c>
      <c r="B1484" s="29">
        <v>47900</v>
      </c>
      <c r="C1484" s="29">
        <v>48500</v>
      </c>
      <c r="D1484" s="29">
        <v>47900</v>
      </c>
      <c r="E1484" s="29">
        <v>44700</v>
      </c>
      <c r="F1484" s="29">
        <v>48800</v>
      </c>
      <c r="G1484" s="29" t="str">
        <v>-</v>
      </c>
      <c r="H1484" s="29">
        <v>47000</v>
      </c>
      <c r="I1484" s="29">
        <v>46800</v>
      </c>
      <c r="J1484" s="29">
        <v>49000</v>
      </c>
      <c r="K1484" s="29" t="str">
        <v>-</v>
      </c>
      <c r="L1484" s="29">
        <v>48000</v>
      </c>
      <c r="M1484" s="29">
        <v>49300</v>
      </c>
      <c r="N1484" s="29">
        <v>46600</v>
      </c>
      <c r="O1484" s="29">
        <v>47000</v>
      </c>
      <c r="P1484" s="29">
        <v>44600</v>
      </c>
      <c r="Q1484" s="29">
        <v>44700</v>
      </c>
      <c r="R1484" s="29">
        <v>45500</v>
      </c>
      <c r="S1484">
        <v>46800</v>
      </c>
      <c r="T1484">
        <v>48000</v>
      </c>
      <c r="U1484">
        <v>51000</v>
      </c>
      <c r="V1484">
        <v>48900</v>
      </c>
      <c r="W1484">
        <v>51700</v>
      </c>
    </row>
    <row r="1485" spans="1:23">
      <c r="A1485" s="30">
        <v>45769</v>
      </c>
      <c r="B1485" s="29">
        <v>48500</v>
      </c>
      <c r="C1485" s="29">
        <v>48700</v>
      </c>
      <c r="D1485" s="29">
        <v>48600</v>
      </c>
      <c r="E1485" s="29">
        <v>45500</v>
      </c>
      <c r="F1485" s="29">
        <v>50000</v>
      </c>
      <c r="G1485" s="29" t="str">
        <v>-</v>
      </c>
      <c r="H1485" s="29">
        <v>48000</v>
      </c>
      <c r="I1485" s="29">
        <v>47500</v>
      </c>
      <c r="J1485" s="29">
        <v>49700</v>
      </c>
      <c r="K1485" s="29" t="str">
        <v>-</v>
      </c>
      <c r="L1485" s="29">
        <v>49000</v>
      </c>
      <c r="M1485" s="29">
        <v>49600</v>
      </c>
      <c r="N1485" s="29">
        <v>47800</v>
      </c>
      <c r="O1485" s="29">
        <v>47800</v>
      </c>
      <c r="P1485" s="29">
        <v>45100</v>
      </c>
      <c r="Q1485" s="29">
        <v>45600</v>
      </c>
      <c r="R1485" s="29">
        <v>46300</v>
      </c>
      <c r="S1485">
        <v>47600</v>
      </c>
      <c r="T1485">
        <v>49000</v>
      </c>
      <c r="U1485">
        <v>51500</v>
      </c>
      <c r="V1485">
        <v>49400</v>
      </c>
      <c r="W1485">
        <v>52300</v>
      </c>
    </row>
    <row r="1486" spans="1:23">
      <c r="A1486" s="30">
        <v>45770</v>
      </c>
      <c r="B1486" s="29">
        <v>48400</v>
      </c>
      <c r="C1486" s="29">
        <v>48800</v>
      </c>
      <c r="D1486" s="29">
        <v>48600</v>
      </c>
      <c r="E1486" s="29">
        <v>45300</v>
      </c>
      <c r="F1486" s="29">
        <v>50000</v>
      </c>
      <c r="G1486" s="29" t="str">
        <v>-</v>
      </c>
      <c r="H1486" s="29">
        <v>47500</v>
      </c>
      <c r="I1486" s="29">
        <v>47300</v>
      </c>
      <c r="J1486" s="29">
        <v>49500</v>
      </c>
      <c r="K1486" s="29" t="str">
        <v>-</v>
      </c>
      <c r="L1486" s="29">
        <v>48900</v>
      </c>
      <c r="M1486" s="29">
        <v>49400</v>
      </c>
      <c r="N1486" s="29">
        <v>47500</v>
      </c>
      <c r="O1486" s="29">
        <v>47300</v>
      </c>
      <c r="P1486" s="29">
        <v>44700</v>
      </c>
      <c r="Q1486" s="29">
        <v>45200</v>
      </c>
      <c r="R1486" s="29">
        <v>45700</v>
      </c>
      <c r="S1486">
        <v>47400</v>
      </c>
      <c r="T1486">
        <v>48700</v>
      </c>
      <c r="U1486">
        <v>51500</v>
      </c>
      <c r="V1486">
        <v>49400</v>
      </c>
      <c r="W1486">
        <v>52300</v>
      </c>
    </row>
    <row r="1487" spans="1:23">
      <c r="A1487" s="30">
        <v>45771</v>
      </c>
      <c r="B1487" s="29">
        <v>48400</v>
      </c>
      <c r="C1487" s="29">
        <v>48500</v>
      </c>
      <c r="D1487" s="29">
        <v>48400</v>
      </c>
      <c r="E1487" s="29">
        <v>45400</v>
      </c>
      <c r="F1487" s="29">
        <v>50000</v>
      </c>
      <c r="G1487" s="29" t="str">
        <v>-</v>
      </c>
      <c r="H1487" s="29">
        <v>47500</v>
      </c>
      <c r="I1487" s="29">
        <v>47300</v>
      </c>
      <c r="J1487" s="29">
        <v>49500</v>
      </c>
      <c r="K1487" s="29" t="str">
        <v>-</v>
      </c>
      <c r="L1487" s="29">
        <v>48900</v>
      </c>
      <c r="M1487" s="29">
        <v>49400</v>
      </c>
      <c r="N1487" s="29">
        <v>47800</v>
      </c>
      <c r="O1487" s="29">
        <v>47000</v>
      </c>
      <c r="P1487" s="29">
        <v>44700</v>
      </c>
      <c r="Q1487" s="29">
        <v>45200</v>
      </c>
      <c r="R1487" s="29">
        <v>45500</v>
      </c>
      <c r="S1487">
        <v>47500</v>
      </c>
      <c r="T1487">
        <v>48500</v>
      </c>
      <c r="U1487">
        <v>51500</v>
      </c>
      <c r="V1487">
        <v>49400</v>
      </c>
      <c r="W1487">
        <v>52300</v>
      </c>
    </row>
    <row r="1488" spans="1:23">
      <c r="A1488" s="30">
        <v>45772</v>
      </c>
      <c r="B1488" s="29">
        <v>48400</v>
      </c>
      <c r="C1488" s="29">
        <v>48500</v>
      </c>
      <c r="D1488" s="29">
        <v>48300</v>
      </c>
      <c r="E1488" s="29">
        <v>45000</v>
      </c>
      <c r="F1488" s="29">
        <v>50000</v>
      </c>
      <c r="G1488" s="29" t="str">
        <v>-</v>
      </c>
      <c r="H1488" s="29">
        <v>46500</v>
      </c>
      <c r="I1488" s="29">
        <v>47000</v>
      </c>
      <c r="J1488" s="29">
        <v>49500</v>
      </c>
      <c r="K1488" s="29" t="str">
        <v>-</v>
      </c>
      <c r="L1488" s="29">
        <v>48700</v>
      </c>
      <c r="M1488" s="29">
        <v>49400</v>
      </c>
      <c r="N1488" s="29">
        <v>47200</v>
      </c>
      <c r="O1488" s="29">
        <v>47000</v>
      </c>
      <c r="P1488" s="29">
        <v>44300</v>
      </c>
      <c r="Q1488" s="29">
        <v>45000</v>
      </c>
      <c r="R1488" s="29">
        <v>45500</v>
      </c>
      <c r="S1488">
        <v>47100</v>
      </c>
      <c r="T1488">
        <v>48400</v>
      </c>
      <c r="U1488">
        <v>51500</v>
      </c>
      <c r="V1488">
        <v>49300</v>
      </c>
      <c r="W1488">
        <v>52300</v>
      </c>
    </row>
    <row r="1489" spans="1:23">
      <c r="A1489" s="30">
        <v>45773</v>
      </c>
      <c r="B1489" s="29">
        <v>48200</v>
      </c>
      <c r="C1489" s="29">
        <v>48500</v>
      </c>
      <c r="D1489" s="29">
        <v>48100</v>
      </c>
      <c r="E1489" s="29">
        <v>45000</v>
      </c>
      <c r="F1489" s="29">
        <v>50000</v>
      </c>
      <c r="G1489" s="29" t="str">
        <v>-</v>
      </c>
      <c r="H1489" s="29">
        <v>46500</v>
      </c>
      <c r="I1489" s="29">
        <v>47000</v>
      </c>
      <c r="J1489" s="29">
        <v>49500</v>
      </c>
      <c r="K1489" s="29" t="str">
        <v>-</v>
      </c>
      <c r="L1489" s="29">
        <v>48500</v>
      </c>
      <c r="M1489" s="29">
        <v>49400</v>
      </c>
      <c r="N1489" s="29">
        <v>47000</v>
      </c>
      <c r="O1489" s="29">
        <v>46900</v>
      </c>
      <c r="P1489" s="29">
        <v>44400</v>
      </c>
      <c r="Q1489" s="29">
        <v>45000</v>
      </c>
      <c r="R1489" s="29">
        <v>45300</v>
      </c>
      <c r="S1489">
        <v>47100</v>
      </c>
      <c r="T1489">
        <v>48300</v>
      </c>
      <c r="U1489">
        <v>51500</v>
      </c>
      <c r="V1489">
        <v>49300</v>
      </c>
      <c r="W1489">
        <v>52300</v>
      </c>
    </row>
    <row r="1490" spans="1:23">
      <c r="A1490" s="30">
        <v>45774</v>
      </c>
      <c r="B1490" s="29" t="str">
        <v>H</v>
      </c>
      <c r="C1490" s="29" t="str">
        <v>H</v>
      </c>
      <c r="D1490" s="29" t="str">
        <v>H</v>
      </c>
      <c r="E1490" s="29" t="str">
        <v>H</v>
      </c>
      <c r="F1490" s="29" t="str">
        <v>H</v>
      </c>
      <c r="G1490" s="29" t="str">
        <v>H</v>
      </c>
      <c r="H1490" s="29" t="str">
        <v>H</v>
      </c>
      <c r="I1490" s="29" t="str">
        <v>H</v>
      </c>
      <c r="J1490" s="29" t="str">
        <v>H</v>
      </c>
      <c r="K1490" s="29" t="str">
        <v>H</v>
      </c>
      <c r="L1490" s="29" t="str">
        <v>H</v>
      </c>
      <c r="M1490" s="29" t="str">
        <v>H</v>
      </c>
      <c r="N1490" s="29" t="str">
        <v>H</v>
      </c>
      <c r="O1490" s="29" t="str">
        <v>H</v>
      </c>
      <c r="P1490" s="29" t="str">
        <v>H</v>
      </c>
      <c r="Q1490" s="29" t="str">
        <v>H</v>
      </c>
      <c r="R1490" s="29" t="str">
        <v>H</v>
      </c>
      <c r="S1490" t="str">
        <v>H</v>
      </c>
      <c r="T1490" t="str">
        <v>H</v>
      </c>
      <c r="U1490" t="str">
        <v>H</v>
      </c>
      <c r="V1490" t="str">
        <v>H</v>
      </c>
      <c r="W1490" t="str">
        <v>H</v>
      </c>
    </row>
    <row r="1491" spans="1:23">
      <c r="A1491" s="30">
        <v>45775</v>
      </c>
      <c r="B1491" s="29">
        <v>47900</v>
      </c>
      <c r="C1491" s="29">
        <v>48500</v>
      </c>
      <c r="D1491" s="29">
        <v>47800</v>
      </c>
      <c r="E1491" s="29">
        <v>44600</v>
      </c>
      <c r="F1491" s="29">
        <v>49500</v>
      </c>
      <c r="G1491" s="29" t="str">
        <v>-</v>
      </c>
      <c r="H1491" s="29">
        <v>46500</v>
      </c>
      <c r="I1491" s="29">
        <v>46500</v>
      </c>
      <c r="J1491" s="29">
        <v>49200</v>
      </c>
      <c r="K1491" s="29" t="str">
        <v>-</v>
      </c>
      <c r="L1491" s="29">
        <v>48300</v>
      </c>
      <c r="M1491" s="29">
        <v>49300</v>
      </c>
      <c r="N1491" s="29">
        <v>47000</v>
      </c>
      <c r="O1491" s="29">
        <v>46700</v>
      </c>
      <c r="P1491" s="29">
        <v>44300</v>
      </c>
      <c r="Q1491" s="29">
        <v>45000</v>
      </c>
      <c r="R1491" s="29">
        <v>44900</v>
      </c>
      <c r="S1491">
        <v>46700</v>
      </c>
      <c r="T1491">
        <v>48300</v>
      </c>
      <c r="U1491">
        <v>51000</v>
      </c>
      <c r="V1491">
        <v>49100</v>
      </c>
      <c r="W1491">
        <v>52300</v>
      </c>
    </row>
    <row r="1492" spans="1:23">
      <c r="A1492" s="30">
        <v>45776</v>
      </c>
      <c r="B1492" s="29">
        <v>47800</v>
      </c>
      <c r="C1492" s="29">
        <v>48500</v>
      </c>
      <c r="D1492" s="29">
        <v>47800</v>
      </c>
      <c r="E1492" s="29">
        <v>44600</v>
      </c>
      <c r="F1492" s="29">
        <v>49500</v>
      </c>
      <c r="G1492" s="29" t="str">
        <v>-</v>
      </c>
      <c r="H1492" s="29">
        <v>46000</v>
      </c>
      <c r="I1492" s="29">
        <v>46500</v>
      </c>
      <c r="J1492" s="29">
        <v>49000</v>
      </c>
      <c r="K1492" s="29" t="str">
        <v>-</v>
      </c>
      <c r="L1492" s="29">
        <v>48200</v>
      </c>
      <c r="M1492" s="29">
        <v>49300</v>
      </c>
      <c r="N1492" s="29">
        <v>47000</v>
      </c>
      <c r="O1492" s="29">
        <v>46800</v>
      </c>
      <c r="P1492" s="29">
        <v>44200</v>
      </c>
      <c r="Q1492" s="29">
        <v>44800</v>
      </c>
      <c r="R1492" s="29">
        <v>44900</v>
      </c>
      <c r="S1492">
        <v>46700</v>
      </c>
      <c r="T1492">
        <v>48100</v>
      </c>
      <c r="U1492">
        <v>51000</v>
      </c>
      <c r="V1492">
        <v>48800</v>
      </c>
      <c r="W1492">
        <v>52100</v>
      </c>
    </row>
    <row r="1493" spans="1:23">
      <c r="A1493" s="30">
        <v>45777</v>
      </c>
      <c r="B1493" s="29">
        <v>47800</v>
      </c>
      <c r="C1493" s="29">
        <v>48500</v>
      </c>
      <c r="D1493" s="29">
        <v>47300</v>
      </c>
      <c r="E1493" s="29">
        <v>44200</v>
      </c>
      <c r="F1493" s="29">
        <v>49500</v>
      </c>
      <c r="G1493" s="29" t="str">
        <v>-</v>
      </c>
      <c r="H1493" s="29">
        <v>46000</v>
      </c>
      <c r="I1493" s="29">
        <v>46200</v>
      </c>
      <c r="J1493" s="29">
        <v>49000</v>
      </c>
      <c r="K1493" s="29" t="str">
        <v>-</v>
      </c>
      <c r="L1493" s="29">
        <v>48200</v>
      </c>
      <c r="M1493" s="29">
        <v>49300</v>
      </c>
      <c r="N1493" s="29">
        <v>46600</v>
      </c>
      <c r="O1493" s="29">
        <v>46700</v>
      </c>
      <c r="P1493" s="29">
        <v>44200</v>
      </c>
      <c r="Q1493" s="29">
        <v>44500</v>
      </c>
      <c r="R1493" s="29">
        <v>44700</v>
      </c>
      <c r="S1493">
        <v>46300</v>
      </c>
      <c r="T1493">
        <v>48000</v>
      </c>
      <c r="U1493">
        <v>50500</v>
      </c>
      <c r="V1493">
        <v>48800</v>
      </c>
      <c r="W1493">
        <v>52000</v>
      </c>
    </row>
    <row r="1494" spans="1:23">
      <c r="A1494" s="30">
        <v>45778</v>
      </c>
      <c r="B1494" s="29">
        <v>47800</v>
      </c>
      <c r="C1494" s="29">
        <v>48500</v>
      </c>
      <c r="D1494" s="29">
        <v>47500</v>
      </c>
      <c r="E1494" s="29">
        <v>44100</v>
      </c>
      <c r="F1494" s="29">
        <v>49300</v>
      </c>
      <c r="G1494" s="29" t="str">
        <v>-</v>
      </c>
      <c r="H1494" s="29">
        <v>45700</v>
      </c>
      <c r="I1494" s="29">
        <v>46200</v>
      </c>
      <c r="J1494" s="29">
        <v>49000</v>
      </c>
      <c r="K1494" s="29" t="str">
        <v>-</v>
      </c>
      <c r="L1494" s="29">
        <v>48100</v>
      </c>
      <c r="M1494" s="29">
        <v>49300</v>
      </c>
      <c r="N1494" s="29">
        <v>46600</v>
      </c>
      <c r="O1494" s="29">
        <v>46700</v>
      </c>
      <c r="P1494" s="29">
        <v>44200</v>
      </c>
      <c r="Q1494" s="29">
        <v>44500</v>
      </c>
      <c r="R1494" s="29">
        <v>44600</v>
      </c>
      <c r="S1494">
        <v>46200</v>
      </c>
      <c r="T1494">
        <v>48200</v>
      </c>
      <c r="U1494">
        <v>50000</v>
      </c>
      <c r="V1494">
        <v>48800</v>
      </c>
      <c r="W1494">
        <v>52000</v>
      </c>
    </row>
    <row r="1495" spans="1:23">
      <c r="A1495" s="30">
        <v>45779</v>
      </c>
      <c r="B1495" s="29">
        <v>47600</v>
      </c>
      <c r="C1495" s="29">
        <v>48500</v>
      </c>
      <c r="D1495" s="29">
        <v>47500</v>
      </c>
      <c r="E1495" s="29">
        <v>44200</v>
      </c>
      <c r="F1495" s="29">
        <v>49300</v>
      </c>
      <c r="G1495" s="29" t="str">
        <v>-</v>
      </c>
      <c r="H1495" s="29">
        <v>45500</v>
      </c>
      <c r="I1495" s="29">
        <v>46200</v>
      </c>
      <c r="J1495" s="29">
        <v>49000</v>
      </c>
      <c r="K1495" s="29" t="str">
        <v>-</v>
      </c>
      <c r="L1495" s="29">
        <v>48000</v>
      </c>
      <c r="M1495" s="29">
        <v>49000</v>
      </c>
      <c r="N1495" s="29">
        <v>46700</v>
      </c>
      <c r="O1495" s="29">
        <v>46200</v>
      </c>
      <c r="P1495" s="29">
        <v>44100</v>
      </c>
      <c r="Q1495" s="29">
        <v>44500</v>
      </c>
      <c r="R1495" s="29">
        <v>44300</v>
      </c>
      <c r="S1495">
        <v>46300</v>
      </c>
      <c r="T1495">
        <v>48200</v>
      </c>
      <c r="U1495">
        <v>49500</v>
      </c>
      <c r="V1495">
        <v>48500</v>
      </c>
      <c r="W1495">
        <v>51800</v>
      </c>
    </row>
    <row r="1496" spans="1:23">
      <c r="A1496" s="30">
        <v>45780</v>
      </c>
      <c r="B1496" s="29">
        <v>47600</v>
      </c>
      <c r="C1496" s="29">
        <v>48300</v>
      </c>
      <c r="D1496" s="29">
        <v>47300</v>
      </c>
      <c r="E1496" s="29">
        <v>44300</v>
      </c>
      <c r="F1496" s="29">
        <v>49000</v>
      </c>
      <c r="G1496" s="29" t="str">
        <v>-</v>
      </c>
      <c r="H1496" s="29">
        <v>45500</v>
      </c>
      <c r="I1496" s="29">
        <v>46300</v>
      </c>
      <c r="J1496" s="29">
        <v>48800</v>
      </c>
      <c r="K1496" s="29" t="str">
        <v>-</v>
      </c>
      <c r="L1496" s="29">
        <v>48000</v>
      </c>
      <c r="M1496" s="29">
        <v>48600</v>
      </c>
      <c r="N1496" s="29">
        <v>46700</v>
      </c>
      <c r="O1496" s="29">
        <v>45800</v>
      </c>
      <c r="P1496" s="29">
        <v>44000</v>
      </c>
      <c r="Q1496" s="29">
        <v>44300</v>
      </c>
      <c r="R1496" s="29">
        <v>44500</v>
      </c>
      <c r="S1496">
        <v>46400</v>
      </c>
      <c r="T1496">
        <v>48000</v>
      </c>
      <c r="U1496">
        <v>49000</v>
      </c>
      <c r="V1496">
        <v>48500</v>
      </c>
      <c r="W1496">
        <v>51800</v>
      </c>
    </row>
    <row r="1497" spans="1:23">
      <c r="A1497" s="30">
        <v>45781</v>
      </c>
      <c r="B1497" s="29" t="str">
        <v>H</v>
      </c>
      <c r="C1497" s="29" t="str">
        <v>H</v>
      </c>
      <c r="D1497" s="29" t="str">
        <v>H</v>
      </c>
      <c r="E1497" s="29" t="str">
        <v>H</v>
      </c>
      <c r="F1497" s="29" t="str">
        <v>H</v>
      </c>
      <c r="G1497" s="29" t="str">
        <v>H</v>
      </c>
      <c r="H1497" s="29" t="str">
        <v>H</v>
      </c>
      <c r="I1497" s="29" t="str">
        <v>H</v>
      </c>
      <c r="J1497" s="29" t="str">
        <v>H</v>
      </c>
      <c r="K1497" s="29" t="str">
        <v>H</v>
      </c>
      <c r="L1497" s="29" t="str">
        <v>H</v>
      </c>
      <c r="M1497" s="29" t="str">
        <v>H</v>
      </c>
      <c r="N1497" s="29" t="str">
        <v>H</v>
      </c>
      <c r="O1497" s="29" t="str">
        <v>H</v>
      </c>
      <c r="P1497" s="29" t="str">
        <v>H</v>
      </c>
      <c r="Q1497" s="29" t="str">
        <v>H</v>
      </c>
      <c r="R1497" s="29" t="str">
        <v>H</v>
      </c>
      <c r="S1497" t="str">
        <v>H</v>
      </c>
      <c r="T1497" t="str">
        <v>H</v>
      </c>
      <c r="U1497" t="str">
        <v>H</v>
      </c>
      <c r="V1497" t="str">
        <v>H</v>
      </c>
      <c r="W1497" t="str">
        <v>H</v>
      </c>
    </row>
    <row r="1498" spans="1:23">
      <c r="A1498" s="30">
        <v>45782</v>
      </c>
      <c r="B1498" s="29">
        <v>47600</v>
      </c>
      <c r="C1498" s="29">
        <v>48500</v>
      </c>
      <c r="D1498" s="29">
        <v>47300</v>
      </c>
      <c r="E1498" s="29">
        <v>44000</v>
      </c>
      <c r="F1498" s="29">
        <v>48900</v>
      </c>
      <c r="G1498" s="29" t="str">
        <v>-</v>
      </c>
      <c r="H1498" s="29">
        <v>45500</v>
      </c>
      <c r="I1498" s="29">
        <v>46400</v>
      </c>
      <c r="J1498" s="29">
        <v>48800</v>
      </c>
      <c r="K1498" s="29" t="str">
        <v>-</v>
      </c>
      <c r="L1498" s="29">
        <v>48000</v>
      </c>
      <c r="M1498" s="29">
        <v>48600</v>
      </c>
      <c r="N1498" s="29">
        <v>46700</v>
      </c>
      <c r="O1498" s="29">
        <v>45800</v>
      </c>
      <c r="P1498" s="29">
        <v>44100</v>
      </c>
      <c r="Q1498" s="29">
        <v>44400</v>
      </c>
      <c r="R1498" s="29">
        <v>44500</v>
      </c>
      <c r="S1498">
        <v>46100</v>
      </c>
      <c r="T1498">
        <v>48000</v>
      </c>
      <c r="U1498">
        <v>49000</v>
      </c>
      <c r="V1498">
        <v>48500</v>
      </c>
      <c r="W1498">
        <v>51300</v>
      </c>
    </row>
    <row r="1499" spans="1:23">
      <c r="A1499" s="30">
        <v>45783</v>
      </c>
      <c r="B1499" s="29">
        <v>47600</v>
      </c>
      <c r="C1499" s="29">
        <v>48500</v>
      </c>
      <c r="D1499" s="29">
        <v>47200</v>
      </c>
      <c r="E1499" s="29">
        <v>43700</v>
      </c>
      <c r="F1499" s="29">
        <v>48900</v>
      </c>
      <c r="G1499" s="29" t="str">
        <v>-</v>
      </c>
      <c r="H1499" s="29">
        <v>45500</v>
      </c>
      <c r="I1499" s="29">
        <v>46300</v>
      </c>
      <c r="J1499" s="29">
        <v>48800</v>
      </c>
      <c r="K1499" s="29" t="str">
        <v>-</v>
      </c>
      <c r="L1499" s="29">
        <v>48000</v>
      </c>
      <c r="M1499" s="29">
        <v>48600</v>
      </c>
      <c r="N1499" s="29">
        <v>46300</v>
      </c>
      <c r="O1499" s="29">
        <v>45300</v>
      </c>
      <c r="P1499" s="29">
        <v>44000</v>
      </c>
      <c r="Q1499" s="29">
        <v>44300</v>
      </c>
      <c r="R1499" s="29">
        <v>44300</v>
      </c>
      <c r="S1499">
        <v>45800</v>
      </c>
      <c r="T1499">
        <v>47600</v>
      </c>
      <c r="U1499">
        <v>49000</v>
      </c>
      <c r="V1499">
        <v>48500</v>
      </c>
      <c r="W1499">
        <v>51300</v>
      </c>
    </row>
    <row r="1500" spans="1:23">
      <c r="A1500" s="30">
        <v>45784</v>
      </c>
      <c r="B1500" s="29">
        <v>47500</v>
      </c>
      <c r="C1500" s="29">
        <v>48300</v>
      </c>
      <c r="D1500" s="29">
        <v>47000</v>
      </c>
      <c r="E1500" s="29">
        <v>43400</v>
      </c>
      <c r="F1500" s="29">
        <v>48900</v>
      </c>
      <c r="G1500" s="29" t="str">
        <v>-</v>
      </c>
      <c r="H1500" s="29">
        <v>45300</v>
      </c>
      <c r="I1500" s="29">
        <v>46000</v>
      </c>
      <c r="J1500" s="29">
        <v>48800</v>
      </c>
      <c r="K1500" s="29" t="str">
        <v>-</v>
      </c>
      <c r="L1500" s="29">
        <v>47700</v>
      </c>
      <c r="M1500" s="29">
        <v>48500</v>
      </c>
      <c r="N1500" s="29">
        <v>46000</v>
      </c>
      <c r="O1500" s="29">
        <v>45100</v>
      </c>
      <c r="P1500" s="29">
        <v>43900</v>
      </c>
      <c r="Q1500" s="29">
        <v>44200</v>
      </c>
      <c r="R1500" s="29">
        <v>44200</v>
      </c>
      <c r="S1500">
        <v>45500</v>
      </c>
      <c r="T1500">
        <v>47500</v>
      </c>
      <c r="U1500">
        <v>48500</v>
      </c>
      <c r="V1500">
        <v>48200</v>
      </c>
      <c r="W1500">
        <v>51200</v>
      </c>
    </row>
    <row r="1501" spans="1:23">
      <c r="A1501" s="30">
        <v>45785</v>
      </c>
      <c r="B1501" s="29">
        <v>47500</v>
      </c>
      <c r="C1501" s="29">
        <v>48300</v>
      </c>
      <c r="D1501" s="29">
        <v>47000</v>
      </c>
      <c r="E1501" s="29">
        <v>43300</v>
      </c>
      <c r="F1501" s="29">
        <v>48900</v>
      </c>
      <c r="G1501" s="29" t="str">
        <v>-</v>
      </c>
      <c r="H1501" s="29">
        <v>45000</v>
      </c>
      <c r="I1501" s="29">
        <v>46000</v>
      </c>
      <c r="J1501" s="29">
        <v>48600</v>
      </c>
      <c r="K1501" s="29" t="str">
        <v>-</v>
      </c>
      <c r="L1501" s="29">
        <v>47700</v>
      </c>
      <c r="M1501" s="29">
        <v>48000</v>
      </c>
      <c r="N1501" s="29">
        <v>46000</v>
      </c>
      <c r="O1501" s="29">
        <v>45000</v>
      </c>
      <c r="P1501" s="29">
        <v>43900</v>
      </c>
      <c r="Q1501" s="29">
        <v>44100</v>
      </c>
      <c r="R1501" s="29">
        <v>44000</v>
      </c>
      <c r="S1501">
        <v>45400</v>
      </c>
      <c r="T1501">
        <v>47100</v>
      </c>
      <c r="U1501">
        <v>48000</v>
      </c>
      <c r="V1501">
        <v>48200</v>
      </c>
      <c r="W1501">
        <v>51200</v>
      </c>
    </row>
    <row r="1502" spans="1:23">
      <c r="A1502" s="30">
        <v>45786</v>
      </c>
      <c r="B1502" s="29">
        <v>47500</v>
      </c>
      <c r="C1502" s="29">
        <v>48300</v>
      </c>
      <c r="D1502" s="29">
        <v>47000</v>
      </c>
      <c r="E1502" s="29">
        <v>43200</v>
      </c>
      <c r="F1502" s="29">
        <v>49100</v>
      </c>
      <c r="G1502" s="29" t="str">
        <v>-</v>
      </c>
      <c r="H1502" s="29">
        <v>45000</v>
      </c>
      <c r="I1502" s="29">
        <v>46000</v>
      </c>
      <c r="J1502" s="29">
        <v>48600</v>
      </c>
      <c r="K1502" s="29" t="str">
        <v>-</v>
      </c>
      <c r="L1502" s="29">
        <v>47700</v>
      </c>
      <c r="M1502" s="29">
        <v>48000</v>
      </c>
      <c r="N1502" s="29">
        <v>46000</v>
      </c>
      <c r="O1502" s="29">
        <v>45000</v>
      </c>
      <c r="P1502" s="29">
        <v>43800</v>
      </c>
      <c r="Q1502" s="29">
        <v>43900</v>
      </c>
      <c r="R1502" s="29">
        <v>44000</v>
      </c>
      <c r="S1502">
        <v>45300</v>
      </c>
      <c r="T1502">
        <v>47000</v>
      </c>
      <c r="U1502">
        <v>48000</v>
      </c>
      <c r="V1502">
        <v>48200</v>
      </c>
      <c r="W1502">
        <v>51200</v>
      </c>
    </row>
    <row r="1503" spans="1:23">
      <c r="A1503" s="30">
        <v>45787</v>
      </c>
      <c r="B1503" s="29">
        <v>47500</v>
      </c>
      <c r="C1503" s="29">
        <v>48200</v>
      </c>
      <c r="D1503" s="29">
        <v>47000</v>
      </c>
      <c r="E1503" s="29">
        <v>43000</v>
      </c>
      <c r="F1503" s="29">
        <v>48900</v>
      </c>
      <c r="G1503" s="29" t="str">
        <v>-</v>
      </c>
      <c r="H1503" s="29">
        <v>45000</v>
      </c>
      <c r="I1503" s="29">
        <v>45900</v>
      </c>
      <c r="J1503" s="29">
        <v>48500</v>
      </c>
      <c r="K1503" s="29" t="str">
        <v>-</v>
      </c>
      <c r="L1503" s="29">
        <v>47600</v>
      </c>
      <c r="M1503" s="29">
        <v>47900</v>
      </c>
      <c r="N1503" s="29">
        <v>45900</v>
      </c>
      <c r="O1503" s="29">
        <v>44700</v>
      </c>
      <c r="P1503" s="29">
        <v>43600</v>
      </c>
      <c r="Q1503" s="29">
        <v>43800</v>
      </c>
      <c r="R1503" s="29">
        <v>43800</v>
      </c>
      <c r="S1503">
        <v>45500</v>
      </c>
      <c r="T1503">
        <v>47000</v>
      </c>
      <c r="U1503">
        <v>48000</v>
      </c>
      <c r="V1503">
        <v>48200</v>
      </c>
      <c r="W1503">
        <v>51200</v>
      </c>
    </row>
    <row r="1504" spans="1:23">
      <c r="A1504" s="30">
        <v>45788</v>
      </c>
      <c r="B1504" s="29" t="str">
        <v>H</v>
      </c>
      <c r="C1504" s="29" t="str">
        <v>H</v>
      </c>
      <c r="D1504" s="29" t="str">
        <v>H</v>
      </c>
      <c r="E1504" s="29" t="str">
        <v>H</v>
      </c>
      <c r="F1504" s="29" t="str">
        <v>H</v>
      </c>
      <c r="G1504" s="29" t="str">
        <v>H</v>
      </c>
      <c r="H1504" s="29" t="str">
        <v>H</v>
      </c>
      <c r="I1504" s="29" t="str">
        <v>H</v>
      </c>
      <c r="J1504" s="29" t="str">
        <v>H</v>
      </c>
      <c r="K1504" s="29" t="str">
        <v>H</v>
      </c>
      <c r="L1504" s="29" t="str">
        <v>H</v>
      </c>
      <c r="M1504" s="29" t="str">
        <v>H</v>
      </c>
      <c r="N1504" s="29" t="str">
        <v>H</v>
      </c>
      <c r="O1504" s="29" t="str">
        <v>H</v>
      </c>
      <c r="P1504" s="29" t="str">
        <v>H</v>
      </c>
      <c r="Q1504" s="29" t="str">
        <v>H</v>
      </c>
      <c r="R1504" s="29" t="str">
        <v>H</v>
      </c>
      <c r="S1504" t="str">
        <v>H</v>
      </c>
      <c r="T1504" t="str">
        <v>H</v>
      </c>
      <c r="U1504" t="str">
        <v>H</v>
      </c>
      <c r="V1504" t="str">
        <v>H</v>
      </c>
      <c r="W1504" t="str">
        <v>H</v>
      </c>
    </row>
    <row r="1505" spans="1:23">
      <c r="A1505" s="30">
        <v>45789</v>
      </c>
      <c r="B1505" s="29">
        <v>47700</v>
      </c>
      <c r="C1505" s="29">
        <v>48200</v>
      </c>
      <c r="D1505" s="29">
        <v>47300</v>
      </c>
      <c r="E1505" s="29">
        <v>43400</v>
      </c>
      <c r="F1505" s="29">
        <v>49400</v>
      </c>
      <c r="G1505" s="29" t="str">
        <v>-</v>
      </c>
      <c r="H1505" s="29">
        <v>46000</v>
      </c>
      <c r="I1505" s="29">
        <v>46100</v>
      </c>
      <c r="J1505" s="29">
        <v>48500</v>
      </c>
      <c r="K1505" s="29" t="str">
        <v>-</v>
      </c>
      <c r="L1505" s="29">
        <v>47800</v>
      </c>
      <c r="M1505" s="29">
        <v>48000</v>
      </c>
      <c r="N1505" s="29">
        <v>46400</v>
      </c>
      <c r="O1505" s="29">
        <v>44800</v>
      </c>
      <c r="P1505" s="29">
        <v>44000</v>
      </c>
      <c r="Q1505" s="29">
        <v>44100</v>
      </c>
      <c r="R1505" s="29">
        <v>44100</v>
      </c>
      <c r="S1505">
        <v>45500</v>
      </c>
      <c r="T1505">
        <v>47500</v>
      </c>
      <c r="U1505">
        <v>48000</v>
      </c>
      <c r="V1505">
        <v>48500</v>
      </c>
      <c r="W1505">
        <v>50900</v>
      </c>
    </row>
    <row r="1506" spans="1:23">
      <c r="A1506" s="30">
        <v>45790</v>
      </c>
      <c r="B1506" s="29">
        <v>47700</v>
      </c>
      <c r="C1506" s="29">
        <v>48000</v>
      </c>
      <c r="D1506" s="29">
        <v>47400</v>
      </c>
      <c r="E1506" s="29">
        <v>43000</v>
      </c>
      <c r="F1506" s="29">
        <v>49300</v>
      </c>
      <c r="G1506" s="29" t="str">
        <v>-</v>
      </c>
      <c r="H1506" s="29">
        <v>46000</v>
      </c>
      <c r="I1506" s="29">
        <v>45800</v>
      </c>
      <c r="J1506" s="29">
        <v>48500</v>
      </c>
      <c r="K1506" s="29" t="str">
        <v>-</v>
      </c>
      <c r="L1506" s="29">
        <v>47700</v>
      </c>
      <c r="M1506" s="29">
        <v>48000</v>
      </c>
      <c r="N1506" s="29">
        <v>46100</v>
      </c>
      <c r="O1506" s="29">
        <v>44800</v>
      </c>
      <c r="P1506" s="29">
        <v>43700</v>
      </c>
      <c r="Q1506" s="29">
        <v>43900</v>
      </c>
      <c r="R1506" s="29">
        <v>43800</v>
      </c>
      <c r="S1506">
        <v>45100</v>
      </c>
      <c r="T1506">
        <v>47300</v>
      </c>
      <c r="U1506">
        <v>48000</v>
      </c>
      <c r="V1506">
        <v>48500</v>
      </c>
      <c r="W1506">
        <v>50900</v>
      </c>
    </row>
    <row r="1507" spans="1:23">
      <c r="A1507" s="30">
        <v>45791</v>
      </c>
      <c r="B1507" s="29">
        <v>47200</v>
      </c>
      <c r="C1507" s="29">
        <v>48000</v>
      </c>
      <c r="D1507" s="29">
        <v>47400</v>
      </c>
      <c r="E1507" s="29">
        <v>42800</v>
      </c>
      <c r="F1507" s="29">
        <v>49300</v>
      </c>
      <c r="G1507" s="29" t="str">
        <v>-</v>
      </c>
      <c r="H1507" s="29">
        <v>46000</v>
      </c>
      <c r="I1507" s="29">
        <v>45800</v>
      </c>
      <c r="J1507" s="29">
        <v>48300</v>
      </c>
      <c r="K1507" s="29" t="str">
        <v>-</v>
      </c>
      <c r="L1507" s="29">
        <v>47500</v>
      </c>
      <c r="M1507" s="29">
        <v>47900</v>
      </c>
      <c r="N1507" s="29">
        <v>46000</v>
      </c>
      <c r="O1507" s="29">
        <v>44500</v>
      </c>
      <c r="P1507" s="29">
        <v>43500</v>
      </c>
      <c r="Q1507" s="29">
        <v>43700</v>
      </c>
      <c r="R1507" s="29">
        <v>43700</v>
      </c>
      <c r="S1507">
        <v>44900</v>
      </c>
      <c r="T1507">
        <v>47200</v>
      </c>
      <c r="U1507">
        <v>48000</v>
      </c>
      <c r="V1507">
        <v>47800</v>
      </c>
      <c r="W1507">
        <v>50900</v>
      </c>
    </row>
    <row r="1508" spans="1:23">
      <c r="A1508" s="30">
        <v>45792</v>
      </c>
      <c r="B1508" s="29">
        <v>47200</v>
      </c>
      <c r="C1508" s="29">
        <v>48000</v>
      </c>
      <c r="D1508" s="29">
        <v>47200</v>
      </c>
      <c r="E1508" s="29">
        <v>42600</v>
      </c>
      <c r="F1508" s="29">
        <v>49300</v>
      </c>
      <c r="G1508" s="29" t="str">
        <v>-</v>
      </c>
      <c r="H1508" s="29">
        <v>46000</v>
      </c>
      <c r="I1508" s="29">
        <v>45600</v>
      </c>
      <c r="J1508" s="29">
        <v>48300</v>
      </c>
      <c r="K1508" s="29" t="str">
        <v>-</v>
      </c>
      <c r="L1508" s="29">
        <v>47500</v>
      </c>
      <c r="M1508" s="29">
        <v>47900</v>
      </c>
      <c r="N1508" s="29">
        <v>45700</v>
      </c>
      <c r="O1508" s="29">
        <v>44500</v>
      </c>
      <c r="P1508" s="29">
        <v>43300</v>
      </c>
      <c r="Q1508" s="29">
        <v>43500</v>
      </c>
      <c r="R1508" s="29">
        <v>43700</v>
      </c>
      <c r="S1508">
        <v>44700</v>
      </c>
      <c r="T1508">
        <v>47000</v>
      </c>
      <c r="U1508">
        <v>47500</v>
      </c>
      <c r="V1508">
        <v>47800</v>
      </c>
      <c r="W1508">
        <v>50800</v>
      </c>
    </row>
    <row r="1509" spans="1:23">
      <c r="A1509" s="30">
        <v>45793</v>
      </c>
      <c r="B1509" s="29">
        <v>47200</v>
      </c>
      <c r="C1509" s="29">
        <v>48000</v>
      </c>
      <c r="D1509" s="29">
        <v>47000</v>
      </c>
      <c r="E1509" s="29">
        <v>42700</v>
      </c>
      <c r="F1509" s="29">
        <v>49300</v>
      </c>
      <c r="G1509" s="29" t="str">
        <v>-</v>
      </c>
      <c r="H1509" s="29">
        <v>46000</v>
      </c>
      <c r="I1509" s="29">
        <v>45700</v>
      </c>
      <c r="J1509" s="29">
        <v>48300</v>
      </c>
      <c r="K1509" s="29" t="str">
        <v>-</v>
      </c>
      <c r="L1509" s="29">
        <v>47500</v>
      </c>
      <c r="M1509" s="29">
        <v>47900</v>
      </c>
      <c r="N1509" s="29">
        <v>46000</v>
      </c>
      <c r="O1509" s="29">
        <v>44500</v>
      </c>
      <c r="P1509" s="29">
        <v>43200</v>
      </c>
      <c r="Q1509" s="29">
        <v>43500</v>
      </c>
      <c r="R1509" s="29">
        <v>44000</v>
      </c>
      <c r="S1509">
        <v>44800</v>
      </c>
      <c r="T1509">
        <v>47000</v>
      </c>
      <c r="U1509">
        <v>47500</v>
      </c>
      <c r="V1509">
        <v>47600</v>
      </c>
      <c r="W1509">
        <v>50600</v>
      </c>
    </row>
    <row r="1510" spans="1:23">
      <c r="A1510" s="30">
        <v>45794</v>
      </c>
      <c r="B1510" s="29">
        <v>47200</v>
      </c>
      <c r="C1510" s="29">
        <v>48000</v>
      </c>
      <c r="D1510" s="29">
        <v>46900</v>
      </c>
      <c r="E1510" s="29">
        <v>42700</v>
      </c>
      <c r="F1510" s="29">
        <v>49300</v>
      </c>
      <c r="G1510" s="29" t="str">
        <v>-</v>
      </c>
      <c r="H1510" s="29">
        <v>46000</v>
      </c>
      <c r="I1510" s="29">
        <v>45700</v>
      </c>
      <c r="J1510" s="29">
        <v>48300</v>
      </c>
      <c r="K1510" s="29" t="str">
        <v>-</v>
      </c>
      <c r="L1510" s="29">
        <v>47500</v>
      </c>
      <c r="M1510" s="29">
        <v>47900</v>
      </c>
      <c r="N1510" s="29">
        <v>46000</v>
      </c>
      <c r="O1510" s="29">
        <v>44300</v>
      </c>
      <c r="P1510" s="29">
        <v>43100</v>
      </c>
      <c r="Q1510" s="29">
        <v>43600</v>
      </c>
      <c r="R1510" s="29">
        <v>43800</v>
      </c>
      <c r="S1510">
        <v>44800</v>
      </c>
      <c r="T1510">
        <v>47000</v>
      </c>
      <c r="U1510">
        <v>47500</v>
      </c>
      <c r="V1510">
        <v>47600</v>
      </c>
      <c r="W1510">
        <v>50600</v>
      </c>
    </row>
    <row r="1511" spans="1:23">
      <c r="A1511" s="30">
        <v>45795</v>
      </c>
      <c r="B1511" s="29" t="str">
        <v>H</v>
      </c>
      <c r="C1511" s="29" t="str">
        <v>H</v>
      </c>
      <c r="D1511" s="29" t="str">
        <v>H</v>
      </c>
      <c r="E1511" s="29" t="str">
        <v>H</v>
      </c>
      <c r="F1511" s="29" t="str">
        <v>H</v>
      </c>
      <c r="G1511" s="29" t="str">
        <v>H</v>
      </c>
      <c r="H1511" s="29" t="str">
        <v>H</v>
      </c>
      <c r="I1511" s="29" t="str">
        <v>H</v>
      </c>
      <c r="J1511" s="29" t="str">
        <v>H</v>
      </c>
      <c r="K1511" s="29" t="str">
        <v>H</v>
      </c>
      <c r="L1511" s="29" t="str">
        <v>H</v>
      </c>
      <c r="M1511" s="29" t="str">
        <v>H</v>
      </c>
      <c r="N1511" s="29" t="str">
        <v>H</v>
      </c>
      <c r="O1511" s="29" t="str">
        <v>H</v>
      </c>
      <c r="P1511" s="29" t="str">
        <v>H</v>
      </c>
      <c r="Q1511" s="29" t="str">
        <v>H</v>
      </c>
      <c r="R1511" s="29" t="str">
        <v>H</v>
      </c>
      <c r="S1511" t="str">
        <v>H</v>
      </c>
      <c r="T1511" t="str">
        <v>H</v>
      </c>
      <c r="U1511" t="str">
        <v>H</v>
      </c>
      <c r="V1511" t="str">
        <v>H</v>
      </c>
      <c r="W1511" t="str">
        <v>H</v>
      </c>
    </row>
    <row r="1512" spans="1:23">
      <c r="A1512" s="30">
        <v>45796</v>
      </c>
      <c r="B1512" s="29">
        <v>47200</v>
      </c>
      <c r="C1512" s="29">
        <v>48000</v>
      </c>
      <c r="D1512" s="29">
        <v>46800</v>
      </c>
      <c r="E1512" s="29">
        <v>42600</v>
      </c>
      <c r="F1512" s="29">
        <v>48400</v>
      </c>
      <c r="G1512" s="29" t="str">
        <v>-</v>
      </c>
      <c r="H1512" s="29">
        <v>45500</v>
      </c>
      <c r="I1512" s="29">
        <v>45700</v>
      </c>
      <c r="J1512" s="29">
        <v>48000</v>
      </c>
      <c r="K1512" s="29" t="str">
        <v>-</v>
      </c>
      <c r="L1512" s="29">
        <v>47500</v>
      </c>
      <c r="M1512" s="29">
        <v>47800</v>
      </c>
      <c r="N1512" s="29">
        <v>45600</v>
      </c>
      <c r="O1512" s="29">
        <v>44300</v>
      </c>
      <c r="P1512" s="29">
        <v>42900</v>
      </c>
      <c r="Q1512" s="29">
        <v>43500</v>
      </c>
      <c r="R1512" s="29">
        <v>43700</v>
      </c>
      <c r="S1512">
        <v>44700</v>
      </c>
      <c r="T1512">
        <v>46600</v>
      </c>
      <c r="U1512">
        <v>47500</v>
      </c>
      <c r="V1512">
        <v>47300</v>
      </c>
      <c r="W1512">
        <v>50000</v>
      </c>
    </row>
    <row r="1513" spans="1:23">
      <c r="A1513" s="30">
        <v>45797</v>
      </c>
      <c r="B1513" s="29">
        <v>47200</v>
      </c>
      <c r="C1513" s="29">
        <v>48000</v>
      </c>
      <c r="D1513" s="29">
        <v>46700</v>
      </c>
      <c r="E1513" s="29">
        <v>42500</v>
      </c>
      <c r="F1513" s="29">
        <v>48400</v>
      </c>
      <c r="G1513" s="29" t="str">
        <v>-</v>
      </c>
      <c r="H1513" s="29">
        <v>45500</v>
      </c>
      <c r="I1513" s="29">
        <v>45800</v>
      </c>
      <c r="J1513" s="29">
        <v>48000</v>
      </c>
      <c r="K1513" s="29" t="str">
        <v>-</v>
      </c>
      <c r="L1513" s="29">
        <v>47600</v>
      </c>
      <c r="M1513" s="29">
        <v>47800</v>
      </c>
      <c r="N1513" s="29">
        <v>45600</v>
      </c>
      <c r="O1513" s="29">
        <v>44500</v>
      </c>
      <c r="P1513" s="29">
        <v>43100</v>
      </c>
      <c r="Q1513" s="29">
        <v>43500</v>
      </c>
      <c r="R1513" s="29">
        <v>43900</v>
      </c>
      <c r="S1513">
        <v>44500</v>
      </c>
      <c r="T1513">
        <v>46600</v>
      </c>
      <c r="U1513">
        <v>47500</v>
      </c>
      <c r="V1513">
        <v>47300</v>
      </c>
      <c r="W1513">
        <v>50000</v>
      </c>
    </row>
    <row r="1514" spans="1:23">
      <c r="A1514" s="30">
        <v>45798</v>
      </c>
      <c r="B1514" s="29">
        <v>47200</v>
      </c>
      <c r="C1514" s="29">
        <v>47800</v>
      </c>
      <c r="D1514" s="29">
        <v>46700</v>
      </c>
      <c r="E1514" s="29">
        <v>42600</v>
      </c>
      <c r="F1514" s="29">
        <v>48400</v>
      </c>
      <c r="G1514" s="29" t="str">
        <v>-</v>
      </c>
      <c r="H1514" s="29">
        <v>45500</v>
      </c>
      <c r="I1514" s="29">
        <v>45900</v>
      </c>
      <c r="J1514" s="29">
        <v>47800</v>
      </c>
      <c r="K1514" s="29" t="str">
        <v>-</v>
      </c>
      <c r="L1514" s="29">
        <v>47600</v>
      </c>
      <c r="M1514" s="29">
        <v>47800</v>
      </c>
      <c r="N1514" s="29">
        <v>45800</v>
      </c>
      <c r="O1514" s="29">
        <v>44500</v>
      </c>
      <c r="P1514" s="29">
        <v>43200</v>
      </c>
      <c r="Q1514" s="29">
        <v>43500</v>
      </c>
      <c r="R1514" s="29">
        <v>44100</v>
      </c>
      <c r="S1514">
        <v>44700</v>
      </c>
      <c r="T1514">
        <v>46600</v>
      </c>
      <c r="U1514">
        <v>47500</v>
      </c>
      <c r="V1514">
        <v>47300</v>
      </c>
      <c r="W1514">
        <v>50000</v>
      </c>
    </row>
    <row r="1515" spans="1:23">
      <c r="A1515" s="30">
        <v>45799</v>
      </c>
      <c r="B1515" s="29">
        <v>47000</v>
      </c>
      <c r="C1515" s="29">
        <v>47800</v>
      </c>
      <c r="D1515" s="29">
        <v>46700</v>
      </c>
      <c r="E1515" s="29">
        <v>42500</v>
      </c>
      <c r="F1515" s="29">
        <v>48100</v>
      </c>
      <c r="G1515" s="29" t="str">
        <v>-</v>
      </c>
      <c r="H1515" s="29">
        <v>45500</v>
      </c>
      <c r="I1515" s="29">
        <v>45800</v>
      </c>
      <c r="J1515" s="29">
        <v>47700</v>
      </c>
      <c r="K1515" s="29" t="str">
        <v>-</v>
      </c>
      <c r="L1515" s="29">
        <v>47600</v>
      </c>
      <c r="M1515" s="29">
        <v>47800</v>
      </c>
      <c r="N1515" s="29">
        <v>45600</v>
      </c>
      <c r="O1515" s="29">
        <v>44300</v>
      </c>
      <c r="P1515" s="29">
        <v>42900</v>
      </c>
      <c r="Q1515" s="29">
        <v>43400</v>
      </c>
      <c r="R1515" s="29">
        <v>43900</v>
      </c>
      <c r="S1515">
        <v>44600</v>
      </c>
      <c r="T1515">
        <v>46500</v>
      </c>
      <c r="U1515">
        <v>47500</v>
      </c>
      <c r="V1515">
        <v>47300</v>
      </c>
      <c r="W1515">
        <v>50000</v>
      </c>
    </row>
    <row r="1516" spans="1:23">
      <c r="A1516" s="30">
        <v>45800</v>
      </c>
      <c r="B1516" s="29">
        <v>46900</v>
      </c>
      <c r="C1516" s="29">
        <v>47500</v>
      </c>
      <c r="D1516" s="29">
        <v>46400</v>
      </c>
      <c r="E1516" s="29">
        <v>42300</v>
      </c>
      <c r="F1516" s="29">
        <v>47800</v>
      </c>
      <c r="G1516" s="29" t="str">
        <v>-</v>
      </c>
      <c r="H1516" s="29">
        <v>45500</v>
      </c>
      <c r="I1516" s="29">
        <v>45600</v>
      </c>
      <c r="J1516" s="29">
        <v>47200</v>
      </c>
      <c r="K1516" s="29" t="str">
        <v>-</v>
      </c>
      <c r="L1516" s="29">
        <v>47500</v>
      </c>
      <c r="M1516" s="29">
        <v>47500</v>
      </c>
      <c r="N1516" s="29">
        <v>45400</v>
      </c>
      <c r="O1516" s="29">
        <v>44100</v>
      </c>
      <c r="P1516" s="29">
        <v>42900</v>
      </c>
      <c r="Q1516" s="29">
        <v>43300</v>
      </c>
      <c r="R1516" s="29">
        <v>43300</v>
      </c>
      <c r="S1516">
        <v>44400</v>
      </c>
      <c r="T1516">
        <v>46300</v>
      </c>
      <c r="U1516">
        <v>47500</v>
      </c>
      <c r="V1516">
        <v>47000</v>
      </c>
      <c r="W1516">
        <v>50000</v>
      </c>
    </row>
    <row r="1517" spans="1:23">
      <c r="A1517" s="30">
        <v>45801</v>
      </c>
      <c r="B1517" s="29">
        <v>46900</v>
      </c>
      <c r="C1517" s="29">
        <v>47700</v>
      </c>
      <c r="D1517" s="29">
        <v>46600</v>
      </c>
      <c r="E1517" s="29">
        <v>42200</v>
      </c>
      <c r="F1517" s="29">
        <v>47800</v>
      </c>
      <c r="G1517" s="29" t="str">
        <v>-</v>
      </c>
      <c r="H1517" s="29">
        <v>45500</v>
      </c>
      <c r="I1517" s="29">
        <v>45600</v>
      </c>
      <c r="J1517" s="29">
        <v>47200</v>
      </c>
      <c r="K1517" s="29" t="str">
        <v>-</v>
      </c>
      <c r="L1517" s="29">
        <v>47500</v>
      </c>
      <c r="M1517" s="29">
        <v>47300</v>
      </c>
      <c r="N1517" s="29">
        <v>45600</v>
      </c>
      <c r="O1517" s="29">
        <v>43800</v>
      </c>
      <c r="P1517" s="29">
        <v>42800</v>
      </c>
      <c r="Q1517" s="29">
        <v>43200</v>
      </c>
      <c r="R1517" s="29">
        <v>43100</v>
      </c>
      <c r="S1517">
        <v>44300</v>
      </c>
      <c r="T1517">
        <v>46300</v>
      </c>
      <c r="U1517">
        <v>47500</v>
      </c>
      <c r="V1517">
        <v>46800</v>
      </c>
      <c r="W1517">
        <v>50000</v>
      </c>
    </row>
    <row r="1518" spans="1:23">
      <c r="A1518" s="30">
        <v>45802</v>
      </c>
      <c r="B1518" s="29" t="str">
        <v>H</v>
      </c>
      <c r="C1518" s="29" t="str">
        <v>H</v>
      </c>
      <c r="D1518" s="29" t="str">
        <v>H</v>
      </c>
      <c r="E1518" s="29" t="str">
        <v>H</v>
      </c>
      <c r="F1518" s="29" t="str">
        <v>H</v>
      </c>
      <c r="G1518" s="29" t="str">
        <v>H</v>
      </c>
      <c r="H1518" s="29" t="str">
        <v>H</v>
      </c>
      <c r="I1518" s="29" t="str">
        <v>H</v>
      </c>
      <c r="J1518" s="29" t="str">
        <v>H</v>
      </c>
      <c r="K1518" s="29" t="str">
        <v>H</v>
      </c>
      <c r="L1518" s="29" t="str">
        <v>H</v>
      </c>
      <c r="M1518" s="29" t="str">
        <v>H</v>
      </c>
      <c r="N1518" s="29" t="str">
        <v>H</v>
      </c>
      <c r="O1518" s="29" t="str">
        <v>H</v>
      </c>
      <c r="P1518" s="29" t="str">
        <v>H</v>
      </c>
      <c r="Q1518" s="29" t="str">
        <v>H</v>
      </c>
      <c r="R1518" s="29" t="str">
        <v>H</v>
      </c>
      <c r="S1518" t="str">
        <v>H</v>
      </c>
      <c r="T1518" t="str">
        <v>H</v>
      </c>
      <c r="U1518" t="str">
        <v>H</v>
      </c>
      <c r="V1518" t="str">
        <v>H</v>
      </c>
      <c r="W1518" t="str">
        <v>H</v>
      </c>
    </row>
    <row r="1519" spans="1:23">
      <c r="A1519" s="30">
        <v>45803</v>
      </c>
      <c r="B1519" s="29">
        <v>46400</v>
      </c>
      <c r="C1519" s="29">
        <v>47500</v>
      </c>
      <c r="D1519" s="29">
        <v>46200</v>
      </c>
      <c r="E1519" s="29">
        <v>41800</v>
      </c>
      <c r="F1519" s="29">
        <v>47100</v>
      </c>
      <c r="G1519" s="29" t="str">
        <v>-</v>
      </c>
      <c r="H1519" s="29">
        <v>45500</v>
      </c>
      <c r="I1519" s="29">
        <v>45400</v>
      </c>
      <c r="J1519" s="29">
        <v>46700</v>
      </c>
      <c r="K1519" s="29" t="str">
        <v>-</v>
      </c>
      <c r="L1519" s="29">
        <v>47200</v>
      </c>
      <c r="M1519" s="29">
        <v>47000</v>
      </c>
      <c r="N1519" s="29">
        <v>45300</v>
      </c>
      <c r="O1519" s="29">
        <v>43700</v>
      </c>
      <c r="P1519" s="29">
        <v>42700</v>
      </c>
      <c r="Q1519" s="29">
        <v>43100</v>
      </c>
      <c r="R1519" s="29">
        <v>43100</v>
      </c>
      <c r="S1519">
        <v>43900</v>
      </c>
      <c r="T1519">
        <v>46000</v>
      </c>
      <c r="U1519">
        <v>47500</v>
      </c>
      <c r="V1519">
        <v>46600</v>
      </c>
      <c r="W1519">
        <v>49200</v>
      </c>
    </row>
    <row r="1520" spans="1:23">
      <c r="A1520" s="30">
        <v>45804</v>
      </c>
      <c r="B1520" s="29">
        <v>46400</v>
      </c>
      <c r="C1520" s="29">
        <v>47500</v>
      </c>
      <c r="D1520" s="29">
        <v>46000</v>
      </c>
      <c r="E1520" s="29">
        <v>41600</v>
      </c>
      <c r="F1520" s="29">
        <v>46800</v>
      </c>
      <c r="G1520" s="29" t="str">
        <v>-</v>
      </c>
      <c r="H1520" s="29">
        <v>45000</v>
      </c>
      <c r="I1520" s="29">
        <v>45200</v>
      </c>
      <c r="J1520" s="29">
        <v>46600</v>
      </c>
      <c r="K1520" s="29" t="str">
        <v>-</v>
      </c>
      <c r="L1520" s="29">
        <v>47100</v>
      </c>
      <c r="M1520" s="29">
        <v>46900</v>
      </c>
      <c r="N1520" s="29">
        <v>45100</v>
      </c>
      <c r="O1520" s="29">
        <v>43500</v>
      </c>
      <c r="P1520" s="29">
        <v>42200</v>
      </c>
      <c r="Q1520" s="29">
        <v>42900</v>
      </c>
      <c r="R1520" s="29">
        <v>43000</v>
      </c>
      <c r="S1520">
        <v>43700</v>
      </c>
      <c r="T1520">
        <v>45700</v>
      </c>
      <c r="U1520">
        <v>47500</v>
      </c>
      <c r="V1520">
        <v>46500</v>
      </c>
      <c r="W1520">
        <v>49200</v>
      </c>
    </row>
    <row r="1521" spans="1:23">
      <c r="A1521" s="30">
        <v>45805</v>
      </c>
      <c r="B1521" s="29">
        <v>46300</v>
      </c>
      <c r="C1521" s="29">
        <v>47300</v>
      </c>
      <c r="D1521" s="29">
        <v>45800</v>
      </c>
      <c r="E1521" s="29">
        <v>41500</v>
      </c>
      <c r="F1521" s="29">
        <v>46800</v>
      </c>
      <c r="G1521" s="29" t="str">
        <v>-</v>
      </c>
      <c r="H1521" s="29">
        <v>45000</v>
      </c>
      <c r="I1521" s="29">
        <v>45100</v>
      </c>
      <c r="J1521" s="29">
        <v>46600</v>
      </c>
      <c r="K1521" s="29" t="str">
        <v>-</v>
      </c>
      <c r="L1521" s="29">
        <v>47100</v>
      </c>
      <c r="M1521" s="29">
        <v>46900</v>
      </c>
      <c r="N1521" s="29">
        <v>45300</v>
      </c>
      <c r="O1521" s="29">
        <v>43500</v>
      </c>
      <c r="P1521" s="29">
        <v>42200</v>
      </c>
      <c r="Q1521" s="29">
        <v>42800</v>
      </c>
      <c r="R1521" s="29">
        <v>43000</v>
      </c>
      <c r="S1521">
        <v>43600</v>
      </c>
      <c r="T1521">
        <v>45700</v>
      </c>
      <c r="U1521">
        <v>47500</v>
      </c>
      <c r="V1521">
        <v>46500</v>
      </c>
      <c r="W1521">
        <v>49200</v>
      </c>
    </row>
    <row r="1522" spans="1:23">
      <c r="A1522" s="30">
        <v>45806</v>
      </c>
      <c r="B1522" s="29">
        <v>46200</v>
      </c>
      <c r="C1522" s="29">
        <v>47300</v>
      </c>
      <c r="D1522" s="29">
        <v>45800</v>
      </c>
      <c r="E1522" s="29">
        <v>41300</v>
      </c>
      <c r="F1522" s="29">
        <v>46700</v>
      </c>
      <c r="G1522" s="29" t="str">
        <v>-</v>
      </c>
      <c r="H1522" s="29">
        <v>44500</v>
      </c>
      <c r="I1522" s="29">
        <v>44900</v>
      </c>
      <c r="J1522" s="29">
        <v>46500</v>
      </c>
      <c r="K1522" s="29" t="str">
        <v>-</v>
      </c>
      <c r="L1522" s="29">
        <v>46900</v>
      </c>
      <c r="M1522" s="29">
        <v>46800</v>
      </c>
      <c r="N1522" s="29">
        <v>45000</v>
      </c>
      <c r="O1522" s="29">
        <v>43300</v>
      </c>
      <c r="P1522" s="29">
        <v>42000</v>
      </c>
      <c r="Q1522" s="29">
        <v>42500</v>
      </c>
      <c r="R1522" s="29">
        <v>43000</v>
      </c>
      <c r="S1522">
        <v>43400</v>
      </c>
      <c r="T1522">
        <v>45500</v>
      </c>
      <c r="U1522">
        <v>47500</v>
      </c>
      <c r="V1522">
        <v>46300</v>
      </c>
      <c r="W1522">
        <v>49200</v>
      </c>
    </row>
    <row r="1523" spans="1:23">
      <c r="A1523" s="30">
        <v>45807</v>
      </c>
      <c r="B1523" s="29">
        <v>46100</v>
      </c>
      <c r="C1523" s="29">
        <v>47500</v>
      </c>
      <c r="D1523" s="29">
        <v>45800</v>
      </c>
      <c r="E1523" s="29">
        <v>41300</v>
      </c>
      <c r="F1523" s="29">
        <v>46700</v>
      </c>
      <c r="G1523" s="29" t="str">
        <v>-</v>
      </c>
      <c r="H1523" s="29">
        <v>44500</v>
      </c>
      <c r="I1523" s="29">
        <v>44900</v>
      </c>
      <c r="J1523" s="29">
        <v>46500</v>
      </c>
      <c r="K1523" s="29" t="str">
        <v>-</v>
      </c>
      <c r="L1523" s="29">
        <v>46900</v>
      </c>
      <c r="M1523" s="29">
        <v>46400</v>
      </c>
      <c r="N1523" s="29">
        <v>45000</v>
      </c>
      <c r="O1523" s="29">
        <v>42700</v>
      </c>
      <c r="P1523" s="29">
        <v>42000</v>
      </c>
      <c r="Q1523" s="29">
        <v>42400</v>
      </c>
      <c r="R1523" s="29">
        <v>43000</v>
      </c>
      <c r="S1523">
        <v>43400</v>
      </c>
      <c r="T1523">
        <v>45500</v>
      </c>
      <c r="U1523">
        <v>47000</v>
      </c>
      <c r="V1523">
        <v>46300</v>
      </c>
      <c r="W1523">
        <v>49200</v>
      </c>
    </row>
    <row r="1524" spans="1:23">
      <c r="A1524" s="30">
        <v>45808</v>
      </c>
      <c r="B1524" s="29">
        <v>46100</v>
      </c>
      <c r="C1524" s="29">
        <v>47300</v>
      </c>
      <c r="D1524" s="29">
        <v>45800</v>
      </c>
      <c r="E1524" s="29">
        <v>41400</v>
      </c>
      <c r="F1524" s="29">
        <v>46000</v>
      </c>
      <c r="G1524" s="29" t="str">
        <v>-</v>
      </c>
      <c r="H1524" s="29">
        <v>44000</v>
      </c>
      <c r="I1524" s="29">
        <v>44900</v>
      </c>
      <c r="J1524" s="29">
        <v>46300</v>
      </c>
      <c r="K1524" s="29" t="str">
        <v>-</v>
      </c>
      <c r="L1524" s="29">
        <v>46800</v>
      </c>
      <c r="M1524" s="29">
        <v>46400</v>
      </c>
      <c r="N1524" s="29">
        <v>44800</v>
      </c>
      <c r="O1524" s="29">
        <v>42500</v>
      </c>
      <c r="P1524" s="29">
        <v>41900</v>
      </c>
      <c r="Q1524" s="29">
        <v>42400</v>
      </c>
      <c r="R1524" s="29">
        <v>42500</v>
      </c>
      <c r="S1524">
        <v>43500</v>
      </c>
      <c r="T1524">
        <v>45500</v>
      </c>
      <c r="U1524">
        <v>46500</v>
      </c>
      <c r="V1524">
        <v>46000</v>
      </c>
      <c r="W1524">
        <v>49200</v>
      </c>
    </row>
    <row r="1525" spans="1:23">
      <c r="A1525" s="30">
        <v>45809</v>
      </c>
      <c r="B1525" s="29" t="str">
        <v>H</v>
      </c>
      <c r="C1525" s="29" t="str">
        <v>H</v>
      </c>
      <c r="D1525" s="29" t="str">
        <v>H</v>
      </c>
      <c r="E1525" s="29" t="str">
        <v>H</v>
      </c>
      <c r="F1525" s="29" t="str">
        <v>H</v>
      </c>
      <c r="G1525" s="29" t="str">
        <v>H</v>
      </c>
      <c r="H1525" s="29" t="str">
        <v>H</v>
      </c>
      <c r="I1525" s="29" t="str">
        <v>H</v>
      </c>
      <c r="J1525" s="29" t="str">
        <v>H</v>
      </c>
      <c r="K1525" s="29" t="str">
        <v>H</v>
      </c>
      <c r="L1525" s="29" t="str">
        <v>H</v>
      </c>
      <c r="M1525" s="29" t="str">
        <v>H</v>
      </c>
      <c r="N1525" s="29" t="str">
        <v>H</v>
      </c>
      <c r="O1525" s="29" t="str">
        <v>H</v>
      </c>
      <c r="P1525" s="29" t="str">
        <v>H</v>
      </c>
      <c r="Q1525" s="29" t="str">
        <v>H</v>
      </c>
      <c r="R1525" s="29" t="str">
        <v>H</v>
      </c>
      <c r="S1525" t="str">
        <v>H</v>
      </c>
      <c r="T1525" t="str">
        <v>H</v>
      </c>
      <c r="U1525" t="str">
        <v>H</v>
      </c>
      <c r="V1525" t="str">
        <v>H</v>
      </c>
      <c r="W1525" t="str">
        <v>H</v>
      </c>
    </row>
    <row r="1526" spans="1:23">
      <c r="A1526" s="30">
        <v>45810</v>
      </c>
      <c r="B1526" s="29">
        <v>46100</v>
      </c>
      <c r="C1526" s="29">
        <v>47300</v>
      </c>
      <c r="D1526" s="29">
        <v>46000</v>
      </c>
      <c r="E1526" s="29">
        <v>41400</v>
      </c>
      <c r="F1526" s="29">
        <v>45700</v>
      </c>
      <c r="G1526" s="29" t="str">
        <v>-</v>
      </c>
      <c r="H1526" s="29">
        <v>44500</v>
      </c>
      <c r="I1526" s="29">
        <v>45300</v>
      </c>
      <c r="J1526" s="29">
        <v>46500</v>
      </c>
      <c r="K1526" s="29" t="str">
        <v>-</v>
      </c>
      <c r="L1526" s="29">
        <v>46800</v>
      </c>
      <c r="M1526" s="29">
        <v>46400</v>
      </c>
      <c r="N1526" s="29">
        <v>45300</v>
      </c>
      <c r="O1526" s="29">
        <v>42000</v>
      </c>
      <c r="P1526" s="29">
        <v>42200</v>
      </c>
      <c r="Q1526" s="29">
        <v>42500</v>
      </c>
      <c r="R1526" s="29">
        <v>42400</v>
      </c>
      <c r="S1526">
        <v>43500</v>
      </c>
      <c r="T1526">
        <v>45600</v>
      </c>
      <c r="U1526">
        <v>46500</v>
      </c>
      <c r="V1526">
        <v>46200</v>
      </c>
      <c r="W1526">
        <v>48900</v>
      </c>
    </row>
    <row r="1527" spans="1:23">
      <c r="A1527" s="30">
        <v>45811</v>
      </c>
      <c r="B1527" s="29">
        <v>46100</v>
      </c>
      <c r="C1527" s="29">
        <v>47300</v>
      </c>
      <c r="D1527" s="29">
        <v>46000</v>
      </c>
      <c r="E1527" s="29">
        <v>41200</v>
      </c>
      <c r="F1527" s="29">
        <v>45700</v>
      </c>
      <c r="G1527" s="29" t="str">
        <v>-</v>
      </c>
      <c r="H1527" s="29">
        <v>44500</v>
      </c>
      <c r="I1527" s="29">
        <v>45100</v>
      </c>
      <c r="J1527" s="29">
        <v>46500</v>
      </c>
      <c r="K1527" s="29" t="str">
        <v>-</v>
      </c>
      <c r="L1527" s="29">
        <v>47100</v>
      </c>
      <c r="M1527" s="29">
        <v>46400</v>
      </c>
      <c r="N1527" s="29">
        <v>45200</v>
      </c>
      <c r="O1527" s="29">
        <v>41700</v>
      </c>
      <c r="P1527" s="29">
        <v>42000</v>
      </c>
      <c r="Q1527" s="29">
        <v>42200</v>
      </c>
      <c r="R1527" s="29">
        <v>42300</v>
      </c>
      <c r="S1527">
        <v>43300</v>
      </c>
      <c r="T1527">
        <v>45600</v>
      </c>
      <c r="U1527">
        <v>46500</v>
      </c>
      <c r="V1527">
        <v>46200</v>
      </c>
      <c r="W1527">
        <v>48900</v>
      </c>
    </row>
    <row r="1528" spans="1:23">
      <c r="A1528" s="30">
        <v>45812</v>
      </c>
      <c r="B1528" s="29">
        <v>46100</v>
      </c>
      <c r="C1528" s="29">
        <v>47000</v>
      </c>
      <c r="D1528" s="29">
        <v>46100</v>
      </c>
      <c r="E1528" s="29">
        <v>41200</v>
      </c>
      <c r="F1528" s="29">
        <v>45700</v>
      </c>
      <c r="G1528" s="29" t="str">
        <v>-</v>
      </c>
      <c r="H1528" s="29">
        <v>44500</v>
      </c>
      <c r="I1528" s="29">
        <v>45100</v>
      </c>
      <c r="J1528" s="29">
        <v>46500</v>
      </c>
      <c r="K1528" s="29" t="str">
        <v>-</v>
      </c>
      <c r="L1528" s="29">
        <v>47100</v>
      </c>
      <c r="M1528" s="29">
        <v>46300</v>
      </c>
      <c r="N1528" s="29">
        <v>45200</v>
      </c>
      <c r="O1528" s="29">
        <v>41300</v>
      </c>
      <c r="P1528" s="29">
        <v>41700</v>
      </c>
      <c r="Q1528" s="29">
        <v>42000</v>
      </c>
      <c r="R1528" s="29">
        <v>42200</v>
      </c>
      <c r="S1528">
        <v>43300</v>
      </c>
      <c r="T1528">
        <v>45500</v>
      </c>
      <c r="U1528">
        <v>46500</v>
      </c>
      <c r="V1528">
        <v>46200</v>
      </c>
      <c r="W1528">
        <v>48900</v>
      </c>
    </row>
    <row r="1529" spans="1:23">
      <c r="A1529" s="30">
        <v>45813</v>
      </c>
      <c r="B1529" s="29">
        <v>46100</v>
      </c>
      <c r="C1529" s="29">
        <v>47000</v>
      </c>
      <c r="D1529" s="29">
        <v>45800</v>
      </c>
      <c r="E1529" s="29">
        <v>41200</v>
      </c>
      <c r="F1529" s="29">
        <v>45600</v>
      </c>
      <c r="G1529" s="29" t="str">
        <v>-</v>
      </c>
      <c r="H1529" s="29">
        <v>44500</v>
      </c>
      <c r="I1529" s="29">
        <v>45000</v>
      </c>
      <c r="J1529" s="29">
        <v>46100</v>
      </c>
      <c r="K1529" s="29" t="str">
        <v>-</v>
      </c>
      <c r="L1529" s="29">
        <v>47200</v>
      </c>
      <c r="M1529" s="29">
        <v>46000</v>
      </c>
      <c r="N1529" s="29">
        <v>45200</v>
      </c>
      <c r="O1529" s="29">
        <v>41300</v>
      </c>
      <c r="P1529" s="29">
        <v>41700</v>
      </c>
      <c r="Q1529" s="29">
        <v>42000</v>
      </c>
      <c r="R1529" s="29">
        <v>42000</v>
      </c>
      <c r="S1529">
        <v>43300</v>
      </c>
      <c r="T1529">
        <v>45500</v>
      </c>
      <c r="U1529">
        <v>46500</v>
      </c>
      <c r="V1529">
        <v>46000</v>
      </c>
      <c r="W1529">
        <v>48900</v>
      </c>
    </row>
    <row r="1530" spans="1:23">
      <c r="A1530" s="30">
        <v>45814</v>
      </c>
      <c r="B1530" s="29">
        <v>46000</v>
      </c>
      <c r="C1530" s="29">
        <v>47000</v>
      </c>
      <c r="D1530" s="29">
        <v>45800</v>
      </c>
      <c r="E1530" s="29">
        <v>41000</v>
      </c>
      <c r="F1530" s="29">
        <v>45600</v>
      </c>
      <c r="G1530" s="29" t="str">
        <v>-</v>
      </c>
      <c r="H1530" s="29">
        <v>44500</v>
      </c>
      <c r="I1530" s="29">
        <v>44800</v>
      </c>
      <c r="J1530" s="29">
        <v>46000</v>
      </c>
      <c r="K1530" s="29" t="str">
        <v>-</v>
      </c>
      <c r="L1530" s="29">
        <v>47100</v>
      </c>
      <c r="M1530" s="29">
        <v>45900</v>
      </c>
      <c r="N1530" s="29">
        <v>45000</v>
      </c>
      <c r="O1530" s="29">
        <v>41000</v>
      </c>
      <c r="P1530" s="29">
        <v>41600</v>
      </c>
      <c r="Q1530" s="29">
        <v>41900</v>
      </c>
      <c r="R1530" s="29">
        <v>41900</v>
      </c>
      <c r="S1530">
        <v>43100</v>
      </c>
      <c r="T1530">
        <v>45500</v>
      </c>
      <c r="U1530">
        <v>46500</v>
      </c>
      <c r="V1530">
        <v>46000</v>
      </c>
      <c r="W1530">
        <v>48900</v>
      </c>
    </row>
    <row r="1531" spans="1:23">
      <c r="A1531" s="30">
        <v>45815</v>
      </c>
      <c r="B1531" s="29">
        <v>45500</v>
      </c>
      <c r="C1531" s="29">
        <v>47000</v>
      </c>
      <c r="D1531" s="29">
        <v>45700</v>
      </c>
      <c r="E1531" s="29">
        <v>41000</v>
      </c>
      <c r="F1531" s="29">
        <v>45600</v>
      </c>
      <c r="G1531" s="29" t="str">
        <v>-</v>
      </c>
      <c r="H1531" s="29">
        <v>44500</v>
      </c>
      <c r="I1531" s="29">
        <v>44600</v>
      </c>
      <c r="J1531" s="29">
        <v>45500</v>
      </c>
      <c r="K1531" s="29" t="str">
        <v>-</v>
      </c>
      <c r="L1531" s="29">
        <v>47000</v>
      </c>
      <c r="M1531" s="29">
        <v>45800</v>
      </c>
      <c r="N1531" s="29">
        <v>44900</v>
      </c>
      <c r="O1531" s="29">
        <v>40700</v>
      </c>
      <c r="P1531" s="29">
        <v>41600</v>
      </c>
      <c r="Q1531" s="29">
        <v>41700</v>
      </c>
      <c r="R1531" s="29">
        <v>41800</v>
      </c>
      <c r="S1531">
        <v>43100</v>
      </c>
      <c r="T1531">
        <v>45000</v>
      </c>
      <c r="U1531">
        <v>46500</v>
      </c>
      <c r="V1531">
        <v>46000</v>
      </c>
      <c r="W1531">
        <v>48900</v>
      </c>
    </row>
    <row r="1532" spans="1:23">
      <c r="A1532" s="30">
        <v>45816</v>
      </c>
      <c r="B1532" s="29" t="str">
        <v>H</v>
      </c>
      <c r="C1532" s="29" t="str">
        <v>H</v>
      </c>
      <c r="D1532" s="29" t="str">
        <v>H</v>
      </c>
      <c r="E1532" s="29" t="str">
        <v>H</v>
      </c>
      <c r="F1532" s="29" t="str">
        <v>H</v>
      </c>
      <c r="G1532" s="29" t="str">
        <v>H</v>
      </c>
      <c r="H1532" s="29" t="str">
        <v>H</v>
      </c>
      <c r="I1532" s="29" t="str">
        <v>H</v>
      </c>
      <c r="J1532" s="29" t="str">
        <v>H</v>
      </c>
      <c r="K1532" s="29" t="str">
        <v>H</v>
      </c>
      <c r="L1532" s="29" t="str">
        <v>H</v>
      </c>
      <c r="M1532" s="29" t="str">
        <v>H</v>
      </c>
      <c r="N1532" s="29" t="str">
        <v>H</v>
      </c>
      <c r="O1532" s="29" t="str">
        <v>H</v>
      </c>
      <c r="P1532" s="29" t="str">
        <v>H</v>
      </c>
      <c r="Q1532" s="29" t="str">
        <v>H</v>
      </c>
      <c r="R1532" s="29" t="str">
        <v>H</v>
      </c>
      <c r="S1532" t="str">
        <v>H</v>
      </c>
      <c r="T1532" t="str">
        <v>H</v>
      </c>
      <c r="U1532" t="str">
        <v>H</v>
      </c>
      <c r="V1532" t="str">
        <v>H</v>
      </c>
      <c r="W1532" t="str">
        <v>H</v>
      </c>
    </row>
    <row r="1533" spans="1:23">
      <c r="A1533" s="30">
        <v>45817</v>
      </c>
      <c r="B1533" s="29">
        <v>45500</v>
      </c>
      <c r="C1533" s="29">
        <v>47000</v>
      </c>
      <c r="D1533" s="29">
        <v>45500</v>
      </c>
      <c r="E1533" s="29">
        <v>41000</v>
      </c>
      <c r="F1533" s="29">
        <v>45600</v>
      </c>
      <c r="G1533" s="29" t="str">
        <v>-</v>
      </c>
      <c r="H1533" s="29">
        <v>44000</v>
      </c>
      <c r="I1533" s="29">
        <v>44600</v>
      </c>
      <c r="J1533" s="29">
        <v>45500</v>
      </c>
      <c r="K1533" s="29" t="str">
        <v>-</v>
      </c>
      <c r="L1533" s="29">
        <v>46900</v>
      </c>
      <c r="M1533" s="29">
        <v>45300</v>
      </c>
      <c r="N1533" s="29">
        <v>44600</v>
      </c>
      <c r="O1533" s="29">
        <v>40500</v>
      </c>
      <c r="P1533" s="29">
        <v>41100</v>
      </c>
      <c r="Q1533" s="29">
        <v>41500</v>
      </c>
      <c r="R1533" s="29">
        <v>41600</v>
      </c>
      <c r="S1533">
        <v>43100</v>
      </c>
      <c r="T1533">
        <v>44800</v>
      </c>
      <c r="U1533">
        <v>46500</v>
      </c>
      <c r="V1533">
        <v>45700</v>
      </c>
      <c r="W1533">
        <v>48400</v>
      </c>
    </row>
    <row r="1534" spans="1:23">
      <c r="A1534" s="30">
        <v>45818</v>
      </c>
      <c r="B1534" s="29">
        <v>45500</v>
      </c>
      <c r="C1534" s="29">
        <v>46500</v>
      </c>
      <c r="D1534" s="29">
        <v>45600</v>
      </c>
      <c r="E1534" s="29">
        <v>41000</v>
      </c>
      <c r="F1534" s="29">
        <v>45600</v>
      </c>
      <c r="G1534" s="29" t="str">
        <v>-</v>
      </c>
      <c r="H1534" s="29">
        <v>44000</v>
      </c>
      <c r="I1534" s="29">
        <v>44600</v>
      </c>
      <c r="J1534" s="29">
        <v>45300</v>
      </c>
      <c r="K1534" s="29" t="str">
        <v>-</v>
      </c>
      <c r="L1534" s="29">
        <v>46900</v>
      </c>
      <c r="M1534" s="29">
        <v>45300</v>
      </c>
      <c r="N1534" s="29">
        <v>44600</v>
      </c>
      <c r="O1534" s="29">
        <v>40300</v>
      </c>
      <c r="P1534" s="29">
        <v>41200</v>
      </c>
      <c r="Q1534" s="29">
        <v>41400</v>
      </c>
      <c r="R1534" s="29">
        <v>41500</v>
      </c>
      <c r="S1534">
        <v>43100</v>
      </c>
      <c r="T1534">
        <v>44800</v>
      </c>
      <c r="U1534">
        <v>46500</v>
      </c>
      <c r="V1534">
        <v>45600</v>
      </c>
      <c r="W1534">
        <v>48400</v>
      </c>
    </row>
    <row r="1535" spans="1:23">
      <c r="A1535" s="30">
        <v>45819</v>
      </c>
      <c r="B1535" s="29">
        <v>45300</v>
      </c>
      <c r="C1535" s="29">
        <v>46500</v>
      </c>
      <c r="D1535" s="29">
        <v>45600</v>
      </c>
      <c r="E1535" s="29">
        <v>40900</v>
      </c>
      <c r="F1535" s="29">
        <v>45600</v>
      </c>
      <c r="G1535" s="29" t="str">
        <v>-</v>
      </c>
      <c r="H1535" s="29">
        <v>44000</v>
      </c>
      <c r="I1535" s="29">
        <v>44400</v>
      </c>
      <c r="J1535" s="29">
        <v>45300</v>
      </c>
      <c r="K1535" s="29" t="str">
        <v>-</v>
      </c>
      <c r="L1535" s="29">
        <v>46900</v>
      </c>
      <c r="M1535" s="29">
        <v>45300</v>
      </c>
      <c r="N1535" s="29">
        <v>44400</v>
      </c>
      <c r="O1535" s="29">
        <v>40100</v>
      </c>
      <c r="P1535" s="29">
        <v>41200</v>
      </c>
      <c r="Q1535" s="29">
        <v>41400</v>
      </c>
      <c r="R1535" s="29">
        <v>41700</v>
      </c>
      <c r="S1535">
        <v>43000</v>
      </c>
      <c r="T1535">
        <v>44800</v>
      </c>
      <c r="U1535">
        <v>46500</v>
      </c>
      <c r="V1535">
        <v>45600</v>
      </c>
      <c r="W1535">
        <v>48400</v>
      </c>
    </row>
    <row r="1536" spans="1:23">
      <c r="A1536" s="30">
        <v>45820</v>
      </c>
      <c r="B1536" s="29">
        <v>45200</v>
      </c>
      <c r="C1536" s="29">
        <v>46500</v>
      </c>
      <c r="D1536" s="29">
        <v>45500</v>
      </c>
      <c r="E1536" s="29">
        <v>40800</v>
      </c>
      <c r="F1536" s="29">
        <v>45500</v>
      </c>
      <c r="G1536" s="29" t="str">
        <v>-</v>
      </c>
      <c r="H1536" s="29">
        <v>44000</v>
      </c>
      <c r="I1536" s="29">
        <v>44300</v>
      </c>
      <c r="J1536" s="29">
        <v>45200</v>
      </c>
      <c r="K1536" s="29" t="str">
        <v>-</v>
      </c>
      <c r="L1536" s="29">
        <v>46800</v>
      </c>
      <c r="M1536" s="29">
        <v>45200</v>
      </c>
      <c r="N1536" s="29">
        <v>44200</v>
      </c>
      <c r="O1536" s="29">
        <v>39900</v>
      </c>
      <c r="P1536" s="29">
        <v>41100</v>
      </c>
      <c r="Q1536" s="29">
        <v>41400</v>
      </c>
      <c r="R1536" s="29">
        <v>41700</v>
      </c>
      <c r="S1536">
        <v>42900</v>
      </c>
      <c r="T1536">
        <v>44800</v>
      </c>
      <c r="U1536">
        <v>46500</v>
      </c>
      <c r="V1536">
        <v>45500</v>
      </c>
      <c r="W1536">
        <v>48400</v>
      </c>
    </row>
    <row r="1537" spans="1:23">
      <c r="A1537" s="30">
        <v>45821</v>
      </c>
      <c r="B1537" s="29">
        <v>45000</v>
      </c>
      <c r="C1537" s="29">
        <v>46500</v>
      </c>
      <c r="D1537" s="29">
        <v>45400</v>
      </c>
      <c r="E1537" s="29">
        <v>40800</v>
      </c>
      <c r="F1537" s="29">
        <v>45500</v>
      </c>
      <c r="G1537" s="29" t="str">
        <v>-</v>
      </c>
      <c r="H1537" s="29">
        <v>44000</v>
      </c>
      <c r="I1537" s="29">
        <v>44300</v>
      </c>
      <c r="J1537" s="29">
        <v>45200</v>
      </c>
      <c r="K1537" s="29" t="str">
        <v>-</v>
      </c>
      <c r="L1537" s="29">
        <v>46600</v>
      </c>
      <c r="M1537" s="29">
        <v>44900</v>
      </c>
      <c r="N1537" s="29">
        <v>44000</v>
      </c>
      <c r="O1537" s="29">
        <v>39600</v>
      </c>
      <c r="P1537" s="29">
        <v>41000</v>
      </c>
      <c r="Q1537" s="29">
        <v>41300</v>
      </c>
      <c r="R1537" s="29">
        <v>41600</v>
      </c>
      <c r="S1537">
        <v>42900</v>
      </c>
      <c r="T1537">
        <v>44600</v>
      </c>
      <c r="U1537">
        <v>46500</v>
      </c>
      <c r="V1537">
        <v>45500</v>
      </c>
      <c r="W1537">
        <v>48400</v>
      </c>
    </row>
    <row r="1538" spans="1:23">
      <c r="A1538" s="30">
        <v>45822</v>
      </c>
      <c r="B1538" s="29">
        <v>45000</v>
      </c>
      <c r="C1538" s="29">
        <v>46500</v>
      </c>
      <c r="D1538" s="29">
        <v>45300</v>
      </c>
      <c r="E1538" s="29">
        <v>40600</v>
      </c>
      <c r="F1538" s="29">
        <v>45500</v>
      </c>
      <c r="G1538" s="29" t="str">
        <v>-</v>
      </c>
      <c r="H1538" s="29">
        <v>44000</v>
      </c>
      <c r="I1538" s="29">
        <v>44200</v>
      </c>
      <c r="J1538" s="29">
        <v>44700</v>
      </c>
      <c r="K1538" s="29" t="str">
        <v>-</v>
      </c>
      <c r="L1538" s="29">
        <v>46600</v>
      </c>
      <c r="M1538" s="29">
        <v>44700</v>
      </c>
      <c r="N1538" s="29">
        <v>44000</v>
      </c>
      <c r="O1538" s="29">
        <v>39500</v>
      </c>
      <c r="P1538" s="29">
        <v>40900</v>
      </c>
      <c r="Q1538" s="29">
        <v>41200</v>
      </c>
      <c r="R1538" s="29">
        <v>41500</v>
      </c>
      <c r="S1538">
        <v>42700</v>
      </c>
      <c r="T1538">
        <v>44500</v>
      </c>
      <c r="U1538">
        <v>46500</v>
      </c>
      <c r="V1538">
        <v>45500</v>
      </c>
      <c r="W1538">
        <v>48400</v>
      </c>
    </row>
    <row r="1539" spans="1:23">
      <c r="A1539" s="30">
        <v>45823</v>
      </c>
      <c r="B1539" s="29" t="str">
        <v>H</v>
      </c>
      <c r="C1539" s="29" t="str">
        <v>H</v>
      </c>
      <c r="D1539" s="29" t="str">
        <v>H</v>
      </c>
      <c r="E1539" s="29" t="str">
        <v>H</v>
      </c>
      <c r="F1539" s="29" t="str">
        <v>H</v>
      </c>
      <c r="G1539" s="29" t="str">
        <v>H</v>
      </c>
      <c r="H1539" s="29" t="str">
        <v>H</v>
      </c>
      <c r="I1539" s="29" t="str">
        <v>H</v>
      </c>
      <c r="J1539" s="29" t="str">
        <v>H</v>
      </c>
      <c r="K1539" s="29" t="str">
        <v>H</v>
      </c>
      <c r="L1539" s="29" t="str">
        <v>H</v>
      </c>
      <c r="M1539" s="29" t="str">
        <v>H</v>
      </c>
      <c r="N1539" s="29" t="str">
        <v>H</v>
      </c>
      <c r="O1539" s="29" t="str">
        <v>H</v>
      </c>
      <c r="P1539" s="29" t="str">
        <v>H</v>
      </c>
      <c r="Q1539" s="29" t="str">
        <v>H</v>
      </c>
      <c r="R1539" s="29" t="str">
        <v>H</v>
      </c>
      <c r="S1539" t="str">
        <v>H</v>
      </c>
      <c r="T1539" t="str">
        <v>H</v>
      </c>
      <c r="U1539" t="str">
        <v>H</v>
      </c>
      <c r="V1539" t="str">
        <v>H</v>
      </c>
      <c r="W1539" t="str">
        <v>H</v>
      </c>
    </row>
    <row r="1540" spans="1:23">
      <c r="A1540" s="30">
        <v>45824</v>
      </c>
      <c r="B1540" s="29">
        <v>44900</v>
      </c>
      <c r="C1540" s="29">
        <v>46500</v>
      </c>
      <c r="D1540" s="29">
        <v>45300</v>
      </c>
      <c r="E1540" s="29">
        <v>40800</v>
      </c>
      <c r="F1540" s="29">
        <v>45100</v>
      </c>
      <c r="G1540" s="29" t="str">
        <v>-</v>
      </c>
      <c r="H1540" s="29">
        <v>43800</v>
      </c>
      <c r="I1540" s="29">
        <v>44200</v>
      </c>
      <c r="J1540" s="29">
        <v>44000</v>
      </c>
      <c r="K1540" s="29" t="str">
        <v>-</v>
      </c>
      <c r="L1540" s="29">
        <v>46600</v>
      </c>
      <c r="M1540" s="29">
        <v>44400</v>
      </c>
      <c r="N1540" s="29">
        <v>44000</v>
      </c>
      <c r="O1540" s="29">
        <v>39500</v>
      </c>
      <c r="P1540" s="29">
        <v>40900</v>
      </c>
      <c r="Q1540" s="29">
        <v>41200</v>
      </c>
      <c r="R1540" s="29">
        <v>41500</v>
      </c>
      <c r="S1540">
        <v>42900</v>
      </c>
      <c r="T1540">
        <v>44500</v>
      </c>
      <c r="U1540">
        <v>46500</v>
      </c>
      <c r="V1540">
        <v>45300</v>
      </c>
      <c r="W1540">
        <v>48200</v>
      </c>
    </row>
    <row r="1541" spans="1:23">
      <c r="A1541" s="30">
        <v>45825</v>
      </c>
      <c r="B1541" s="29">
        <v>44900</v>
      </c>
      <c r="C1541" s="29">
        <v>46500</v>
      </c>
      <c r="D1541" s="29">
        <v>45400</v>
      </c>
      <c r="E1541" s="29">
        <v>41000</v>
      </c>
      <c r="F1541" s="29">
        <v>45100</v>
      </c>
      <c r="G1541" s="29" t="str">
        <v>-</v>
      </c>
      <c r="H1541" s="29">
        <v>44000</v>
      </c>
      <c r="I1541" s="29">
        <v>44200</v>
      </c>
      <c r="J1541" s="29">
        <v>44000</v>
      </c>
      <c r="K1541" s="29" t="str">
        <v>-</v>
      </c>
      <c r="L1541" s="29">
        <v>46600</v>
      </c>
      <c r="M1541" s="29">
        <v>44400</v>
      </c>
      <c r="N1541" s="29">
        <v>44200</v>
      </c>
      <c r="O1541" s="29">
        <v>39300</v>
      </c>
      <c r="P1541" s="29">
        <v>40900</v>
      </c>
      <c r="Q1541" s="29">
        <v>41200</v>
      </c>
      <c r="R1541" s="29">
        <v>41500</v>
      </c>
      <c r="S1541">
        <v>43100</v>
      </c>
      <c r="T1541">
        <v>44600</v>
      </c>
      <c r="U1541">
        <v>46000</v>
      </c>
      <c r="V1541">
        <v>45300</v>
      </c>
      <c r="W1541">
        <v>48200</v>
      </c>
    </row>
    <row r="1542" spans="1:23">
      <c r="A1542" s="30">
        <v>45826</v>
      </c>
      <c r="B1542" s="29">
        <v>44800</v>
      </c>
      <c r="C1542" s="29">
        <v>46500</v>
      </c>
      <c r="D1542" s="29">
        <v>45400</v>
      </c>
      <c r="E1542" s="29">
        <v>40800</v>
      </c>
      <c r="F1542" s="29">
        <v>44900</v>
      </c>
      <c r="G1542" s="29" t="str">
        <v>-</v>
      </c>
      <c r="H1542" s="29">
        <v>44000</v>
      </c>
      <c r="I1542" s="29">
        <v>44200</v>
      </c>
      <c r="J1542" s="29">
        <v>43800</v>
      </c>
      <c r="K1542" s="29" t="str">
        <v>-</v>
      </c>
      <c r="L1542" s="29">
        <v>46600</v>
      </c>
      <c r="M1542" s="29">
        <v>44400</v>
      </c>
      <c r="N1542" s="29">
        <v>44000</v>
      </c>
      <c r="O1542" s="29">
        <v>39300</v>
      </c>
      <c r="P1542" s="29">
        <v>40800</v>
      </c>
      <c r="Q1542" s="29">
        <v>41000</v>
      </c>
      <c r="R1542" s="29">
        <v>41300</v>
      </c>
      <c r="S1542">
        <v>42900</v>
      </c>
      <c r="T1542">
        <v>44600</v>
      </c>
      <c r="U1542">
        <v>46000</v>
      </c>
      <c r="V1542">
        <v>45300</v>
      </c>
      <c r="W1542">
        <v>48200</v>
      </c>
    </row>
    <row r="1543" spans="1:23">
      <c r="A1543" s="30">
        <v>45827</v>
      </c>
      <c r="B1543" s="29">
        <v>44700</v>
      </c>
      <c r="C1543" s="29">
        <v>46500</v>
      </c>
      <c r="D1543" s="29">
        <v>45300</v>
      </c>
      <c r="E1543" s="29">
        <v>40500</v>
      </c>
      <c r="F1543" s="29">
        <v>44700</v>
      </c>
      <c r="G1543" s="29" t="str">
        <v>-</v>
      </c>
      <c r="H1543" s="29">
        <v>44500</v>
      </c>
      <c r="I1543" s="29">
        <v>44000</v>
      </c>
      <c r="J1543" s="29">
        <v>43800</v>
      </c>
      <c r="K1543" s="29" t="str">
        <v>-</v>
      </c>
      <c r="L1543" s="29">
        <v>46500</v>
      </c>
      <c r="M1543" s="29">
        <v>44300</v>
      </c>
      <c r="N1543" s="29">
        <v>44000</v>
      </c>
      <c r="O1543" s="29">
        <v>39100</v>
      </c>
      <c r="P1543" s="29">
        <v>40700</v>
      </c>
      <c r="Q1543" s="29">
        <v>41000</v>
      </c>
      <c r="R1543" s="29">
        <v>41300</v>
      </c>
      <c r="S1543">
        <v>42600</v>
      </c>
      <c r="T1543">
        <v>44400</v>
      </c>
      <c r="U1543">
        <v>46000</v>
      </c>
      <c r="V1543">
        <v>45300</v>
      </c>
      <c r="W1543">
        <v>48200</v>
      </c>
    </row>
    <row r="1544" spans="1:23">
      <c r="A1544" s="30">
        <v>45828</v>
      </c>
      <c r="B1544" s="29">
        <v>44600</v>
      </c>
      <c r="C1544" s="29">
        <v>46300</v>
      </c>
      <c r="D1544" s="29">
        <v>45000</v>
      </c>
      <c r="E1544" s="29">
        <v>40400</v>
      </c>
      <c r="F1544" s="29">
        <v>44700</v>
      </c>
      <c r="G1544" s="29" t="str">
        <v>-</v>
      </c>
      <c r="H1544" s="29">
        <v>44500</v>
      </c>
      <c r="I1544" s="29">
        <v>43800</v>
      </c>
      <c r="J1544" s="29">
        <v>43500</v>
      </c>
      <c r="K1544" s="29" t="str">
        <v>-</v>
      </c>
      <c r="L1544" s="29">
        <v>46400</v>
      </c>
      <c r="M1544" s="29">
        <v>44000</v>
      </c>
      <c r="N1544" s="29">
        <v>43700</v>
      </c>
      <c r="O1544" s="29">
        <v>39100</v>
      </c>
      <c r="P1544" s="29">
        <v>40700</v>
      </c>
      <c r="Q1544" s="29">
        <v>41000</v>
      </c>
      <c r="R1544" s="29">
        <v>41100</v>
      </c>
      <c r="S1544">
        <v>42500</v>
      </c>
      <c r="T1544">
        <v>44400</v>
      </c>
      <c r="U1544">
        <v>46000</v>
      </c>
      <c r="V1544">
        <v>45200</v>
      </c>
      <c r="W1544">
        <v>48200</v>
      </c>
    </row>
    <row r="1545" spans="1:23">
      <c r="A1545" s="30">
        <v>45829</v>
      </c>
      <c r="B1545" s="29">
        <v>44500</v>
      </c>
      <c r="C1545" s="29">
        <v>46300</v>
      </c>
      <c r="D1545" s="29">
        <v>44800</v>
      </c>
      <c r="E1545" s="29">
        <v>40300</v>
      </c>
      <c r="F1545" s="29">
        <v>44700</v>
      </c>
      <c r="G1545" s="29" t="str">
        <v>-</v>
      </c>
      <c r="H1545" s="29">
        <v>44500</v>
      </c>
      <c r="I1545" s="29">
        <v>43800</v>
      </c>
      <c r="J1545" s="29">
        <v>43500</v>
      </c>
      <c r="K1545" s="29" t="str">
        <v>-</v>
      </c>
      <c r="L1545" s="29">
        <v>46300</v>
      </c>
      <c r="M1545" s="29">
        <v>44000</v>
      </c>
      <c r="N1545" s="29">
        <v>43500</v>
      </c>
      <c r="O1545" s="29">
        <v>39000</v>
      </c>
      <c r="P1545" s="29">
        <v>40500</v>
      </c>
      <c r="Q1545" s="29">
        <v>41000</v>
      </c>
      <c r="R1545" s="29">
        <v>41100</v>
      </c>
      <c r="S1545">
        <v>42400</v>
      </c>
      <c r="T1545">
        <v>44300</v>
      </c>
      <c r="U1545">
        <v>46000</v>
      </c>
      <c r="V1545">
        <v>45000</v>
      </c>
      <c r="W1545">
        <v>48200</v>
      </c>
    </row>
    <row r="1546" spans="1:23">
      <c r="A1546" s="30">
        <v>45830</v>
      </c>
      <c r="B1546" s="29" t="str">
        <v>H</v>
      </c>
      <c r="C1546" s="29" t="str">
        <v>H</v>
      </c>
      <c r="D1546" s="29" t="str">
        <v>H</v>
      </c>
      <c r="E1546" s="29" t="str">
        <v>H</v>
      </c>
      <c r="F1546" s="29" t="str">
        <v>H</v>
      </c>
      <c r="G1546" s="29" t="str">
        <v>H</v>
      </c>
      <c r="H1546" s="29" t="str">
        <v>H</v>
      </c>
      <c r="I1546" s="29" t="str">
        <v>H</v>
      </c>
      <c r="J1546" s="29" t="str">
        <v>H</v>
      </c>
      <c r="K1546" s="29" t="str">
        <v>H</v>
      </c>
      <c r="L1546" s="29" t="str">
        <v>H</v>
      </c>
      <c r="M1546" s="29" t="str">
        <v>H</v>
      </c>
      <c r="N1546" s="29" t="str">
        <v>H</v>
      </c>
      <c r="O1546" s="29" t="str">
        <v>H</v>
      </c>
      <c r="P1546" s="29" t="str">
        <v>H</v>
      </c>
      <c r="Q1546" s="29" t="str">
        <v>H</v>
      </c>
      <c r="R1546" s="29" t="str">
        <v>H</v>
      </c>
      <c r="S1546" t="str">
        <v>H</v>
      </c>
      <c r="T1546" t="str">
        <v>H</v>
      </c>
      <c r="U1546" t="str">
        <v>H</v>
      </c>
      <c r="V1546" t="str">
        <v>H</v>
      </c>
      <c r="W1546" t="str">
        <v>H</v>
      </c>
    </row>
    <row r="1547" spans="1:23">
      <c r="A1547" s="30">
        <v>45831</v>
      </c>
      <c r="B1547" s="29">
        <v>43900</v>
      </c>
      <c r="C1547" s="29">
        <v>46300</v>
      </c>
      <c r="D1547" s="29">
        <v>44500</v>
      </c>
      <c r="E1547" s="29">
        <v>40300</v>
      </c>
      <c r="F1547" s="29">
        <v>44500</v>
      </c>
      <c r="G1547" s="29" t="str">
        <v>-</v>
      </c>
      <c r="H1547" s="29">
        <v>44500</v>
      </c>
      <c r="I1547" s="29">
        <v>43600</v>
      </c>
      <c r="J1547" s="29">
        <v>43500</v>
      </c>
      <c r="K1547" s="29" t="str">
        <v>-</v>
      </c>
      <c r="L1547" s="29">
        <v>45700</v>
      </c>
      <c r="M1547" s="29">
        <v>44000</v>
      </c>
      <c r="N1547" s="29">
        <v>43500</v>
      </c>
      <c r="O1547" s="29">
        <v>38700</v>
      </c>
      <c r="P1547" s="29">
        <v>40100</v>
      </c>
      <c r="Q1547" s="29">
        <v>40800</v>
      </c>
      <c r="R1547" s="29">
        <v>41000</v>
      </c>
      <c r="S1547">
        <v>42400</v>
      </c>
      <c r="T1547">
        <v>44200</v>
      </c>
      <c r="U1547">
        <v>46000</v>
      </c>
      <c r="V1547">
        <v>44800</v>
      </c>
      <c r="W1547">
        <v>47500</v>
      </c>
    </row>
    <row r="1548" spans="1:23">
      <c r="A1548" s="30">
        <v>45832</v>
      </c>
      <c r="B1548" s="29">
        <v>43600</v>
      </c>
      <c r="C1548" s="29">
        <v>46000</v>
      </c>
      <c r="D1548" s="29">
        <v>44400</v>
      </c>
      <c r="E1548" s="29">
        <v>40200</v>
      </c>
      <c r="F1548" s="29">
        <v>44400</v>
      </c>
      <c r="G1548" s="29" t="str">
        <v>-</v>
      </c>
      <c r="H1548" s="29">
        <v>44500</v>
      </c>
      <c r="I1548" s="29">
        <v>43300</v>
      </c>
      <c r="J1548" s="29">
        <v>43500</v>
      </c>
      <c r="K1548" s="29" t="str">
        <v>-</v>
      </c>
      <c r="L1548" s="29">
        <v>45700</v>
      </c>
      <c r="M1548" s="29">
        <v>43700</v>
      </c>
      <c r="N1548" s="29">
        <v>43200</v>
      </c>
      <c r="O1548" s="29">
        <v>38500</v>
      </c>
      <c r="P1548" s="29">
        <v>40100</v>
      </c>
      <c r="Q1548" s="29">
        <v>40400</v>
      </c>
      <c r="R1548" s="29">
        <v>41000</v>
      </c>
      <c r="S1548">
        <v>42300</v>
      </c>
      <c r="T1548">
        <v>43900</v>
      </c>
      <c r="U1548">
        <v>46000</v>
      </c>
      <c r="V1548">
        <v>44800</v>
      </c>
      <c r="W1548">
        <v>47500</v>
      </c>
    </row>
    <row r="1549" spans="1:23">
      <c r="A1549" s="30">
        <v>45833</v>
      </c>
      <c r="B1549" s="29">
        <v>43500</v>
      </c>
      <c r="C1549" s="29">
        <v>46000</v>
      </c>
      <c r="D1549" s="29">
        <v>44400</v>
      </c>
      <c r="E1549" s="29">
        <v>40400</v>
      </c>
      <c r="F1549" s="29">
        <v>44400</v>
      </c>
      <c r="G1549" s="29" t="str">
        <v>-</v>
      </c>
      <c r="H1549" s="29">
        <v>44300</v>
      </c>
      <c r="I1549" s="29">
        <v>43500</v>
      </c>
      <c r="J1549" s="29">
        <v>43500</v>
      </c>
      <c r="K1549" s="29" t="str">
        <v>-</v>
      </c>
      <c r="L1549" s="29">
        <v>45800</v>
      </c>
      <c r="M1549" s="29">
        <v>43700</v>
      </c>
      <c r="N1549" s="29">
        <v>43200</v>
      </c>
      <c r="O1549" s="29">
        <v>38300</v>
      </c>
      <c r="P1549" s="29">
        <v>40200</v>
      </c>
      <c r="Q1549" s="29">
        <v>40500</v>
      </c>
      <c r="R1549" s="29">
        <v>41000</v>
      </c>
      <c r="S1549">
        <v>42500</v>
      </c>
      <c r="T1549">
        <v>43900</v>
      </c>
      <c r="U1549">
        <v>46000</v>
      </c>
      <c r="V1549">
        <v>44800</v>
      </c>
      <c r="W1549">
        <v>47500</v>
      </c>
    </row>
    <row r="1550" spans="1:23">
      <c r="A1550" s="30">
        <v>45834</v>
      </c>
      <c r="B1550" s="29">
        <v>43500</v>
      </c>
      <c r="C1550" s="29">
        <v>46000</v>
      </c>
      <c r="D1550" s="29">
        <v>44500</v>
      </c>
      <c r="E1550" s="29">
        <v>40500</v>
      </c>
      <c r="F1550" s="29">
        <v>44400</v>
      </c>
      <c r="G1550" s="29" t="str">
        <v>-</v>
      </c>
      <c r="H1550" s="29">
        <v>44500</v>
      </c>
      <c r="I1550" s="29">
        <v>43600</v>
      </c>
      <c r="J1550" s="29">
        <v>44300</v>
      </c>
      <c r="K1550" s="29" t="str">
        <v>-</v>
      </c>
      <c r="L1550" s="29">
        <v>45900</v>
      </c>
      <c r="M1550" s="29">
        <v>43800</v>
      </c>
      <c r="N1550" s="29">
        <v>43400</v>
      </c>
      <c r="O1550" s="29">
        <v>39000</v>
      </c>
      <c r="P1550" s="29">
        <v>40400</v>
      </c>
      <c r="Q1550" s="29">
        <v>40500</v>
      </c>
      <c r="R1550" s="29">
        <v>41200</v>
      </c>
      <c r="S1550">
        <v>42600</v>
      </c>
      <c r="T1550">
        <v>44000</v>
      </c>
      <c r="U1550">
        <v>45500</v>
      </c>
      <c r="V1550">
        <v>44800</v>
      </c>
      <c r="W1550">
        <v>47500</v>
      </c>
    </row>
    <row r="1551" spans="1:23">
      <c r="A1551" s="30">
        <v>45835</v>
      </c>
      <c r="B1551" s="29">
        <v>43500</v>
      </c>
      <c r="C1551" s="29">
        <v>46000</v>
      </c>
      <c r="D1551" s="29">
        <v>44700</v>
      </c>
      <c r="E1551" s="29">
        <v>40300</v>
      </c>
      <c r="F1551" s="29">
        <v>44400</v>
      </c>
      <c r="G1551" s="29" t="str">
        <v>-</v>
      </c>
      <c r="H1551" s="29">
        <v>44500</v>
      </c>
      <c r="I1551" s="29">
        <v>43400</v>
      </c>
      <c r="J1551" s="29">
        <v>44300</v>
      </c>
      <c r="K1551" s="29" t="str">
        <v>-</v>
      </c>
      <c r="L1551" s="29">
        <v>45900</v>
      </c>
      <c r="M1551" s="29">
        <v>43800</v>
      </c>
      <c r="N1551" s="29">
        <v>43300</v>
      </c>
      <c r="O1551" s="29">
        <v>39200</v>
      </c>
      <c r="P1551" s="29">
        <v>40300</v>
      </c>
      <c r="Q1551" s="29">
        <v>40400</v>
      </c>
      <c r="R1551" s="29">
        <v>41200</v>
      </c>
      <c r="S1551">
        <v>42400</v>
      </c>
      <c r="T1551">
        <v>44000</v>
      </c>
      <c r="U1551">
        <v>45500</v>
      </c>
      <c r="V1551">
        <v>44800</v>
      </c>
      <c r="W1551">
        <v>47500</v>
      </c>
    </row>
    <row r="1552" spans="1:23">
      <c r="A1552" s="30">
        <v>45836</v>
      </c>
      <c r="B1552" s="29">
        <v>43300</v>
      </c>
      <c r="C1552" s="29">
        <v>46000</v>
      </c>
      <c r="D1552" s="29">
        <v>44600</v>
      </c>
      <c r="E1552" s="29">
        <v>40300</v>
      </c>
      <c r="F1552" s="29">
        <v>44500</v>
      </c>
      <c r="G1552" s="29" t="str">
        <v>-</v>
      </c>
      <c r="H1552" s="29">
        <v>44500</v>
      </c>
      <c r="I1552" s="29">
        <v>43400</v>
      </c>
      <c r="J1552" s="29">
        <v>44300</v>
      </c>
      <c r="K1552" s="29" t="str">
        <v>-</v>
      </c>
      <c r="L1552" s="29">
        <v>45800</v>
      </c>
      <c r="M1552" s="29">
        <v>43700</v>
      </c>
      <c r="N1552" s="29">
        <v>43300</v>
      </c>
      <c r="O1552" s="29">
        <v>39300</v>
      </c>
      <c r="P1552" s="29">
        <v>40000</v>
      </c>
      <c r="Q1552" s="29">
        <v>40200</v>
      </c>
      <c r="R1552" s="29">
        <v>41000</v>
      </c>
      <c r="S1552">
        <v>42400</v>
      </c>
      <c r="T1552">
        <v>43800</v>
      </c>
      <c r="U1552">
        <v>45500</v>
      </c>
      <c r="V1552">
        <v>44800</v>
      </c>
      <c r="W1552">
        <v>47500</v>
      </c>
    </row>
    <row r="1553" spans="1:23">
      <c r="A1553" s="30">
        <v>45837</v>
      </c>
      <c r="B1553" s="29" t="str">
        <v>H</v>
      </c>
      <c r="C1553" s="29" t="str">
        <v>H</v>
      </c>
      <c r="D1553" s="29" t="str">
        <v>H</v>
      </c>
      <c r="E1553" s="29" t="str">
        <v>H</v>
      </c>
      <c r="F1553" s="29" t="str">
        <v>H</v>
      </c>
      <c r="G1553" s="29" t="str">
        <v>H</v>
      </c>
      <c r="H1553" s="29" t="str">
        <v>H</v>
      </c>
      <c r="I1553" s="29" t="str">
        <v>H</v>
      </c>
      <c r="J1553" s="29" t="str">
        <v>H</v>
      </c>
      <c r="K1553" s="29" t="str">
        <v>H</v>
      </c>
      <c r="L1553" s="29" t="str">
        <v>H</v>
      </c>
      <c r="M1553" s="29" t="str">
        <v>H</v>
      </c>
      <c r="N1553" s="29" t="str">
        <v>H</v>
      </c>
      <c r="O1553" s="29" t="str">
        <v>H</v>
      </c>
      <c r="P1553" s="29" t="str">
        <v>H</v>
      </c>
      <c r="Q1553" s="29" t="str">
        <v>H</v>
      </c>
      <c r="R1553" s="29" t="str">
        <v>H</v>
      </c>
      <c r="S1553" t="str">
        <v>H</v>
      </c>
      <c r="T1553" t="str">
        <v>H</v>
      </c>
      <c r="U1553" t="str">
        <v>H</v>
      </c>
      <c r="V1553" t="str">
        <v>H</v>
      </c>
      <c r="W1553" t="str">
        <v>H</v>
      </c>
    </row>
    <row r="1554" spans="1:23">
      <c r="A1554" s="30">
        <v>45838</v>
      </c>
      <c r="B1554" s="29">
        <v>43300</v>
      </c>
      <c r="C1554" s="29">
        <v>46000</v>
      </c>
      <c r="D1554" s="29">
        <v>44500</v>
      </c>
      <c r="E1554" s="29">
        <v>40300</v>
      </c>
      <c r="F1554" s="29">
        <v>44400</v>
      </c>
      <c r="G1554" s="29" t="str">
        <v>-</v>
      </c>
      <c r="H1554" s="29">
        <v>44500</v>
      </c>
      <c r="I1554" s="29">
        <v>43300</v>
      </c>
      <c r="J1554" s="29">
        <v>44300</v>
      </c>
      <c r="K1554" s="29" t="str">
        <v>-</v>
      </c>
      <c r="L1554" s="29">
        <v>45800</v>
      </c>
      <c r="M1554" s="29">
        <v>43700</v>
      </c>
      <c r="N1554" s="29">
        <v>43000</v>
      </c>
      <c r="O1554" s="29">
        <v>39500</v>
      </c>
      <c r="P1554" s="29">
        <v>39800</v>
      </c>
      <c r="Q1554" s="29">
        <v>39900</v>
      </c>
      <c r="R1554" s="29">
        <v>41000</v>
      </c>
      <c r="S1554">
        <v>42400</v>
      </c>
      <c r="T1554">
        <v>43600</v>
      </c>
      <c r="U1554">
        <v>45500</v>
      </c>
      <c r="V1554">
        <v>44800</v>
      </c>
      <c r="W1554">
        <v>47500</v>
      </c>
    </row>
    <row r="1555" spans="1:23">
      <c r="A1555" s="30">
        <v>45839</v>
      </c>
      <c r="B1555" s="29">
        <v>43200</v>
      </c>
      <c r="C1555" s="29">
        <v>46000</v>
      </c>
      <c r="D1555" s="29">
        <v>44500</v>
      </c>
      <c r="E1555" s="29">
        <v>40600</v>
      </c>
      <c r="F1555" s="29">
        <v>44300</v>
      </c>
      <c r="G1555" s="29" t="str">
        <v>-</v>
      </c>
      <c r="H1555" s="29">
        <v>44500</v>
      </c>
      <c r="I1555" s="29">
        <v>43300</v>
      </c>
      <c r="J1555" s="29">
        <v>43800</v>
      </c>
      <c r="K1555" s="29" t="str">
        <v>-</v>
      </c>
      <c r="L1555" s="29">
        <v>45800</v>
      </c>
      <c r="M1555" s="29">
        <v>43700</v>
      </c>
      <c r="N1555" s="29">
        <v>43300</v>
      </c>
      <c r="O1555" s="29">
        <v>39700</v>
      </c>
      <c r="P1555" s="29">
        <v>39700</v>
      </c>
      <c r="Q1555" s="29">
        <v>39800</v>
      </c>
      <c r="R1555" s="29">
        <v>40900</v>
      </c>
      <c r="S1555">
        <v>42700</v>
      </c>
      <c r="T1555">
        <v>43500</v>
      </c>
      <c r="U1555">
        <v>45500</v>
      </c>
      <c r="V1555">
        <v>44700</v>
      </c>
      <c r="W1555">
        <v>47500</v>
      </c>
    </row>
    <row r="1556" spans="1:23">
      <c r="A1556" s="30">
        <v>45840</v>
      </c>
      <c r="B1556" s="29">
        <v>43000</v>
      </c>
      <c r="C1556" s="29">
        <v>46000</v>
      </c>
      <c r="D1556" s="29">
        <v>44400</v>
      </c>
      <c r="E1556" s="29">
        <v>40500</v>
      </c>
      <c r="F1556" s="29">
        <v>44100</v>
      </c>
      <c r="G1556" s="29" t="str">
        <v>-</v>
      </c>
      <c r="H1556" s="29">
        <v>44500</v>
      </c>
      <c r="I1556" s="29">
        <v>43300</v>
      </c>
      <c r="J1556" s="29">
        <v>43500</v>
      </c>
      <c r="K1556" s="29" t="str">
        <v>-</v>
      </c>
      <c r="L1556" s="29">
        <v>45700</v>
      </c>
      <c r="M1556" s="29">
        <v>43500</v>
      </c>
      <c r="N1556" s="29">
        <v>43200</v>
      </c>
      <c r="O1556" s="29">
        <v>39700</v>
      </c>
      <c r="P1556" s="29">
        <v>39700</v>
      </c>
      <c r="Q1556" s="29">
        <v>39900</v>
      </c>
      <c r="R1556" s="29">
        <v>41000</v>
      </c>
      <c r="S1556">
        <v>42600</v>
      </c>
      <c r="T1556">
        <v>43300</v>
      </c>
      <c r="U1556">
        <v>45500</v>
      </c>
      <c r="V1556">
        <v>44700</v>
      </c>
      <c r="W1556">
        <v>47500</v>
      </c>
    </row>
    <row r="1557" spans="1:23">
      <c r="A1557" s="30">
        <v>45841</v>
      </c>
      <c r="B1557" s="29">
        <v>42800</v>
      </c>
      <c r="C1557" s="29">
        <v>46000</v>
      </c>
      <c r="D1557" s="29">
        <v>44200</v>
      </c>
      <c r="E1557" s="29">
        <v>40500</v>
      </c>
      <c r="F1557" s="29">
        <v>44100</v>
      </c>
      <c r="G1557" s="29" t="str">
        <v>-</v>
      </c>
      <c r="H1557" s="29">
        <v>44500</v>
      </c>
      <c r="I1557" s="29">
        <v>43200</v>
      </c>
      <c r="J1557" s="29">
        <v>43500</v>
      </c>
      <c r="K1557" s="29" t="str">
        <v>-</v>
      </c>
      <c r="L1557" s="29">
        <v>45500</v>
      </c>
      <c r="M1557" s="29">
        <v>43500</v>
      </c>
      <c r="N1557" s="29">
        <v>43000</v>
      </c>
      <c r="O1557" s="29">
        <v>39900</v>
      </c>
      <c r="P1557" s="29">
        <v>39500</v>
      </c>
      <c r="Q1557" s="29">
        <v>39700</v>
      </c>
      <c r="R1557" s="29">
        <v>40800</v>
      </c>
      <c r="S1557">
        <v>42600</v>
      </c>
      <c r="T1557">
        <v>43000</v>
      </c>
      <c r="U1557">
        <v>45500</v>
      </c>
      <c r="V1557">
        <v>44700</v>
      </c>
      <c r="W1557">
        <v>47500</v>
      </c>
    </row>
    <row r="1558" spans="1:23">
      <c r="A1558" s="30">
        <v>45842</v>
      </c>
      <c r="B1558" s="29">
        <v>42800</v>
      </c>
      <c r="C1558" s="29">
        <v>46000</v>
      </c>
      <c r="D1558" s="29">
        <v>44200</v>
      </c>
      <c r="E1558" s="29">
        <v>40500</v>
      </c>
      <c r="F1558" s="29">
        <v>44000</v>
      </c>
      <c r="G1558" s="29" t="str">
        <v>-</v>
      </c>
      <c r="H1558" s="29">
        <v>44500</v>
      </c>
      <c r="I1558" s="29">
        <v>43200</v>
      </c>
      <c r="J1558" s="29">
        <v>43200</v>
      </c>
      <c r="K1558" s="29" t="str">
        <v>-</v>
      </c>
      <c r="L1558" s="29">
        <v>45500</v>
      </c>
      <c r="M1558" s="29">
        <v>43400</v>
      </c>
      <c r="N1558" s="29">
        <v>43000</v>
      </c>
      <c r="O1558" s="29">
        <v>40100</v>
      </c>
      <c r="P1558" s="29">
        <v>39300</v>
      </c>
      <c r="Q1558" s="29">
        <v>39400</v>
      </c>
      <c r="R1558" s="29">
        <v>40800</v>
      </c>
      <c r="S1558">
        <v>42600</v>
      </c>
      <c r="T1558">
        <v>42700</v>
      </c>
      <c r="U1558">
        <v>45500</v>
      </c>
      <c r="V1558">
        <v>44500</v>
      </c>
      <c r="W1558">
        <v>47500</v>
      </c>
    </row>
    <row r="1559" spans="1:23">
      <c r="A1559" s="30">
        <v>45843</v>
      </c>
      <c r="B1559" s="29">
        <v>42800</v>
      </c>
      <c r="C1559" s="29">
        <v>46000</v>
      </c>
      <c r="D1559" s="29">
        <v>44200</v>
      </c>
      <c r="E1559" s="29">
        <v>40500</v>
      </c>
      <c r="F1559" s="29">
        <v>43700</v>
      </c>
      <c r="G1559" s="29" t="str">
        <v>-</v>
      </c>
      <c r="H1559" s="29">
        <v>44500</v>
      </c>
      <c r="I1559" s="29">
        <v>43200</v>
      </c>
      <c r="J1559" s="29">
        <v>43200</v>
      </c>
      <c r="K1559" s="29" t="str">
        <v>-</v>
      </c>
      <c r="L1559" s="29">
        <v>45500</v>
      </c>
      <c r="M1559" s="29">
        <v>43400</v>
      </c>
      <c r="N1559" s="29">
        <v>43000</v>
      </c>
      <c r="O1559" s="29">
        <v>40300</v>
      </c>
      <c r="P1559" s="29">
        <v>39400</v>
      </c>
      <c r="Q1559" s="29">
        <v>39400</v>
      </c>
      <c r="R1559" s="29">
        <v>40800</v>
      </c>
      <c r="S1559">
        <v>42600</v>
      </c>
      <c r="T1559">
        <v>42600</v>
      </c>
      <c r="U1559">
        <v>45500</v>
      </c>
      <c r="V1559">
        <v>44500</v>
      </c>
      <c r="W1559">
        <v>47500</v>
      </c>
    </row>
    <row r="1560" spans="1:23">
      <c r="A1560" s="30">
        <v>45844</v>
      </c>
      <c r="B1560" s="29" t="str">
        <v>H</v>
      </c>
      <c r="C1560" s="29" t="str">
        <v>H</v>
      </c>
      <c r="D1560" s="29" t="str">
        <v>H</v>
      </c>
      <c r="E1560" s="29" t="str">
        <v>H</v>
      </c>
      <c r="F1560" s="29" t="str">
        <v>H</v>
      </c>
      <c r="G1560" s="29" t="str">
        <v>H</v>
      </c>
      <c r="H1560" s="29" t="str">
        <v>H</v>
      </c>
      <c r="I1560" s="29" t="str">
        <v>H</v>
      </c>
      <c r="J1560" s="29" t="str">
        <v>H</v>
      </c>
      <c r="K1560" s="29" t="str">
        <v>H</v>
      </c>
      <c r="L1560" s="29" t="str">
        <v>H</v>
      </c>
      <c r="M1560" s="29" t="str">
        <v>H</v>
      </c>
      <c r="N1560" s="29" t="str">
        <v>H</v>
      </c>
      <c r="O1560" s="29" t="str">
        <v>H</v>
      </c>
      <c r="P1560" s="29" t="str">
        <v>H</v>
      </c>
      <c r="Q1560" s="29" t="str">
        <v>H</v>
      </c>
      <c r="R1560" s="29" t="str">
        <v>H</v>
      </c>
      <c r="S1560" t="str">
        <v>H</v>
      </c>
      <c r="T1560" t="str">
        <v>H</v>
      </c>
      <c r="U1560" t="str">
        <v>H</v>
      </c>
      <c r="V1560" t="str">
        <v>H</v>
      </c>
      <c r="W1560" t="str">
        <v>H</v>
      </c>
    </row>
    <row r="1561" spans="1:23">
      <c r="A1561" s="30">
        <v>45845</v>
      </c>
      <c r="B1561" s="29">
        <v>42800</v>
      </c>
      <c r="C1561" s="29">
        <v>46000</v>
      </c>
      <c r="D1561" s="29">
        <v>44000</v>
      </c>
      <c r="E1561" s="29">
        <v>40500</v>
      </c>
      <c r="F1561" s="29">
        <v>43400</v>
      </c>
      <c r="G1561" s="29" t="str">
        <v>-</v>
      </c>
      <c r="H1561" s="29">
        <v>44500</v>
      </c>
      <c r="I1561" s="29">
        <v>43200</v>
      </c>
      <c r="J1561" s="29">
        <v>42700</v>
      </c>
      <c r="K1561" s="29" t="str">
        <v>-</v>
      </c>
      <c r="L1561" s="29">
        <v>45500</v>
      </c>
      <c r="M1561" s="29">
        <v>43400</v>
      </c>
      <c r="N1561" s="29">
        <v>42800</v>
      </c>
      <c r="O1561" s="29">
        <v>40500</v>
      </c>
      <c r="P1561" s="29">
        <v>39400</v>
      </c>
      <c r="Q1561" s="29">
        <v>39400</v>
      </c>
      <c r="R1561" s="29">
        <v>40800</v>
      </c>
      <c r="S1561">
        <v>42600</v>
      </c>
      <c r="T1561">
        <v>42500</v>
      </c>
      <c r="U1561">
        <v>45500</v>
      </c>
      <c r="V1561">
        <v>44500</v>
      </c>
      <c r="W1561">
        <v>47500</v>
      </c>
    </row>
    <row r="1562" spans="1:23">
      <c r="A1562" s="30">
        <v>45846</v>
      </c>
      <c r="B1562" s="29">
        <v>42800</v>
      </c>
      <c r="C1562" s="29">
        <v>46000</v>
      </c>
      <c r="D1562" s="29">
        <v>43900</v>
      </c>
      <c r="E1562" s="29">
        <v>40200</v>
      </c>
      <c r="F1562" s="29">
        <v>43400</v>
      </c>
      <c r="G1562" s="29" t="str">
        <v>-</v>
      </c>
      <c r="H1562" s="29">
        <v>44500</v>
      </c>
      <c r="I1562" s="29">
        <v>43000</v>
      </c>
      <c r="J1562" s="29">
        <v>42900</v>
      </c>
      <c r="K1562" s="29" t="str">
        <v>-</v>
      </c>
      <c r="L1562" s="29">
        <v>45400</v>
      </c>
      <c r="M1562" s="29">
        <v>43400</v>
      </c>
      <c r="N1562" s="29">
        <v>42600</v>
      </c>
      <c r="O1562" s="29">
        <v>40700</v>
      </c>
      <c r="P1562" s="29">
        <v>39300</v>
      </c>
      <c r="Q1562" s="29">
        <v>39500</v>
      </c>
      <c r="R1562" s="29">
        <v>41000</v>
      </c>
      <c r="S1562">
        <v>42300</v>
      </c>
      <c r="T1562">
        <v>42500</v>
      </c>
      <c r="U1562">
        <v>45500</v>
      </c>
      <c r="V1562">
        <v>44500</v>
      </c>
      <c r="W1562">
        <v>47500</v>
      </c>
    </row>
    <row r="1563" spans="1:23">
      <c r="A1563" s="30">
        <v>45847</v>
      </c>
      <c r="B1563" s="29">
        <v>43200</v>
      </c>
      <c r="C1563" s="29">
        <v>46000</v>
      </c>
      <c r="D1563" s="29">
        <v>44400</v>
      </c>
      <c r="E1563" s="29">
        <v>40200</v>
      </c>
      <c r="F1563" s="29">
        <v>43500</v>
      </c>
      <c r="G1563" s="29" t="str">
        <v>-</v>
      </c>
      <c r="H1563" s="29">
        <v>44500</v>
      </c>
      <c r="I1563" s="29">
        <v>43200</v>
      </c>
      <c r="J1563" s="29">
        <v>43000</v>
      </c>
      <c r="K1563" s="29" t="str">
        <v>-</v>
      </c>
      <c r="L1563" s="29">
        <v>45500</v>
      </c>
      <c r="M1563" s="29">
        <v>43500</v>
      </c>
      <c r="N1563" s="29">
        <v>43300</v>
      </c>
      <c r="O1563" s="29">
        <v>40700</v>
      </c>
      <c r="P1563" s="29">
        <v>39700</v>
      </c>
      <c r="Q1563" s="29">
        <v>39700</v>
      </c>
      <c r="R1563" s="29">
        <v>41000</v>
      </c>
      <c r="S1563">
        <v>42300</v>
      </c>
      <c r="T1563">
        <v>43000</v>
      </c>
      <c r="U1563">
        <v>45500</v>
      </c>
      <c r="V1563">
        <v>45200</v>
      </c>
      <c r="W1563">
        <v>48000</v>
      </c>
    </row>
    <row r="1564" spans="1:23">
      <c r="A1564" s="30">
        <v>45848</v>
      </c>
      <c r="B1564" s="29">
        <v>43200</v>
      </c>
      <c r="C1564" s="29">
        <v>46000</v>
      </c>
      <c r="D1564" s="29">
        <v>44400</v>
      </c>
      <c r="E1564" s="29">
        <v>40300</v>
      </c>
      <c r="F1564" s="29">
        <v>43800</v>
      </c>
      <c r="G1564" s="29" t="str">
        <v>-</v>
      </c>
      <c r="H1564" s="29">
        <v>45000</v>
      </c>
      <c r="I1564" s="29">
        <v>43200</v>
      </c>
      <c r="J1564" s="29">
        <v>43200</v>
      </c>
      <c r="K1564" s="29" t="str">
        <v>-</v>
      </c>
      <c r="L1564" s="29">
        <v>45500</v>
      </c>
      <c r="M1564" s="29">
        <v>43500</v>
      </c>
      <c r="N1564" s="29">
        <v>43300</v>
      </c>
      <c r="O1564" s="29">
        <v>40600</v>
      </c>
      <c r="P1564" s="29">
        <v>39600</v>
      </c>
      <c r="Q1564" s="29">
        <v>39700</v>
      </c>
      <c r="R1564" s="29">
        <v>40800</v>
      </c>
      <c r="S1564">
        <v>42400</v>
      </c>
      <c r="T1564">
        <v>43000</v>
      </c>
      <c r="U1564">
        <v>45500</v>
      </c>
      <c r="V1564">
        <v>45200</v>
      </c>
      <c r="W1564">
        <v>48000</v>
      </c>
    </row>
    <row r="1565" spans="1:23">
      <c r="A1565" s="30">
        <v>45849</v>
      </c>
      <c r="B1565" s="29">
        <v>43200</v>
      </c>
      <c r="C1565" s="29">
        <v>46000</v>
      </c>
      <c r="D1565" s="29">
        <v>44300</v>
      </c>
      <c r="E1565" s="29">
        <v>40200</v>
      </c>
      <c r="F1565" s="29">
        <v>43800</v>
      </c>
      <c r="G1565" s="29" t="str">
        <v>-</v>
      </c>
      <c r="H1565" s="29">
        <v>45000</v>
      </c>
      <c r="I1565" s="29">
        <v>43000</v>
      </c>
      <c r="J1565" s="29">
        <v>43200</v>
      </c>
      <c r="K1565" s="29" t="str">
        <v>-</v>
      </c>
      <c r="L1565" s="29">
        <v>45500</v>
      </c>
      <c r="M1565" s="29">
        <v>43500</v>
      </c>
      <c r="N1565" s="29">
        <v>43200</v>
      </c>
      <c r="O1565" s="29">
        <v>40700</v>
      </c>
      <c r="P1565" s="29">
        <v>39300</v>
      </c>
      <c r="Q1565" s="29">
        <v>39500</v>
      </c>
      <c r="R1565" s="29">
        <v>40700</v>
      </c>
      <c r="S1565">
        <v>42400</v>
      </c>
      <c r="T1565">
        <v>43000</v>
      </c>
      <c r="U1565">
        <v>45500</v>
      </c>
      <c r="V1565">
        <v>45200</v>
      </c>
      <c r="W1565">
        <v>48000</v>
      </c>
    </row>
    <row r="1566" spans="1:23">
      <c r="A1566" s="30">
        <v>45850</v>
      </c>
      <c r="B1566" s="29">
        <v>43200</v>
      </c>
      <c r="C1566" s="29">
        <v>46000</v>
      </c>
      <c r="D1566" s="29">
        <v>44000</v>
      </c>
      <c r="E1566" s="29">
        <v>40200</v>
      </c>
      <c r="F1566" s="29">
        <v>43800</v>
      </c>
      <c r="G1566" s="29" t="str">
        <v>-</v>
      </c>
      <c r="H1566" s="29">
        <v>45000</v>
      </c>
      <c r="I1566" s="29">
        <v>43000</v>
      </c>
      <c r="J1566" s="29">
        <v>43100</v>
      </c>
      <c r="K1566" s="29" t="str">
        <v>-</v>
      </c>
      <c r="L1566" s="29">
        <v>45300</v>
      </c>
      <c r="M1566" s="29">
        <v>43400</v>
      </c>
      <c r="N1566" s="29">
        <v>42900</v>
      </c>
      <c r="O1566" s="29">
        <v>40700</v>
      </c>
      <c r="P1566" s="29">
        <v>39300</v>
      </c>
      <c r="Q1566" s="29">
        <v>39300</v>
      </c>
      <c r="R1566" s="29">
        <v>40600</v>
      </c>
      <c r="S1566">
        <v>42400</v>
      </c>
      <c r="T1566">
        <v>42800</v>
      </c>
      <c r="U1566">
        <v>45500</v>
      </c>
      <c r="V1566">
        <v>45200</v>
      </c>
      <c r="W1566">
        <v>48000</v>
      </c>
    </row>
    <row r="1567" spans="1:23">
      <c r="A1567" s="30">
        <v>45851</v>
      </c>
      <c r="B1567" s="29" t="str">
        <v>H</v>
      </c>
      <c r="C1567" s="29" t="str">
        <v>H</v>
      </c>
      <c r="D1567" s="29" t="str">
        <v>H</v>
      </c>
      <c r="E1567" s="29" t="str">
        <v>H</v>
      </c>
      <c r="F1567" s="29" t="str">
        <v>H</v>
      </c>
      <c r="G1567" s="29" t="str">
        <v>H</v>
      </c>
      <c r="H1567" s="29" t="str">
        <v>H</v>
      </c>
      <c r="I1567" s="29" t="str">
        <v>H</v>
      </c>
      <c r="J1567" s="29" t="str">
        <v>H</v>
      </c>
      <c r="K1567" s="29" t="str">
        <v>H</v>
      </c>
      <c r="L1567" s="29" t="str">
        <v>H</v>
      </c>
      <c r="M1567" s="29" t="str">
        <v>H</v>
      </c>
      <c r="N1567" s="29" t="str">
        <v>H</v>
      </c>
      <c r="O1567" s="29" t="str">
        <v>H</v>
      </c>
      <c r="P1567" s="29" t="str">
        <v>H</v>
      </c>
      <c r="Q1567" s="29" t="str">
        <v>H</v>
      </c>
      <c r="R1567" s="29" t="str">
        <v>H</v>
      </c>
      <c r="S1567" t="str">
        <v>H</v>
      </c>
      <c r="T1567" t="str">
        <v>H</v>
      </c>
      <c r="U1567" t="str">
        <v>H</v>
      </c>
      <c r="V1567" t="str">
        <v>H</v>
      </c>
      <c r="W1567" t="str">
        <v>H</v>
      </c>
    </row>
    <row r="1568" spans="1:23">
      <c r="A1568" s="30">
        <v>45852</v>
      </c>
      <c r="B1568" s="29">
        <v>42800</v>
      </c>
      <c r="C1568" s="29">
        <v>45700</v>
      </c>
      <c r="D1568" s="29">
        <v>43900</v>
      </c>
      <c r="E1568" s="29">
        <v>39800</v>
      </c>
      <c r="F1568" s="29">
        <v>43400</v>
      </c>
      <c r="G1568" s="29" t="str">
        <v>-</v>
      </c>
      <c r="H1568" s="29">
        <v>44500</v>
      </c>
      <c r="I1568" s="29">
        <v>42700</v>
      </c>
      <c r="J1568" s="29">
        <v>42800</v>
      </c>
      <c r="K1568" s="29" t="str">
        <v>-</v>
      </c>
      <c r="L1568" s="29">
        <v>45200</v>
      </c>
      <c r="M1568" s="29">
        <v>43300</v>
      </c>
      <c r="N1568" s="29" t="str">
        <v>-</v>
      </c>
      <c r="O1568" s="29">
        <v>40500</v>
      </c>
      <c r="P1568" s="29">
        <v>39100</v>
      </c>
      <c r="Q1568" s="29">
        <v>39200</v>
      </c>
      <c r="R1568" s="29">
        <v>40200</v>
      </c>
      <c r="S1568">
        <v>42000</v>
      </c>
      <c r="T1568">
        <v>42500</v>
      </c>
      <c r="U1568">
        <v>45500</v>
      </c>
      <c r="V1568">
        <v>45100</v>
      </c>
      <c r="W1568">
        <v>48000</v>
      </c>
    </row>
    <row r="1569" spans="1:23">
      <c r="A1569" s="30">
        <v>45853</v>
      </c>
      <c r="B1569" s="29">
        <v>42600</v>
      </c>
      <c r="C1569" s="29">
        <v>45500</v>
      </c>
      <c r="D1569" s="29">
        <v>43800</v>
      </c>
      <c r="E1569" s="29">
        <v>39700</v>
      </c>
      <c r="F1569" s="29">
        <v>43400</v>
      </c>
      <c r="G1569" s="29" t="str">
        <v>-</v>
      </c>
      <c r="H1569" s="29">
        <v>44500</v>
      </c>
      <c r="I1569" s="29">
        <v>42400</v>
      </c>
      <c r="J1569" s="29">
        <v>42800</v>
      </c>
      <c r="K1569" s="29" t="str">
        <v>-</v>
      </c>
      <c r="L1569" s="29">
        <v>45000</v>
      </c>
      <c r="M1569" s="29">
        <v>43300</v>
      </c>
      <c r="N1569" s="29" t="str">
        <v>-</v>
      </c>
      <c r="O1569" s="29">
        <v>40700</v>
      </c>
      <c r="P1569" s="29">
        <v>39100</v>
      </c>
      <c r="Q1569" s="29">
        <v>39000</v>
      </c>
      <c r="R1569" s="29">
        <v>40200</v>
      </c>
      <c r="S1569">
        <v>41900</v>
      </c>
      <c r="T1569">
        <v>42300</v>
      </c>
      <c r="U1569">
        <v>45000</v>
      </c>
      <c r="V1569">
        <v>45000</v>
      </c>
      <c r="W1569">
        <v>48000</v>
      </c>
    </row>
    <row r="1570" spans="1:23">
      <c r="A1570" s="30">
        <v>45854</v>
      </c>
      <c r="B1570" s="29">
        <v>42500</v>
      </c>
      <c r="C1570" s="29">
        <v>45500</v>
      </c>
      <c r="D1570" s="29">
        <v>43900</v>
      </c>
      <c r="E1570" s="29">
        <v>39900</v>
      </c>
      <c r="F1570" s="29">
        <v>43200</v>
      </c>
      <c r="G1570" s="29" t="str">
        <v>-</v>
      </c>
      <c r="H1570" s="29">
        <v>44500</v>
      </c>
      <c r="I1570" s="29">
        <v>42400</v>
      </c>
      <c r="J1570" s="29">
        <v>42700</v>
      </c>
      <c r="K1570" s="29" t="str">
        <v>-</v>
      </c>
      <c r="L1570" s="29">
        <v>44900</v>
      </c>
      <c r="M1570" s="29">
        <v>43300</v>
      </c>
      <c r="N1570" s="29" t="str">
        <v>-</v>
      </c>
      <c r="O1570" s="29">
        <v>40900</v>
      </c>
      <c r="P1570" s="29">
        <v>39100</v>
      </c>
      <c r="Q1570" s="29">
        <v>39000</v>
      </c>
      <c r="R1570" s="29">
        <v>40100</v>
      </c>
      <c r="S1570">
        <v>42100</v>
      </c>
      <c r="T1570">
        <v>42300</v>
      </c>
      <c r="U1570">
        <v>45000</v>
      </c>
      <c r="V1570">
        <v>45000</v>
      </c>
      <c r="W1570">
        <v>48000</v>
      </c>
    </row>
    <row r="1571" spans="1:23">
      <c r="A1571" s="30">
        <v>45855</v>
      </c>
      <c r="B1571" s="29">
        <v>43000</v>
      </c>
      <c r="C1571" s="29">
        <v>45500</v>
      </c>
      <c r="D1571" s="29">
        <v>43900</v>
      </c>
      <c r="E1571" s="29">
        <v>40000</v>
      </c>
      <c r="F1571" s="29">
        <v>43300</v>
      </c>
      <c r="G1571" s="29" t="str">
        <v>-</v>
      </c>
      <c r="H1571" s="29">
        <v>44500</v>
      </c>
      <c r="I1571" s="29">
        <v>42600</v>
      </c>
      <c r="J1571" s="29">
        <v>43000</v>
      </c>
      <c r="K1571" s="29" t="str">
        <v>-</v>
      </c>
      <c r="L1571" s="29">
        <v>45100</v>
      </c>
      <c r="M1571" s="29">
        <v>43400</v>
      </c>
      <c r="N1571" s="29" t="str">
        <v>-</v>
      </c>
      <c r="O1571" s="29">
        <v>41000</v>
      </c>
      <c r="P1571" s="29">
        <v>39100</v>
      </c>
      <c r="Q1571" s="29">
        <v>39000</v>
      </c>
      <c r="R1571" s="29">
        <v>40200</v>
      </c>
      <c r="S1571">
        <v>42100</v>
      </c>
      <c r="T1571">
        <v>42300</v>
      </c>
      <c r="U1571">
        <v>44500</v>
      </c>
      <c r="V1571">
        <v>45000</v>
      </c>
      <c r="W1571">
        <v>48000</v>
      </c>
    </row>
    <row r="1572" spans="1:23">
      <c r="A1572" s="30">
        <v>45856</v>
      </c>
      <c r="B1572" s="29">
        <v>43200</v>
      </c>
      <c r="C1572" s="29">
        <v>45500</v>
      </c>
      <c r="D1572" s="29">
        <v>44000</v>
      </c>
      <c r="E1572" s="29">
        <v>40000</v>
      </c>
      <c r="F1572" s="29">
        <v>43300</v>
      </c>
      <c r="G1572" s="29" t="str">
        <v>-</v>
      </c>
      <c r="H1572" s="29">
        <v>44500</v>
      </c>
      <c r="I1572" s="29">
        <v>42600</v>
      </c>
      <c r="J1572" s="29">
        <v>43000</v>
      </c>
      <c r="K1572" s="29" t="str">
        <v>-</v>
      </c>
      <c r="L1572" s="29">
        <v>45100</v>
      </c>
      <c r="M1572" s="29">
        <v>43400</v>
      </c>
      <c r="N1572" s="29" t="str">
        <v>-</v>
      </c>
      <c r="O1572" s="29">
        <v>41200</v>
      </c>
      <c r="P1572" s="29">
        <v>39200</v>
      </c>
      <c r="Q1572" s="29">
        <v>39100</v>
      </c>
      <c r="R1572" s="29">
        <v>40400</v>
      </c>
      <c r="S1572">
        <v>42100</v>
      </c>
      <c r="T1572">
        <v>42300</v>
      </c>
      <c r="U1572">
        <v>44000</v>
      </c>
      <c r="V1572">
        <v>45000</v>
      </c>
      <c r="W1572">
        <v>48000</v>
      </c>
    </row>
    <row r="1573" spans="1:23">
      <c r="A1573" s="30">
        <v>45857</v>
      </c>
      <c r="B1573" s="29">
        <v>43200</v>
      </c>
      <c r="C1573" s="29">
        <v>45500</v>
      </c>
      <c r="D1573" s="29">
        <v>44000</v>
      </c>
      <c r="E1573" s="29">
        <v>39800</v>
      </c>
      <c r="F1573" s="29">
        <v>43300</v>
      </c>
      <c r="G1573" s="29" t="str">
        <v>-</v>
      </c>
      <c r="H1573" s="29">
        <v>44500</v>
      </c>
      <c r="I1573" s="29">
        <v>42600</v>
      </c>
      <c r="J1573" s="29">
        <v>43000</v>
      </c>
      <c r="K1573" s="29" t="str">
        <v>-</v>
      </c>
      <c r="L1573" s="29">
        <v>45100</v>
      </c>
      <c r="M1573" s="29">
        <v>43400</v>
      </c>
      <c r="N1573" s="29" t="str">
        <v>-</v>
      </c>
      <c r="O1573" s="29">
        <v>41200</v>
      </c>
      <c r="P1573" s="29">
        <v>39100</v>
      </c>
      <c r="Q1573" s="29">
        <v>39000</v>
      </c>
      <c r="R1573" s="29">
        <v>40400</v>
      </c>
      <c r="S1573">
        <v>42000</v>
      </c>
      <c r="T1573">
        <v>42300</v>
      </c>
      <c r="U1573">
        <v>44000</v>
      </c>
      <c r="V1573">
        <v>45000</v>
      </c>
      <c r="W1573">
        <v>48000</v>
      </c>
    </row>
    <row r="1574" spans="1:23">
      <c r="A1574" s="30">
        <v>45858</v>
      </c>
      <c r="B1574" s="29" t="str">
        <v>H</v>
      </c>
      <c r="C1574" s="29" t="str">
        <v>H</v>
      </c>
      <c r="D1574" s="29" t="str">
        <v>H</v>
      </c>
      <c r="E1574" s="29" t="str">
        <v>H</v>
      </c>
      <c r="F1574" s="29" t="str">
        <v>H</v>
      </c>
      <c r="G1574" s="29" t="str">
        <v>H</v>
      </c>
      <c r="H1574" s="29" t="str">
        <v>H</v>
      </c>
      <c r="I1574" s="29" t="str">
        <v>H</v>
      </c>
      <c r="J1574" s="29" t="str">
        <v>H</v>
      </c>
      <c r="K1574" s="29" t="str">
        <v>H</v>
      </c>
      <c r="L1574" s="29" t="str">
        <v>H</v>
      </c>
      <c r="M1574" s="29" t="str">
        <v>H</v>
      </c>
      <c r="N1574" s="29" t="str">
        <v>H</v>
      </c>
      <c r="O1574" s="29" t="str">
        <v>H</v>
      </c>
      <c r="P1574" s="29" t="str">
        <v>H</v>
      </c>
      <c r="Q1574" s="29" t="str">
        <v>H</v>
      </c>
      <c r="R1574" s="29" t="str">
        <v>H</v>
      </c>
      <c r="S1574" t="str">
        <v>H</v>
      </c>
      <c r="T1574" t="str">
        <v>H</v>
      </c>
      <c r="U1574" t="str">
        <v>H</v>
      </c>
      <c r="V1574" t="str">
        <v>H</v>
      </c>
      <c r="W1574" t="str">
        <v>H</v>
      </c>
    </row>
    <row r="1575" spans="1:23">
      <c r="A1575" s="30">
        <v>45859</v>
      </c>
      <c r="B1575" s="29">
        <v>43200</v>
      </c>
      <c r="C1575" s="29">
        <v>45500</v>
      </c>
      <c r="D1575" s="29">
        <v>43800</v>
      </c>
      <c r="E1575" s="29">
        <v>39800</v>
      </c>
      <c r="F1575" s="29">
        <v>43300</v>
      </c>
      <c r="G1575" s="29" t="str">
        <v>-</v>
      </c>
      <c r="H1575" s="29">
        <v>44500</v>
      </c>
      <c r="I1575" s="29">
        <v>42500</v>
      </c>
      <c r="J1575" s="29">
        <v>42700</v>
      </c>
      <c r="K1575" s="29" t="str">
        <v>-</v>
      </c>
      <c r="L1575" s="29">
        <v>45000</v>
      </c>
      <c r="M1575" s="29">
        <v>43100</v>
      </c>
      <c r="N1575" s="29" t="str">
        <v>-</v>
      </c>
      <c r="O1575" s="29">
        <v>41300</v>
      </c>
      <c r="P1575" s="29">
        <v>39100</v>
      </c>
      <c r="Q1575" s="29">
        <v>39000</v>
      </c>
      <c r="R1575" s="29">
        <v>40300</v>
      </c>
      <c r="S1575">
        <v>42000</v>
      </c>
      <c r="T1575">
        <v>42200</v>
      </c>
      <c r="U1575">
        <v>44000</v>
      </c>
      <c r="V1575">
        <v>45000</v>
      </c>
      <c r="W1575">
        <v>47500</v>
      </c>
    </row>
    <row r="1576" spans="1:23">
      <c r="A1576" s="30">
        <v>45860</v>
      </c>
      <c r="B1576" s="29">
        <v>43200</v>
      </c>
      <c r="C1576" s="29">
        <v>45300</v>
      </c>
      <c r="D1576" s="29">
        <v>43600</v>
      </c>
      <c r="E1576" s="29">
        <v>39700</v>
      </c>
      <c r="F1576" s="29">
        <v>43300</v>
      </c>
      <c r="G1576" s="29" t="str">
        <v>-</v>
      </c>
      <c r="H1576" s="29">
        <v>44000</v>
      </c>
      <c r="I1576" s="29">
        <v>42500</v>
      </c>
      <c r="J1576" s="29">
        <v>42700</v>
      </c>
      <c r="K1576" s="29" t="str">
        <v>-</v>
      </c>
      <c r="L1576" s="29">
        <v>44900</v>
      </c>
      <c r="M1576" s="29">
        <v>43100</v>
      </c>
      <c r="N1576" s="29">
        <v>42800</v>
      </c>
      <c r="O1576" s="29">
        <v>41200</v>
      </c>
      <c r="P1576" s="29">
        <v>39000</v>
      </c>
      <c r="Q1576" s="29">
        <v>39100</v>
      </c>
      <c r="R1576" s="29">
        <v>40200</v>
      </c>
      <c r="S1576">
        <v>41800</v>
      </c>
      <c r="T1576">
        <v>42200</v>
      </c>
      <c r="U1576">
        <v>44000</v>
      </c>
      <c r="V1576">
        <v>45000</v>
      </c>
      <c r="W1576">
        <v>47500</v>
      </c>
    </row>
    <row r="1577" spans="1:23">
      <c r="A1577" s="30">
        <v>45861</v>
      </c>
      <c r="B1577" s="29">
        <v>43400</v>
      </c>
      <c r="C1577" s="29">
        <v>45300</v>
      </c>
      <c r="D1577" s="29">
        <v>43800</v>
      </c>
      <c r="E1577" s="29">
        <v>40200</v>
      </c>
      <c r="F1577" s="29">
        <v>43800</v>
      </c>
      <c r="G1577" s="29" t="str">
        <v>-</v>
      </c>
      <c r="H1577" s="29">
        <v>44000</v>
      </c>
      <c r="I1577" s="29">
        <v>42800</v>
      </c>
      <c r="J1577" s="29">
        <v>43300</v>
      </c>
      <c r="K1577" s="29" t="str">
        <v>-</v>
      </c>
      <c r="L1577" s="29">
        <v>45100</v>
      </c>
      <c r="M1577" s="29">
        <v>43200</v>
      </c>
      <c r="N1577" s="29">
        <v>43000</v>
      </c>
      <c r="O1577" s="29">
        <v>41400</v>
      </c>
      <c r="P1577" s="29">
        <v>39500</v>
      </c>
      <c r="Q1577" s="29">
        <v>39500</v>
      </c>
      <c r="R1577" s="29">
        <v>40400</v>
      </c>
      <c r="S1577">
        <v>42100</v>
      </c>
      <c r="T1577">
        <v>42500</v>
      </c>
      <c r="U1577">
        <v>44000</v>
      </c>
      <c r="V1577">
        <v>45000</v>
      </c>
      <c r="W1577">
        <v>47500</v>
      </c>
    </row>
    <row r="1578" spans="1:23">
      <c r="A1578" s="30">
        <v>45862</v>
      </c>
      <c r="B1578" s="29">
        <v>43800</v>
      </c>
      <c r="C1578" s="29">
        <v>45300</v>
      </c>
      <c r="D1578" s="29">
        <v>44000</v>
      </c>
      <c r="E1578" s="29">
        <v>40300</v>
      </c>
      <c r="F1578" s="29">
        <v>43900</v>
      </c>
      <c r="G1578" s="29" t="str">
        <v>-</v>
      </c>
      <c r="H1578" s="29">
        <v>44500</v>
      </c>
      <c r="I1578" s="29">
        <v>43300</v>
      </c>
      <c r="J1578" s="29">
        <v>43500</v>
      </c>
      <c r="K1578" s="29" t="str">
        <v>-</v>
      </c>
      <c r="L1578" s="29">
        <v>45200</v>
      </c>
      <c r="M1578" s="29">
        <v>43500</v>
      </c>
      <c r="N1578" s="29">
        <v>43200</v>
      </c>
      <c r="O1578" s="29">
        <v>41600</v>
      </c>
      <c r="P1578" s="29">
        <v>40000</v>
      </c>
      <c r="Q1578" s="29">
        <v>40200</v>
      </c>
      <c r="R1578" s="29">
        <v>40400</v>
      </c>
      <c r="S1578">
        <v>42400</v>
      </c>
      <c r="T1578">
        <v>42900</v>
      </c>
      <c r="U1578">
        <v>44000</v>
      </c>
      <c r="V1578">
        <v>45200</v>
      </c>
      <c r="W1578">
        <v>47500</v>
      </c>
    </row>
    <row r="1579" spans="1:23">
      <c r="A1579" s="30">
        <v>45863</v>
      </c>
      <c r="B1579" s="29">
        <v>44500</v>
      </c>
      <c r="C1579" s="29">
        <v>45500</v>
      </c>
      <c r="D1579" s="29">
        <v>44800</v>
      </c>
      <c r="E1579" s="29">
        <v>40800</v>
      </c>
      <c r="F1579" s="29">
        <v>44400</v>
      </c>
      <c r="G1579" s="29" t="str">
        <v>-</v>
      </c>
      <c r="H1579" s="29">
        <v>44500</v>
      </c>
      <c r="I1579" s="29">
        <v>43700</v>
      </c>
      <c r="J1579" s="29">
        <v>43700</v>
      </c>
      <c r="K1579" s="29" t="str">
        <v>-</v>
      </c>
      <c r="L1579" s="29">
        <v>45500</v>
      </c>
      <c r="M1579" s="29">
        <v>43700</v>
      </c>
      <c r="N1579" s="29">
        <v>44200</v>
      </c>
      <c r="O1579" s="29">
        <v>41800</v>
      </c>
      <c r="P1579" s="29">
        <v>40800</v>
      </c>
      <c r="Q1579" s="29">
        <v>41200</v>
      </c>
      <c r="R1579" s="29">
        <v>41000</v>
      </c>
      <c r="S1579">
        <v>42900</v>
      </c>
      <c r="T1579">
        <v>43800</v>
      </c>
      <c r="U1579">
        <v>45000</v>
      </c>
      <c r="V1579">
        <v>45500</v>
      </c>
      <c r="W1579">
        <v>47500</v>
      </c>
    </row>
    <row r="1580" spans="1:23">
      <c r="A1580" s="30">
        <v>45864</v>
      </c>
      <c r="B1580" s="29">
        <v>44500</v>
      </c>
      <c r="C1580" s="29">
        <v>45500</v>
      </c>
      <c r="D1580" s="29">
        <v>45000</v>
      </c>
      <c r="E1580" s="29">
        <v>40700</v>
      </c>
      <c r="F1580" s="29">
        <v>44500</v>
      </c>
      <c r="G1580" s="29" t="str">
        <v>-</v>
      </c>
      <c r="H1580" s="29">
        <v>44500</v>
      </c>
      <c r="I1580" s="29">
        <v>43600</v>
      </c>
      <c r="J1580" s="29">
        <v>44000</v>
      </c>
      <c r="K1580" s="29" t="str">
        <v>-</v>
      </c>
      <c r="L1580" s="29">
        <v>45600</v>
      </c>
      <c r="M1580" s="29">
        <v>43900</v>
      </c>
      <c r="N1580" s="29">
        <v>44200</v>
      </c>
      <c r="O1580" s="29">
        <v>41600</v>
      </c>
      <c r="P1580" s="29">
        <v>40500</v>
      </c>
      <c r="Q1580" s="29">
        <v>41000</v>
      </c>
      <c r="R1580" s="29">
        <v>41000</v>
      </c>
      <c r="S1580">
        <v>42800</v>
      </c>
      <c r="T1580">
        <v>43800</v>
      </c>
      <c r="U1580">
        <v>45000</v>
      </c>
      <c r="V1580">
        <v>45500</v>
      </c>
      <c r="W1580">
        <v>47500</v>
      </c>
    </row>
    <row r="1581" spans="1:23">
      <c r="A1581" s="30">
        <v>45865</v>
      </c>
      <c r="B1581" s="29" t="str">
        <v>H</v>
      </c>
      <c r="C1581" s="29" t="str">
        <v>H</v>
      </c>
      <c r="D1581" s="29" t="str">
        <v>H</v>
      </c>
      <c r="E1581" s="29" t="str">
        <v>H</v>
      </c>
      <c r="F1581" s="29" t="str">
        <v>H</v>
      </c>
      <c r="G1581" s="29" t="str">
        <v>H</v>
      </c>
      <c r="H1581" s="29" t="str">
        <v>H</v>
      </c>
      <c r="I1581" s="29" t="str">
        <v>H</v>
      </c>
      <c r="J1581" s="29" t="str">
        <v>H</v>
      </c>
      <c r="K1581" s="29" t="str">
        <v>H</v>
      </c>
      <c r="L1581" s="29" t="str">
        <v>H</v>
      </c>
      <c r="M1581" s="29" t="str">
        <v>H</v>
      </c>
      <c r="N1581" s="29" t="str">
        <v>H</v>
      </c>
      <c r="O1581" s="29" t="str">
        <v>H</v>
      </c>
      <c r="P1581" s="29" t="str">
        <v>H</v>
      </c>
      <c r="Q1581" s="29" t="str">
        <v>H</v>
      </c>
      <c r="R1581" s="29" t="str">
        <v>H</v>
      </c>
      <c r="S1581" t="str">
        <v>H</v>
      </c>
      <c r="T1581" t="str">
        <v>H</v>
      </c>
      <c r="U1581" t="str">
        <v>H</v>
      </c>
      <c r="V1581" t="str">
        <v>H</v>
      </c>
      <c r="W1581" t="str">
        <v>H</v>
      </c>
    </row>
    <row r="1582" spans="1:23">
      <c r="A1582" s="30">
        <v>45866</v>
      </c>
      <c r="B1582" s="29">
        <v>44500</v>
      </c>
      <c r="C1582" s="29">
        <v>45500</v>
      </c>
      <c r="D1582" s="29">
        <v>45100</v>
      </c>
      <c r="E1582" s="29">
        <v>40600</v>
      </c>
      <c r="F1582" s="29">
        <v>44600</v>
      </c>
      <c r="G1582" s="29" t="str">
        <v>-</v>
      </c>
      <c r="H1582" s="29">
        <v>44000</v>
      </c>
      <c r="I1582" s="29">
        <v>43650</v>
      </c>
      <c r="J1582" s="29">
        <v>43800</v>
      </c>
      <c r="K1582" s="29" t="str">
        <v>-</v>
      </c>
      <c r="L1582" s="29">
        <v>45600</v>
      </c>
      <c r="M1582" s="29">
        <v>44100</v>
      </c>
      <c r="N1582" s="29">
        <v>44000</v>
      </c>
      <c r="O1582" s="29">
        <v>41800</v>
      </c>
      <c r="P1582" s="29">
        <v>40400</v>
      </c>
      <c r="Q1582" s="29">
        <v>40700</v>
      </c>
      <c r="R1582" s="29">
        <v>40900</v>
      </c>
      <c r="S1582">
        <v>42700</v>
      </c>
      <c r="T1582">
        <v>43700</v>
      </c>
      <c r="U1582">
        <v>45000</v>
      </c>
      <c r="V1582">
        <v>45700</v>
      </c>
      <c r="W1582">
        <v>47700</v>
      </c>
    </row>
    <row r="1583" spans="1:23">
      <c r="A1583" s="30">
        <v>45867</v>
      </c>
      <c r="B1583" s="29">
        <v>44300</v>
      </c>
      <c r="C1583" s="29">
        <v>45500</v>
      </c>
      <c r="D1583" s="29">
        <v>44900</v>
      </c>
      <c r="E1583" s="29">
        <v>40400</v>
      </c>
      <c r="F1583" s="29">
        <v>44400</v>
      </c>
      <c r="G1583" s="29" t="str">
        <v>-</v>
      </c>
      <c r="H1583" s="29">
        <v>44000</v>
      </c>
      <c r="I1583" s="29">
        <v>43400</v>
      </c>
      <c r="J1583" s="29">
        <v>43500</v>
      </c>
      <c r="K1583" s="29" t="str">
        <v>-</v>
      </c>
      <c r="L1583" s="29">
        <v>45600</v>
      </c>
      <c r="M1583" s="29">
        <v>44200</v>
      </c>
      <c r="N1583" s="29">
        <v>43600</v>
      </c>
      <c r="O1583" s="29">
        <v>41700</v>
      </c>
      <c r="P1583" s="29">
        <v>40200</v>
      </c>
      <c r="Q1583" s="29">
        <v>40400</v>
      </c>
      <c r="R1583" s="29">
        <v>40900</v>
      </c>
      <c r="S1583">
        <v>42500</v>
      </c>
      <c r="T1583">
        <v>43700</v>
      </c>
      <c r="U1583">
        <v>45000</v>
      </c>
      <c r="V1583">
        <v>45700</v>
      </c>
      <c r="W1583">
        <v>47700</v>
      </c>
    </row>
    <row r="1584" spans="1:23">
      <c r="A1584" s="30">
        <v>45868</v>
      </c>
      <c r="B1584" s="29">
        <v>44100</v>
      </c>
      <c r="C1584" s="29">
        <v>45500</v>
      </c>
      <c r="D1584" s="29">
        <v>44700</v>
      </c>
      <c r="E1584" s="29">
        <v>40400</v>
      </c>
      <c r="F1584" s="29">
        <v>44300</v>
      </c>
      <c r="G1584" s="29" t="str">
        <v>-</v>
      </c>
      <c r="H1584" s="29">
        <v>43500</v>
      </c>
      <c r="I1584" s="29">
        <v>43200</v>
      </c>
      <c r="J1584" s="29">
        <v>43500</v>
      </c>
      <c r="K1584" s="29" t="str">
        <v>-</v>
      </c>
      <c r="L1584" s="29">
        <v>45400</v>
      </c>
      <c r="M1584" s="29">
        <v>44300</v>
      </c>
      <c r="N1584" s="29">
        <v>43500</v>
      </c>
      <c r="O1584" s="29">
        <v>41700</v>
      </c>
      <c r="P1584" s="29">
        <v>39900</v>
      </c>
      <c r="Q1584" s="29">
        <v>40200</v>
      </c>
      <c r="R1584" s="29">
        <v>40700</v>
      </c>
      <c r="S1584">
        <v>42500</v>
      </c>
      <c r="T1584">
        <v>43200</v>
      </c>
      <c r="U1584">
        <v>44500</v>
      </c>
      <c r="V1584">
        <v>45700</v>
      </c>
      <c r="W1584">
        <v>47700</v>
      </c>
    </row>
    <row r="1585" spans="1:23">
      <c r="A1585" s="30">
        <v>45869</v>
      </c>
      <c r="B1585" s="29">
        <v>44100</v>
      </c>
      <c r="C1585" s="29">
        <v>45500</v>
      </c>
      <c r="D1585" s="29">
        <v>44600</v>
      </c>
      <c r="E1585" s="29">
        <v>40200</v>
      </c>
      <c r="F1585" s="29">
        <v>44300</v>
      </c>
      <c r="G1585" s="29" t="str">
        <v>-</v>
      </c>
      <c r="H1585" s="29">
        <v>43500</v>
      </c>
      <c r="I1585" s="29">
        <v>43200</v>
      </c>
      <c r="J1585" s="29">
        <v>43500</v>
      </c>
      <c r="K1585" s="29" t="str">
        <v>-</v>
      </c>
      <c r="L1585" s="29">
        <v>45500</v>
      </c>
      <c r="M1585" s="29">
        <v>44500</v>
      </c>
      <c r="N1585" s="29">
        <v>43700</v>
      </c>
      <c r="O1585" s="29">
        <v>41800</v>
      </c>
      <c r="P1585" s="29">
        <v>39800</v>
      </c>
      <c r="Q1585" s="29">
        <v>40000</v>
      </c>
      <c r="R1585" s="29">
        <v>40700</v>
      </c>
      <c r="S1585">
        <v>42300</v>
      </c>
      <c r="T1585">
        <v>43100</v>
      </c>
      <c r="U1585">
        <v>44500</v>
      </c>
      <c r="V1585">
        <v>45700</v>
      </c>
      <c r="W1585">
        <v>47700</v>
      </c>
    </row>
    <row r="1586" spans="1:23">
      <c r="A1586" s="30">
        <v>45870</v>
      </c>
      <c r="B1586" s="29">
        <v>44100</v>
      </c>
      <c r="C1586" s="29">
        <v>45500</v>
      </c>
      <c r="D1586" s="29">
        <v>44600</v>
      </c>
      <c r="E1586" s="29">
        <v>40300</v>
      </c>
      <c r="F1586" s="29">
        <v>44300</v>
      </c>
      <c r="G1586" s="29" t="str">
        <v>-</v>
      </c>
      <c r="H1586" s="29">
        <v>43500</v>
      </c>
      <c r="I1586" s="29">
        <v>43200</v>
      </c>
      <c r="J1586" s="29">
        <v>43700</v>
      </c>
      <c r="K1586" s="29" t="str">
        <v>-</v>
      </c>
      <c r="L1586" s="29">
        <v>45500</v>
      </c>
      <c r="M1586" s="29">
        <v>44600</v>
      </c>
      <c r="N1586" s="29">
        <v>43600</v>
      </c>
      <c r="O1586" s="29">
        <v>41800</v>
      </c>
      <c r="P1586" s="29">
        <v>39600</v>
      </c>
      <c r="Q1586" s="29">
        <v>39600</v>
      </c>
      <c r="R1586" s="29">
        <v>40700</v>
      </c>
      <c r="S1586">
        <v>42400</v>
      </c>
      <c r="T1586">
        <v>42800</v>
      </c>
      <c r="U1586">
        <v>44500</v>
      </c>
      <c r="V1586">
        <v>45700</v>
      </c>
      <c r="W1586">
        <v>47700</v>
      </c>
    </row>
    <row r="1587" spans="1:23">
      <c r="A1587" s="30">
        <v>45871</v>
      </c>
      <c r="B1587" s="29">
        <v>44100</v>
      </c>
      <c r="C1587" s="29">
        <v>45500</v>
      </c>
      <c r="D1587" s="29">
        <v>44800</v>
      </c>
      <c r="E1587" s="29">
        <v>40500</v>
      </c>
      <c r="F1587" s="29">
        <v>44200</v>
      </c>
      <c r="G1587" s="29" t="str">
        <v>-</v>
      </c>
      <c r="H1587" s="29">
        <v>43500</v>
      </c>
      <c r="I1587" s="29">
        <v>43400</v>
      </c>
      <c r="J1587" s="29">
        <v>43700</v>
      </c>
      <c r="K1587" s="29" t="str">
        <v>-</v>
      </c>
      <c r="L1587" s="29">
        <v>45600</v>
      </c>
      <c r="M1587" s="29">
        <v>44800</v>
      </c>
      <c r="N1587" s="29">
        <v>43700</v>
      </c>
      <c r="O1587" s="29">
        <v>42000</v>
      </c>
      <c r="P1587" s="29">
        <v>39900</v>
      </c>
      <c r="Q1587" s="29">
        <v>39700</v>
      </c>
      <c r="R1587" s="29">
        <v>40800</v>
      </c>
      <c r="S1587">
        <v>42600</v>
      </c>
      <c r="T1587">
        <v>42800</v>
      </c>
      <c r="U1587">
        <v>44500</v>
      </c>
      <c r="V1587">
        <v>45700</v>
      </c>
      <c r="W1587">
        <v>47700</v>
      </c>
    </row>
    <row r="1588" spans="1:23">
      <c r="A1588" s="30">
        <v>45872</v>
      </c>
      <c r="B1588" s="29" t="str">
        <v>H</v>
      </c>
      <c r="C1588" s="29" t="str">
        <v>H</v>
      </c>
      <c r="D1588" s="29" t="str">
        <v>H</v>
      </c>
      <c r="E1588" s="29" t="str">
        <v>H</v>
      </c>
      <c r="F1588" s="29" t="str">
        <v>H</v>
      </c>
      <c r="G1588" s="29" t="str">
        <v>H</v>
      </c>
      <c r="H1588" s="29" t="str">
        <v>H</v>
      </c>
      <c r="I1588" s="29" t="str">
        <v>H</v>
      </c>
      <c r="J1588" s="29" t="str">
        <v>H</v>
      </c>
      <c r="K1588" s="29" t="str">
        <v>H</v>
      </c>
      <c r="L1588" s="29" t="str">
        <v>H</v>
      </c>
      <c r="M1588" s="29" t="str">
        <v>H</v>
      </c>
      <c r="N1588" s="29" t="str">
        <v>H</v>
      </c>
      <c r="O1588" s="29" t="str">
        <v>H</v>
      </c>
      <c r="P1588" s="29" t="str">
        <v>H</v>
      </c>
      <c r="Q1588" s="29" t="str">
        <v>H</v>
      </c>
      <c r="R1588" s="29" t="str">
        <v>H</v>
      </c>
      <c r="S1588" t="str">
        <v>H</v>
      </c>
      <c r="T1588" t="str">
        <v>H</v>
      </c>
      <c r="U1588" t="str">
        <v>H</v>
      </c>
      <c r="V1588" t="str">
        <v>H</v>
      </c>
      <c r="W1588" t="str">
        <v>H</v>
      </c>
    </row>
    <row r="1589" spans="1:23">
      <c r="A1589" s="30">
        <v>45873</v>
      </c>
      <c r="B1589" s="29">
        <v>44600</v>
      </c>
      <c r="C1589" s="29">
        <v>45700</v>
      </c>
      <c r="D1589" s="29">
        <v>45000</v>
      </c>
      <c r="E1589" s="29">
        <v>40800</v>
      </c>
      <c r="F1589" s="29">
        <v>44600</v>
      </c>
      <c r="G1589" s="29" t="str">
        <v>-</v>
      </c>
      <c r="H1589" s="29">
        <v>43500</v>
      </c>
      <c r="I1589" s="29">
        <v>43500</v>
      </c>
      <c r="J1589" s="29">
        <v>44400</v>
      </c>
      <c r="K1589" s="29" t="str">
        <v>-</v>
      </c>
      <c r="L1589" s="29">
        <v>45800</v>
      </c>
      <c r="M1589" s="29">
        <v>45200</v>
      </c>
      <c r="N1589" s="29">
        <v>43700</v>
      </c>
      <c r="O1589" s="29">
        <v>42100</v>
      </c>
      <c r="P1589" s="29">
        <v>40200</v>
      </c>
      <c r="Q1589" s="29">
        <v>40300</v>
      </c>
      <c r="R1589" s="29">
        <v>41000</v>
      </c>
      <c r="S1589">
        <v>42900</v>
      </c>
      <c r="T1589">
        <v>43500</v>
      </c>
      <c r="U1589">
        <v>45000</v>
      </c>
      <c r="V1589">
        <v>45700</v>
      </c>
      <c r="W1589">
        <v>47500</v>
      </c>
    </row>
    <row r="1590" spans="1:23">
      <c r="A1590" s="30">
        <v>45874</v>
      </c>
      <c r="B1590" s="29">
        <v>44800</v>
      </c>
      <c r="C1590" s="29">
        <v>45700</v>
      </c>
      <c r="D1590" s="29">
        <v>45200</v>
      </c>
      <c r="E1590" s="29">
        <v>40500</v>
      </c>
      <c r="F1590" s="29">
        <v>44600</v>
      </c>
      <c r="G1590" s="29" t="str">
        <v>-</v>
      </c>
      <c r="H1590" s="29">
        <v>43500</v>
      </c>
      <c r="I1590" s="29">
        <v>43500</v>
      </c>
      <c r="J1590" s="29">
        <v>44400</v>
      </c>
      <c r="K1590" s="29" t="str">
        <v>-</v>
      </c>
      <c r="L1590" s="29">
        <v>46000</v>
      </c>
      <c r="M1590" s="29">
        <v>45600</v>
      </c>
      <c r="N1590" s="29">
        <v>43500</v>
      </c>
      <c r="O1590" s="29">
        <v>42100</v>
      </c>
      <c r="P1590" s="29">
        <v>40100</v>
      </c>
      <c r="Q1590" s="29">
        <v>40100</v>
      </c>
      <c r="R1590" s="29">
        <v>41000</v>
      </c>
      <c r="S1590">
        <v>42600</v>
      </c>
      <c r="T1590">
        <v>43800</v>
      </c>
      <c r="U1590">
        <v>45000</v>
      </c>
      <c r="V1590">
        <v>45700</v>
      </c>
      <c r="W1590">
        <v>47500</v>
      </c>
    </row>
    <row r="1591" spans="1:23">
      <c r="A1591" s="30">
        <v>45875</v>
      </c>
      <c r="B1591" s="29">
        <v>44800</v>
      </c>
      <c r="C1591" s="29">
        <v>45700</v>
      </c>
      <c r="D1591" s="29">
        <v>44900</v>
      </c>
      <c r="E1591" s="29">
        <v>40300</v>
      </c>
      <c r="F1591" s="29">
        <v>44600</v>
      </c>
      <c r="G1591" s="29" t="str">
        <v>-</v>
      </c>
      <c r="H1591" s="29">
        <v>43500</v>
      </c>
      <c r="I1591" s="29">
        <v>43300</v>
      </c>
      <c r="J1591" s="29">
        <v>44300</v>
      </c>
      <c r="K1591" s="29" t="str">
        <v>-</v>
      </c>
      <c r="L1591" s="29">
        <v>45900</v>
      </c>
      <c r="M1591" s="29">
        <v>45800</v>
      </c>
      <c r="N1591" s="29">
        <v>43400</v>
      </c>
      <c r="O1591" s="29">
        <v>42100</v>
      </c>
      <c r="P1591" s="29">
        <v>39500</v>
      </c>
      <c r="Q1591" s="29">
        <v>39800</v>
      </c>
      <c r="R1591" s="29">
        <v>41000</v>
      </c>
      <c r="S1591">
        <v>42400</v>
      </c>
      <c r="T1591">
        <v>43500</v>
      </c>
      <c r="U1591">
        <v>45000</v>
      </c>
      <c r="V1591">
        <v>45700</v>
      </c>
      <c r="W1591">
        <v>47500</v>
      </c>
    </row>
    <row r="1592" spans="1:23">
      <c r="A1592" s="30">
        <v>45876</v>
      </c>
      <c r="B1592" s="29">
        <v>44600</v>
      </c>
      <c r="C1592" s="29">
        <v>45700</v>
      </c>
      <c r="D1592" s="29">
        <v>44700</v>
      </c>
      <c r="E1592" s="29">
        <v>39900</v>
      </c>
      <c r="F1592" s="29">
        <v>44500</v>
      </c>
      <c r="G1592" s="29" t="str">
        <v>-</v>
      </c>
      <c r="H1592" s="29">
        <v>43500</v>
      </c>
      <c r="I1592" s="29">
        <v>43150</v>
      </c>
      <c r="J1592" s="29">
        <v>44100</v>
      </c>
      <c r="K1592" s="29" t="str">
        <v>-</v>
      </c>
      <c r="L1592" s="29">
        <v>45700</v>
      </c>
      <c r="M1592" s="29">
        <v>45800</v>
      </c>
      <c r="N1592" s="29">
        <v>43200</v>
      </c>
      <c r="O1592" s="29">
        <v>42100</v>
      </c>
      <c r="P1592" s="29">
        <v>39500</v>
      </c>
      <c r="Q1592" s="29">
        <v>39700</v>
      </c>
      <c r="R1592" s="29">
        <v>40800</v>
      </c>
      <c r="S1592">
        <v>42000</v>
      </c>
      <c r="T1592">
        <v>43300</v>
      </c>
      <c r="U1592">
        <v>45000</v>
      </c>
      <c r="V1592">
        <v>45500</v>
      </c>
      <c r="W1592">
        <v>47500</v>
      </c>
    </row>
    <row r="1593" spans="1:23">
      <c r="A1593" s="30">
        <v>45877</v>
      </c>
      <c r="B1593" s="29">
        <v>44600</v>
      </c>
      <c r="C1593" s="29">
        <v>45700</v>
      </c>
      <c r="D1593" s="29">
        <v>44100</v>
      </c>
      <c r="E1593" s="29">
        <v>39800</v>
      </c>
      <c r="F1593" s="29">
        <v>44500</v>
      </c>
      <c r="G1593" s="29" t="str">
        <v>-</v>
      </c>
      <c r="H1593" s="29">
        <v>43000</v>
      </c>
      <c r="I1593" s="29">
        <v>43100</v>
      </c>
      <c r="J1593" s="29">
        <v>44000</v>
      </c>
      <c r="K1593" s="29" t="str">
        <v>-</v>
      </c>
      <c r="L1593" s="29">
        <v>45600</v>
      </c>
      <c r="M1593" s="29">
        <v>45900</v>
      </c>
      <c r="N1593" s="29">
        <v>43000</v>
      </c>
      <c r="O1593" s="29">
        <v>42000</v>
      </c>
      <c r="P1593" s="29">
        <v>39600</v>
      </c>
      <c r="Q1593" s="29">
        <v>39800</v>
      </c>
      <c r="R1593" s="29">
        <v>40800</v>
      </c>
      <c r="S1593">
        <v>41900</v>
      </c>
      <c r="T1593">
        <v>43300</v>
      </c>
      <c r="U1593">
        <v>45000</v>
      </c>
      <c r="V1593">
        <v>45500</v>
      </c>
      <c r="W1593">
        <v>47500</v>
      </c>
    </row>
    <row r="1594" spans="1:23">
      <c r="A1594" s="30">
        <v>45878</v>
      </c>
      <c r="B1594" s="29" t="str">
        <v>H</v>
      </c>
      <c r="C1594" s="29" t="str">
        <v>H</v>
      </c>
      <c r="D1594" s="29" t="str">
        <v>H</v>
      </c>
      <c r="E1594" s="29" t="str">
        <v>H</v>
      </c>
      <c r="F1594" s="29" t="str">
        <v>H</v>
      </c>
      <c r="G1594" s="29" t="str">
        <v>H</v>
      </c>
      <c r="H1594" s="29" t="str">
        <v>H</v>
      </c>
      <c r="I1594" s="29" t="str">
        <v>H</v>
      </c>
      <c r="J1594" s="29" t="str">
        <v>H</v>
      </c>
      <c r="K1594" s="29" t="str">
        <v>H</v>
      </c>
      <c r="L1594" s="29" t="str">
        <v>H</v>
      </c>
      <c r="M1594" s="29" t="str">
        <v>H</v>
      </c>
      <c r="N1594" s="29" t="str">
        <v>H</v>
      </c>
      <c r="O1594" s="29" t="str">
        <v>H</v>
      </c>
      <c r="P1594" s="29" t="str">
        <v>H</v>
      </c>
      <c r="Q1594" s="29" t="str">
        <v>H</v>
      </c>
      <c r="R1594" s="29" t="str">
        <v>H</v>
      </c>
      <c r="S1594" t="str">
        <v>H</v>
      </c>
      <c r="T1594" t="str">
        <v>H</v>
      </c>
      <c r="U1594" t="str">
        <v>H</v>
      </c>
      <c r="V1594" t="str">
        <v>H</v>
      </c>
      <c r="W1594" t="str">
        <v>H</v>
      </c>
    </row>
    <row r="1595" spans="1:23">
      <c r="A1595" s="30">
        <v>45879</v>
      </c>
      <c r="B1595" s="29" t="str">
        <v>H</v>
      </c>
      <c r="C1595" s="29" t="str">
        <v>H</v>
      </c>
      <c r="D1595" s="29" t="str">
        <v>H</v>
      </c>
      <c r="E1595" s="29" t="str">
        <v>H</v>
      </c>
      <c r="F1595" s="29" t="str">
        <v>H</v>
      </c>
      <c r="G1595" s="29" t="str">
        <v>H</v>
      </c>
      <c r="H1595" s="29" t="str">
        <v>H</v>
      </c>
      <c r="I1595" s="29" t="str">
        <v>H</v>
      </c>
      <c r="J1595" s="29" t="str">
        <v>H</v>
      </c>
      <c r="K1595" s="29" t="str">
        <v>H</v>
      </c>
      <c r="L1595" s="29" t="str">
        <v>H</v>
      </c>
      <c r="M1595" s="29" t="str">
        <v>H</v>
      </c>
      <c r="N1595" s="29" t="str">
        <v>H</v>
      </c>
      <c r="O1595" s="29" t="str">
        <v>H</v>
      </c>
      <c r="P1595" s="29" t="str">
        <v>H</v>
      </c>
      <c r="Q1595" s="29" t="str">
        <v>H</v>
      </c>
      <c r="R1595" s="29" t="str">
        <v>H</v>
      </c>
      <c r="S1595" t="str">
        <v>H</v>
      </c>
      <c r="T1595" t="str">
        <v>H</v>
      </c>
      <c r="U1595" t="str">
        <v>H</v>
      </c>
      <c r="V1595" t="str">
        <v>H</v>
      </c>
      <c r="W1595" t="str">
        <v>H</v>
      </c>
    </row>
    <row r="1596" spans="1:23">
      <c r="A1596" s="30">
        <v>45880</v>
      </c>
      <c r="B1596" s="29">
        <v>44800</v>
      </c>
      <c r="C1596" s="29">
        <v>45500</v>
      </c>
      <c r="D1596" s="29">
        <v>44000</v>
      </c>
      <c r="E1596" s="29">
        <v>40000</v>
      </c>
      <c r="F1596" s="29">
        <v>44500</v>
      </c>
      <c r="G1596" s="29" t="str">
        <v>-</v>
      </c>
      <c r="H1596" s="29">
        <v>43000</v>
      </c>
      <c r="I1596" s="29">
        <v>43200</v>
      </c>
      <c r="J1596" s="29">
        <v>44000</v>
      </c>
      <c r="K1596" s="29" t="str">
        <v>-</v>
      </c>
      <c r="L1596" s="29">
        <v>45600</v>
      </c>
      <c r="M1596" s="29">
        <v>45900</v>
      </c>
      <c r="N1596" s="29">
        <v>43000</v>
      </c>
      <c r="O1596" s="29">
        <v>42100</v>
      </c>
      <c r="P1596" s="29">
        <v>39700</v>
      </c>
      <c r="Q1596" s="29">
        <v>40000</v>
      </c>
      <c r="R1596" s="29">
        <v>40800</v>
      </c>
      <c r="S1596">
        <v>42100</v>
      </c>
      <c r="T1596">
        <v>43000</v>
      </c>
      <c r="U1596">
        <v>44500</v>
      </c>
      <c r="V1596">
        <v>45300</v>
      </c>
      <c r="W1596">
        <v>47500</v>
      </c>
    </row>
    <row r="1597" spans="1:23">
      <c r="A1597" s="30">
        <v>45881</v>
      </c>
      <c r="B1597" s="29">
        <v>44800</v>
      </c>
      <c r="C1597" s="29">
        <v>45500</v>
      </c>
      <c r="D1597" s="29">
        <v>43700</v>
      </c>
      <c r="E1597" s="29">
        <v>40000</v>
      </c>
      <c r="F1597" s="29">
        <v>44200</v>
      </c>
      <c r="G1597" s="29" t="str">
        <v>-</v>
      </c>
      <c r="H1597" s="29">
        <v>43000</v>
      </c>
      <c r="I1597" s="29">
        <v>43100</v>
      </c>
      <c r="J1597" s="29">
        <v>44000</v>
      </c>
      <c r="K1597" s="29" t="str">
        <v>-</v>
      </c>
      <c r="L1597" s="29">
        <v>45500</v>
      </c>
      <c r="M1597" s="29">
        <v>45900</v>
      </c>
      <c r="N1597" s="29">
        <v>42800</v>
      </c>
      <c r="O1597" s="29">
        <v>42100</v>
      </c>
      <c r="P1597" s="29">
        <v>39700</v>
      </c>
      <c r="Q1597" s="29">
        <v>39900</v>
      </c>
      <c r="R1597" s="29">
        <v>40800</v>
      </c>
      <c r="S1597">
        <v>42100</v>
      </c>
      <c r="T1597">
        <v>43000</v>
      </c>
      <c r="U1597">
        <v>44500</v>
      </c>
      <c r="V1597">
        <v>45300</v>
      </c>
      <c r="W1597">
        <v>47500</v>
      </c>
    </row>
    <row r="1598" spans="1:23">
      <c r="A1598" s="30">
        <v>45882</v>
      </c>
      <c r="B1598" s="29">
        <v>44600</v>
      </c>
      <c r="C1598" s="29">
        <v>45500</v>
      </c>
      <c r="D1598" s="29">
        <v>43600</v>
      </c>
      <c r="E1598" s="29">
        <v>39800</v>
      </c>
      <c r="F1598" s="29">
        <v>44500</v>
      </c>
      <c r="G1598" s="29" t="str">
        <v>-</v>
      </c>
      <c r="H1598" s="29">
        <v>43000</v>
      </c>
      <c r="I1598" s="29">
        <v>43000</v>
      </c>
      <c r="J1598" s="29">
        <v>44000</v>
      </c>
      <c r="K1598" s="29" t="str">
        <v>-</v>
      </c>
      <c r="L1598" s="29">
        <v>45400</v>
      </c>
      <c r="M1598" s="29">
        <v>45800</v>
      </c>
      <c r="N1598" s="29">
        <v>42700</v>
      </c>
      <c r="O1598" s="29">
        <v>42000</v>
      </c>
      <c r="P1598" s="29">
        <v>39500</v>
      </c>
      <c r="Q1598" s="29">
        <v>39700</v>
      </c>
      <c r="R1598" s="29">
        <v>40500</v>
      </c>
      <c r="S1598">
        <v>41900</v>
      </c>
      <c r="T1598">
        <v>42800</v>
      </c>
      <c r="U1598">
        <v>44500</v>
      </c>
      <c r="V1598">
        <v>45300</v>
      </c>
      <c r="W1598">
        <v>47500</v>
      </c>
    </row>
    <row r="1599" spans="1:23">
      <c r="A1599" s="30">
        <v>45883</v>
      </c>
      <c r="B1599" s="29">
        <v>44600</v>
      </c>
      <c r="C1599" s="29">
        <v>45500</v>
      </c>
      <c r="D1599" s="29">
        <v>43600</v>
      </c>
      <c r="E1599" s="29">
        <v>39800</v>
      </c>
      <c r="F1599" s="29">
        <v>44500</v>
      </c>
      <c r="G1599" s="29" t="str">
        <v>-</v>
      </c>
      <c r="H1599" s="29">
        <v>43000</v>
      </c>
      <c r="I1599" s="29">
        <v>43100</v>
      </c>
      <c r="J1599" s="29">
        <v>44000</v>
      </c>
      <c r="K1599" s="29" t="str">
        <v>-</v>
      </c>
      <c r="L1599" s="29">
        <v>45400</v>
      </c>
      <c r="M1599" s="29">
        <v>45800</v>
      </c>
      <c r="N1599" s="29">
        <v>42500</v>
      </c>
      <c r="O1599" s="29">
        <v>42000</v>
      </c>
      <c r="P1599" s="29">
        <v>39600</v>
      </c>
      <c r="Q1599" s="29">
        <v>39700</v>
      </c>
      <c r="R1599" s="29">
        <v>40500</v>
      </c>
      <c r="S1599">
        <v>41900</v>
      </c>
      <c r="T1599">
        <v>42800</v>
      </c>
      <c r="U1599">
        <v>44500</v>
      </c>
      <c r="V1599">
        <v>45300</v>
      </c>
      <c r="W1599">
        <v>47500</v>
      </c>
    </row>
    <row r="1600" spans="1:23">
      <c r="A1600" s="30">
        <v>45884</v>
      </c>
      <c r="B1600" s="29" t="str">
        <v>H</v>
      </c>
      <c r="C1600" s="29" t="str">
        <v>H</v>
      </c>
      <c r="D1600" s="29" t="str">
        <v>H</v>
      </c>
      <c r="E1600" s="29" t="str">
        <v>H</v>
      </c>
      <c r="F1600" s="29" t="str">
        <v>H</v>
      </c>
      <c r="G1600" s="29" t="str">
        <v>H</v>
      </c>
      <c r="H1600" s="29" t="str">
        <v>H</v>
      </c>
      <c r="I1600" s="29" t="str">
        <v>H</v>
      </c>
      <c r="J1600" s="29" t="str">
        <v>H</v>
      </c>
      <c r="K1600" s="29" t="str">
        <v>H</v>
      </c>
      <c r="L1600" s="29" t="str">
        <v>H</v>
      </c>
      <c r="M1600" s="29" t="str">
        <v>H</v>
      </c>
      <c r="N1600" s="29" t="str">
        <v>H</v>
      </c>
      <c r="O1600" s="29" t="str">
        <v>H</v>
      </c>
      <c r="P1600" s="29" t="str">
        <v>H</v>
      </c>
      <c r="Q1600" s="29" t="str">
        <v>H</v>
      </c>
      <c r="R1600" s="29" t="str">
        <v>H</v>
      </c>
      <c r="S1600" t="str">
        <v>H</v>
      </c>
      <c r="T1600" t="str">
        <v>H</v>
      </c>
      <c r="U1600" t="str">
        <v>H</v>
      </c>
      <c r="V1600" t="str">
        <v>H</v>
      </c>
      <c r="W1600" t="str">
        <v>H</v>
      </c>
    </row>
    <row r="1601" spans="1:23">
      <c r="A1601" s="30">
        <v>45885</v>
      </c>
      <c r="B1601" s="29" t="str">
        <v>H</v>
      </c>
      <c r="C1601" s="29" t="str">
        <v>H</v>
      </c>
      <c r="D1601" s="29" t="str">
        <v>H</v>
      </c>
      <c r="E1601" s="29" t="str">
        <v>H</v>
      </c>
      <c r="F1601" s="29" t="str">
        <v>H</v>
      </c>
      <c r="G1601" s="29" t="str">
        <v>H</v>
      </c>
      <c r="H1601" s="29" t="str">
        <v>H</v>
      </c>
      <c r="I1601" s="29" t="str">
        <v>H</v>
      </c>
      <c r="J1601" s="29" t="str">
        <v>H</v>
      </c>
      <c r="K1601" s="29" t="str">
        <v>H</v>
      </c>
      <c r="L1601" s="29" t="str">
        <v>H</v>
      </c>
      <c r="M1601" s="29" t="str">
        <v>H</v>
      </c>
      <c r="N1601" s="29" t="str">
        <v>H</v>
      </c>
      <c r="O1601" s="29" t="str">
        <v>H</v>
      </c>
      <c r="P1601" s="29" t="str">
        <v>H</v>
      </c>
      <c r="Q1601" s="29" t="str">
        <v>H</v>
      </c>
      <c r="R1601" s="29" t="str">
        <v>H</v>
      </c>
      <c r="S1601" t="str">
        <v>H</v>
      </c>
      <c r="T1601" t="str">
        <v>H</v>
      </c>
      <c r="U1601" t="str">
        <v>H</v>
      </c>
      <c r="V1601" t="str">
        <v>H</v>
      </c>
      <c r="W1601" t="str">
        <v>H</v>
      </c>
    </row>
    <row r="1602" spans="1:23">
      <c r="A1602" s="30">
        <v>45886</v>
      </c>
      <c r="B1602" s="29" t="str">
        <v>H</v>
      </c>
      <c r="C1602" s="29" t="str">
        <v>H</v>
      </c>
      <c r="D1602" s="29" t="str">
        <v>H</v>
      </c>
      <c r="E1602" s="29" t="str">
        <v>H</v>
      </c>
      <c r="F1602" s="29" t="str">
        <v>H</v>
      </c>
      <c r="G1602" s="29" t="str">
        <v>H</v>
      </c>
      <c r="H1602" s="29" t="str">
        <v>H</v>
      </c>
      <c r="I1602" s="29" t="str">
        <v>H</v>
      </c>
      <c r="J1602" s="29" t="str">
        <v>H</v>
      </c>
      <c r="K1602" s="29" t="str">
        <v>H</v>
      </c>
      <c r="L1602" s="29" t="str">
        <v>H</v>
      </c>
      <c r="M1602" s="29" t="str">
        <v>H</v>
      </c>
      <c r="N1602" s="29" t="str">
        <v>H</v>
      </c>
      <c r="O1602" s="29" t="str">
        <v>H</v>
      </c>
      <c r="P1602" s="29" t="str">
        <v>H</v>
      </c>
      <c r="Q1602" s="29" t="str">
        <v>H</v>
      </c>
      <c r="R1602" s="29" t="str">
        <v>H</v>
      </c>
      <c r="S1602" t="str">
        <v>H</v>
      </c>
      <c r="T1602" t="str">
        <v>H</v>
      </c>
      <c r="U1602" t="str">
        <v>H</v>
      </c>
      <c r="V1602" t="str">
        <v>H</v>
      </c>
      <c r="W1602" t="str">
        <v>H</v>
      </c>
    </row>
    <row r="1603" spans="1:23">
      <c r="A1603" s="30">
        <v>45887</v>
      </c>
      <c r="B1603" s="29">
        <v>44500</v>
      </c>
      <c r="C1603" s="29">
        <v>45500</v>
      </c>
      <c r="D1603" s="29">
        <v>43400</v>
      </c>
      <c r="E1603" s="29">
        <v>39800</v>
      </c>
      <c r="F1603" s="29">
        <v>44500</v>
      </c>
      <c r="G1603" s="29" t="str">
        <v>-</v>
      </c>
      <c r="H1603" s="29">
        <v>43000</v>
      </c>
      <c r="I1603" s="29">
        <v>43000</v>
      </c>
      <c r="J1603" s="29">
        <v>44000</v>
      </c>
      <c r="K1603" s="29" t="str">
        <v>-</v>
      </c>
      <c r="L1603" s="29">
        <v>45400</v>
      </c>
      <c r="M1603" s="29">
        <v>45800</v>
      </c>
      <c r="N1603" s="29">
        <v>42200</v>
      </c>
      <c r="O1603" s="29">
        <v>41900</v>
      </c>
      <c r="P1603" s="29">
        <v>39800</v>
      </c>
      <c r="Q1603" s="29">
        <v>40000</v>
      </c>
      <c r="R1603" s="29">
        <v>40300</v>
      </c>
      <c r="S1603">
        <v>41900</v>
      </c>
      <c r="T1603">
        <v>43000</v>
      </c>
      <c r="U1603">
        <v>44000</v>
      </c>
      <c r="V1603">
        <v>45200</v>
      </c>
      <c r="W1603">
        <v>47100</v>
      </c>
    </row>
    <row r="1604" spans="1:23">
      <c r="A1604" s="30">
        <v>45888</v>
      </c>
      <c r="B1604" s="29">
        <v>44700</v>
      </c>
      <c r="C1604" s="29">
        <v>45500</v>
      </c>
      <c r="D1604" s="29">
        <v>43600</v>
      </c>
      <c r="E1604" s="29">
        <v>39800</v>
      </c>
      <c r="F1604" s="29">
        <v>44500</v>
      </c>
      <c r="G1604" s="29" t="str">
        <v>-</v>
      </c>
      <c r="H1604" s="29">
        <v>43000</v>
      </c>
      <c r="I1604" s="29">
        <v>43100</v>
      </c>
      <c r="J1604" s="29">
        <v>44200</v>
      </c>
      <c r="K1604" s="29" t="str">
        <v>-</v>
      </c>
      <c r="L1604" s="29">
        <v>45500</v>
      </c>
      <c r="M1604" s="29">
        <v>45800</v>
      </c>
      <c r="N1604" s="29">
        <v>42300</v>
      </c>
      <c r="O1604" s="29">
        <v>42100</v>
      </c>
      <c r="P1604" s="29">
        <v>40200</v>
      </c>
      <c r="Q1604" s="29">
        <v>40300</v>
      </c>
      <c r="R1604" s="29">
        <v>40500</v>
      </c>
      <c r="S1604">
        <v>41900</v>
      </c>
      <c r="T1604">
        <v>43300</v>
      </c>
      <c r="U1604">
        <v>44000</v>
      </c>
      <c r="V1604">
        <v>45200</v>
      </c>
      <c r="W1604">
        <v>47100</v>
      </c>
    </row>
    <row r="1605" spans="1:23">
      <c r="A1605" s="30">
        <v>45889</v>
      </c>
      <c r="B1605" s="29">
        <v>44700</v>
      </c>
      <c r="C1605" s="29">
        <v>45500</v>
      </c>
      <c r="D1605" s="29">
        <v>43500</v>
      </c>
      <c r="E1605" s="29">
        <v>39700</v>
      </c>
      <c r="F1605" s="29">
        <v>44500</v>
      </c>
      <c r="G1605" s="29" t="str">
        <v>-</v>
      </c>
      <c r="H1605" s="29">
        <v>43000</v>
      </c>
      <c r="I1605" s="29">
        <v>43100</v>
      </c>
      <c r="J1605" s="29">
        <v>43900</v>
      </c>
      <c r="K1605" s="29" t="str">
        <v>-</v>
      </c>
      <c r="L1605" s="29">
        <v>45500</v>
      </c>
      <c r="M1605" s="29">
        <v>45700</v>
      </c>
      <c r="N1605" s="29">
        <v>42300</v>
      </c>
      <c r="O1605" s="29">
        <v>42100</v>
      </c>
      <c r="P1605" s="29">
        <v>40100</v>
      </c>
      <c r="Q1605" s="29">
        <v>40300</v>
      </c>
      <c r="R1605" s="29">
        <v>40500</v>
      </c>
      <c r="S1605">
        <v>41800</v>
      </c>
      <c r="T1605">
        <v>43300</v>
      </c>
      <c r="U1605">
        <v>44000</v>
      </c>
      <c r="V1605">
        <v>45200</v>
      </c>
      <c r="W1605">
        <v>47100</v>
      </c>
    </row>
    <row r="1606" spans="1:23">
      <c r="A1606" s="30">
        <v>45890</v>
      </c>
      <c r="B1606" s="29">
        <v>44500</v>
      </c>
      <c r="C1606" s="29">
        <v>45500</v>
      </c>
      <c r="D1606" s="29">
        <v>43300</v>
      </c>
      <c r="E1606" s="29">
        <v>39800</v>
      </c>
      <c r="F1606" s="29">
        <v>44400</v>
      </c>
      <c r="G1606" s="29" t="str">
        <v>-</v>
      </c>
      <c r="H1606" s="29">
        <v>43000</v>
      </c>
      <c r="I1606" s="29">
        <v>42800</v>
      </c>
      <c r="J1606" s="29">
        <v>43900</v>
      </c>
      <c r="K1606" s="29" t="str">
        <v>-</v>
      </c>
      <c r="L1606" s="29">
        <v>45300</v>
      </c>
      <c r="M1606" s="29">
        <v>45700</v>
      </c>
      <c r="N1606" s="29">
        <v>42300</v>
      </c>
      <c r="O1606" s="29">
        <v>42000</v>
      </c>
      <c r="P1606" s="29">
        <v>40000</v>
      </c>
      <c r="Q1606" s="29">
        <v>40200</v>
      </c>
      <c r="R1606" s="29">
        <v>40400</v>
      </c>
      <c r="S1606">
        <v>41900</v>
      </c>
      <c r="T1606">
        <v>43300</v>
      </c>
      <c r="U1606">
        <v>44000</v>
      </c>
      <c r="V1606">
        <v>45200</v>
      </c>
      <c r="W1606">
        <v>47100</v>
      </c>
    </row>
    <row r="1607" spans="1:23">
      <c r="A1607" s="30">
        <v>45891</v>
      </c>
      <c r="B1607" s="29">
        <v>44300</v>
      </c>
      <c r="C1607" s="29">
        <v>45500</v>
      </c>
      <c r="D1607" s="29">
        <v>43000</v>
      </c>
      <c r="E1607" s="29">
        <v>39700</v>
      </c>
      <c r="F1607" s="29">
        <v>44200</v>
      </c>
      <c r="G1607" s="29" t="str">
        <v>-</v>
      </c>
      <c r="H1607" s="29">
        <v>43000</v>
      </c>
      <c r="I1607" s="29">
        <v>42700</v>
      </c>
      <c r="J1607" s="29">
        <v>43800</v>
      </c>
      <c r="K1607" s="29" t="str">
        <v>-</v>
      </c>
      <c r="L1607" s="29">
        <v>45200</v>
      </c>
      <c r="M1607" s="29">
        <v>45700</v>
      </c>
      <c r="N1607" s="29">
        <v>42000</v>
      </c>
      <c r="O1607" s="29">
        <v>41900</v>
      </c>
      <c r="P1607" s="29">
        <v>39700</v>
      </c>
      <c r="Q1607" s="29">
        <v>39900</v>
      </c>
      <c r="R1607" s="29">
        <v>40300</v>
      </c>
      <c r="S1607">
        <v>41800</v>
      </c>
      <c r="T1607">
        <v>43000</v>
      </c>
      <c r="U1607">
        <v>44000</v>
      </c>
      <c r="V1607">
        <v>44800</v>
      </c>
      <c r="W1607">
        <v>47100</v>
      </c>
    </row>
    <row r="1608" spans="1:23">
      <c r="A1608" s="30">
        <v>45892</v>
      </c>
      <c r="B1608" s="29">
        <v>44300</v>
      </c>
      <c r="C1608" s="29">
        <v>45500</v>
      </c>
      <c r="D1608" s="29">
        <v>42900</v>
      </c>
      <c r="E1608" s="29">
        <v>39700</v>
      </c>
      <c r="F1608" s="29">
        <v>44200</v>
      </c>
      <c r="G1608" s="29" t="str">
        <v>-</v>
      </c>
      <c r="H1608" s="29">
        <v>42000</v>
      </c>
      <c r="I1608" s="29">
        <v>42700</v>
      </c>
      <c r="J1608" s="29">
        <v>43500</v>
      </c>
      <c r="K1608" s="29" t="str">
        <v>-</v>
      </c>
      <c r="L1608" s="29">
        <v>45100</v>
      </c>
      <c r="M1608" s="29">
        <v>45300</v>
      </c>
      <c r="N1608" s="29">
        <v>41800</v>
      </c>
      <c r="O1608" s="29">
        <v>41800</v>
      </c>
      <c r="P1608" s="29">
        <v>39700</v>
      </c>
      <c r="Q1608" s="29">
        <v>39900</v>
      </c>
      <c r="R1608" s="29">
        <v>40200</v>
      </c>
      <c r="S1608">
        <v>41800</v>
      </c>
      <c r="T1608">
        <v>43000</v>
      </c>
      <c r="U1608">
        <v>44000</v>
      </c>
      <c r="V1608">
        <v>44800</v>
      </c>
      <c r="W1608">
        <v>47100</v>
      </c>
    </row>
    <row r="1609" spans="1:23">
      <c r="A1609" s="30">
        <v>45893</v>
      </c>
      <c r="B1609" s="29" t="str">
        <v>H</v>
      </c>
      <c r="C1609" s="29" t="str">
        <v>H</v>
      </c>
      <c r="D1609" s="29" t="str">
        <v>H</v>
      </c>
      <c r="E1609" s="29" t="str">
        <v>H</v>
      </c>
      <c r="F1609" s="29" t="str">
        <v>H</v>
      </c>
      <c r="G1609" s="29" t="str">
        <v>H</v>
      </c>
      <c r="H1609" s="29" t="str">
        <v>H</v>
      </c>
      <c r="I1609" s="29" t="str">
        <v>H</v>
      </c>
      <c r="J1609" s="29" t="str">
        <v>H</v>
      </c>
      <c r="K1609" s="29" t="str">
        <v>H</v>
      </c>
      <c r="L1609" s="29" t="str">
        <v>H</v>
      </c>
      <c r="M1609" s="29" t="str">
        <v>H</v>
      </c>
      <c r="N1609" s="29" t="str">
        <v>H</v>
      </c>
      <c r="O1609" s="29" t="str">
        <v>H</v>
      </c>
      <c r="P1609" s="29" t="str">
        <v>H</v>
      </c>
      <c r="Q1609" s="29" t="str">
        <v>H</v>
      </c>
      <c r="R1609" s="29" t="str">
        <v>H</v>
      </c>
      <c r="S1609" t="str">
        <v>H</v>
      </c>
      <c r="T1609" t="str">
        <v>H</v>
      </c>
      <c r="U1609" t="str">
        <v>H</v>
      </c>
      <c r="V1609" t="str">
        <v>H</v>
      </c>
      <c r="W1609" t="str">
        <v>H</v>
      </c>
    </row>
    <row r="1610" spans="1:23">
      <c r="A1610" s="30">
        <v>45894</v>
      </c>
      <c r="B1610" s="29">
        <v>44000</v>
      </c>
      <c r="C1610" s="29">
        <v>45500</v>
      </c>
      <c r="D1610" s="29">
        <v>42700</v>
      </c>
      <c r="E1610" s="29">
        <v>39400</v>
      </c>
      <c r="F1610" s="29">
        <v>44200</v>
      </c>
      <c r="G1610" s="29" t="str">
        <v>-</v>
      </c>
      <c r="H1610" s="29">
        <v>42000</v>
      </c>
      <c r="I1610" s="29">
        <v>42600</v>
      </c>
      <c r="J1610" s="29">
        <v>43500</v>
      </c>
      <c r="K1610" s="29" t="str">
        <v>-</v>
      </c>
      <c r="L1610" s="29">
        <v>45000</v>
      </c>
      <c r="M1610" s="29">
        <v>45000</v>
      </c>
      <c r="N1610" s="29">
        <v>41700</v>
      </c>
      <c r="O1610" s="29">
        <v>41800</v>
      </c>
      <c r="P1610" s="29">
        <v>39400</v>
      </c>
      <c r="Q1610" s="29">
        <v>39600</v>
      </c>
      <c r="R1610" s="29">
        <v>40000</v>
      </c>
      <c r="S1610">
        <v>41500</v>
      </c>
      <c r="T1610">
        <v>42800</v>
      </c>
      <c r="U1610">
        <v>44000</v>
      </c>
      <c r="V1610">
        <v>44500</v>
      </c>
      <c r="W1610">
        <v>46800</v>
      </c>
    </row>
    <row r="1611" spans="1:23">
      <c r="A1611" s="30">
        <v>45895</v>
      </c>
      <c r="B1611" s="29">
        <v>43800</v>
      </c>
      <c r="C1611" s="29">
        <v>45500</v>
      </c>
      <c r="D1611" s="29">
        <v>42500</v>
      </c>
      <c r="E1611" s="29">
        <v>39300</v>
      </c>
      <c r="F1611" s="29">
        <v>44100</v>
      </c>
      <c r="G1611" s="29" t="str">
        <v>-</v>
      </c>
      <c r="H1611" s="29">
        <v>42000</v>
      </c>
      <c r="I1611" s="29">
        <v>42200</v>
      </c>
      <c r="J1611" s="29">
        <v>43500</v>
      </c>
      <c r="K1611" s="29" t="str">
        <v>-</v>
      </c>
      <c r="L1611" s="29">
        <v>44800</v>
      </c>
      <c r="M1611" s="29">
        <v>44700</v>
      </c>
      <c r="N1611" s="29">
        <v>41400</v>
      </c>
      <c r="O1611" s="29">
        <v>41800</v>
      </c>
      <c r="P1611" s="29">
        <v>39200</v>
      </c>
      <c r="Q1611" s="29">
        <v>39400</v>
      </c>
      <c r="R1611" s="29">
        <v>39800</v>
      </c>
      <c r="S1611">
        <v>41400</v>
      </c>
      <c r="T1611">
        <v>42700</v>
      </c>
      <c r="U1611">
        <v>43500</v>
      </c>
      <c r="V1611">
        <v>44500</v>
      </c>
      <c r="W1611">
        <v>46800</v>
      </c>
    </row>
    <row r="1612" spans="1:23">
      <c r="A1612" s="30">
        <v>45896</v>
      </c>
      <c r="B1612" s="29">
        <v>43800</v>
      </c>
      <c r="C1612" s="29" t="str">
        <v>-</v>
      </c>
      <c r="D1612" s="29">
        <v>42500</v>
      </c>
      <c r="E1612" s="29">
        <v>39200</v>
      </c>
      <c r="F1612" s="29" t="str">
        <v>-</v>
      </c>
      <c r="G1612" s="29" t="str">
        <v>-</v>
      </c>
      <c r="H1612" s="29">
        <v>41500</v>
      </c>
      <c r="I1612" s="29">
        <v>42200</v>
      </c>
      <c r="J1612" s="29">
        <v>43500</v>
      </c>
      <c r="K1612" s="29" t="str">
        <v>-</v>
      </c>
      <c r="L1612" s="29">
        <v>44500</v>
      </c>
      <c r="M1612" s="29" t="str">
        <v>-</v>
      </c>
      <c r="N1612" s="29">
        <v>41300</v>
      </c>
      <c r="O1612" s="29">
        <v>41800</v>
      </c>
      <c r="P1612" s="29">
        <v>39500</v>
      </c>
      <c r="Q1612" s="29">
        <v>39500</v>
      </c>
      <c r="R1612" s="29">
        <v>39800</v>
      </c>
      <c r="S1612">
        <v>41300</v>
      </c>
      <c r="T1612">
        <v>42500</v>
      </c>
      <c r="U1612">
        <v>43500</v>
      </c>
      <c r="V1612">
        <v>44500</v>
      </c>
      <c r="W1612">
        <v>46800</v>
      </c>
    </row>
    <row r="1613" spans="1:23">
      <c r="A1613" s="30">
        <v>45897</v>
      </c>
      <c r="B1613" s="29">
        <v>43800</v>
      </c>
      <c r="C1613" s="29">
        <v>45500</v>
      </c>
      <c r="D1613" s="29">
        <v>42500</v>
      </c>
      <c r="E1613" s="29">
        <v>39100</v>
      </c>
      <c r="F1613" s="29">
        <v>44100</v>
      </c>
      <c r="G1613" s="29" t="str">
        <v>-</v>
      </c>
      <c r="H1613" s="29">
        <v>41500</v>
      </c>
      <c r="I1613" s="29">
        <v>42100</v>
      </c>
      <c r="J1613" s="29">
        <v>43500</v>
      </c>
      <c r="K1613" s="29" t="str">
        <v>-</v>
      </c>
      <c r="L1613" s="29">
        <v>44500</v>
      </c>
      <c r="M1613" s="29">
        <v>44800</v>
      </c>
      <c r="N1613" s="29">
        <v>41400</v>
      </c>
      <c r="O1613" s="29">
        <v>41900</v>
      </c>
      <c r="P1613" s="29">
        <v>39500</v>
      </c>
      <c r="Q1613" s="29">
        <v>39500</v>
      </c>
      <c r="R1613" s="29">
        <v>39800</v>
      </c>
      <c r="S1613">
        <v>41200</v>
      </c>
      <c r="T1613">
        <v>42700</v>
      </c>
      <c r="U1613">
        <v>43500</v>
      </c>
      <c r="V1613">
        <v>44500</v>
      </c>
      <c r="W1613">
        <v>46800</v>
      </c>
    </row>
    <row r="1614" spans="1:23">
      <c r="A1614" s="30">
        <v>45898</v>
      </c>
      <c r="B1614" s="29">
        <v>43600</v>
      </c>
      <c r="C1614" s="29">
        <v>45500</v>
      </c>
      <c r="D1614" s="29">
        <v>42400</v>
      </c>
      <c r="E1614" s="29">
        <v>39000</v>
      </c>
      <c r="F1614" s="29">
        <v>44100</v>
      </c>
      <c r="G1614" s="29" t="str">
        <v>-</v>
      </c>
      <c r="H1614" s="29">
        <v>41500</v>
      </c>
      <c r="I1614" s="29">
        <v>42000</v>
      </c>
      <c r="J1614" s="29">
        <v>43300</v>
      </c>
      <c r="K1614" s="29" t="str">
        <v>-</v>
      </c>
      <c r="L1614" s="29">
        <v>44400</v>
      </c>
      <c r="M1614" s="29">
        <v>44800</v>
      </c>
      <c r="N1614" s="29">
        <v>41200</v>
      </c>
      <c r="O1614" s="29">
        <v>41800</v>
      </c>
      <c r="P1614" s="29">
        <v>39300</v>
      </c>
      <c r="Q1614" s="29">
        <v>39500</v>
      </c>
      <c r="R1614" s="29">
        <v>39700</v>
      </c>
      <c r="S1614">
        <v>41100</v>
      </c>
      <c r="T1614">
        <v>42700</v>
      </c>
      <c r="U1614">
        <v>43500</v>
      </c>
      <c r="V1614">
        <v>44500</v>
      </c>
      <c r="W1614">
        <v>46800</v>
      </c>
    </row>
    <row r="1615" spans="1:23">
      <c r="A1615" s="30">
        <v>45899</v>
      </c>
      <c r="B1615" s="29">
        <v>43600</v>
      </c>
      <c r="C1615" s="29">
        <v>45500</v>
      </c>
      <c r="D1615" s="29">
        <v>42100</v>
      </c>
      <c r="E1615" s="29">
        <v>39000</v>
      </c>
      <c r="F1615" s="29">
        <v>44100</v>
      </c>
      <c r="G1615" s="29" t="str">
        <v>-</v>
      </c>
      <c r="H1615" s="29">
        <v>41500</v>
      </c>
      <c r="I1615" s="29">
        <v>41900</v>
      </c>
      <c r="J1615" s="29">
        <v>43300</v>
      </c>
      <c r="K1615" s="29" t="str">
        <v>-</v>
      </c>
      <c r="L1615" s="29">
        <v>44300</v>
      </c>
      <c r="M1615" s="29">
        <v>44800</v>
      </c>
      <c r="N1615" s="29">
        <v>41000</v>
      </c>
      <c r="O1615" s="29">
        <v>41800</v>
      </c>
      <c r="P1615" s="29">
        <v>39200</v>
      </c>
      <c r="Q1615" s="29">
        <v>39500</v>
      </c>
      <c r="R1615" s="29">
        <v>39700</v>
      </c>
      <c r="S1615">
        <v>41100</v>
      </c>
      <c r="T1615">
        <v>42700</v>
      </c>
      <c r="U1615">
        <v>43500</v>
      </c>
      <c r="V1615">
        <v>44500</v>
      </c>
      <c r="W1615">
        <v>46800</v>
      </c>
    </row>
    <row r="1616" spans="1:23">
      <c r="A1616" s="30">
        <v>45900</v>
      </c>
      <c r="B1616" s="29" t="str">
        <v>H</v>
      </c>
      <c r="C1616" s="29" t="str">
        <v>H</v>
      </c>
      <c r="D1616" s="29" t="str">
        <v>H</v>
      </c>
      <c r="E1616" s="29" t="str">
        <v>H</v>
      </c>
      <c r="F1616" s="29" t="str">
        <v>H</v>
      </c>
      <c r="G1616" s="29" t="str">
        <v>H</v>
      </c>
      <c r="H1616" s="29" t="str">
        <v>H</v>
      </c>
      <c r="I1616" s="29" t="str">
        <v>H</v>
      </c>
      <c r="J1616" s="29" t="str">
        <v>H</v>
      </c>
      <c r="K1616" s="29" t="str">
        <v>H</v>
      </c>
      <c r="L1616" s="29" t="str">
        <v>H</v>
      </c>
      <c r="M1616" s="29" t="str">
        <v>H</v>
      </c>
      <c r="N1616" s="29" t="str">
        <v>H</v>
      </c>
      <c r="O1616" s="29" t="str">
        <v>H</v>
      </c>
      <c r="P1616" s="29" t="str">
        <v>H</v>
      </c>
      <c r="Q1616" s="29" t="str">
        <v>H</v>
      </c>
      <c r="R1616" s="29" t="str">
        <v>H</v>
      </c>
      <c r="S1616" t="str">
        <v>H</v>
      </c>
      <c r="T1616" t="str">
        <v>H</v>
      </c>
      <c r="U1616" t="str">
        <v>H</v>
      </c>
      <c r="V1616" t="str">
        <v>H</v>
      </c>
      <c r="W1616" t="str">
        <v>H</v>
      </c>
    </row>
    <row r="1617" spans="1:23">
      <c r="A1617" s="30">
        <v>45901</v>
      </c>
      <c r="B1617" s="29">
        <v>43500</v>
      </c>
      <c r="C1617" s="29">
        <v>45500</v>
      </c>
      <c r="D1617" s="29">
        <v>42100</v>
      </c>
      <c r="E1617" s="29">
        <v>38900</v>
      </c>
      <c r="F1617" s="29">
        <v>44100</v>
      </c>
      <c r="G1617" s="29" t="str">
        <v>-</v>
      </c>
      <c r="H1617" s="29">
        <v>41500</v>
      </c>
      <c r="I1617" s="29">
        <v>41800</v>
      </c>
      <c r="J1617" s="29">
        <v>43300</v>
      </c>
      <c r="K1617" s="29" t="str">
        <v>-</v>
      </c>
      <c r="L1617" s="29">
        <v>44100</v>
      </c>
      <c r="M1617" s="29">
        <v>44800</v>
      </c>
      <c r="N1617" s="29">
        <v>40700</v>
      </c>
      <c r="O1617" s="29">
        <v>41800</v>
      </c>
      <c r="P1617" s="29">
        <v>39300</v>
      </c>
      <c r="Q1617" s="29">
        <v>39600</v>
      </c>
      <c r="R1617" s="29">
        <v>39700</v>
      </c>
      <c r="S1617">
        <v>41000</v>
      </c>
      <c r="T1617">
        <v>42700</v>
      </c>
      <c r="U1617">
        <v>43500</v>
      </c>
      <c r="V1617">
        <v>44500</v>
      </c>
      <c r="W1617">
        <v>46800</v>
      </c>
    </row>
    <row r="1618" spans="1:23">
      <c r="A1618" s="30">
        <v>45902</v>
      </c>
      <c r="B1618" s="29">
        <v>43400</v>
      </c>
      <c r="C1618" s="29">
        <v>45500</v>
      </c>
      <c r="D1618" s="29">
        <v>41900</v>
      </c>
      <c r="E1618" s="29">
        <v>38800</v>
      </c>
      <c r="F1618" s="29">
        <v>43600</v>
      </c>
      <c r="G1618" s="29" t="str">
        <v>-</v>
      </c>
      <c r="H1618" s="29">
        <v>41500</v>
      </c>
      <c r="I1618" s="29">
        <v>41500</v>
      </c>
      <c r="J1618" s="29">
        <v>43300</v>
      </c>
      <c r="K1618" s="29" t="str">
        <v>-</v>
      </c>
      <c r="L1618" s="29">
        <v>43900</v>
      </c>
      <c r="M1618" s="29">
        <v>44800</v>
      </c>
      <c r="N1618" s="29">
        <v>40700</v>
      </c>
      <c r="O1618" s="29">
        <v>41700</v>
      </c>
      <c r="P1618" s="29">
        <v>39000</v>
      </c>
      <c r="Q1618" s="29">
        <v>39400</v>
      </c>
      <c r="R1618" s="29">
        <v>39700</v>
      </c>
      <c r="S1618">
        <v>40900</v>
      </c>
      <c r="T1618">
        <v>42700</v>
      </c>
      <c r="U1618">
        <v>43500</v>
      </c>
      <c r="V1618">
        <v>44300</v>
      </c>
      <c r="W1618">
        <v>46800</v>
      </c>
    </row>
    <row r="1619" spans="1:23">
      <c r="A1619" s="30">
        <v>45903</v>
      </c>
      <c r="B1619" s="29">
        <v>43200</v>
      </c>
      <c r="C1619" s="29">
        <v>45300</v>
      </c>
      <c r="D1619" s="29">
        <v>41500</v>
      </c>
      <c r="E1619" s="29">
        <v>38700</v>
      </c>
      <c r="F1619" s="29">
        <v>43600</v>
      </c>
      <c r="G1619" s="29" t="str">
        <v>-</v>
      </c>
      <c r="H1619" s="29">
        <v>41000</v>
      </c>
      <c r="I1619" s="29">
        <v>41300</v>
      </c>
      <c r="J1619" s="29">
        <v>43300</v>
      </c>
      <c r="K1619" s="29" t="str">
        <v>-</v>
      </c>
      <c r="L1619" s="29">
        <v>43700</v>
      </c>
      <c r="M1619" s="29">
        <v>44500</v>
      </c>
      <c r="N1619" s="29">
        <v>40600</v>
      </c>
      <c r="O1619" s="29">
        <v>41700</v>
      </c>
      <c r="P1619" s="29">
        <v>39000</v>
      </c>
      <c r="Q1619" s="29">
        <v>39300</v>
      </c>
      <c r="R1619" s="29">
        <v>39500</v>
      </c>
      <c r="S1619">
        <v>40800</v>
      </c>
      <c r="T1619">
        <v>42300</v>
      </c>
      <c r="U1619">
        <v>43500</v>
      </c>
      <c r="V1619">
        <v>44300</v>
      </c>
      <c r="W1619">
        <v>46800</v>
      </c>
    </row>
    <row r="1620" spans="1:23">
      <c r="A1620" s="30">
        <v>45904</v>
      </c>
      <c r="B1620" s="29">
        <v>43400</v>
      </c>
      <c r="C1620" s="29">
        <v>45500</v>
      </c>
      <c r="D1620" s="29">
        <v>41500</v>
      </c>
      <c r="E1620" s="29">
        <v>39100</v>
      </c>
      <c r="F1620" s="29">
        <v>43900</v>
      </c>
      <c r="G1620" s="29" t="str">
        <v>-</v>
      </c>
      <c r="H1620" s="29">
        <v>41500</v>
      </c>
      <c r="I1620" s="29">
        <v>41600</v>
      </c>
      <c r="J1620" s="29">
        <v>43600</v>
      </c>
      <c r="K1620" s="29" t="str">
        <v>-</v>
      </c>
      <c r="L1620" s="29">
        <v>43800</v>
      </c>
      <c r="M1620" s="29">
        <v>44500</v>
      </c>
      <c r="N1620" s="29">
        <v>40600</v>
      </c>
      <c r="O1620" s="29">
        <v>41900</v>
      </c>
      <c r="P1620" s="29">
        <v>39300</v>
      </c>
      <c r="Q1620" s="29">
        <v>39400</v>
      </c>
      <c r="R1620" s="29">
        <v>39700</v>
      </c>
      <c r="S1620">
        <v>41200</v>
      </c>
      <c r="T1620">
        <v>42500</v>
      </c>
      <c r="U1620">
        <v>43500</v>
      </c>
      <c r="V1620">
        <v>44300</v>
      </c>
      <c r="W1620">
        <v>46800</v>
      </c>
    </row>
    <row r="1621" spans="1:23">
      <c r="A1621" s="30">
        <v>45905</v>
      </c>
      <c r="B1621" s="29">
        <v>43500</v>
      </c>
      <c r="C1621" s="29">
        <v>45500</v>
      </c>
      <c r="D1621" s="29">
        <v>42000</v>
      </c>
      <c r="E1621" s="29">
        <v>39100</v>
      </c>
      <c r="F1621" s="29">
        <v>44000</v>
      </c>
      <c r="G1621" s="29" t="str">
        <v>-</v>
      </c>
      <c r="H1621" s="29">
        <v>41500</v>
      </c>
      <c r="I1621" s="29">
        <v>42000</v>
      </c>
      <c r="J1621" s="29">
        <v>43900</v>
      </c>
      <c r="K1621" s="29" t="str">
        <v>-</v>
      </c>
      <c r="L1621" s="29">
        <v>43600</v>
      </c>
      <c r="M1621" s="29">
        <v>44500</v>
      </c>
      <c r="N1621" s="29">
        <v>41000</v>
      </c>
      <c r="O1621" s="29">
        <v>41900</v>
      </c>
      <c r="P1621" s="29">
        <v>39400</v>
      </c>
      <c r="Q1621" s="29">
        <v>39500</v>
      </c>
      <c r="R1621" s="29">
        <v>39700</v>
      </c>
      <c r="S1621">
        <v>41200</v>
      </c>
      <c r="T1621">
        <v>42500</v>
      </c>
      <c r="U1621">
        <v>43500</v>
      </c>
      <c r="V1621">
        <v>44500</v>
      </c>
      <c r="W1621">
        <v>46800</v>
      </c>
    </row>
    <row r="1622" spans="1:23">
      <c r="A1622" s="30">
        <v>45906</v>
      </c>
      <c r="B1622" s="29">
        <v>43500</v>
      </c>
      <c r="C1622" s="29">
        <v>45500</v>
      </c>
      <c r="D1622" s="29">
        <v>42000</v>
      </c>
      <c r="E1622" s="29">
        <v>39300</v>
      </c>
      <c r="F1622" s="29">
        <v>44000</v>
      </c>
      <c r="G1622" s="29" t="str">
        <v>-</v>
      </c>
      <c r="H1622" s="29">
        <v>41500</v>
      </c>
      <c r="I1622" s="29">
        <v>42200</v>
      </c>
      <c r="J1622" s="29">
        <v>43900</v>
      </c>
      <c r="K1622" s="29" t="str">
        <v>-</v>
      </c>
      <c r="L1622" s="29">
        <v>44000</v>
      </c>
      <c r="M1622" s="29">
        <v>44500</v>
      </c>
      <c r="N1622" s="29">
        <v>41800</v>
      </c>
      <c r="O1622" s="29">
        <v>42300</v>
      </c>
      <c r="P1622" s="29">
        <v>39800</v>
      </c>
      <c r="Q1622" s="29">
        <v>39700</v>
      </c>
      <c r="R1622" s="29">
        <v>39700</v>
      </c>
      <c r="S1622">
        <v>41500</v>
      </c>
      <c r="T1622">
        <v>42700</v>
      </c>
      <c r="U1622">
        <v>43500</v>
      </c>
      <c r="V1622">
        <v>44500</v>
      </c>
      <c r="W1622">
        <v>46800</v>
      </c>
    </row>
    <row r="1623" spans="1:23">
      <c r="A1623" s="30">
        <v>45907</v>
      </c>
      <c r="B1623" s="29" t="str">
        <v>H</v>
      </c>
      <c r="C1623" s="29" t="str">
        <v>H</v>
      </c>
      <c r="D1623" s="29" t="str">
        <v>H</v>
      </c>
      <c r="E1623" s="29" t="str">
        <v>H</v>
      </c>
      <c r="F1623" s="29" t="str">
        <v>H</v>
      </c>
      <c r="G1623" s="29" t="str">
        <v>H</v>
      </c>
      <c r="H1623" s="29" t="str">
        <v>H</v>
      </c>
      <c r="I1623" s="29" t="str">
        <v>H</v>
      </c>
      <c r="J1623" s="29" t="str">
        <v>H</v>
      </c>
      <c r="K1623" s="29" t="str">
        <v>H</v>
      </c>
      <c r="L1623" s="29" t="str">
        <v>H</v>
      </c>
      <c r="M1623" s="29" t="str">
        <v>H</v>
      </c>
      <c r="N1623" s="29" t="str">
        <v>H</v>
      </c>
      <c r="O1623" s="29" t="str">
        <v>H</v>
      </c>
      <c r="P1623" s="29" t="str">
        <v>H</v>
      </c>
      <c r="Q1623" s="29" t="str">
        <v>H</v>
      </c>
      <c r="R1623" s="29" t="str">
        <v>H</v>
      </c>
      <c r="S1623" t="str">
        <v>H</v>
      </c>
      <c r="T1623" t="str">
        <v>H</v>
      </c>
      <c r="U1623" t="str">
        <v>H</v>
      </c>
      <c r="V1623" t="str">
        <v>H</v>
      </c>
      <c r="W1623" t="str">
        <v>H</v>
      </c>
    </row>
    <row r="1624" spans="1:23">
      <c r="A1624" s="30">
        <v>45908</v>
      </c>
      <c r="B1624" s="29">
        <v>43800</v>
      </c>
      <c r="C1624" s="29">
        <v>45500</v>
      </c>
      <c r="D1624" s="29">
        <v>42800</v>
      </c>
      <c r="E1624" s="29">
        <v>39550</v>
      </c>
      <c r="F1624" s="29">
        <v>44500</v>
      </c>
      <c r="G1624" s="29" t="str">
        <v>-</v>
      </c>
      <c r="H1624" s="29">
        <v>42500</v>
      </c>
      <c r="I1624" s="29">
        <v>42700</v>
      </c>
      <c r="J1624" s="29">
        <v>44200</v>
      </c>
      <c r="K1624" s="29" t="str">
        <v>-</v>
      </c>
      <c r="L1624" s="29">
        <v>44200</v>
      </c>
      <c r="M1624" s="29">
        <v>44300</v>
      </c>
      <c r="N1624" s="29">
        <v>42000</v>
      </c>
      <c r="O1624" s="29">
        <v>42900</v>
      </c>
      <c r="P1624" s="29">
        <v>40300</v>
      </c>
      <c r="Q1624" s="29">
        <v>40000</v>
      </c>
      <c r="R1624" s="29">
        <v>39900</v>
      </c>
      <c r="S1624">
        <v>41800</v>
      </c>
      <c r="T1624">
        <v>42800</v>
      </c>
      <c r="U1624">
        <v>44000</v>
      </c>
      <c r="V1624">
        <v>44800</v>
      </c>
      <c r="W1624">
        <v>47200</v>
      </c>
    </row>
    <row r="1625" spans="1:23">
      <c r="A1625" s="30">
        <v>45909</v>
      </c>
      <c r="B1625" s="29">
        <v>43800</v>
      </c>
      <c r="C1625" s="29">
        <v>45000</v>
      </c>
      <c r="D1625" s="29">
        <v>43500</v>
      </c>
      <c r="E1625" s="29">
        <v>39450</v>
      </c>
      <c r="F1625" s="29">
        <v>45100</v>
      </c>
      <c r="G1625" s="29" t="str">
        <v>-</v>
      </c>
      <c r="H1625" s="29">
        <v>42500</v>
      </c>
      <c r="I1625" s="29">
        <v>42400</v>
      </c>
      <c r="J1625" s="29">
        <v>44500</v>
      </c>
      <c r="K1625" s="29" t="str">
        <v>-</v>
      </c>
      <c r="L1625" s="29">
        <v>44400</v>
      </c>
      <c r="M1625" s="29">
        <v>44300</v>
      </c>
      <c r="N1625" s="29">
        <v>42800</v>
      </c>
      <c r="O1625" s="29">
        <v>43500</v>
      </c>
      <c r="P1625" s="29">
        <v>40300</v>
      </c>
      <c r="Q1625" s="29">
        <v>40200</v>
      </c>
      <c r="R1625" s="29">
        <v>40100</v>
      </c>
      <c r="S1625">
        <v>41700</v>
      </c>
      <c r="T1625">
        <v>43200</v>
      </c>
      <c r="U1625">
        <v>44000</v>
      </c>
      <c r="V1625">
        <v>44800</v>
      </c>
      <c r="W1625">
        <v>47200</v>
      </c>
    </row>
    <row r="1626" spans="1:23">
      <c r="A1626" s="30">
        <v>45910</v>
      </c>
      <c r="B1626" s="29">
        <v>43800</v>
      </c>
      <c r="C1626" s="29">
        <v>45000</v>
      </c>
      <c r="D1626" s="29">
        <v>43200</v>
      </c>
      <c r="E1626" s="29">
        <v>39300</v>
      </c>
      <c r="F1626" s="29">
        <v>45100</v>
      </c>
      <c r="G1626" s="29" t="str">
        <v>-</v>
      </c>
      <c r="H1626" s="29">
        <v>42500</v>
      </c>
      <c r="I1626" s="29">
        <v>42200</v>
      </c>
      <c r="J1626" s="29">
        <v>44500</v>
      </c>
      <c r="K1626" s="29" t="str">
        <v>-</v>
      </c>
      <c r="L1626" s="29">
        <v>44400</v>
      </c>
      <c r="M1626" s="29">
        <v>44300</v>
      </c>
      <c r="N1626" s="29">
        <v>42200</v>
      </c>
      <c r="O1626" s="29">
        <v>43500</v>
      </c>
      <c r="P1626" s="29">
        <v>39800</v>
      </c>
      <c r="Q1626" s="29">
        <v>39900</v>
      </c>
      <c r="R1626" s="29">
        <v>40100</v>
      </c>
      <c r="S1626">
        <v>41500</v>
      </c>
      <c r="T1626">
        <v>43100</v>
      </c>
      <c r="U1626">
        <v>44000</v>
      </c>
      <c r="V1626">
        <v>44800</v>
      </c>
      <c r="W1626">
        <v>47200</v>
      </c>
    </row>
    <row r="1627" spans="1:23">
      <c r="A1627" s="30">
        <v>45911</v>
      </c>
      <c r="B1627" s="29">
        <v>43600</v>
      </c>
      <c r="C1627" s="29">
        <v>44800</v>
      </c>
      <c r="D1627" s="29">
        <v>42800</v>
      </c>
      <c r="E1627" s="29">
        <v>39200</v>
      </c>
      <c r="F1627" s="29">
        <v>45100</v>
      </c>
      <c r="G1627" s="29" t="str">
        <v>-</v>
      </c>
      <c r="H1627" s="29">
        <v>41500</v>
      </c>
      <c r="I1627" s="29">
        <v>42000</v>
      </c>
      <c r="J1627" s="29">
        <v>44000</v>
      </c>
      <c r="K1627" s="29" t="str">
        <v>-</v>
      </c>
      <c r="L1627" s="29">
        <v>44200</v>
      </c>
      <c r="M1627" s="29">
        <v>44100</v>
      </c>
      <c r="N1627" s="29">
        <v>41900</v>
      </c>
      <c r="O1627" s="29">
        <v>43300</v>
      </c>
      <c r="P1627" s="29">
        <v>39600</v>
      </c>
      <c r="Q1627" s="29">
        <v>39700</v>
      </c>
      <c r="R1627" s="29">
        <v>39900</v>
      </c>
      <c r="S1627">
        <v>41300</v>
      </c>
      <c r="T1627">
        <v>43000</v>
      </c>
      <c r="U1627">
        <v>43500</v>
      </c>
      <c r="V1627">
        <v>44800</v>
      </c>
      <c r="W1627">
        <v>47200</v>
      </c>
    </row>
    <row r="1628" spans="1:23">
      <c r="A1628" s="30">
        <v>45912</v>
      </c>
      <c r="B1628" s="29">
        <v>43500</v>
      </c>
      <c r="C1628" s="29">
        <v>44700</v>
      </c>
      <c r="D1628" s="29">
        <v>42500</v>
      </c>
      <c r="E1628" s="29">
        <v>39200</v>
      </c>
      <c r="F1628" s="29">
        <v>45100</v>
      </c>
      <c r="G1628" s="29" t="str">
        <v>-</v>
      </c>
      <c r="H1628" s="29">
        <v>41500</v>
      </c>
      <c r="I1628" s="29">
        <v>42000</v>
      </c>
      <c r="J1628" s="29">
        <v>44000</v>
      </c>
      <c r="K1628" s="29" t="str">
        <v>-</v>
      </c>
      <c r="L1628" s="29">
        <v>44100</v>
      </c>
      <c r="M1628" s="29">
        <v>44100</v>
      </c>
      <c r="N1628" s="29">
        <v>41800</v>
      </c>
      <c r="O1628" s="29">
        <v>43300</v>
      </c>
      <c r="P1628" s="29">
        <v>39600</v>
      </c>
      <c r="Q1628" s="29">
        <v>39700</v>
      </c>
      <c r="R1628" s="29">
        <v>39900</v>
      </c>
      <c r="S1628">
        <v>41300</v>
      </c>
      <c r="T1628">
        <v>43000</v>
      </c>
      <c r="U1628">
        <v>43500</v>
      </c>
      <c r="V1628">
        <v>44800</v>
      </c>
      <c r="W1628">
        <v>47200</v>
      </c>
    </row>
    <row r="1629" spans="1:23">
      <c r="A1629" s="30">
        <v>45913</v>
      </c>
      <c r="B1629" s="29">
        <v>43500</v>
      </c>
      <c r="C1629" s="29">
        <v>44500</v>
      </c>
      <c r="D1629" s="29">
        <v>42400</v>
      </c>
      <c r="E1629" s="29">
        <v>39200</v>
      </c>
      <c r="F1629" s="29">
        <v>44800</v>
      </c>
      <c r="G1629" s="29" t="str">
        <v>-</v>
      </c>
      <c r="H1629" s="29">
        <v>41500</v>
      </c>
      <c r="I1629" s="29">
        <v>42200</v>
      </c>
      <c r="J1629" s="29">
        <v>44000</v>
      </c>
      <c r="K1629" s="29" t="str">
        <v>-</v>
      </c>
      <c r="L1629" s="29">
        <v>44100</v>
      </c>
      <c r="M1629" s="29">
        <v>44100</v>
      </c>
      <c r="N1629" s="29">
        <v>41800</v>
      </c>
      <c r="O1629" s="29">
        <v>43500</v>
      </c>
      <c r="P1629" s="29">
        <v>39700</v>
      </c>
      <c r="Q1629" s="29">
        <v>39700</v>
      </c>
      <c r="R1629" s="29">
        <v>39900</v>
      </c>
      <c r="S1629">
        <v>41300</v>
      </c>
      <c r="T1629">
        <v>43000</v>
      </c>
      <c r="U1629">
        <v>43500</v>
      </c>
      <c r="V1629">
        <v>44800</v>
      </c>
      <c r="W1629">
        <v>47200</v>
      </c>
    </row>
    <row r="1630" spans="1:23">
      <c r="A1630" s="30">
        <v>45914</v>
      </c>
      <c r="B1630" s="29" t="str">
        <v>H</v>
      </c>
      <c r="C1630" s="29" t="str">
        <v>H</v>
      </c>
      <c r="D1630" s="29" t="str">
        <v>H</v>
      </c>
      <c r="E1630" s="29" t="str">
        <v>H</v>
      </c>
      <c r="F1630" s="29" t="str">
        <v>H</v>
      </c>
      <c r="G1630" s="29" t="str">
        <v>H</v>
      </c>
      <c r="H1630" s="29" t="str">
        <v>H</v>
      </c>
      <c r="I1630" s="29" t="str">
        <v>H</v>
      </c>
      <c r="J1630" s="29" t="str">
        <v>H</v>
      </c>
      <c r="K1630" s="29" t="str">
        <v>H</v>
      </c>
      <c r="L1630" s="29" t="str">
        <v>H</v>
      </c>
      <c r="M1630" s="29" t="str">
        <v>H</v>
      </c>
      <c r="N1630" s="29" t="str">
        <v>H</v>
      </c>
      <c r="O1630" s="29" t="str">
        <v>H</v>
      </c>
      <c r="P1630" s="29" t="str">
        <v>H</v>
      </c>
      <c r="Q1630" s="29" t="str">
        <v>H</v>
      </c>
      <c r="R1630" s="29" t="str">
        <v>H</v>
      </c>
      <c r="S1630" t="str">
        <v>H</v>
      </c>
      <c r="T1630" t="str">
        <v>H</v>
      </c>
      <c r="U1630" t="str">
        <v>H</v>
      </c>
      <c r="V1630" t="str">
        <v>H</v>
      </c>
      <c r="W1630" t="str">
        <v>H</v>
      </c>
    </row>
    <row r="1631" spans="1:23">
      <c r="A1631" s="30">
        <v>45915</v>
      </c>
      <c r="B1631" s="29">
        <v>43500</v>
      </c>
      <c r="C1631" s="29">
        <v>44500</v>
      </c>
      <c r="D1631" s="29">
        <v>42400</v>
      </c>
      <c r="E1631" s="29">
        <v>38900</v>
      </c>
      <c r="F1631" s="29">
        <v>44500</v>
      </c>
      <c r="G1631" s="29" t="str">
        <v>-</v>
      </c>
      <c r="H1631" s="29">
        <v>41500</v>
      </c>
      <c r="I1631" s="29">
        <v>42200</v>
      </c>
      <c r="J1631" s="29">
        <v>43800</v>
      </c>
      <c r="K1631" s="29" t="str">
        <v>-</v>
      </c>
      <c r="L1631" s="29">
        <v>44100</v>
      </c>
      <c r="M1631" s="29">
        <v>44300</v>
      </c>
      <c r="N1631" s="29">
        <v>41600</v>
      </c>
      <c r="O1631" s="29">
        <v>43500</v>
      </c>
      <c r="P1631" s="29">
        <v>39400</v>
      </c>
      <c r="Q1631" s="29">
        <v>39600</v>
      </c>
      <c r="R1631" s="29">
        <v>39700</v>
      </c>
      <c r="S1631">
        <v>41000</v>
      </c>
      <c r="T1631">
        <v>42900</v>
      </c>
      <c r="U1631">
        <v>43500</v>
      </c>
      <c r="V1631">
        <v>44800</v>
      </c>
      <c r="W1631">
        <v>47200</v>
      </c>
    </row>
    <row r="1632" spans="1:23">
      <c r="A1632" s="30">
        <v>45916</v>
      </c>
      <c r="B1632" s="29">
        <v>43300</v>
      </c>
      <c r="C1632" s="29">
        <v>44500</v>
      </c>
      <c r="D1632" s="29">
        <v>42200</v>
      </c>
      <c r="E1632" s="29">
        <v>38800</v>
      </c>
      <c r="F1632" s="29">
        <v>44000</v>
      </c>
      <c r="G1632" s="29" t="str">
        <v>-</v>
      </c>
      <c r="H1632" s="29">
        <v>41500</v>
      </c>
      <c r="I1632" s="29">
        <v>42000</v>
      </c>
      <c r="J1632" s="29">
        <v>43800</v>
      </c>
      <c r="K1632" s="29" t="str">
        <v>-</v>
      </c>
      <c r="L1632" s="29">
        <v>44000</v>
      </c>
      <c r="M1632" s="29">
        <v>44400</v>
      </c>
      <c r="N1632" s="29">
        <v>41100</v>
      </c>
      <c r="O1632" s="29">
        <v>43300</v>
      </c>
      <c r="P1632" s="29">
        <v>39100</v>
      </c>
      <c r="Q1632" s="29">
        <v>39400</v>
      </c>
      <c r="R1632" s="29">
        <v>39400</v>
      </c>
      <c r="S1632">
        <v>40900</v>
      </c>
      <c r="T1632">
        <v>42700</v>
      </c>
      <c r="U1632">
        <v>43000</v>
      </c>
      <c r="V1632">
        <v>44500</v>
      </c>
      <c r="W1632">
        <v>47200</v>
      </c>
    </row>
    <row r="1633" spans="1:23">
      <c r="A1633" s="30">
        <v>45917</v>
      </c>
      <c r="B1633" s="29">
        <v>43200</v>
      </c>
      <c r="C1633" s="29">
        <v>44500</v>
      </c>
      <c r="D1633" s="29">
        <v>41900</v>
      </c>
      <c r="E1633" s="29">
        <v>38700</v>
      </c>
      <c r="F1633" s="29">
        <v>44000</v>
      </c>
      <c r="G1633" s="29" t="str">
        <v>-</v>
      </c>
      <c r="H1633" s="29">
        <v>41500</v>
      </c>
      <c r="I1633" s="29">
        <v>42000</v>
      </c>
      <c r="J1633" s="29">
        <v>43700</v>
      </c>
      <c r="K1633" s="29" t="str">
        <v>-</v>
      </c>
      <c r="L1633" s="29">
        <v>43700</v>
      </c>
      <c r="M1633" s="29">
        <v>44400</v>
      </c>
      <c r="N1633" s="29">
        <v>41000</v>
      </c>
      <c r="O1633" s="29">
        <v>43300</v>
      </c>
      <c r="P1633" s="29">
        <v>39100</v>
      </c>
      <c r="Q1633" s="29">
        <v>39400</v>
      </c>
      <c r="R1633" s="29">
        <v>39400</v>
      </c>
      <c r="S1633">
        <v>40800</v>
      </c>
      <c r="T1633">
        <v>42700</v>
      </c>
      <c r="U1633">
        <v>43000</v>
      </c>
      <c r="V1633">
        <v>44500</v>
      </c>
      <c r="W1633">
        <v>47200</v>
      </c>
    </row>
    <row r="1634" spans="1:23">
      <c r="A1634" s="30">
        <v>45918</v>
      </c>
      <c r="B1634" s="29">
        <v>43300</v>
      </c>
      <c r="C1634" s="29">
        <v>44500</v>
      </c>
      <c r="D1634" s="29">
        <v>41900</v>
      </c>
      <c r="E1634" s="29">
        <v>38900</v>
      </c>
      <c r="F1634" s="29">
        <v>44200</v>
      </c>
      <c r="G1634" s="29" t="str">
        <v>-</v>
      </c>
      <c r="H1634" s="29">
        <v>41500</v>
      </c>
      <c r="I1634" s="29">
        <v>42200</v>
      </c>
      <c r="J1634" s="29">
        <v>43700</v>
      </c>
      <c r="K1634" s="29" t="str">
        <v>-</v>
      </c>
      <c r="L1634" s="29">
        <v>43800</v>
      </c>
      <c r="M1634" s="29">
        <v>44400</v>
      </c>
      <c r="N1634" s="29">
        <v>41000</v>
      </c>
      <c r="O1634" s="29">
        <v>43600</v>
      </c>
      <c r="P1634" s="29">
        <v>39500</v>
      </c>
      <c r="Q1634" s="29">
        <v>39800</v>
      </c>
      <c r="R1634" s="29">
        <v>39400</v>
      </c>
      <c r="S1634">
        <v>41000</v>
      </c>
      <c r="T1634">
        <v>43000</v>
      </c>
      <c r="U1634">
        <v>43000</v>
      </c>
      <c r="V1634">
        <v>44500</v>
      </c>
      <c r="W1634">
        <v>47200</v>
      </c>
    </row>
    <row r="1635" spans="1:23">
      <c r="A1635" s="30">
        <v>45919</v>
      </c>
      <c r="B1635" s="29">
        <v>43500</v>
      </c>
      <c r="C1635" s="29">
        <v>44500</v>
      </c>
      <c r="D1635" s="29">
        <v>42200</v>
      </c>
      <c r="E1635" s="29">
        <v>38900</v>
      </c>
      <c r="F1635" s="29">
        <v>44200</v>
      </c>
      <c r="G1635" s="29" t="str">
        <v>-</v>
      </c>
      <c r="H1635" s="29">
        <v>41500</v>
      </c>
      <c r="I1635" s="29">
        <v>42250</v>
      </c>
      <c r="J1635" s="29">
        <v>44000</v>
      </c>
      <c r="K1635" s="29" t="str">
        <v>-</v>
      </c>
      <c r="L1635" s="29">
        <v>44000</v>
      </c>
      <c r="M1635" s="29">
        <v>44400</v>
      </c>
      <c r="N1635" s="29">
        <v>41200</v>
      </c>
      <c r="O1635" s="29">
        <v>43900</v>
      </c>
      <c r="P1635" s="29">
        <v>39300</v>
      </c>
      <c r="Q1635" s="29">
        <v>39600</v>
      </c>
      <c r="R1635" s="29">
        <v>39500</v>
      </c>
      <c r="S1635">
        <v>41000</v>
      </c>
      <c r="T1635">
        <v>43000</v>
      </c>
      <c r="U1635">
        <v>43500</v>
      </c>
      <c r="V1635">
        <v>44500</v>
      </c>
      <c r="W1635">
        <v>47200</v>
      </c>
    </row>
    <row r="1636" spans="1:23">
      <c r="A1636" s="30">
        <v>45920</v>
      </c>
      <c r="B1636" s="29">
        <v>43500</v>
      </c>
      <c r="C1636" s="29">
        <v>44500</v>
      </c>
      <c r="D1636" s="29">
        <v>42200</v>
      </c>
      <c r="E1636" s="29">
        <v>38900</v>
      </c>
      <c r="F1636" s="29">
        <v>44200</v>
      </c>
      <c r="G1636" s="29" t="str">
        <v>-</v>
      </c>
      <c r="H1636" s="29">
        <v>41500</v>
      </c>
      <c r="I1636" s="29">
        <v>42100</v>
      </c>
      <c r="J1636" s="29">
        <v>44000</v>
      </c>
      <c r="K1636" s="29" t="str">
        <v>-</v>
      </c>
      <c r="L1636" s="29">
        <v>44100</v>
      </c>
      <c r="M1636" s="29">
        <v>44400</v>
      </c>
      <c r="N1636" s="29">
        <v>41100</v>
      </c>
      <c r="O1636" s="29">
        <v>44000</v>
      </c>
      <c r="P1636" s="29">
        <v>39300</v>
      </c>
      <c r="Q1636" s="29">
        <v>39600</v>
      </c>
      <c r="R1636" s="29">
        <v>39500</v>
      </c>
      <c r="S1636">
        <v>41000</v>
      </c>
      <c r="T1636">
        <v>43000</v>
      </c>
      <c r="U1636">
        <v>43500</v>
      </c>
      <c r="V1636">
        <v>44500</v>
      </c>
      <c r="W1636">
        <v>47200</v>
      </c>
    </row>
    <row r="1637" spans="1:23">
      <c r="A1637" s="30">
        <v>45921</v>
      </c>
      <c r="B1637" s="29" t="str">
        <v>H</v>
      </c>
      <c r="C1637" s="29" t="str">
        <v>H</v>
      </c>
      <c r="D1637" s="29" t="str">
        <v>H</v>
      </c>
      <c r="E1637" s="29" t="str">
        <v>H</v>
      </c>
      <c r="F1637" s="29" t="str">
        <v>H</v>
      </c>
      <c r="G1637" s="29" t="str">
        <v>H</v>
      </c>
      <c r="H1637" s="29" t="str">
        <v>H</v>
      </c>
      <c r="I1637" s="29" t="str">
        <v>H</v>
      </c>
      <c r="J1637" s="29" t="str">
        <v>H</v>
      </c>
      <c r="K1637" s="29" t="str">
        <v>H</v>
      </c>
      <c r="L1637" s="29" t="str">
        <v>H</v>
      </c>
      <c r="M1637" s="29" t="str">
        <v>H</v>
      </c>
      <c r="N1637" s="29" t="str">
        <v>H</v>
      </c>
      <c r="O1637" s="29" t="str">
        <v>H</v>
      </c>
      <c r="P1637" s="29" t="str">
        <v>H</v>
      </c>
      <c r="Q1637" s="29" t="str">
        <v>H</v>
      </c>
      <c r="R1637" s="29" t="str">
        <v>H</v>
      </c>
      <c r="S1637" t="str">
        <v>H</v>
      </c>
      <c r="T1637" t="str">
        <v>H</v>
      </c>
      <c r="U1637" t="str">
        <v>H</v>
      </c>
      <c r="V1637" t="str">
        <v>H</v>
      </c>
      <c r="W1637" t="str">
        <v>H</v>
      </c>
    </row>
    <row r="1638" spans="1:23">
      <c r="A1638" s="30">
        <v>45922</v>
      </c>
      <c r="B1638" s="29">
        <v>43300</v>
      </c>
      <c r="C1638" s="29">
        <v>44500</v>
      </c>
      <c r="D1638" s="29">
        <v>42500</v>
      </c>
      <c r="E1638" s="29">
        <v>39000</v>
      </c>
      <c r="F1638" s="29">
        <v>44200</v>
      </c>
      <c r="G1638" s="29" t="str">
        <v>-</v>
      </c>
      <c r="H1638" s="29">
        <v>41500</v>
      </c>
      <c r="I1638" s="29">
        <v>42300</v>
      </c>
      <c r="J1638" s="29">
        <v>44000</v>
      </c>
      <c r="K1638" s="29" t="str">
        <v>-</v>
      </c>
      <c r="L1638" s="29">
        <v>44200</v>
      </c>
      <c r="M1638" s="29">
        <v>44000</v>
      </c>
      <c r="N1638" s="29">
        <v>41000</v>
      </c>
      <c r="O1638" s="29">
        <v>44000</v>
      </c>
      <c r="P1638" s="29">
        <v>39300</v>
      </c>
      <c r="Q1638" s="29">
        <v>39600</v>
      </c>
      <c r="R1638" s="29">
        <v>39500</v>
      </c>
      <c r="S1638">
        <v>41100</v>
      </c>
      <c r="T1638">
        <v>43000</v>
      </c>
      <c r="U1638">
        <v>43500</v>
      </c>
      <c r="V1638">
        <v>44500</v>
      </c>
      <c r="W1638">
        <v>46800</v>
      </c>
    </row>
    <row r="1639" spans="1:23">
      <c r="A1639" s="30">
        <v>45923</v>
      </c>
      <c r="B1639" s="29">
        <v>43500</v>
      </c>
      <c r="C1639" s="29">
        <v>44500</v>
      </c>
      <c r="D1639" s="29">
        <v>42700</v>
      </c>
      <c r="E1639" s="29">
        <v>38900</v>
      </c>
      <c r="F1639" s="29">
        <v>44600</v>
      </c>
      <c r="G1639" s="29" t="str">
        <v>-</v>
      </c>
      <c r="H1639" s="29">
        <v>41500</v>
      </c>
      <c r="I1639" s="29">
        <v>42400</v>
      </c>
      <c r="J1639" s="29">
        <v>43800</v>
      </c>
      <c r="K1639" s="29" t="str">
        <v>-</v>
      </c>
      <c r="L1639" s="29">
        <v>44300</v>
      </c>
      <c r="M1639" s="29">
        <v>44000</v>
      </c>
      <c r="N1639" s="29">
        <v>41400</v>
      </c>
      <c r="O1639" s="29">
        <v>44500</v>
      </c>
      <c r="P1639" s="29">
        <v>39400</v>
      </c>
      <c r="Q1639" s="29">
        <v>39900</v>
      </c>
      <c r="R1639" s="29">
        <v>39600</v>
      </c>
      <c r="S1639">
        <v>41000</v>
      </c>
      <c r="T1639">
        <v>43200</v>
      </c>
      <c r="U1639">
        <v>43500</v>
      </c>
      <c r="V1639">
        <v>44500</v>
      </c>
      <c r="W1639">
        <v>46800</v>
      </c>
    </row>
    <row r="1640" spans="1:23">
      <c r="A1640" s="30">
        <v>45924</v>
      </c>
      <c r="B1640" s="29">
        <v>43500</v>
      </c>
      <c r="C1640" s="29">
        <v>44500</v>
      </c>
      <c r="D1640" s="29">
        <v>42600</v>
      </c>
      <c r="E1640" s="29">
        <v>38700</v>
      </c>
      <c r="F1640" s="29">
        <v>44600</v>
      </c>
      <c r="G1640" s="29" t="str">
        <v>-</v>
      </c>
      <c r="H1640" s="29">
        <v>41000</v>
      </c>
      <c r="I1640" s="29">
        <v>42200</v>
      </c>
      <c r="J1640" s="29">
        <v>43300</v>
      </c>
      <c r="K1640" s="29" t="str">
        <v>-</v>
      </c>
      <c r="L1640" s="29">
        <v>44200</v>
      </c>
      <c r="M1640" s="29">
        <v>44000</v>
      </c>
      <c r="N1640" s="29">
        <v>41700</v>
      </c>
      <c r="O1640" s="29">
        <v>44200</v>
      </c>
      <c r="P1640" s="29">
        <v>39300</v>
      </c>
      <c r="Q1640" s="29">
        <v>39800</v>
      </c>
      <c r="R1640" s="29">
        <v>39600</v>
      </c>
      <c r="S1640">
        <v>40800</v>
      </c>
      <c r="T1640">
        <v>43200</v>
      </c>
      <c r="U1640">
        <v>43500</v>
      </c>
      <c r="V1640">
        <v>44500</v>
      </c>
      <c r="W1640">
        <v>46800</v>
      </c>
    </row>
    <row r="1641" spans="1:23">
      <c r="A1641" s="30">
        <v>45925</v>
      </c>
      <c r="B1641" s="29">
        <v>43500</v>
      </c>
      <c r="C1641" s="29">
        <v>44200</v>
      </c>
      <c r="D1641" s="29">
        <v>42600</v>
      </c>
      <c r="E1641" s="29">
        <v>38800</v>
      </c>
      <c r="F1641" s="29">
        <v>44600</v>
      </c>
      <c r="G1641" s="29" t="str">
        <v>-</v>
      </c>
      <c r="H1641" s="29">
        <v>41000</v>
      </c>
      <c r="I1641" s="29">
        <v>42200</v>
      </c>
      <c r="J1641" s="29">
        <v>43100</v>
      </c>
      <c r="K1641" s="29" t="str">
        <v>-</v>
      </c>
      <c r="L1641" s="29">
        <v>44200</v>
      </c>
      <c r="M1641" s="29">
        <v>43700</v>
      </c>
      <c r="N1641" s="29">
        <v>41800</v>
      </c>
      <c r="O1641" s="29">
        <v>44200</v>
      </c>
      <c r="P1641" s="29">
        <v>39200</v>
      </c>
      <c r="Q1641" s="29">
        <v>39800</v>
      </c>
      <c r="R1641" s="29">
        <v>39600</v>
      </c>
      <c r="S1641">
        <v>40900</v>
      </c>
      <c r="T1641">
        <v>43200</v>
      </c>
      <c r="U1641">
        <v>43500</v>
      </c>
      <c r="V1641">
        <v>44500</v>
      </c>
      <c r="W1641">
        <v>46800</v>
      </c>
    </row>
    <row r="1642" spans="1:23">
      <c r="A1642" s="30">
        <v>45926</v>
      </c>
      <c r="B1642" s="29">
        <v>43500</v>
      </c>
      <c r="C1642" s="29">
        <v>44200</v>
      </c>
      <c r="D1642" s="29">
        <v>42600</v>
      </c>
      <c r="E1642" s="29">
        <v>38800</v>
      </c>
      <c r="F1642" s="29">
        <v>44600</v>
      </c>
      <c r="G1642" s="29" t="str">
        <v>-</v>
      </c>
      <c r="H1642" s="29">
        <v>41000</v>
      </c>
      <c r="I1642" s="29">
        <v>42000</v>
      </c>
      <c r="J1642" s="29">
        <v>43100</v>
      </c>
      <c r="K1642" s="29" t="str">
        <v>-</v>
      </c>
      <c r="L1642" s="29">
        <v>44100</v>
      </c>
      <c r="M1642" s="29">
        <v>43500</v>
      </c>
      <c r="N1642" s="29">
        <v>41600</v>
      </c>
      <c r="O1642" s="29">
        <v>44200</v>
      </c>
      <c r="P1642" s="29">
        <v>39000</v>
      </c>
      <c r="Q1642" s="29">
        <v>39700</v>
      </c>
      <c r="R1642" s="29">
        <v>39400</v>
      </c>
      <c r="S1642">
        <v>40900</v>
      </c>
      <c r="T1642">
        <v>43200</v>
      </c>
      <c r="U1642">
        <v>43500</v>
      </c>
      <c r="V1642">
        <v>44500</v>
      </c>
      <c r="W1642">
        <v>46800</v>
      </c>
    </row>
    <row r="1643" spans="1:23">
      <c r="A1643" s="30">
        <v>45927</v>
      </c>
      <c r="B1643" s="29">
        <v>43500</v>
      </c>
      <c r="C1643" s="29">
        <v>44200</v>
      </c>
      <c r="D1643" s="29">
        <v>42800</v>
      </c>
      <c r="E1643" s="29">
        <v>38800</v>
      </c>
      <c r="F1643" s="29">
        <v>44000</v>
      </c>
      <c r="G1643" s="29" t="str">
        <v>-</v>
      </c>
      <c r="H1643" s="29">
        <v>41000</v>
      </c>
      <c r="I1643" s="29">
        <v>42000</v>
      </c>
      <c r="J1643" s="29">
        <v>43000</v>
      </c>
      <c r="K1643" s="29" t="str">
        <v>-</v>
      </c>
      <c r="L1643" s="29">
        <v>44300</v>
      </c>
      <c r="M1643" s="29">
        <v>43300</v>
      </c>
      <c r="N1643" s="29">
        <v>41600</v>
      </c>
      <c r="O1643" s="29">
        <v>44000</v>
      </c>
      <c r="P1643" s="29">
        <v>39100</v>
      </c>
      <c r="Q1643" s="29">
        <v>39600</v>
      </c>
      <c r="R1643" s="29">
        <v>39400</v>
      </c>
      <c r="S1643">
        <v>40900</v>
      </c>
      <c r="T1643">
        <v>43000</v>
      </c>
      <c r="U1643">
        <v>43500</v>
      </c>
      <c r="V1643">
        <v>44500</v>
      </c>
      <c r="W1643">
        <v>46800</v>
      </c>
    </row>
    <row r="1644" spans="1:23">
      <c r="A1644" s="30">
        <v>45928</v>
      </c>
      <c r="B1644" s="29" t="str">
        <v>H</v>
      </c>
      <c r="C1644" s="29" t="str">
        <v>H</v>
      </c>
      <c r="D1644" s="29" t="str">
        <v>H</v>
      </c>
      <c r="E1644" s="29" t="str">
        <v>H</v>
      </c>
      <c r="F1644" s="29" t="str">
        <v>H</v>
      </c>
      <c r="G1644" s="29" t="str">
        <v>H</v>
      </c>
      <c r="H1644" s="29" t="str">
        <v>H</v>
      </c>
      <c r="I1644" s="29" t="str">
        <v>H</v>
      </c>
      <c r="J1644" s="29" t="str">
        <v>H</v>
      </c>
      <c r="K1644" s="29" t="str">
        <v>H</v>
      </c>
      <c r="L1644" s="29" t="str">
        <v>H</v>
      </c>
      <c r="M1644" s="29" t="str">
        <v>H</v>
      </c>
      <c r="N1644" s="29" t="str">
        <v>H</v>
      </c>
      <c r="O1644" s="29" t="str">
        <v>H</v>
      </c>
      <c r="P1644" s="29" t="str">
        <v>H</v>
      </c>
      <c r="Q1644" s="29" t="str">
        <v>H</v>
      </c>
      <c r="R1644" s="29" t="str">
        <v>H</v>
      </c>
      <c r="S1644" t="str">
        <v>H</v>
      </c>
      <c r="T1644" t="str">
        <v>H</v>
      </c>
      <c r="U1644" t="str">
        <v>H</v>
      </c>
      <c r="V1644" t="str">
        <v>H</v>
      </c>
      <c r="W1644" t="str">
        <v>H</v>
      </c>
    </row>
    <row r="1645" spans="1:23">
      <c r="A1645" s="30">
        <v>45929</v>
      </c>
      <c r="B1645" s="29">
        <v>43200</v>
      </c>
      <c r="C1645" s="29">
        <v>44200</v>
      </c>
      <c r="D1645" s="29">
        <v>42800</v>
      </c>
      <c r="E1645" s="29" t="str">
        <v>-</v>
      </c>
      <c r="F1645" s="29">
        <v>44000</v>
      </c>
      <c r="G1645" s="29" t="str">
        <v>-</v>
      </c>
      <c r="H1645" s="29">
        <v>41000</v>
      </c>
      <c r="I1645" s="29">
        <v>41800</v>
      </c>
      <c r="J1645" s="29">
        <v>43000</v>
      </c>
      <c r="K1645" s="29" t="str">
        <v>-</v>
      </c>
      <c r="L1645" s="29">
        <v>44300</v>
      </c>
      <c r="M1645" s="29">
        <v>43000</v>
      </c>
      <c r="N1645" s="29">
        <v>41600</v>
      </c>
      <c r="O1645" s="29">
        <v>43900</v>
      </c>
      <c r="P1645" s="29">
        <v>38900</v>
      </c>
      <c r="Q1645" s="29">
        <v>39400</v>
      </c>
      <c r="R1645" s="29">
        <v>39400</v>
      </c>
      <c r="S1645" t="str">
        <v>-</v>
      </c>
      <c r="T1645">
        <v>42800</v>
      </c>
      <c r="U1645">
        <v>43500</v>
      </c>
      <c r="V1645">
        <v>44500</v>
      </c>
      <c r="W1645">
        <v>46800</v>
      </c>
    </row>
    <row r="1646" spans="1:23">
      <c r="A1646" s="30">
        <v>45930</v>
      </c>
      <c r="B1646" s="29">
        <v>43000</v>
      </c>
      <c r="C1646" s="29">
        <v>44000</v>
      </c>
      <c r="D1646" s="29">
        <v>42300</v>
      </c>
      <c r="E1646" s="29" t="str">
        <v>-</v>
      </c>
      <c r="F1646" s="29">
        <v>43500</v>
      </c>
      <c r="G1646" s="29" t="str">
        <v>-</v>
      </c>
      <c r="H1646" s="29">
        <v>40500</v>
      </c>
      <c r="I1646" s="29">
        <v>41800</v>
      </c>
      <c r="J1646" s="29">
        <v>43000</v>
      </c>
      <c r="K1646" s="29" t="str">
        <v>-</v>
      </c>
      <c r="L1646" s="29">
        <v>44100</v>
      </c>
      <c r="M1646" s="29">
        <v>43000</v>
      </c>
      <c r="N1646" s="29">
        <v>41400</v>
      </c>
      <c r="O1646" s="29">
        <v>43900</v>
      </c>
      <c r="P1646" s="29">
        <v>38700</v>
      </c>
      <c r="Q1646" s="29">
        <v>39300</v>
      </c>
      <c r="R1646" s="29">
        <v>39400</v>
      </c>
      <c r="S1646" t="str">
        <v>-</v>
      </c>
      <c r="T1646">
        <v>42800</v>
      </c>
      <c r="U1646">
        <v>43500</v>
      </c>
      <c r="V1646">
        <v>44500</v>
      </c>
      <c r="W1646">
        <v>46800</v>
      </c>
    </row>
    <row r="1647" spans="1:23">
      <c r="A1647" s="30">
        <v>45931</v>
      </c>
      <c r="B1647" s="29">
        <v>43000</v>
      </c>
      <c r="C1647" s="29" t="str">
        <v>-</v>
      </c>
      <c r="D1647" s="29">
        <v>42300</v>
      </c>
      <c r="E1647" s="29" t="str">
        <v>-</v>
      </c>
      <c r="F1647" s="29">
        <v>43500</v>
      </c>
      <c r="G1647" s="29" t="str">
        <v>-</v>
      </c>
      <c r="H1647" s="29">
        <v>40500</v>
      </c>
      <c r="I1647" s="29">
        <v>41600</v>
      </c>
      <c r="J1647" s="29">
        <v>43100</v>
      </c>
      <c r="K1647" s="29" t="str">
        <v>-</v>
      </c>
      <c r="L1647" s="29">
        <v>44100</v>
      </c>
      <c r="M1647" s="29">
        <v>43000</v>
      </c>
      <c r="N1647" s="29">
        <v>41300</v>
      </c>
      <c r="O1647" s="29">
        <v>43900</v>
      </c>
      <c r="P1647" s="29">
        <v>38700</v>
      </c>
      <c r="Q1647" s="29">
        <v>39300</v>
      </c>
      <c r="R1647" s="29">
        <v>39400</v>
      </c>
      <c r="S1647" t="str">
        <v>-</v>
      </c>
      <c r="T1647">
        <v>42800</v>
      </c>
      <c r="U1647">
        <v>43500</v>
      </c>
      <c r="V1647">
        <v>44400</v>
      </c>
      <c r="W1647">
        <v>46700</v>
      </c>
    </row>
    <row r="1648" spans="1:23">
      <c r="A1648" s="30">
        <v>45932</v>
      </c>
      <c r="B1648" s="29" t="str">
        <v>H</v>
      </c>
      <c r="C1648" s="29" t="str">
        <v>H</v>
      </c>
      <c r="D1648" s="29" t="str">
        <v>H</v>
      </c>
      <c r="E1648" s="29" t="str">
        <v>H</v>
      </c>
      <c r="F1648" s="29" t="str">
        <v>H</v>
      </c>
      <c r="G1648" s="29" t="str">
        <v>H</v>
      </c>
      <c r="H1648" s="29" t="str">
        <v>H</v>
      </c>
      <c r="I1648" s="29" t="str">
        <v>H</v>
      </c>
      <c r="J1648" s="29" t="str">
        <v>H</v>
      </c>
      <c r="K1648" s="29" t="str">
        <v>H</v>
      </c>
      <c r="L1648" s="29" t="str">
        <v>H</v>
      </c>
      <c r="M1648" s="29" t="str">
        <v>H</v>
      </c>
      <c r="N1648" s="29" t="str">
        <v>H</v>
      </c>
      <c r="O1648" s="29" t="str">
        <v>H</v>
      </c>
      <c r="P1648" s="29" t="str">
        <v>H</v>
      </c>
      <c r="Q1648" s="29" t="str">
        <v>H</v>
      </c>
      <c r="R1648" s="29" t="str">
        <v>H</v>
      </c>
      <c r="S1648" t="str">
        <v>H</v>
      </c>
      <c r="T1648" t="str">
        <v>H</v>
      </c>
      <c r="U1648" t="str">
        <v>H</v>
      </c>
      <c r="V1648" t="str">
        <v>H</v>
      </c>
      <c r="W1648" t="str">
        <v>H</v>
      </c>
    </row>
    <row r="1649" spans="1:23">
      <c r="A1649" s="30">
        <v>45933</v>
      </c>
      <c r="B1649" s="29">
        <v>42800</v>
      </c>
      <c r="C1649" s="29">
        <v>44000</v>
      </c>
      <c r="D1649" s="29">
        <v>42700</v>
      </c>
      <c r="E1649" s="29">
        <v>38800</v>
      </c>
      <c r="F1649" s="29">
        <v>43500</v>
      </c>
      <c r="G1649" s="29" t="str">
        <v>-</v>
      </c>
      <c r="H1649" s="29">
        <v>40500</v>
      </c>
      <c r="I1649" s="29">
        <v>41800</v>
      </c>
      <c r="J1649" s="29">
        <v>43100</v>
      </c>
      <c r="K1649" s="29" t="str">
        <v>-</v>
      </c>
      <c r="L1649" s="29">
        <v>44100</v>
      </c>
      <c r="M1649" s="29">
        <v>43000</v>
      </c>
      <c r="N1649" s="29">
        <v>41400</v>
      </c>
      <c r="O1649" s="29">
        <v>43800</v>
      </c>
      <c r="P1649" s="29">
        <v>38600</v>
      </c>
      <c r="Q1649" s="29">
        <v>39200</v>
      </c>
      <c r="R1649" s="29">
        <v>39400</v>
      </c>
      <c r="S1649">
        <v>40900</v>
      </c>
      <c r="T1649">
        <v>42600</v>
      </c>
      <c r="U1649">
        <v>43500</v>
      </c>
      <c r="V1649">
        <v>44300</v>
      </c>
      <c r="W1649">
        <v>46700</v>
      </c>
    </row>
    <row r="1650" spans="1:23">
      <c r="A1650" s="30">
        <v>45934</v>
      </c>
      <c r="B1650" s="29">
        <v>42700</v>
      </c>
      <c r="C1650" s="29">
        <v>44000</v>
      </c>
      <c r="D1650" s="29">
        <v>42300</v>
      </c>
      <c r="E1650" s="29">
        <v>38700</v>
      </c>
      <c r="F1650" s="29">
        <v>43500</v>
      </c>
      <c r="G1650" s="29" t="str">
        <v>-</v>
      </c>
      <c r="H1650" s="29">
        <v>40500</v>
      </c>
      <c r="I1650" s="29">
        <v>41600</v>
      </c>
      <c r="J1650" s="29">
        <v>43000</v>
      </c>
      <c r="K1650" s="29" t="str">
        <v>-</v>
      </c>
      <c r="L1650" s="29">
        <v>44000</v>
      </c>
      <c r="M1650" s="29">
        <v>43000</v>
      </c>
      <c r="N1650" s="29">
        <v>41200</v>
      </c>
      <c r="O1650" s="29">
        <v>43500</v>
      </c>
      <c r="P1650" s="29">
        <v>38600</v>
      </c>
      <c r="Q1650" s="29">
        <v>39100</v>
      </c>
      <c r="R1650" s="29">
        <v>39400</v>
      </c>
      <c r="S1650">
        <v>40800</v>
      </c>
      <c r="T1650">
        <v>42300</v>
      </c>
      <c r="U1650">
        <v>43500</v>
      </c>
      <c r="V1650">
        <v>44300</v>
      </c>
      <c r="W1650">
        <v>46700</v>
      </c>
    </row>
    <row r="1651" spans="1:23">
      <c r="A1651" s="30">
        <v>45935</v>
      </c>
      <c r="B1651" s="29" t="str">
        <v>H</v>
      </c>
      <c r="C1651" s="29" t="str">
        <v>H</v>
      </c>
      <c r="D1651" s="29" t="str">
        <v>H</v>
      </c>
      <c r="E1651" s="29" t="str">
        <v>H</v>
      </c>
      <c r="F1651" s="29" t="str">
        <v>H</v>
      </c>
      <c r="G1651" s="29" t="str">
        <v>H</v>
      </c>
      <c r="H1651" s="29" t="str">
        <v>H</v>
      </c>
      <c r="I1651" s="29" t="str">
        <v>H</v>
      </c>
      <c r="J1651" s="29" t="str">
        <v>H</v>
      </c>
      <c r="K1651" s="29" t="str">
        <v>H</v>
      </c>
      <c r="L1651" s="29" t="str">
        <v>H</v>
      </c>
      <c r="M1651" s="29" t="str">
        <v>H</v>
      </c>
      <c r="N1651" s="29" t="str">
        <v>H</v>
      </c>
      <c r="O1651" s="29" t="str">
        <v>H</v>
      </c>
      <c r="P1651" s="29" t="str">
        <v>H</v>
      </c>
      <c r="Q1651" s="29" t="str">
        <v>H</v>
      </c>
      <c r="R1651" s="29" t="str">
        <v>H</v>
      </c>
      <c r="S1651" t="str">
        <v>H</v>
      </c>
      <c r="T1651" t="str">
        <v>H</v>
      </c>
      <c r="U1651" t="str">
        <v>H</v>
      </c>
      <c r="V1651" t="str">
        <v>H</v>
      </c>
      <c r="W1651" t="str">
        <v>H</v>
      </c>
    </row>
    <row r="1652" spans="1:23">
      <c r="A1652" s="30">
        <v>45936</v>
      </c>
      <c r="B1652" s="29">
        <v>42600</v>
      </c>
      <c r="C1652" s="29">
        <v>44000</v>
      </c>
      <c r="D1652" s="29">
        <v>42000</v>
      </c>
      <c r="E1652" s="29">
        <v>38500</v>
      </c>
      <c r="F1652" s="29">
        <v>43200</v>
      </c>
      <c r="G1652" s="29" t="str">
        <v>-</v>
      </c>
      <c r="H1652" s="29">
        <v>40300</v>
      </c>
      <c r="I1652" s="29">
        <v>41500</v>
      </c>
      <c r="J1652" s="29">
        <v>43000</v>
      </c>
      <c r="K1652" s="29" t="str">
        <v>-</v>
      </c>
      <c r="L1652" s="29">
        <v>43900</v>
      </c>
      <c r="M1652" s="29">
        <v>43000</v>
      </c>
      <c r="N1652" s="29">
        <v>41000</v>
      </c>
      <c r="O1652" s="29">
        <v>43500</v>
      </c>
      <c r="P1652" s="29">
        <v>38400</v>
      </c>
      <c r="Q1652" s="29">
        <v>38800</v>
      </c>
      <c r="R1652" s="29">
        <v>39200</v>
      </c>
      <c r="S1652">
        <v>40600</v>
      </c>
      <c r="T1652">
        <v>42000</v>
      </c>
      <c r="U1652">
        <v>43000</v>
      </c>
      <c r="V1652">
        <v>44200</v>
      </c>
      <c r="W1652">
        <v>46700</v>
      </c>
    </row>
    <row r="1653" spans="1:23">
      <c r="A1653" s="30">
        <v>45937</v>
      </c>
      <c r="B1653" s="29">
        <v>42400</v>
      </c>
      <c r="C1653" s="29">
        <v>44000</v>
      </c>
      <c r="D1653" s="29">
        <v>41600</v>
      </c>
      <c r="E1653" s="29">
        <v>38400</v>
      </c>
      <c r="F1653" s="29">
        <v>43200</v>
      </c>
      <c r="G1653" s="29" t="str">
        <v>-</v>
      </c>
      <c r="H1653" s="29">
        <v>40200</v>
      </c>
      <c r="I1653" s="29">
        <v>41300</v>
      </c>
      <c r="J1653" s="29">
        <v>42800</v>
      </c>
      <c r="K1653" s="29" t="str">
        <v>-</v>
      </c>
      <c r="L1653" s="29">
        <v>43700</v>
      </c>
      <c r="M1653" s="29">
        <v>42700</v>
      </c>
      <c r="N1653" s="29">
        <v>40600</v>
      </c>
      <c r="O1653" s="29">
        <v>43500</v>
      </c>
      <c r="P1653" s="29">
        <v>38200</v>
      </c>
      <c r="Q1653" s="29">
        <v>38500</v>
      </c>
      <c r="R1653" s="29">
        <v>39000</v>
      </c>
      <c r="S1653">
        <v>40500</v>
      </c>
      <c r="T1653">
        <v>41900</v>
      </c>
      <c r="U1653">
        <v>43000</v>
      </c>
      <c r="V1653">
        <v>44000</v>
      </c>
      <c r="W1653">
        <v>46700</v>
      </c>
    </row>
    <row r="1654" spans="1:23">
      <c r="A1654" s="30">
        <v>45938</v>
      </c>
      <c r="B1654" s="29">
        <v>42400</v>
      </c>
      <c r="C1654" s="29">
        <v>43800</v>
      </c>
      <c r="D1654" s="29">
        <v>41600</v>
      </c>
      <c r="E1654" s="29">
        <v>38300</v>
      </c>
      <c r="F1654" s="29">
        <v>43200</v>
      </c>
      <c r="G1654" s="29" t="str">
        <v>-</v>
      </c>
      <c r="H1654" s="29">
        <v>40200</v>
      </c>
      <c r="I1654" s="29">
        <v>41200</v>
      </c>
      <c r="J1654" s="29">
        <v>42700</v>
      </c>
      <c r="K1654" s="29" t="str">
        <v>-</v>
      </c>
      <c r="L1654" s="29">
        <v>43500</v>
      </c>
      <c r="M1654" s="29">
        <v>42500</v>
      </c>
      <c r="N1654" s="29">
        <v>40300</v>
      </c>
      <c r="O1654" s="29">
        <v>43300</v>
      </c>
      <c r="P1654" s="29">
        <v>38100</v>
      </c>
      <c r="Q1654" s="29">
        <v>38500</v>
      </c>
      <c r="R1654" s="29">
        <v>38800</v>
      </c>
      <c r="S1654">
        <v>40400</v>
      </c>
      <c r="T1654">
        <v>41800</v>
      </c>
      <c r="U1654">
        <v>42700</v>
      </c>
      <c r="V1654">
        <v>44000</v>
      </c>
      <c r="W1654">
        <v>46700</v>
      </c>
    </row>
    <row r="1655" spans="1:23">
      <c r="A1655" s="30">
        <v>45938</v>
      </c>
      <c r="B1655" s="29">
        <v>42400</v>
      </c>
      <c r="C1655" s="29">
        <v>43800</v>
      </c>
      <c r="D1655" s="29">
        <v>41600</v>
      </c>
      <c r="E1655" s="29">
        <v>38300</v>
      </c>
      <c r="F1655" s="29">
        <v>43200</v>
      </c>
      <c r="G1655" s="29" t="str">
        <v>-</v>
      </c>
      <c r="H1655" s="29">
        <v>40200</v>
      </c>
      <c r="I1655" s="29">
        <v>41200</v>
      </c>
      <c r="J1655" s="29">
        <v>42700</v>
      </c>
      <c r="K1655" s="29" t="str">
        <v>-</v>
      </c>
      <c r="L1655" s="29">
        <v>43500</v>
      </c>
      <c r="M1655" s="29">
        <v>42500</v>
      </c>
      <c r="N1655" s="29">
        <v>40300</v>
      </c>
      <c r="O1655" s="29">
        <v>43300</v>
      </c>
      <c r="P1655" s="29">
        <v>38100</v>
      </c>
      <c r="Q1655" s="29">
        <v>38500</v>
      </c>
      <c r="R1655" s="29">
        <v>38800</v>
      </c>
      <c r="S1655">
        <v>40400</v>
      </c>
      <c r="T1655">
        <v>41800</v>
      </c>
      <c r="U1655">
        <v>42700</v>
      </c>
      <c r="V1655">
        <v>44000</v>
      </c>
      <c r="W1655">
        <v>46700</v>
      </c>
    </row>
    <row r="1656" spans="1:23">
      <c r="A1656" s="30">
        <v>45939</v>
      </c>
      <c r="B1656" s="29">
        <v>42300</v>
      </c>
      <c r="C1656" s="29">
        <v>43800</v>
      </c>
      <c r="D1656" s="29">
        <v>41400</v>
      </c>
      <c r="E1656" s="29">
        <v>38400</v>
      </c>
      <c r="F1656" s="29">
        <v>43200</v>
      </c>
      <c r="G1656" s="29" t="str">
        <v>-</v>
      </c>
      <c r="H1656" s="29">
        <v>40200</v>
      </c>
      <c r="I1656" s="29">
        <v>41100</v>
      </c>
      <c r="J1656" s="29">
        <v>42700</v>
      </c>
      <c r="K1656" s="29" t="str">
        <v>-</v>
      </c>
      <c r="L1656" s="29">
        <v>43500</v>
      </c>
      <c r="M1656" s="29">
        <v>42500</v>
      </c>
      <c r="N1656" s="29">
        <v>40200</v>
      </c>
      <c r="O1656" s="29">
        <v>43300</v>
      </c>
      <c r="P1656" s="29">
        <v>38000</v>
      </c>
      <c r="Q1656" s="29">
        <v>38400</v>
      </c>
      <c r="R1656" s="29">
        <v>38700</v>
      </c>
      <c r="S1656">
        <v>40500</v>
      </c>
      <c r="T1656">
        <v>41600</v>
      </c>
      <c r="U1656">
        <v>42500</v>
      </c>
      <c r="V1656">
        <v>44000</v>
      </c>
      <c r="W1656">
        <v>46700</v>
      </c>
    </row>
    <row r="1657" spans="1:23">
      <c r="A1657" s="30">
        <v>45940</v>
      </c>
      <c r="B1657" s="29">
        <v>42400</v>
      </c>
      <c r="C1657" s="29">
        <v>43800</v>
      </c>
      <c r="D1657" s="29">
        <v>41700</v>
      </c>
      <c r="E1657" s="29">
        <v>38500</v>
      </c>
      <c r="F1657" s="29">
        <v>43200</v>
      </c>
      <c r="G1657" s="29" t="str">
        <v>-</v>
      </c>
      <c r="H1657" s="29">
        <v>40200</v>
      </c>
      <c r="I1657" s="29">
        <v>41200</v>
      </c>
      <c r="J1657" s="29">
        <v>42700</v>
      </c>
      <c r="K1657" s="29" t="str">
        <v>-</v>
      </c>
      <c r="L1657" s="29">
        <v>43800</v>
      </c>
      <c r="M1657" s="29">
        <v>42500</v>
      </c>
      <c r="N1657" s="29">
        <v>40500</v>
      </c>
      <c r="O1657" s="29">
        <v>43300</v>
      </c>
      <c r="P1657" s="29">
        <v>38100</v>
      </c>
      <c r="Q1657" s="29">
        <v>38600</v>
      </c>
      <c r="R1657" s="29">
        <v>38800</v>
      </c>
      <c r="S1657">
        <v>40600</v>
      </c>
      <c r="T1657">
        <v>41800</v>
      </c>
      <c r="U1657">
        <v>42700</v>
      </c>
      <c r="V1657">
        <v>43500</v>
      </c>
      <c r="W1657">
        <v>46700</v>
      </c>
    </row>
    <row r="1658" spans="1:23">
      <c r="A1658" s="30">
        <v>45941</v>
      </c>
      <c r="B1658" s="29">
        <v>42400</v>
      </c>
      <c r="C1658" s="29">
        <v>43800</v>
      </c>
      <c r="D1658" s="29">
        <v>41700</v>
      </c>
      <c r="E1658" s="29">
        <v>38400</v>
      </c>
      <c r="F1658" s="29">
        <v>43200</v>
      </c>
      <c r="G1658" s="29" t="str">
        <v>-</v>
      </c>
      <c r="H1658" s="29">
        <v>40200</v>
      </c>
      <c r="I1658" s="29">
        <v>41200</v>
      </c>
      <c r="J1658" s="29">
        <v>42700</v>
      </c>
      <c r="K1658" s="29" t="str">
        <v>-</v>
      </c>
      <c r="L1658" s="29">
        <v>43800</v>
      </c>
      <c r="M1658" s="29">
        <v>42500</v>
      </c>
      <c r="N1658" s="29">
        <v>40500</v>
      </c>
      <c r="O1658" s="29">
        <v>43300</v>
      </c>
      <c r="P1658" s="29">
        <v>38100</v>
      </c>
      <c r="Q1658" s="29">
        <v>38500</v>
      </c>
      <c r="R1658" s="29">
        <v>38800</v>
      </c>
      <c r="S1658">
        <v>40500</v>
      </c>
      <c r="T1658">
        <v>41800</v>
      </c>
      <c r="U1658">
        <v>42500</v>
      </c>
      <c r="V1658">
        <v>43500</v>
      </c>
      <c r="W1658">
        <v>46600</v>
      </c>
    </row>
    <row r="1659" spans="1:23">
      <c r="A1659" s="30">
        <v>45942</v>
      </c>
      <c r="B1659" s="29" t="str">
        <v>H</v>
      </c>
      <c r="C1659" s="29" t="str">
        <v>H</v>
      </c>
      <c r="D1659" s="29" t="str">
        <v>H</v>
      </c>
      <c r="E1659" s="29" t="str">
        <v>H</v>
      </c>
      <c r="F1659" s="29" t="str">
        <v>H</v>
      </c>
      <c r="G1659" s="29" t="str">
        <v>H</v>
      </c>
      <c r="H1659" s="29" t="str">
        <v>H</v>
      </c>
      <c r="I1659" s="29" t="str">
        <v>H</v>
      </c>
      <c r="J1659" s="29" t="str">
        <v>H</v>
      </c>
      <c r="K1659" s="29" t="str">
        <v>H</v>
      </c>
      <c r="L1659" s="29" t="str">
        <v>H</v>
      </c>
      <c r="M1659" s="29" t="str">
        <v>H</v>
      </c>
      <c r="N1659" s="29" t="str">
        <v>H</v>
      </c>
      <c r="O1659" s="29" t="str">
        <v>H</v>
      </c>
      <c r="P1659" s="29" t="str">
        <v>H</v>
      </c>
      <c r="Q1659" s="29" t="str">
        <v>H</v>
      </c>
      <c r="R1659" s="29" t="str">
        <v>H</v>
      </c>
      <c r="S1659" t="str">
        <v>H</v>
      </c>
      <c r="T1659" t="str">
        <v>H</v>
      </c>
      <c r="U1659" t="str">
        <v>H</v>
      </c>
      <c r="V1659" t="str">
        <v>H</v>
      </c>
      <c r="W1659" t="str">
        <v>H</v>
      </c>
    </row>
    <row r="1660" spans="1:23">
      <c r="A1660" s="30">
        <v>45943</v>
      </c>
      <c r="B1660" s="29">
        <v>42300</v>
      </c>
      <c r="C1660" s="29">
        <v>43800</v>
      </c>
      <c r="D1660" s="29">
        <v>41200</v>
      </c>
      <c r="E1660" s="29">
        <v>38200</v>
      </c>
      <c r="F1660" s="29">
        <v>43200</v>
      </c>
      <c r="G1660" s="29" t="str">
        <v>-</v>
      </c>
      <c r="H1660" s="29">
        <v>40000</v>
      </c>
      <c r="I1660" s="29">
        <v>41000</v>
      </c>
      <c r="J1660" s="29">
        <v>42700</v>
      </c>
      <c r="K1660" s="29" t="str">
        <v>-</v>
      </c>
      <c r="L1660" s="29">
        <v>43700</v>
      </c>
      <c r="M1660" s="29">
        <v>42500</v>
      </c>
      <c r="N1660" s="29">
        <v>40000</v>
      </c>
      <c r="O1660" s="29">
        <v>43300</v>
      </c>
      <c r="P1660" s="29">
        <v>37800</v>
      </c>
      <c r="Q1660" s="29">
        <v>38200</v>
      </c>
      <c r="R1660" s="29">
        <v>38500</v>
      </c>
      <c r="S1660">
        <v>40300</v>
      </c>
      <c r="T1660">
        <v>41600</v>
      </c>
      <c r="U1660">
        <v>42500</v>
      </c>
      <c r="V1660">
        <v>43500</v>
      </c>
      <c r="W1660">
        <v>46600</v>
      </c>
    </row>
    <row r="1661" spans="1:23">
      <c r="A1661" s="30">
        <v>45944</v>
      </c>
      <c r="B1661" s="29">
        <v>42200</v>
      </c>
      <c r="C1661" s="29">
        <v>43500</v>
      </c>
      <c r="D1661" s="29">
        <v>41200</v>
      </c>
      <c r="E1661" s="29">
        <v>38000</v>
      </c>
      <c r="F1661" s="29">
        <v>43800</v>
      </c>
      <c r="G1661" s="29" t="str">
        <v>-</v>
      </c>
      <c r="H1661" s="29">
        <v>39800</v>
      </c>
      <c r="I1661" s="29">
        <v>40900</v>
      </c>
      <c r="J1661" s="29">
        <v>42700</v>
      </c>
      <c r="K1661" s="29" t="str">
        <v>-</v>
      </c>
      <c r="L1661" s="29">
        <v>43500</v>
      </c>
      <c r="M1661" s="29">
        <v>42500</v>
      </c>
      <c r="N1661" s="29">
        <v>39800</v>
      </c>
      <c r="O1661" s="29">
        <v>43200</v>
      </c>
      <c r="P1661" s="29">
        <v>37700</v>
      </c>
      <c r="Q1661" s="29">
        <v>38000</v>
      </c>
      <c r="R1661" s="29">
        <v>38300</v>
      </c>
      <c r="S1661">
        <v>40100</v>
      </c>
      <c r="T1661">
        <v>41500</v>
      </c>
      <c r="U1661">
        <v>42500</v>
      </c>
      <c r="V1661">
        <v>43400</v>
      </c>
      <c r="W1661">
        <v>46600</v>
      </c>
    </row>
    <row r="1662" spans="1:23">
      <c r="A1662" s="30">
        <v>45945</v>
      </c>
      <c r="B1662" s="29">
        <v>42200</v>
      </c>
      <c r="C1662" s="29">
        <v>43500</v>
      </c>
      <c r="D1662" s="29">
        <v>41200</v>
      </c>
      <c r="E1662" s="29">
        <v>37900</v>
      </c>
      <c r="F1662" s="29">
        <v>43800</v>
      </c>
      <c r="G1662" s="29" t="str">
        <v>-</v>
      </c>
      <c r="H1662" s="29">
        <v>39800</v>
      </c>
      <c r="I1662" s="29">
        <v>40500</v>
      </c>
      <c r="J1662" s="29">
        <v>42500</v>
      </c>
      <c r="K1662" s="29" t="str">
        <v>-</v>
      </c>
      <c r="L1662" s="29">
        <v>43400</v>
      </c>
      <c r="M1662" s="29">
        <v>42500</v>
      </c>
      <c r="N1662" s="29">
        <v>39800</v>
      </c>
      <c r="O1662" s="29">
        <v>43000</v>
      </c>
      <c r="P1662" s="29">
        <v>37500</v>
      </c>
      <c r="Q1662" s="29">
        <v>37900</v>
      </c>
      <c r="R1662" s="29">
        <v>38200</v>
      </c>
      <c r="S1662">
        <v>40000</v>
      </c>
      <c r="T1662">
        <v>41500</v>
      </c>
      <c r="U1662">
        <v>42500</v>
      </c>
      <c r="V1662">
        <v>43400</v>
      </c>
      <c r="W1662">
        <v>46600</v>
      </c>
    </row>
    <row r="1663" spans="1:23">
      <c r="A1663" s="30">
        <v>45946</v>
      </c>
      <c r="B1663" s="29">
        <v>42200</v>
      </c>
      <c r="C1663" s="29">
        <v>43500</v>
      </c>
      <c r="D1663" s="29">
        <v>41000</v>
      </c>
      <c r="E1663" s="29">
        <v>37700</v>
      </c>
      <c r="F1663" s="29">
        <v>43800</v>
      </c>
      <c r="G1663" s="29" t="str">
        <v>-</v>
      </c>
      <c r="H1663" s="29">
        <v>39700</v>
      </c>
      <c r="I1663" s="29">
        <v>40400</v>
      </c>
      <c r="J1663" s="29">
        <v>42300</v>
      </c>
      <c r="K1663" s="29" t="str">
        <v>-</v>
      </c>
      <c r="L1663" s="29">
        <v>43200</v>
      </c>
      <c r="M1663" s="29">
        <v>42200</v>
      </c>
      <c r="N1663" s="29">
        <v>39800</v>
      </c>
      <c r="O1663" s="29">
        <v>42800</v>
      </c>
      <c r="P1663" s="29">
        <v>37300</v>
      </c>
      <c r="Q1663" s="29">
        <v>37800</v>
      </c>
      <c r="R1663" s="29">
        <v>38200</v>
      </c>
      <c r="S1663">
        <v>39800</v>
      </c>
      <c r="T1663">
        <v>41500</v>
      </c>
      <c r="U1663">
        <v>42500</v>
      </c>
      <c r="V1663">
        <v>43400</v>
      </c>
      <c r="W1663">
        <v>46600</v>
      </c>
    </row>
    <row r="1664" spans="1:23">
      <c r="A1664" s="30">
        <v>45947</v>
      </c>
      <c r="B1664" s="29">
        <v>42100</v>
      </c>
      <c r="C1664" s="29">
        <v>43500</v>
      </c>
      <c r="D1664" s="29">
        <v>40900</v>
      </c>
      <c r="E1664" s="29">
        <v>37700</v>
      </c>
      <c r="F1664" s="29">
        <v>43800</v>
      </c>
      <c r="G1664" s="29" t="str">
        <v>-</v>
      </c>
      <c r="H1664" s="29">
        <v>39700</v>
      </c>
      <c r="I1664" s="29">
        <v>40300</v>
      </c>
      <c r="J1664" s="29">
        <v>42300</v>
      </c>
      <c r="K1664" s="29" t="str">
        <v>-</v>
      </c>
      <c r="L1664" s="29">
        <v>43200</v>
      </c>
      <c r="M1664" s="29">
        <v>42200</v>
      </c>
      <c r="N1664" s="29">
        <v>39900</v>
      </c>
      <c r="O1664" s="29">
        <v>42800</v>
      </c>
      <c r="P1664" s="29">
        <v>37200</v>
      </c>
      <c r="Q1664" s="29">
        <v>37800</v>
      </c>
      <c r="R1664" s="29">
        <v>38200</v>
      </c>
      <c r="S1664">
        <v>39800</v>
      </c>
      <c r="T1664">
        <v>41500</v>
      </c>
      <c r="U1664">
        <v>42500</v>
      </c>
      <c r="V1664">
        <v>43300</v>
      </c>
      <c r="W1664">
        <v>46500</v>
      </c>
    </row>
    <row r="1665" spans="1:23">
      <c r="A1665" s="30">
        <v>45948</v>
      </c>
      <c r="B1665" s="29">
        <v>42100</v>
      </c>
      <c r="C1665" s="29">
        <v>43500</v>
      </c>
      <c r="D1665" s="29">
        <v>40700</v>
      </c>
      <c r="E1665" s="29">
        <v>37700</v>
      </c>
      <c r="F1665" s="29">
        <v>43800</v>
      </c>
      <c r="G1665" s="29" t="str">
        <v>-</v>
      </c>
      <c r="H1665" s="29">
        <v>39700</v>
      </c>
      <c r="I1665" s="29">
        <v>40300</v>
      </c>
      <c r="J1665" s="29">
        <v>42300</v>
      </c>
      <c r="K1665" s="29" t="str">
        <v>-</v>
      </c>
      <c r="L1665" s="29">
        <v>43200</v>
      </c>
      <c r="M1665" s="29">
        <v>42200</v>
      </c>
      <c r="N1665" s="29">
        <v>39800</v>
      </c>
      <c r="O1665" s="29">
        <v>42800</v>
      </c>
      <c r="P1665" s="29">
        <v>37200</v>
      </c>
      <c r="Q1665" s="29">
        <v>37800</v>
      </c>
      <c r="R1665" s="29">
        <v>38000</v>
      </c>
      <c r="S1665">
        <v>39800</v>
      </c>
      <c r="T1665">
        <v>41000</v>
      </c>
      <c r="U1665">
        <v>42500</v>
      </c>
      <c r="V1665">
        <v>43300</v>
      </c>
      <c r="W1665">
        <v>46500</v>
      </c>
    </row>
    <row r="1666" spans="1:23">
      <c r="A1666" s="30">
        <v>45949</v>
      </c>
      <c r="B1666" s="29" t="str">
        <v>H</v>
      </c>
      <c r="C1666" s="29" t="str">
        <v>H</v>
      </c>
      <c r="D1666" s="29" t="str">
        <v>H</v>
      </c>
      <c r="E1666" s="29" t="str">
        <v>H</v>
      </c>
      <c r="F1666" s="29" t="str">
        <v>H</v>
      </c>
      <c r="G1666" s="29" t="str">
        <v>H</v>
      </c>
      <c r="H1666" s="29" t="str">
        <v>H</v>
      </c>
      <c r="I1666" s="29" t="str">
        <v>H</v>
      </c>
      <c r="J1666" s="29" t="str">
        <v>H</v>
      </c>
      <c r="K1666" s="29" t="str">
        <v>H</v>
      </c>
      <c r="L1666" s="29" t="str">
        <v>H</v>
      </c>
      <c r="M1666" s="29" t="str">
        <v>H</v>
      </c>
      <c r="N1666" s="29" t="str">
        <v>H</v>
      </c>
      <c r="O1666" s="29" t="str">
        <v>H</v>
      </c>
      <c r="P1666" s="29" t="str">
        <v>H</v>
      </c>
      <c r="Q1666" s="29" t="str">
        <v>H</v>
      </c>
      <c r="R1666" s="29" t="str">
        <v>H</v>
      </c>
      <c r="S1666" t="str">
        <v>H</v>
      </c>
      <c r="T1666" t="str">
        <v>H</v>
      </c>
      <c r="U1666" t="str">
        <v>H</v>
      </c>
      <c r="V1666" t="str">
        <v>H</v>
      </c>
      <c r="W1666" t="str">
        <v>H</v>
      </c>
    </row>
    <row r="1667" spans="1:23">
      <c r="A1667" s="30">
        <v>45950</v>
      </c>
      <c r="B1667" s="29" t="str">
        <v>H</v>
      </c>
      <c r="C1667" s="29" t="str">
        <v>H</v>
      </c>
      <c r="D1667" s="29" t="str">
        <v>H</v>
      </c>
      <c r="E1667" s="29" t="str">
        <v>H</v>
      </c>
      <c r="F1667" s="29" t="str">
        <v>H</v>
      </c>
      <c r="G1667" s="29" t="str">
        <v>H</v>
      </c>
      <c r="H1667" s="29" t="str">
        <v>H</v>
      </c>
      <c r="I1667" s="29" t="str">
        <v>H</v>
      </c>
      <c r="J1667" s="29" t="str">
        <v>H</v>
      </c>
      <c r="K1667" s="29" t="str">
        <v>H</v>
      </c>
      <c r="L1667" s="29" t="str">
        <v>H</v>
      </c>
      <c r="M1667" s="29" t="str">
        <v>H</v>
      </c>
      <c r="N1667" s="29" t="str">
        <v>H</v>
      </c>
      <c r="O1667" s="29" t="str">
        <v>H</v>
      </c>
      <c r="P1667" s="29" t="str">
        <v>H</v>
      </c>
      <c r="Q1667" s="29" t="str">
        <v>H</v>
      </c>
      <c r="R1667" s="29" t="str">
        <v>H</v>
      </c>
      <c r="S1667" t="str">
        <v>H</v>
      </c>
      <c r="T1667" t="str">
        <v>H</v>
      </c>
      <c r="U1667" t="str">
        <v>H</v>
      </c>
      <c r="V1667" t="str">
        <v>H</v>
      </c>
      <c r="W1667" t="str">
        <v>H</v>
      </c>
    </row>
    <row r="1668" spans="1:23">
      <c r="A1668" s="30">
        <v>45951</v>
      </c>
      <c r="B1668" s="29" t="str">
        <v>H</v>
      </c>
      <c r="C1668" s="29" t="str">
        <v>H</v>
      </c>
      <c r="D1668" s="29" t="str">
        <v>H</v>
      </c>
      <c r="E1668" s="29" t="str">
        <v>H</v>
      </c>
      <c r="F1668" s="29" t="str">
        <v>H</v>
      </c>
      <c r="G1668" s="29" t="str">
        <v>H</v>
      </c>
      <c r="H1668" s="29" t="str">
        <v>H</v>
      </c>
      <c r="I1668" s="29" t="str">
        <v>H</v>
      </c>
      <c r="J1668" s="29" t="str">
        <v>H</v>
      </c>
      <c r="K1668" s="29" t="str">
        <v>H</v>
      </c>
      <c r="L1668" s="29" t="str">
        <v>H</v>
      </c>
      <c r="M1668" s="29" t="str">
        <v>H</v>
      </c>
      <c r="N1668" s="29" t="str">
        <v>H</v>
      </c>
      <c r="O1668" s="29" t="str">
        <v>H</v>
      </c>
      <c r="P1668" s="29" t="str">
        <v>H</v>
      </c>
      <c r="Q1668" s="29" t="str">
        <v>H</v>
      </c>
      <c r="R1668" s="29" t="str">
        <v>H</v>
      </c>
      <c r="S1668" t="str">
        <v>H</v>
      </c>
      <c r="T1668" t="str">
        <v>H</v>
      </c>
      <c r="U1668" t="str">
        <v>H</v>
      </c>
      <c r="V1668" t="str">
        <v>H</v>
      </c>
      <c r="W1668" t="str">
        <v>H</v>
      </c>
    </row>
    <row r="1669" spans="1:23">
      <c r="A1669" s="30">
        <v>45952</v>
      </c>
      <c r="B1669" s="29" t="str">
        <v>H</v>
      </c>
      <c r="C1669" s="29" t="str">
        <v>H</v>
      </c>
      <c r="D1669" s="29" t="str">
        <v>H</v>
      </c>
      <c r="E1669" s="29" t="str">
        <v>H</v>
      </c>
      <c r="F1669" s="29" t="str">
        <v>H</v>
      </c>
      <c r="G1669" s="29" t="str">
        <v>H</v>
      </c>
      <c r="H1669" s="29" t="str">
        <v>H</v>
      </c>
      <c r="I1669" s="29" t="str">
        <v>H</v>
      </c>
      <c r="J1669" s="29" t="str">
        <v>H</v>
      </c>
      <c r="K1669" s="29" t="str">
        <v>H</v>
      </c>
      <c r="L1669" s="29" t="str">
        <v>H</v>
      </c>
      <c r="M1669" s="29" t="str">
        <v>H</v>
      </c>
      <c r="N1669" s="29" t="str">
        <v>H</v>
      </c>
      <c r="O1669" s="29" t="str">
        <v>H</v>
      </c>
      <c r="P1669" s="29" t="str">
        <v>H</v>
      </c>
      <c r="Q1669" s="29" t="str">
        <v>H</v>
      </c>
      <c r="R1669" s="29" t="str">
        <v>H</v>
      </c>
      <c r="S1669" t="str">
        <v>H</v>
      </c>
      <c r="T1669" t="str">
        <v>H</v>
      </c>
      <c r="U1669" t="str">
        <v>H</v>
      </c>
      <c r="V1669" t="str">
        <v>H</v>
      </c>
      <c r="W1669" t="str">
        <v>H</v>
      </c>
    </row>
    <row r="1670" spans="1:23">
      <c r="A1670" s="30">
        <v>45953</v>
      </c>
      <c r="B1670" s="29" t="str">
        <v>-</v>
      </c>
      <c r="C1670" s="29">
        <v>43500</v>
      </c>
      <c r="D1670" s="29">
        <v>40300</v>
      </c>
      <c r="E1670" s="29">
        <v>37500</v>
      </c>
      <c r="F1670" s="29">
        <v>43800</v>
      </c>
      <c r="G1670" s="29" t="str">
        <v>-</v>
      </c>
      <c r="H1670" s="29">
        <v>39500</v>
      </c>
      <c r="I1670" s="29">
        <v>40100</v>
      </c>
      <c r="J1670" s="29">
        <v>42300</v>
      </c>
      <c r="K1670" s="29" t="str">
        <v>-</v>
      </c>
      <c r="L1670" s="29">
        <v>42900</v>
      </c>
      <c r="M1670" s="29">
        <v>41800</v>
      </c>
      <c r="N1670" s="29">
        <v>39200</v>
      </c>
      <c r="O1670" s="29">
        <v>42800</v>
      </c>
      <c r="P1670" s="29">
        <v>36800</v>
      </c>
      <c r="Q1670" s="29">
        <v>37500</v>
      </c>
      <c r="R1670" s="29">
        <v>37400</v>
      </c>
      <c r="S1670">
        <v>39600</v>
      </c>
      <c r="T1670">
        <v>40900</v>
      </c>
      <c r="U1670">
        <v>42500</v>
      </c>
      <c r="V1670">
        <v>43300</v>
      </c>
      <c r="W1670">
        <v>46500</v>
      </c>
    </row>
    <row r="1671" spans="1:23">
      <c r="A1671" s="30">
        <v>45954</v>
      </c>
      <c r="B1671" s="29">
        <v>41900</v>
      </c>
      <c r="C1671" s="29">
        <v>43300</v>
      </c>
      <c r="D1671" s="29">
        <v>40100</v>
      </c>
      <c r="E1671" s="29">
        <v>37400</v>
      </c>
      <c r="F1671" s="29">
        <v>43600</v>
      </c>
      <c r="G1671" s="29" t="str">
        <v>-</v>
      </c>
      <c r="H1671" s="29">
        <v>39300</v>
      </c>
      <c r="I1671" s="29">
        <v>40100</v>
      </c>
      <c r="J1671" s="29">
        <v>42000</v>
      </c>
      <c r="K1671" s="29" t="str">
        <v>-</v>
      </c>
      <c r="L1671" s="29">
        <v>42700</v>
      </c>
      <c r="M1671" s="29">
        <v>41500</v>
      </c>
      <c r="N1671" s="29">
        <v>39100</v>
      </c>
      <c r="O1671" s="29">
        <v>42300</v>
      </c>
      <c r="P1671" s="29">
        <v>37000</v>
      </c>
      <c r="Q1671" s="29">
        <v>37400</v>
      </c>
      <c r="R1671" s="29">
        <v>37200</v>
      </c>
      <c r="S1671">
        <v>39500</v>
      </c>
      <c r="T1671">
        <v>40900</v>
      </c>
      <c r="U1671">
        <v>42500</v>
      </c>
      <c r="V1671">
        <v>43200</v>
      </c>
      <c r="W1671">
        <v>46500</v>
      </c>
    </row>
    <row r="1672" spans="1:23">
      <c r="A1672" s="30">
        <v>45955</v>
      </c>
      <c r="B1672" s="29">
        <v>41900</v>
      </c>
      <c r="C1672" s="29">
        <v>43000</v>
      </c>
      <c r="D1672" s="29">
        <v>40200</v>
      </c>
      <c r="E1672" s="29">
        <v>37500</v>
      </c>
      <c r="F1672" s="29">
        <v>43600</v>
      </c>
      <c r="G1672" s="29" t="str">
        <v>-</v>
      </c>
      <c r="H1672" s="29">
        <v>39000</v>
      </c>
      <c r="I1672" s="29">
        <v>40300</v>
      </c>
      <c r="J1672" s="29">
        <v>41800</v>
      </c>
      <c r="K1672" s="29" t="str">
        <v>-</v>
      </c>
      <c r="L1672" s="29">
        <v>42700</v>
      </c>
      <c r="M1672" s="29">
        <v>41300</v>
      </c>
      <c r="N1672" s="29">
        <v>39400</v>
      </c>
      <c r="O1672" s="29">
        <v>42300</v>
      </c>
      <c r="P1672" s="29">
        <v>37000</v>
      </c>
      <c r="Q1672" s="29">
        <v>37400</v>
      </c>
      <c r="R1672" s="29">
        <v>37200</v>
      </c>
      <c r="S1672">
        <v>39600</v>
      </c>
      <c r="T1672">
        <v>40900</v>
      </c>
      <c r="U1672">
        <v>43000</v>
      </c>
      <c r="V1672">
        <v>43100</v>
      </c>
      <c r="W1672">
        <v>46500</v>
      </c>
    </row>
    <row r="1673" spans="1:23">
      <c r="A1673" s="30">
        <v>45956</v>
      </c>
      <c r="B1673" s="29" t="str">
        <v>H</v>
      </c>
      <c r="C1673" s="29" t="str">
        <v>H</v>
      </c>
      <c r="D1673" s="29" t="str">
        <v>H</v>
      </c>
      <c r="E1673" s="29" t="str">
        <v>H</v>
      </c>
      <c r="F1673" s="29" t="str">
        <v>H</v>
      </c>
      <c r="G1673" s="29" t="str">
        <v>H</v>
      </c>
      <c r="H1673" s="29" t="str">
        <v>H</v>
      </c>
      <c r="I1673" s="29" t="str">
        <v>H</v>
      </c>
      <c r="J1673" s="29" t="str">
        <v>H</v>
      </c>
      <c r="K1673" s="29" t="str">
        <v>H</v>
      </c>
      <c r="L1673" s="29" t="str">
        <v>H</v>
      </c>
      <c r="M1673" s="29" t="str">
        <v>H</v>
      </c>
      <c r="N1673" s="29" t="str">
        <v>H</v>
      </c>
      <c r="O1673" s="29" t="str">
        <v>H</v>
      </c>
      <c r="P1673" s="29" t="str">
        <v>H</v>
      </c>
      <c r="Q1673" s="29" t="str">
        <v>H</v>
      </c>
      <c r="R1673" s="29" t="str">
        <v>H</v>
      </c>
      <c r="S1673" t="str">
        <v>H</v>
      </c>
      <c r="T1673" t="str">
        <v>H</v>
      </c>
      <c r="U1673" t="str">
        <v>H</v>
      </c>
      <c r="V1673" t="str">
        <v>H</v>
      </c>
      <c r="W1673" t="str">
        <v>H</v>
      </c>
    </row>
    <row r="1674" spans="1:23">
      <c r="A1674" s="30">
        <v>45957</v>
      </c>
      <c r="B1674" s="29">
        <v>41900</v>
      </c>
      <c r="C1674" s="29">
        <v>42700</v>
      </c>
      <c r="D1674" s="29">
        <v>40300</v>
      </c>
      <c r="E1674" s="29">
        <v>37400</v>
      </c>
      <c r="F1674" s="29">
        <v>43600</v>
      </c>
      <c r="G1674" s="29" t="str">
        <v>-</v>
      </c>
      <c r="H1674" s="29">
        <v>38800</v>
      </c>
      <c r="I1674" s="29">
        <v>40100</v>
      </c>
      <c r="J1674" s="29">
        <v>42000</v>
      </c>
      <c r="K1674" s="29" t="str">
        <v>-</v>
      </c>
      <c r="L1674" s="29">
        <v>42700</v>
      </c>
      <c r="M1674" s="29">
        <v>41300</v>
      </c>
      <c r="N1674" s="29">
        <v>39400</v>
      </c>
      <c r="O1674" s="29">
        <v>42300</v>
      </c>
      <c r="P1674" s="29">
        <v>36800</v>
      </c>
      <c r="Q1674" s="29">
        <v>37300</v>
      </c>
      <c r="R1674" s="29">
        <v>37200</v>
      </c>
      <c r="S1674">
        <v>39500</v>
      </c>
      <c r="T1674">
        <v>40800</v>
      </c>
      <c r="U1674">
        <v>43000</v>
      </c>
      <c r="V1674">
        <v>43000</v>
      </c>
      <c r="W1674">
        <v>46000</v>
      </c>
    </row>
    <row r="1675" spans="1:23">
      <c r="A1675" s="30">
        <v>45958</v>
      </c>
      <c r="B1675" s="29">
        <v>41900</v>
      </c>
      <c r="C1675" s="29">
        <v>42700</v>
      </c>
      <c r="D1675" s="29">
        <v>40200</v>
      </c>
      <c r="E1675" s="29">
        <v>37300</v>
      </c>
      <c r="F1675" s="29">
        <v>43600</v>
      </c>
      <c r="G1675" s="29" t="str">
        <v>-</v>
      </c>
      <c r="H1675" s="29">
        <v>38800</v>
      </c>
      <c r="I1675" s="29">
        <v>39900</v>
      </c>
      <c r="J1675" s="29">
        <v>42000</v>
      </c>
      <c r="K1675" s="29" t="str">
        <v>-</v>
      </c>
      <c r="L1675" s="29">
        <v>42500</v>
      </c>
      <c r="M1675" s="29">
        <v>41300</v>
      </c>
      <c r="N1675" s="29">
        <v>39300</v>
      </c>
      <c r="O1675" s="29">
        <v>42200</v>
      </c>
      <c r="P1675" s="29">
        <v>36700</v>
      </c>
      <c r="Q1675" s="29">
        <v>37200</v>
      </c>
      <c r="R1675" s="29">
        <v>37200</v>
      </c>
      <c r="S1675">
        <v>39400</v>
      </c>
      <c r="T1675">
        <v>40800</v>
      </c>
      <c r="U1675">
        <v>43000</v>
      </c>
      <c r="V1675">
        <v>42500</v>
      </c>
      <c r="W1675">
        <v>45200</v>
      </c>
    </row>
    <row r="1676" spans="1:23">
      <c r="A1676" s="30">
        <v>45959</v>
      </c>
      <c r="B1676" s="29">
        <v>42000</v>
      </c>
      <c r="C1676" s="29">
        <v>42700</v>
      </c>
      <c r="D1676" s="29">
        <v>40100</v>
      </c>
      <c r="E1676" s="29">
        <v>37600</v>
      </c>
      <c r="F1676" s="29">
        <v>43600</v>
      </c>
      <c r="G1676" s="29" t="str">
        <v>-</v>
      </c>
      <c r="H1676" s="29">
        <v>38800</v>
      </c>
      <c r="I1676" s="29">
        <v>40100</v>
      </c>
      <c r="J1676" s="29">
        <v>42100</v>
      </c>
      <c r="K1676" s="29" t="str">
        <v>-</v>
      </c>
      <c r="L1676" s="29">
        <v>42600</v>
      </c>
      <c r="M1676" s="29">
        <v>41300</v>
      </c>
      <c r="N1676" s="29">
        <v>39800</v>
      </c>
      <c r="O1676" s="29">
        <v>42300</v>
      </c>
      <c r="P1676" s="29">
        <v>37100</v>
      </c>
      <c r="Q1676" s="29">
        <v>37400</v>
      </c>
      <c r="R1676" s="29">
        <v>37300</v>
      </c>
      <c r="S1676">
        <v>39700</v>
      </c>
      <c r="T1676">
        <v>40800</v>
      </c>
      <c r="U1676">
        <v>42500</v>
      </c>
      <c r="V1676">
        <v>42500</v>
      </c>
      <c r="W1676">
        <v>45200</v>
      </c>
    </row>
    <row r="1677" spans="1:23">
      <c r="A1677" s="30">
        <v>45960</v>
      </c>
      <c r="B1677" s="29">
        <v>42000</v>
      </c>
      <c r="C1677" s="29">
        <v>43000</v>
      </c>
      <c r="D1677" s="29">
        <v>40600</v>
      </c>
      <c r="E1677" s="29">
        <v>37700</v>
      </c>
      <c r="F1677" s="29">
        <v>43600</v>
      </c>
      <c r="G1677" s="29" t="str">
        <v>-</v>
      </c>
      <c r="H1677" s="29">
        <v>39000</v>
      </c>
      <c r="I1677" s="29">
        <v>40300</v>
      </c>
      <c r="J1677" s="29">
        <v>42400</v>
      </c>
      <c r="K1677" s="29" t="str">
        <v>-</v>
      </c>
      <c r="L1677" s="29">
        <v>42900</v>
      </c>
      <c r="M1677" s="29">
        <v>41800</v>
      </c>
      <c r="N1677" s="29">
        <v>40200</v>
      </c>
      <c r="O1677" s="29">
        <v>42300</v>
      </c>
      <c r="P1677" s="29">
        <v>37500</v>
      </c>
      <c r="Q1677" s="29">
        <v>37500</v>
      </c>
      <c r="R1677" s="29">
        <v>37500</v>
      </c>
      <c r="S1677">
        <v>39800</v>
      </c>
      <c r="T1677">
        <v>40800</v>
      </c>
      <c r="U1677">
        <v>42500</v>
      </c>
      <c r="V1677">
        <v>42500</v>
      </c>
      <c r="W1677">
        <v>45200</v>
      </c>
    </row>
    <row r="1678" spans="1:23">
      <c r="A1678" s="30">
        <v>45961</v>
      </c>
      <c r="B1678" s="29">
        <v>42300</v>
      </c>
      <c r="C1678" s="29">
        <v>43200</v>
      </c>
      <c r="D1678" s="29">
        <v>41500</v>
      </c>
      <c r="E1678" s="29">
        <v>38000</v>
      </c>
      <c r="F1678" s="29">
        <v>43700</v>
      </c>
      <c r="G1678" s="29" t="str">
        <v>-</v>
      </c>
      <c r="H1678" s="29">
        <v>39200</v>
      </c>
      <c r="I1678" s="29">
        <v>40700</v>
      </c>
      <c r="J1678" s="29">
        <v>42900</v>
      </c>
      <c r="K1678" s="29" t="str">
        <v>-</v>
      </c>
      <c r="L1678" s="29">
        <v>43000</v>
      </c>
      <c r="M1678" s="29">
        <v>42300</v>
      </c>
      <c r="N1678" s="29">
        <v>40800</v>
      </c>
      <c r="O1678" s="29">
        <v>42600</v>
      </c>
      <c r="P1678" s="29">
        <v>38300</v>
      </c>
      <c r="Q1678" s="29">
        <v>38200</v>
      </c>
      <c r="R1678" s="29">
        <v>38400</v>
      </c>
      <c r="S1678">
        <v>40100</v>
      </c>
      <c r="T1678">
        <v>41600</v>
      </c>
      <c r="U1678">
        <v>42500</v>
      </c>
      <c r="V1678">
        <v>42500</v>
      </c>
      <c r="W1678">
        <v>45200</v>
      </c>
    </row>
    <row r="1679" spans="1:23">
      <c r="A1679" s="30">
        <v>45962</v>
      </c>
      <c r="B1679" s="29">
        <v>42300</v>
      </c>
      <c r="C1679" s="29">
        <v>43300</v>
      </c>
      <c r="D1679" s="29">
        <v>41500</v>
      </c>
      <c r="E1679" s="29">
        <v>38000</v>
      </c>
      <c r="F1679" s="29">
        <v>43700</v>
      </c>
      <c r="G1679" s="29" t="str">
        <v>-</v>
      </c>
      <c r="H1679" s="29">
        <v>39500</v>
      </c>
      <c r="I1679" s="29">
        <v>40900</v>
      </c>
      <c r="J1679" s="29">
        <v>42900</v>
      </c>
      <c r="K1679" s="29" t="str">
        <v>-</v>
      </c>
      <c r="L1679" s="29">
        <v>43300</v>
      </c>
      <c r="M1679" s="29">
        <v>42600</v>
      </c>
      <c r="N1679" s="29">
        <v>40900</v>
      </c>
      <c r="O1679" s="29">
        <v>42700</v>
      </c>
      <c r="P1679" s="29">
        <v>38500</v>
      </c>
      <c r="Q1679" s="29">
        <v>38500</v>
      </c>
      <c r="R1679" s="29">
        <v>38400</v>
      </c>
      <c r="S1679">
        <v>40100</v>
      </c>
      <c r="T1679">
        <v>41800</v>
      </c>
      <c r="U1679">
        <v>42500</v>
      </c>
      <c r="V1679">
        <v>42500</v>
      </c>
      <c r="W1679">
        <v>45200</v>
      </c>
    </row>
    <row r="1680" spans="1:23">
      <c r="A1680" s="30">
        <v>45963</v>
      </c>
      <c r="B1680" s="29" t="str">
        <v>H</v>
      </c>
      <c r="C1680" s="29" t="str">
        <v>H</v>
      </c>
      <c r="D1680" s="29" t="str">
        <v>H</v>
      </c>
      <c r="E1680" s="29" t="str">
        <v>H</v>
      </c>
      <c r="F1680" s="29" t="str">
        <v>H</v>
      </c>
      <c r="G1680" s="29" t="str">
        <v>H</v>
      </c>
      <c r="H1680" s="29" t="str">
        <v>H</v>
      </c>
      <c r="I1680" s="29" t="str">
        <v>H</v>
      </c>
      <c r="J1680" s="29" t="str">
        <v>H</v>
      </c>
      <c r="K1680" s="29" t="str">
        <v>H</v>
      </c>
      <c r="L1680" s="29" t="str">
        <v>H</v>
      </c>
      <c r="M1680" s="29" t="str">
        <v>H</v>
      </c>
      <c r="N1680" s="29" t="str">
        <v>H</v>
      </c>
      <c r="O1680" s="29" t="str">
        <v>H</v>
      </c>
      <c r="P1680" s="29" t="str">
        <v>H</v>
      </c>
      <c r="Q1680" s="29" t="str">
        <v>H</v>
      </c>
      <c r="R1680" s="29" t="str">
        <v>H</v>
      </c>
      <c r="S1680" t="str">
        <v>H</v>
      </c>
      <c r="T1680" t="str">
        <v>H</v>
      </c>
      <c r="U1680" t="str">
        <v>H</v>
      </c>
      <c r="V1680" t="str">
        <v>H</v>
      </c>
      <c r="W1680" t="str">
        <v>H</v>
      </c>
    </row>
    <row r="1681" spans="1:23">
      <c r="A1681" s="30">
        <v>45964</v>
      </c>
      <c r="B1681" s="29">
        <v>42300</v>
      </c>
      <c r="C1681" s="29">
        <v>43300</v>
      </c>
      <c r="D1681" s="29">
        <v>41200</v>
      </c>
      <c r="E1681" s="29">
        <v>37800</v>
      </c>
      <c r="F1681" s="29">
        <v>43700</v>
      </c>
      <c r="G1681" s="29" t="str">
        <v>-</v>
      </c>
      <c r="H1681" s="29">
        <v>39500</v>
      </c>
      <c r="I1681" s="29">
        <v>40700</v>
      </c>
      <c r="J1681" s="29">
        <v>42600</v>
      </c>
      <c r="K1681" s="29" t="str">
        <v>-</v>
      </c>
      <c r="L1681" s="29">
        <v>43100</v>
      </c>
      <c r="M1681" s="29">
        <v>42700</v>
      </c>
      <c r="N1681" s="29">
        <v>40500</v>
      </c>
      <c r="O1681" s="29">
        <v>42700</v>
      </c>
      <c r="P1681" s="29">
        <v>38000</v>
      </c>
      <c r="Q1681" s="29">
        <v>38200</v>
      </c>
      <c r="R1681" s="29">
        <v>38200</v>
      </c>
      <c r="S1681">
        <v>39900</v>
      </c>
      <c r="T1681">
        <v>41500</v>
      </c>
      <c r="U1681">
        <v>42500</v>
      </c>
      <c r="V1681">
        <v>42500</v>
      </c>
      <c r="W1681">
        <v>45200</v>
      </c>
    </row>
    <row r="1682" spans="1:23">
      <c r="A1682" s="30">
        <v>45965</v>
      </c>
      <c r="B1682" s="29">
        <v>42300</v>
      </c>
      <c r="C1682" s="29">
        <v>43300</v>
      </c>
      <c r="D1682" s="29">
        <v>41400</v>
      </c>
      <c r="E1682" s="29">
        <v>38000</v>
      </c>
      <c r="F1682" s="29">
        <v>43700</v>
      </c>
      <c r="G1682" s="29" t="str">
        <v>-</v>
      </c>
      <c r="H1682" s="29">
        <v>39500</v>
      </c>
      <c r="I1682" s="29">
        <v>40800</v>
      </c>
      <c r="J1682" s="29">
        <v>42500</v>
      </c>
      <c r="K1682" s="29" t="str">
        <v>-</v>
      </c>
      <c r="L1682" s="29">
        <v>43300</v>
      </c>
      <c r="M1682" s="29">
        <v>42900</v>
      </c>
      <c r="N1682" s="29">
        <v>40600</v>
      </c>
      <c r="O1682" s="29">
        <v>42700</v>
      </c>
      <c r="P1682" s="29">
        <v>37800</v>
      </c>
      <c r="Q1682" s="29">
        <v>38200</v>
      </c>
      <c r="R1682" s="29">
        <v>38200</v>
      </c>
      <c r="S1682">
        <v>40100</v>
      </c>
      <c r="T1682">
        <v>41500</v>
      </c>
      <c r="U1682">
        <v>42500</v>
      </c>
      <c r="V1682">
        <v>42600</v>
      </c>
      <c r="W1682">
        <v>45200</v>
      </c>
    </row>
    <row r="1683" spans="1:23">
      <c r="A1683" s="30">
        <v>45966</v>
      </c>
      <c r="B1683" s="29">
        <v>42300</v>
      </c>
      <c r="C1683" s="29">
        <v>43200</v>
      </c>
      <c r="D1683" s="29">
        <v>41400</v>
      </c>
      <c r="E1683" s="29">
        <v>37800</v>
      </c>
      <c r="F1683" s="29">
        <v>43700</v>
      </c>
      <c r="G1683" s="29" t="str">
        <v>-</v>
      </c>
      <c r="H1683" s="29">
        <v>39500</v>
      </c>
      <c r="I1683" s="29">
        <v>40700</v>
      </c>
      <c r="J1683" s="29">
        <v>42500</v>
      </c>
      <c r="K1683" s="29" t="str">
        <v>-</v>
      </c>
      <c r="L1683" s="29">
        <v>43300</v>
      </c>
      <c r="M1683" s="29">
        <v>43000</v>
      </c>
      <c r="N1683" s="29">
        <v>40700</v>
      </c>
      <c r="O1683" s="29">
        <v>42700</v>
      </c>
      <c r="P1683" s="29">
        <v>37600</v>
      </c>
      <c r="Q1683" s="29">
        <v>38000</v>
      </c>
      <c r="R1683" s="29">
        <v>38200</v>
      </c>
      <c r="S1683">
        <v>39900</v>
      </c>
      <c r="T1683">
        <v>41400</v>
      </c>
      <c r="U1683">
        <v>42500</v>
      </c>
      <c r="V1683">
        <v>42600</v>
      </c>
      <c r="W1683">
        <v>45200</v>
      </c>
    </row>
    <row r="1684" spans="1:23">
      <c r="A1684" s="30">
        <v>45967</v>
      </c>
      <c r="B1684" s="29">
        <v>42200</v>
      </c>
      <c r="C1684" s="29">
        <v>43000</v>
      </c>
      <c r="D1684" s="29">
        <v>41400</v>
      </c>
      <c r="E1684" s="29">
        <v>37800</v>
      </c>
      <c r="F1684" s="29">
        <v>43300</v>
      </c>
      <c r="G1684" s="29" t="str">
        <v>-</v>
      </c>
      <c r="H1684" s="29">
        <v>39500</v>
      </c>
      <c r="I1684" s="29">
        <v>40800</v>
      </c>
      <c r="J1684" s="29">
        <v>42500</v>
      </c>
      <c r="K1684" s="29" t="str">
        <v>-</v>
      </c>
      <c r="L1684" s="29">
        <v>43200</v>
      </c>
      <c r="M1684" s="29">
        <v>43000</v>
      </c>
      <c r="N1684" s="29">
        <v>40700</v>
      </c>
      <c r="O1684" s="29">
        <v>42700</v>
      </c>
      <c r="P1684" s="29">
        <v>37400</v>
      </c>
      <c r="Q1684" s="29">
        <v>37800</v>
      </c>
      <c r="R1684" s="29">
        <v>38200</v>
      </c>
      <c r="S1684">
        <v>39900</v>
      </c>
      <c r="T1684">
        <v>41300</v>
      </c>
      <c r="U1684">
        <v>42500</v>
      </c>
      <c r="V1684">
        <v>42600</v>
      </c>
      <c r="W1684">
        <v>45200</v>
      </c>
    </row>
    <row r="1685" spans="1:23">
      <c r="A1685" s="30">
        <v>45968</v>
      </c>
      <c r="B1685" s="29">
        <v>42000</v>
      </c>
      <c r="C1685" s="29">
        <v>43000</v>
      </c>
      <c r="D1685" s="29">
        <v>41300</v>
      </c>
      <c r="E1685" s="29">
        <v>37800</v>
      </c>
      <c r="F1685" s="29">
        <v>43300</v>
      </c>
      <c r="G1685" s="29" t="str">
        <v>-</v>
      </c>
      <c r="H1685" s="29">
        <v>39700</v>
      </c>
      <c r="I1685" s="29">
        <v>40700</v>
      </c>
      <c r="J1685" s="29">
        <v>42200</v>
      </c>
      <c r="K1685" s="29" t="str">
        <v>-</v>
      </c>
      <c r="L1685" s="29">
        <v>43200</v>
      </c>
      <c r="M1685" s="29">
        <v>43000</v>
      </c>
      <c r="N1685" s="29">
        <v>40500</v>
      </c>
      <c r="O1685" s="29">
        <v>42600</v>
      </c>
      <c r="P1685" s="29">
        <v>37300</v>
      </c>
      <c r="Q1685" s="29">
        <v>37600</v>
      </c>
      <c r="R1685" s="29">
        <v>38000</v>
      </c>
      <c r="S1685">
        <v>39900</v>
      </c>
      <c r="T1685">
        <v>41200</v>
      </c>
      <c r="U1685">
        <v>42500</v>
      </c>
      <c r="V1685">
        <v>42200</v>
      </c>
      <c r="W1685">
        <v>45100</v>
      </c>
    </row>
    <row r="1686" spans="1:23">
      <c r="A1686" s="30">
        <v>45969</v>
      </c>
      <c r="B1686" s="29">
        <v>42000</v>
      </c>
      <c r="C1686" s="29">
        <v>43000</v>
      </c>
      <c r="D1686" s="29">
        <v>41200</v>
      </c>
      <c r="E1686" s="29">
        <v>37700</v>
      </c>
      <c r="F1686" s="29">
        <v>43000</v>
      </c>
      <c r="G1686" s="29" t="str">
        <v>-</v>
      </c>
      <c r="H1686" s="29">
        <v>39700</v>
      </c>
      <c r="I1686" s="29">
        <v>40500</v>
      </c>
      <c r="J1686" s="29">
        <v>42200</v>
      </c>
      <c r="K1686" s="29" t="str">
        <v>-</v>
      </c>
      <c r="L1686" s="29">
        <v>43100</v>
      </c>
      <c r="M1686" s="29">
        <v>43000</v>
      </c>
      <c r="N1686" s="29">
        <v>40400</v>
      </c>
      <c r="O1686" s="29">
        <v>42500</v>
      </c>
      <c r="P1686" s="29">
        <v>37200</v>
      </c>
      <c r="Q1686" s="29">
        <v>37600</v>
      </c>
      <c r="R1686" s="29">
        <v>38000</v>
      </c>
      <c r="S1686">
        <v>39800</v>
      </c>
      <c r="T1686">
        <v>41200</v>
      </c>
      <c r="U1686">
        <v>42500</v>
      </c>
      <c r="V1686">
        <v>42200</v>
      </c>
      <c r="W1686">
        <v>45100</v>
      </c>
    </row>
    <row r="1687" spans="1:23">
      <c r="A1687" s="30">
        <v>45970</v>
      </c>
      <c r="B1687" s="29" t="str">
        <v>H</v>
      </c>
      <c r="C1687" s="29" t="str">
        <v>H</v>
      </c>
      <c r="D1687" s="29" t="str">
        <v>H</v>
      </c>
      <c r="E1687" s="29" t="str">
        <v>H</v>
      </c>
      <c r="F1687" s="29" t="str">
        <v>H</v>
      </c>
      <c r="G1687" s="29" t="str">
        <v>H</v>
      </c>
      <c r="H1687" s="29" t="str">
        <v>H</v>
      </c>
      <c r="I1687" s="29" t="str">
        <v>H</v>
      </c>
      <c r="J1687" s="29" t="str">
        <v>H</v>
      </c>
      <c r="K1687" s="29" t="str">
        <v>H</v>
      </c>
      <c r="L1687" s="29" t="str">
        <v>H</v>
      </c>
      <c r="M1687" s="29" t="str">
        <v>H</v>
      </c>
      <c r="N1687" s="29" t="str">
        <v>H</v>
      </c>
      <c r="O1687" s="29" t="str">
        <v>H</v>
      </c>
      <c r="P1687" s="29" t="str">
        <v>H</v>
      </c>
      <c r="Q1687" s="29" t="str">
        <v>H</v>
      </c>
      <c r="R1687" s="29" t="str">
        <v>H</v>
      </c>
      <c r="S1687" t="str">
        <v>H</v>
      </c>
      <c r="T1687" t="str">
        <v>H</v>
      </c>
      <c r="U1687" t="str">
        <v>H</v>
      </c>
      <c r="V1687" t="str">
        <v>H</v>
      </c>
      <c r="W1687" t="str">
        <v>H</v>
      </c>
    </row>
    <row r="1688" spans="1:23">
      <c r="A1688" s="30">
        <v>45971</v>
      </c>
      <c r="B1688" s="29">
        <v>41900</v>
      </c>
      <c r="C1688" s="29">
        <v>43000</v>
      </c>
      <c r="D1688" s="29">
        <v>41000</v>
      </c>
      <c r="E1688" s="29">
        <v>37800</v>
      </c>
      <c r="F1688" s="29">
        <v>43000</v>
      </c>
      <c r="G1688" s="29" t="str">
        <v>-</v>
      </c>
      <c r="H1688" s="29">
        <v>39500</v>
      </c>
      <c r="I1688" s="29">
        <v>40500</v>
      </c>
      <c r="J1688" s="29">
        <v>42200</v>
      </c>
      <c r="K1688" s="29" t="str">
        <v>-</v>
      </c>
      <c r="L1688" s="29">
        <v>43100</v>
      </c>
      <c r="M1688" s="29">
        <v>42700</v>
      </c>
      <c r="N1688" s="29">
        <v>40400</v>
      </c>
      <c r="O1688" s="29">
        <v>42500</v>
      </c>
      <c r="P1688" s="29">
        <v>37000</v>
      </c>
      <c r="Q1688" s="29">
        <v>37600</v>
      </c>
      <c r="R1688" s="29">
        <v>37800</v>
      </c>
      <c r="S1688">
        <v>39900</v>
      </c>
      <c r="T1688">
        <v>41100</v>
      </c>
      <c r="U1688">
        <v>42500</v>
      </c>
      <c r="V1688">
        <v>42200</v>
      </c>
      <c r="W1688">
        <v>44800</v>
      </c>
    </row>
    <row r="1689" spans="1:23">
      <c r="A1689" s="30">
        <v>45972</v>
      </c>
      <c r="B1689" s="29">
        <v>41900</v>
      </c>
      <c r="C1689" s="29">
        <v>43000</v>
      </c>
      <c r="D1689" s="29">
        <v>41500</v>
      </c>
      <c r="E1689" s="29">
        <v>38100</v>
      </c>
      <c r="F1689" s="29">
        <v>43000</v>
      </c>
      <c r="G1689" s="29" t="str">
        <v>-</v>
      </c>
      <c r="H1689" s="29">
        <v>40000</v>
      </c>
      <c r="I1689" s="29">
        <v>40600</v>
      </c>
      <c r="J1689" s="29">
        <v>42200</v>
      </c>
      <c r="K1689" s="29" t="str">
        <v>-</v>
      </c>
      <c r="L1689" s="29">
        <v>43400</v>
      </c>
      <c r="M1689" s="29">
        <v>42500</v>
      </c>
      <c r="N1689" s="29">
        <v>40500</v>
      </c>
      <c r="O1689" s="29">
        <v>42700</v>
      </c>
      <c r="P1689" s="29">
        <v>37400</v>
      </c>
      <c r="Q1689" s="29">
        <v>37800</v>
      </c>
      <c r="R1689" s="29">
        <v>38000</v>
      </c>
      <c r="S1689">
        <v>40200</v>
      </c>
      <c r="T1689">
        <v>41400</v>
      </c>
      <c r="U1689">
        <v>42500</v>
      </c>
      <c r="V1689">
        <v>42200</v>
      </c>
      <c r="W1689">
        <v>44800</v>
      </c>
    </row>
    <row r="1690" spans="1:23">
      <c r="A1690" s="30">
        <v>45973</v>
      </c>
      <c r="B1690" s="29">
        <v>41900</v>
      </c>
      <c r="C1690" s="29">
        <v>43000</v>
      </c>
      <c r="D1690" s="29">
        <v>41400</v>
      </c>
      <c r="E1690" s="29">
        <v>38000</v>
      </c>
      <c r="F1690" s="29">
        <v>43000</v>
      </c>
      <c r="G1690" s="29" t="str">
        <v>-</v>
      </c>
      <c r="H1690" s="29">
        <v>39800</v>
      </c>
      <c r="I1690" s="29">
        <v>40600</v>
      </c>
      <c r="J1690" s="29">
        <v>42200</v>
      </c>
      <c r="K1690" s="29" t="str">
        <v>-</v>
      </c>
      <c r="L1690" s="29">
        <v>43500</v>
      </c>
      <c r="M1690" s="29">
        <v>42500</v>
      </c>
      <c r="N1690" s="29">
        <v>40500</v>
      </c>
      <c r="O1690" s="29">
        <v>42700</v>
      </c>
      <c r="P1690" s="29">
        <v>37100</v>
      </c>
      <c r="Q1690" s="29">
        <v>37700</v>
      </c>
      <c r="R1690" s="29">
        <v>38000</v>
      </c>
      <c r="S1690">
        <v>40100</v>
      </c>
      <c r="T1690">
        <v>41400</v>
      </c>
      <c r="U1690">
        <v>42500</v>
      </c>
      <c r="V1690">
        <v>42200</v>
      </c>
      <c r="W1690">
        <v>44800</v>
      </c>
    </row>
    <row r="1691" spans="1:23">
      <c r="A1691" s="30">
        <v>45974</v>
      </c>
      <c r="B1691" s="29">
        <v>42200</v>
      </c>
      <c r="C1691" s="29">
        <v>42800</v>
      </c>
      <c r="D1691" s="29">
        <v>41600</v>
      </c>
      <c r="E1691" s="29">
        <v>38100</v>
      </c>
      <c r="F1691" s="29">
        <v>43000</v>
      </c>
      <c r="G1691" s="29" t="str">
        <v>-</v>
      </c>
      <c r="H1691" s="29">
        <v>39800</v>
      </c>
      <c r="I1691" s="29">
        <v>40900</v>
      </c>
      <c r="J1691" s="29">
        <v>42200</v>
      </c>
      <c r="K1691" s="29" t="str">
        <v>-</v>
      </c>
      <c r="L1691" s="29">
        <v>43600</v>
      </c>
      <c r="M1691" s="29">
        <v>42100</v>
      </c>
      <c r="N1691" s="29">
        <v>40800</v>
      </c>
      <c r="O1691" s="29">
        <v>42700</v>
      </c>
      <c r="P1691" s="29">
        <v>37800</v>
      </c>
      <c r="Q1691" s="29">
        <v>38000</v>
      </c>
      <c r="R1691" s="29">
        <v>38200</v>
      </c>
      <c r="S1691">
        <v>40200</v>
      </c>
      <c r="T1691">
        <v>41400</v>
      </c>
      <c r="U1691">
        <v>42500</v>
      </c>
      <c r="V1691">
        <v>42100</v>
      </c>
      <c r="W1691">
        <v>44800</v>
      </c>
    </row>
    <row r="1692" spans="1:23">
      <c r="A1692" s="30">
        <v>45975</v>
      </c>
      <c r="B1692" s="29">
        <v>42300</v>
      </c>
      <c r="C1692" s="29">
        <v>42800</v>
      </c>
      <c r="D1692" s="29">
        <v>41800</v>
      </c>
      <c r="E1692" s="29">
        <v>38000</v>
      </c>
      <c r="F1692" s="29">
        <v>43300</v>
      </c>
      <c r="G1692" s="29" t="str">
        <v>-</v>
      </c>
      <c r="H1692" s="29">
        <v>40000</v>
      </c>
      <c r="I1692" s="29">
        <v>41000</v>
      </c>
      <c r="J1692" s="29">
        <v>42200</v>
      </c>
      <c r="K1692" s="29" t="str">
        <v>-</v>
      </c>
      <c r="L1692" s="29">
        <v>43700</v>
      </c>
      <c r="M1692" s="29">
        <v>42500</v>
      </c>
      <c r="N1692" s="29">
        <v>41000</v>
      </c>
      <c r="O1692" s="29">
        <v>42700</v>
      </c>
      <c r="P1692" s="29">
        <v>37900</v>
      </c>
      <c r="Q1692" s="29">
        <v>38100</v>
      </c>
      <c r="R1692" s="29">
        <v>38400</v>
      </c>
      <c r="S1692">
        <v>40100</v>
      </c>
      <c r="T1692">
        <v>41700</v>
      </c>
      <c r="U1692">
        <v>42500</v>
      </c>
      <c r="V1692">
        <v>42000</v>
      </c>
      <c r="W1692">
        <v>44800</v>
      </c>
    </row>
    <row r="1693" spans="1:23">
      <c r="A1693" s="30">
        <v>45976</v>
      </c>
      <c r="B1693" s="29">
        <v>42400</v>
      </c>
      <c r="C1693" s="29">
        <v>42800</v>
      </c>
      <c r="D1693" s="29">
        <v>41800</v>
      </c>
      <c r="E1693" s="29">
        <v>38500</v>
      </c>
      <c r="F1693" s="29">
        <v>43300</v>
      </c>
      <c r="G1693" s="29" t="str">
        <v>-</v>
      </c>
      <c r="H1693" s="29">
        <v>40300</v>
      </c>
      <c r="I1693" s="29">
        <v>41250</v>
      </c>
      <c r="J1693" s="29">
        <v>42500</v>
      </c>
      <c r="K1693" s="29" t="str">
        <v>-</v>
      </c>
      <c r="L1693" s="29">
        <v>44000</v>
      </c>
      <c r="M1693" s="29">
        <v>42600</v>
      </c>
      <c r="N1693" s="29">
        <v>41400</v>
      </c>
      <c r="O1693" s="29">
        <v>43000</v>
      </c>
      <c r="P1693" s="29">
        <v>38400</v>
      </c>
      <c r="Q1693" s="29">
        <v>38400</v>
      </c>
      <c r="R1693" s="29">
        <v>38500</v>
      </c>
      <c r="S1693">
        <v>40600</v>
      </c>
      <c r="T1693">
        <v>42000</v>
      </c>
      <c r="U1693">
        <v>42500</v>
      </c>
      <c r="V1693">
        <v>42000</v>
      </c>
      <c r="W1693">
        <v>44800</v>
      </c>
    </row>
    <row r="1694" spans="1:23">
      <c r="A1694" s="30">
        <v>45977</v>
      </c>
      <c r="B1694" s="29" t="str">
        <v>H</v>
      </c>
      <c r="C1694" s="29" t="str">
        <v>H</v>
      </c>
      <c r="D1694" s="29" t="str">
        <v>H</v>
      </c>
      <c r="E1694" s="29" t="str">
        <v>H</v>
      </c>
      <c r="F1694" s="29" t="str">
        <v>H</v>
      </c>
      <c r="G1694" s="29" t="str">
        <v>H</v>
      </c>
      <c r="H1694" s="29" t="str">
        <v>H</v>
      </c>
      <c r="I1694" s="29" t="str">
        <v>H</v>
      </c>
      <c r="J1694" s="29" t="str">
        <v>H</v>
      </c>
      <c r="K1694" s="29" t="str">
        <v>H</v>
      </c>
      <c r="L1694" s="29" t="str">
        <v>H</v>
      </c>
      <c r="M1694" s="29" t="str">
        <v>H</v>
      </c>
      <c r="N1694" s="29" t="str">
        <v>H</v>
      </c>
      <c r="O1694" s="29" t="str">
        <v>H</v>
      </c>
      <c r="P1694" s="29" t="str">
        <v>H</v>
      </c>
      <c r="Q1694" s="29" t="str">
        <v>H</v>
      </c>
      <c r="R1694" s="29" t="str">
        <v>H</v>
      </c>
      <c r="S1694" t="str">
        <v>H</v>
      </c>
      <c r="T1694" t="str">
        <v>H</v>
      </c>
      <c r="U1694" t="str">
        <v>H</v>
      </c>
      <c r="V1694" t="str">
        <v>H</v>
      </c>
      <c r="W1694" t="str">
        <v>H</v>
      </c>
    </row>
    <row r="1695" spans="1:23">
      <c r="A1695" s="30">
        <v>45978</v>
      </c>
      <c r="B1695" s="29">
        <v>42500</v>
      </c>
      <c r="C1695" s="29">
        <v>43000</v>
      </c>
      <c r="D1695" s="29">
        <v>42300</v>
      </c>
      <c r="E1695" s="29">
        <v>38600</v>
      </c>
      <c r="F1695" s="29">
        <v>43800</v>
      </c>
      <c r="G1695" s="29" t="str">
        <v>-</v>
      </c>
      <c r="H1695" s="29">
        <v>40300</v>
      </c>
      <c r="I1695" s="29">
        <v>41600</v>
      </c>
      <c r="J1695" s="29">
        <v>42500</v>
      </c>
      <c r="K1695" s="29" t="str">
        <v>-</v>
      </c>
      <c r="L1695" s="29">
        <v>44100</v>
      </c>
      <c r="M1695" s="29">
        <v>42600</v>
      </c>
      <c r="N1695" s="29">
        <v>41700</v>
      </c>
      <c r="O1695" s="29">
        <v>43000</v>
      </c>
      <c r="P1695" s="29">
        <v>38400</v>
      </c>
      <c r="Q1695" s="29">
        <v>38500</v>
      </c>
      <c r="R1695" s="29">
        <v>38800</v>
      </c>
      <c r="S1695">
        <v>40700</v>
      </c>
      <c r="T1695">
        <v>42100</v>
      </c>
      <c r="U1695">
        <v>43000</v>
      </c>
      <c r="V1695">
        <v>42000</v>
      </c>
      <c r="W1695">
        <v>44900</v>
      </c>
    </row>
    <row r="1696" spans="1:23">
      <c r="A1696" s="30">
        <v>45979</v>
      </c>
      <c r="B1696" s="29">
        <v>42500</v>
      </c>
      <c r="C1696" s="29">
        <v>43000</v>
      </c>
      <c r="D1696" s="29">
        <v>42100</v>
      </c>
      <c r="E1696" s="29">
        <v>38600</v>
      </c>
      <c r="F1696" s="29">
        <v>43800</v>
      </c>
      <c r="G1696" s="29" t="str">
        <v>-</v>
      </c>
      <c r="H1696" s="29">
        <v>40300</v>
      </c>
      <c r="I1696" s="29">
        <v>41500</v>
      </c>
      <c r="J1696" s="29">
        <v>42500</v>
      </c>
      <c r="K1696" s="29" t="str">
        <v>-</v>
      </c>
      <c r="L1696" s="29">
        <v>44200</v>
      </c>
      <c r="M1696" s="29">
        <v>42700</v>
      </c>
      <c r="N1696" s="29">
        <v>41900</v>
      </c>
      <c r="O1696" s="29">
        <v>43000</v>
      </c>
      <c r="P1696" s="29">
        <v>38200</v>
      </c>
      <c r="Q1696" s="29">
        <v>38500</v>
      </c>
      <c r="R1696" s="29">
        <v>38700</v>
      </c>
      <c r="S1696">
        <v>40600</v>
      </c>
      <c r="T1696">
        <v>42000</v>
      </c>
      <c r="U1696">
        <v>43000</v>
      </c>
      <c r="V1696">
        <v>42000</v>
      </c>
      <c r="W1696">
        <v>44900</v>
      </c>
    </row>
    <row r="1697" spans="1:23">
      <c r="A1697" s="30">
        <v>45980</v>
      </c>
      <c r="B1697" s="29">
        <v>42500</v>
      </c>
      <c r="C1697" s="29">
        <v>43000</v>
      </c>
      <c r="D1697" s="29">
        <v>42000</v>
      </c>
      <c r="E1697" s="29">
        <v>38500</v>
      </c>
      <c r="F1697" s="29">
        <v>43800</v>
      </c>
      <c r="G1697" s="29" t="str">
        <v>-</v>
      </c>
      <c r="H1697" s="29">
        <v>40300</v>
      </c>
      <c r="I1697" s="29">
        <v>41500</v>
      </c>
      <c r="J1697" s="29">
        <v>42500</v>
      </c>
      <c r="K1697" s="29" t="str">
        <v>-</v>
      </c>
      <c r="L1697" s="29">
        <v>44000</v>
      </c>
      <c r="M1697" s="29">
        <v>42700</v>
      </c>
      <c r="N1697" s="29">
        <v>41500</v>
      </c>
      <c r="O1697" s="29">
        <v>43000</v>
      </c>
      <c r="P1697" s="29">
        <v>38000</v>
      </c>
      <c r="Q1697" s="29">
        <v>38400</v>
      </c>
      <c r="R1697" s="29">
        <v>38700</v>
      </c>
      <c r="S1697">
        <v>40600</v>
      </c>
      <c r="T1697">
        <v>41900</v>
      </c>
      <c r="U1697">
        <v>43000</v>
      </c>
      <c r="V1697">
        <v>42400</v>
      </c>
      <c r="W1697">
        <v>44900</v>
      </c>
    </row>
    <row r="1698" spans="1:23">
      <c r="A1698" s="30">
        <v>45981</v>
      </c>
      <c r="B1698" s="29">
        <v>42500</v>
      </c>
      <c r="C1698" s="29">
        <v>43200</v>
      </c>
      <c r="D1698" s="29">
        <v>42100</v>
      </c>
      <c r="E1698" s="29">
        <v>38900</v>
      </c>
      <c r="F1698" s="29">
        <v>43800</v>
      </c>
      <c r="G1698" s="29" t="str">
        <v>-</v>
      </c>
      <c r="H1698" s="29">
        <v>41000</v>
      </c>
      <c r="I1698" s="29">
        <v>41700</v>
      </c>
      <c r="J1698" s="29">
        <v>42500</v>
      </c>
      <c r="K1698" s="29" t="str">
        <v>-</v>
      </c>
      <c r="L1698" s="29">
        <v>44400</v>
      </c>
      <c r="M1698" s="29">
        <v>42700</v>
      </c>
      <c r="N1698" s="29">
        <v>41900</v>
      </c>
      <c r="O1698" s="29">
        <v>43300</v>
      </c>
      <c r="P1698" s="29">
        <v>38000</v>
      </c>
      <c r="Q1698" s="29">
        <v>38400</v>
      </c>
      <c r="R1698" s="29">
        <v>38700</v>
      </c>
      <c r="S1698">
        <v>40800</v>
      </c>
      <c r="T1698">
        <v>41800</v>
      </c>
      <c r="U1698">
        <v>43000</v>
      </c>
      <c r="V1698">
        <v>42400</v>
      </c>
      <c r="W1698">
        <v>44900</v>
      </c>
    </row>
    <row r="1699" spans="1:23">
      <c r="A1699" s="30">
        <v>45982</v>
      </c>
      <c r="B1699" s="29">
        <v>42700</v>
      </c>
      <c r="C1699" s="29">
        <v>43200</v>
      </c>
      <c r="D1699" s="29">
        <v>42100</v>
      </c>
      <c r="E1699" s="29">
        <v>38800</v>
      </c>
      <c r="F1699" s="29">
        <v>43800</v>
      </c>
      <c r="G1699" s="29" t="str">
        <v>-</v>
      </c>
      <c r="H1699" s="29">
        <v>41200</v>
      </c>
      <c r="I1699" s="29">
        <v>41500</v>
      </c>
      <c r="J1699" s="29">
        <v>42500</v>
      </c>
      <c r="K1699" s="29" t="str">
        <v>-</v>
      </c>
      <c r="L1699" s="29">
        <v>44400</v>
      </c>
      <c r="M1699" s="29">
        <v>42700</v>
      </c>
      <c r="N1699" s="29">
        <v>41700</v>
      </c>
      <c r="O1699" s="29">
        <v>43400</v>
      </c>
      <c r="P1699" s="29">
        <v>38000</v>
      </c>
      <c r="Q1699" s="29">
        <v>38400</v>
      </c>
      <c r="R1699" s="29">
        <v>38700</v>
      </c>
      <c r="S1699">
        <v>40900</v>
      </c>
      <c r="T1699">
        <v>41800</v>
      </c>
      <c r="U1699">
        <v>43000</v>
      </c>
      <c r="V1699">
        <v>42400</v>
      </c>
      <c r="W1699">
        <v>44900</v>
      </c>
    </row>
    <row r="1700" spans="1:23">
      <c r="A1700" s="30">
        <v>45983</v>
      </c>
      <c r="B1700" s="29">
        <v>42700</v>
      </c>
      <c r="C1700" s="29">
        <v>43200</v>
      </c>
      <c r="D1700" s="29">
        <v>42200</v>
      </c>
      <c r="E1700" s="29">
        <v>38800</v>
      </c>
      <c r="F1700" s="29">
        <v>43800</v>
      </c>
      <c r="G1700" s="29" t="str">
        <v>-</v>
      </c>
      <c r="H1700" s="29">
        <v>41200</v>
      </c>
      <c r="I1700" s="29">
        <v>41400</v>
      </c>
      <c r="J1700" s="29">
        <v>42500</v>
      </c>
      <c r="K1700" s="29" t="str">
        <v>-</v>
      </c>
      <c r="L1700" s="29">
        <v>44400</v>
      </c>
      <c r="M1700" s="29">
        <v>42700</v>
      </c>
      <c r="N1700" s="29">
        <v>41600</v>
      </c>
      <c r="O1700" s="29">
        <v>43400</v>
      </c>
      <c r="P1700" s="29">
        <v>38000</v>
      </c>
      <c r="Q1700" s="29">
        <v>38300</v>
      </c>
      <c r="R1700" s="29">
        <v>38500</v>
      </c>
      <c r="S1700">
        <v>40900</v>
      </c>
      <c r="T1700">
        <v>41800</v>
      </c>
      <c r="U1700">
        <v>43000</v>
      </c>
      <c r="V1700">
        <v>42400</v>
      </c>
      <c r="W1700">
        <v>44900</v>
      </c>
    </row>
    <row r="1701" spans="1:23">
      <c r="A1701" s="30">
        <v>45984</v>
      </c>
      <c r="B1701" s="29" t="str">
        <v>H</v>
      </c>
      <c r="C1701" s="29" t="str">
        <v>H</v>
      </c>
      <c r="D1701" s="29" t="str">
        <v>H</v>
      </c>
      <c r="E1701" s="29" t="str">
        <v>H</v>
      </c>
      <c r="F1701" s="29" t="str">
        <v>H</v>
      </c>
      <c r="G1701" s="29" t="str">
        <v>H</v>
      </c>
      <c r="H1701" s="29" t="str">
        <v>H</v>
      </c>
      <c r="I1701" s="29" t="str">
        <v>H</v>
      </c>
      <c r="J1701" s="29" t="str">
        <v>H</v>
      </c>
      <c r="K1701" s="29" t="str">
        <v>H</v>
      </c>
      <c r="L1701" s="29" t="str">
        <v>H</v>
      </c>
      <c r="M1701" s="29" t="str">
        <v>H</v>
      </c>
      <c r="N1701" s="29" t="str">
        <v>H</v>
      </c>
      <c r="O1701" s="29" t="str">
        <v>H</v>
      </c>
      <c r="P1701" s="29" t="str">
        <v>H</v>
      </c>
      <c r="Q1701" s="29" t="str">
        <v>H</v>
      </c>
      <c r="R1701" s="29" t="str">
        <v>H</v>
      </c>
      <c r="S1701" t="str">
        <v>H</v>
      </c>
      <c r="T1701" t="str">
        <v>H</v>
      </c>
      <c r="U1701" t="str">
        <v>H</v>
      </c>
      <c r="V1701" t="str">
        <v>H</v>
      </c>
      <c r="W1701" t="str">
        <v>H</v>
      </c>
    </row>
    <row r="1702" spans="1:23">
      <c r="A1702" s="30">
        <v>45985</v>
      </c>
      <c r="B1702" s="29">
        <v>42800</v>
      </c>
      <c r="C1702" s="29">
        <v>43000</v>
      </c>
      <c r="D1702" s="29">
        <v>42000</v>
      </c>
      <c r="E1702" s="29">
        <v>38800</v>
      </c>
      <c r="F1702" s="29">
        <v>43800</v>
      </c>
      <c r="G1702" s="29" t="str">
        <v>-</v>
      </c>
      <c r="H1702" s="29">
        <v>41000</v>
      </c>
      <c r="I1702" s="29">
        <v>41400</v>
      </c>
      <c r="J1702" s="29">
        <v>42500</v>
      </c>
      <c r="K1702" s="29" t="str">
        <v>-</v>
      </c>
      <c r="L1702" s="29">
        <v>44300</v>
      </c>
      <c r="M1702" s="29">
        <v>42700</v>
      </c>
      <c r="N1702" s="29">
        <v>41300</v>
      </c>
      <c r="O1702" s="29">
        <v>43400</v>
      </c>
      <c r="P1702" s="29">
        <v>38000</v>
      </c>
      <c r="Q1702" s="29">
        <v>38500</v>
      </c>
      <c r="R1702" s="29">
        <v>38500</v>
      </c>
      <c r="S1702">
        <v>40900</v>
      </c>
      <c r="T1702">
        <v>42000</v>
      </c>
      <c r="U1702">
        <v>43000</v>
      </c>
      <c r="V1702">
        <v>42400</v>
      </c>
      <c r="W1702">
        <v>44900</v>
      </c>
    </row>
    <row r="1703" spans="1:23">
      <c r="A1703" s="30">
        <v>45986</v>
      </c>
      <c r="B1703" s="29">
        <v>42800</v>
      </c>
      <c r="C1703" s="29">
        <v>43000</v>
      </c>
      <c r="D1703" s="29">
        <v>41900</v>
      </c>
      <c r="E1703" s="29">
        <v>38800</v>
      </c>
      <c r="F1703" s="29">
        <v>43800</v>
      </c>
      <c r="G1703" s="29" t="str">
        <v>-</v>
      </c>
      <c r="H1703" s="29">
        <v>40800</v>
      </c>
      <c r="I1703" s="29">
        <v>41600</v>
      </c>
      <c r="J1703" s="29">
        <v>42600</v>
      </c>
      <c r="K1703" s="29" t="str">
        <v>-</v>
      </c>
      <c r="L1703" s="29">
        <v>44300</v>
      </c>
      <c r="M1703" s="29">
        <v>42700</v>
      </c>
      <c r="N1703" s="29">
        <v>41200</v>
      </c>
      <c r="O1703" s="29">
        <v>43400</v>
      </c>
      <c r="P1703" s="29">
        <v>37800</v>
      </c>
      <c r="Q1703" s="29">
        <v>38400</v>
      </c>
      <c r="R1703" s="29">
        <v>38500</v>
      </c>
      <c r="S1703">
        <v>40900</v>
      </c>
      <c r="T1703">
        <v>41900</v>
      </c>
      <c r="U1703">
        <v>43000</v>
      </c>
      <c r="V1703">
        <v>42400</v>
      </c>
      <c r="W1703">
        <v>44900</v>
      </c>
    </row>
    <row r="1704" spans="1:23">
      <c r="A1704" s="30">
        <v>45987</v>
      </c>
      <c r="B1704" s="29">
        <v>43200</v>
      </c>
      <c r="C1704" s="29">
        <v>43000</v>
      </c>
      <c r="D1704" s="29">
        <v>42250</v>
      </c>
      <c r="E1704" s="29">
        <v>39100</v>
      </c>
      <c r="F1704" s="29">
        <v>43800</v>
      </c>
      <c r="G1704" s="29" t="str">
        <v>-</v>
      </c>
      <c r="H1704" s="29">
        <v>41000</v>
      </c>
      <c r="I1704" s="29">
        <v>42000</v>
      </c>
      <c r="J1704" s="29">
        <v>42700</v>
      </c>
      <c r="K1704" s="29" t="str">
        <v>-</v>
      </c>
      <c r="L1704" s="29">
        <v>44500</v>
      </c>
      <c r="M1704" s="29">
        <v>42700</v>
      </c>
      <c r="N1704" s="29">
        <v>41500</v>
      </c>
      <c r="O1704" s="29">
        <v>43500</v>
      </c>
      <c r="P1704" s="29">
        <v>38000</v>
      </c>
      <c r="Q1704" s="29">
        <v>38700</v>
      </c>
      <c r="R1704" s="29">
        <v>38700</v>
      </c>
      <c r="S1704">
        <v>41200</v>
      </c>
      <c r="T1704">
        <v>42200</v>
      </c>
      <c r="U1704">
        <v>43500</v>
      </c>
      <c r="V1704">
        <v>42400</v>
      </c>
      <c r="W1704">
        <v>45000</v>
      </c>
    </row>
    <row r="1705" spans="1:23">
      <c r="A1705" s="30">
        <v>45988</v>
      </c>
      <c r="B1705" s="29">
        <v>43400</v>
      </c>
      <c r="C1705" s="29">
        <v>43000</v>
      </c>
      <c r="D1705" s="29">
        <v>42600</v>
      </c>
      <c r="E1705" s="29">
        <v>39200</v>
      </c>
      <c r="F1705" s="29">
        <v>44200</v>
      </c>
      <c r="G1705" s="29" t="str">
        <v>-</v>
      </c>
      <c r="H1705" s="29">
        <v>41500</v>
      </c>
      <c r="I1705" s="29">
        <v>42100</v>
      </c>
      <c r="J1705" s="29">
        <v>42800</v>
      </c>
      <c r="K1705" s="29" t="str">
        <v>-</v>
      </c>
      <c r="L1705" s="29">
        <v>45000</v>
      </c>
      <c r="M1705" s="29">
        <v>42800</v>
      </c>
      <c r="N1705" s="29">
        <v>42100</v>
      </c>
      <c r="O1705" s="29">
        <v>43500</v>
      </c>
      <c r="P1705" s="29">
        <v>38300</v>
      </c>
      <c r="Q1705" s="29">
        <v>39000</v>
      </c>
      <c r="R1705" s="29">
        <v>39000</v>
      </c>
      <c r="S1705">
        <v>41300</v>
      </c>
      <c r="T1705">
        <v>42600</v>
      </c>
      <c r="U1705">
        <v>43500</v>
      </c>
      <c r="V1705">
        <v>42500</v>
      </c>
      <c r="W1705">
        <v>45600</v>
      </c>
    </row>
    <row r="1706" spans="1:23">
      <c r="A1706" s="30">
        <v>45989</v>
      </c>
      <c r="B1706" s="29">
        <v>43400</v>
      </c>
      <c r="C1706" s="29">
        <v>43000</v>
      </c>
      <c r="D1706" s="29">
        <v>42400</v>
      </c>
      <c r="E1706" s="29">
        <v>39100</v>
      </c>
      <c r="F1706" s="29">
        <v>44200</v>
      </c>
      <c r="G1706" s="29" t="str">
        <v>-</v>
      </c>
      <c r="H1706" s="29">
        <v>41500</v>
      </c>
      <c r="I1706" s="29">
        <v>42100</v>
      </c>
      <c r="J1706" s="29">
        <v>42800</v>
      </c>
      <c r="K1706" s="29" t="str">
        <v>-</v>
      </c>
      <c r="L1706" s="29">
        <v>44800</v>
      </c>
      <c r="M1706" s="29">
        <v>42800</v>
      </c>
      <c r="N1706" s="29">
        <v>42000</v>
      </c>
      <c r="O1706" s="29">
        <v>43300</v>
      </c>
      <c r="P1706" s="29">
        <v>38200</v>
      </c>
      <c r="Q1706" s="29">
        <v>38900</v>
      </c>
      <c r="R1706" s="29">
        <v>39000</v>
      </c>
      <c r="S1706">
        <v>41200</v>
      </c>
      <c r="T1706">
        <v>42600</v>
      </c>
      <c r="U1706">
        <v>43500</v>
      </c>
      <c r="V1706">
        <v>42600</v>
      </c>
      <c r="W1706">
        <v>45600</v>
      </c>
    </row>
    <row r="1707" spans="1:23">
      <c r="A1707" s="30">
        <v>45990</v>
      </c>
      <c r="B1707" s="29">
        <v>43400</v>
      </c>
      <c r="C1707" s="29">
        <v>43000</v>
      </c>
      <c r="D1707" s="29">
        <v>42400</v>
      </c>
      <c r="E1707" s="29">
        <v>39100</v>
      </c>
      <c r="F1707" s="29">
        <v>44200</v>
      </c>
      <c r="G1707" s="29" t="str">
        <v>-</v>
      </c>
      <c r="H1707" s="29">
        <v>41500</v>
      </c>
      <c r="I1707" s="29">
        <v>42300</v>
      </c>
      <c r="J1707" s="29">
        <v>42800</v>
      </c>
      <c r="K1707" s="29" t="str">
        <v>-</v>
      </c>
      <c r="L1707" s="29">
        <v>44800</v>
      </c>
      <c r="M1707" s="29">
        <v>42800</v>
      </c>
      <c r="N1707" s="29">
        <v>41800</v>
      </c>
      <c r="O1707" s="29">
        <v>43300</v>
      </c>
      <c r="P1707" s="29">
        <v>38200</v>
      </c>
      <c r="Q1707" s="29">
        <v>38700</v>
      </c>
      <c r="R1707" s="29">
        <v>39000</v>
      </c>
      <c r="S1707">
        <v>41200</v>
      </c>
      <c r="T1707">
        <v>42500</v>
      </c>
      <c r="U1707">
        <v>43500</v>
      </c>
      <c r="V1707">
        <v>42600</v>
      </c>
      <c r="W1707">
        <v>45600</v>
      </c>
    </row>
    <row r="1708" spans="1:23">
      <c r="A1708" s="30">
        <v>45991</v>
      </c>
      <c r="B1708" s="29" t="str">
        <v>H</v>
      </c>
      <c r="C1708" s="29" t="str">
        <v>H</v>
      </c>
      <c r="D1708" s="29" t="str">
        <v>H</v>
      </c>
      <c r="E1708" s="29" t="str">
        <v>H</v>
      </c>
      <c r="F1708" s="29" t="str">
        <v>H</v>
      </c>
      <c r="G1708" s="29" t="str">
        <v>H</v>
      </c>
      <c r="H1708" s="29" t="str">
        <v>H</v>
      </c>
      <c r="I1708" s="29" t="str">
        <v>H</v>
      </c>
      <c r="J1708" s="29" t="str">
        <v>H</v>
      </c>
      <c r="K1708" s="29" t="str">
        <v>H</v>
      </c>
      <c r="L1708" s="29" t="str">
        <v>H</v>
      </c>
      <c r="M1708" s="29" t="str">
        <v>H</v>
      </c>
      <c r="N1708" s="29" t="str">
        <v>H</v>
      </c>
      <c r="O1708" s="29" t="str">
        <v>H</v>
      </c>
      <c r="P1708" s="29" t="str">
        <v>H</v>
      </c>
      <c r="Q1708" s="29" t="str">
        <v>H</v>
      </c>
      <c r="R1708" s="29" t="str">
        <v>H</v>
      </c>
      <c r="S1708" t="str">
        <v>H</v>
      </c>
      <c r="T1708" t="str">
        <v>H</v>
      </c>
      <c r="U1708" t="str">
        <v>H</v>
      </c>
      <c r="V1708" t="str">
        <v>H</v>
      </c>
      <c r="W1708" t="str">
        <v>H</v>
      </c>
    </row>
    <row r="1709" spans="1:23">
      <c r="A1709" s="30">
        <v>45992</v>
      </c>
      <c r="B1709" s="29">
        <v>43700</v>
      </c>
      <c r="C1709" s="29">
        <v>43000</v>
      </c>
      <c r="D1709" s="29">
        <v>43200</v>
      </c>
      <c r="E1709" s="29">
        <v>39500</v>
      </c>
      <c r="F1709" s="29">
        <v>44200</v>
      </c>
      <c r="G1709" s="29" t="str">
        <v>-</v>
      </c>
      <c r="H1709" s="29">
        <v>41300</v>
      </c>
      <c r="I1709" s="29">
        <v>42500</v>
      </c>
      <c r="J1709" s="29">
        <v>43000</v>
      </c>
      <c r="K1709" s="29" t="str">
        <v>-</v>
      </c>
      <c r="L1709" s="29">
        <v>45000</v>
      </c>
      <c r="M1709" s="29">
        <v>43100</v>
      </c>
      <c r="N1709" s="29">
        <v>42400</v>
      </c>
      <c r="O1709" s="29">
        <v>43400</v>
      </c>
      <c r="P1709" s="29">
        <v>38500</v>
      </c>
      <c r="Q1709" s="29">
        <v>39000</v>
      </c>
      <c r="R1709" s="29">
        <v>39000</v>
      </c>
      <c r="S1709">
        <v>41600</v>
      </c>
      <c r="T1709">
        <v>42700</v>
      </c>
      <c r="U1709">
        <v>43500</v>
      </c>
      <c r="V1709">
        <v>42800</v>
      </c>
      <c r="W1709">
        <v>45600</v>
      </c>
    </row>
    <row r="1710" spans="1:23">
      <c r="A1710" s="30">
        <v>45993</v>
      </c>
      <c r="B1710" s="29">
        <v>44000</v>
      </c>
      <c r="C1710" s="29">
        <v>43000</v>
      </c>
      <c r="D1710" s="29">
        <v>43200</v>
      </c>
      <c r="E1710" s="29">
        <v>39500</v>
      </c>
      <c r="F1710" s="29">
        <v>44500</v>
      </c>
      <c r="G1710" s="29" t="str">
        <v>-</v>
      </c>
      <c r="H1710" s="29">
        <v>41500</v>
      </c>
      <c r="I1710" s="29">
        <v>42600</v>
      </c>
      <c r="J1710" s="29">
        <v>43000</v>
      </c>
      <c r="K1710" s="29" t="str">
        <v>-</v>
      </c>
      <c r="L1710" s="29">
        <v>45200</v>
      </c>
      <c r="M1710" s="29">
        <v>43400</v>
      </c>
      <c r="N1710" s="29">
        <v>42600</v>
      </c>
      <c r="O1710" s="29">
        <v>43300</v>
      </c>
      <c r="P1710" s="29">
        <v>38500</v>
      </c>
      <c r="Q1710" s="29">
        <v>39300</v>
      </c>
      <c r="R1710" s="29">
        <v>39000</v>
      </c>
      <c r="S1710">
        <v>41600</v>
      </c>
      <c r="T1710">
        <v>43200</v>
      </c>
      <c r="U1710">
        <v>44000</v>
      </c>
      <c r="V1710">
        <v>43000</v>
      </c>
      <c r="W1710">
        <v>46000</v>
      </c>
    </row>
    <row r="1711" spans="1:23">
      <c r="A1711" s="30">
        <v>45994</v>
      </c>
      <c r="B1711" s="29">
        <v>44200</v>
      </c>
      <c r="C1711" s="29">
        <v>43000</v>
      </c>
      <c r="D1711" s="29">
        <v>43200</v>
      </c>
      <c r="E1711" s="29">
        <v>39600</v>
      </c>
      <c r="F1711" s="29">
        <v>44500</v>
      </c>
      <c r="G1711" s="29" t="str">
        <v>-</v>
      </c>
      <c r="H1711" s="29">
        <v>41500</v>
      </c>
      <c r="I1711" s="29">
        <v>42700</v>
      </c>
      <c r="J1711" s="29">
        <v>43200</v>
      </c>
      <c r="K1711" s="29" t="str">
        <v>-</v>
      </c>
      <c r="L1711" s="29">
        <v>45200</v>
      </c>
      <c r="M1711" s="29">
        <v>43700</v>
      </c>
      <c r="N1711" s="29">
        <v>42400</v>
      </c>
      <c r="O1711" s="29">
        <v>43300</v>
      </c>
      <c r="P1711" s="29">
        <v>38900</v>
      </c>
      <c r="Q1711" s="29">
        <v>39300</v>
      </c>
      <c r="R1711" s="29">
        <v>39300</v>
      </c>
      <c r="S1711">
        <v>41700</v>
      </c>
      <c r="T1711">
        <v>43200</v>
      </c>
      <c r="U1711">
        <v>44600</v>
      </c>
      <c r="V1711">
        <v>43000</v>
      </c>
      <c r="W1711">
        <v>46000</v>
      </c>
    </row>
    <row r="1712" spans="1:23">
      <c r="A1712" s="30">
        <v>45995</v>
      </c>
      <c r="B1712" s="29">
        <v>44400</v>
      </c>
      <c r="C1712" s="29">
        <v>43000</v>
      </c>
      <c r="D1712" s="29">
        <v>43300</v>
      </c>
      <c r="E1712" s="29">
        <v>39800</v>
      </c>
      <c r="F1712" s="29">
        <v>44500</v>
      </c>
      <c r="G1712" s="29" t="str">
        <v>-</v>
      </c>
      <c r="H1712" s="29">
        <v>41800</v>
      </c>
      <c r="I1712" s="29">
        <v>43000</v>
      </c>
      <c r="J1712" s="29">
        <v>43200</v>
      </c>
      <c r="K1712" s="29" t="str">
        <v>-</v>
      </c>
      <c r="L1712" s="29">
        <v>45300</v>
      </c>
      <c r="M1712" s="29">
        <v>43900</v>
      </c>
      <c r="N1712" s="29">
        <v>42900</v>
      </c>
      <c r="O1712" s="29">
        <v>43400</v>
      </c>
      <c r="P1712" s="29">
        <v>39200</v>
      </c>
      <c r="Q1712" s="29">
        <v>39500</v>
      </c>
      <c r="R1712" s="29">
        <v>39300</v>
      </c>
      <c r="S1712">
        <v>41800</v>
      </c>
      <c r="T1712">
        <v>43400</v>
      </c>
      <c r="U1712">
        <v>44600</v>
      </c>
      <c r="V1712">
        <v>43300</v>
      </c>
      <c r="W1712">
        <v>46600</v>
      </c>
    </row>
    <row r="1713" spans="1:23">
      <c r="A1713" s="30">
        <v>45996</v>
      </c>
      <c r="B1713" s="29">
        <v>44700</v>
      </c>
      <c r="C1713" s="29">
        <v>43200</v>
      </c>
      <c r="D1713" s="29">
        <v>43300</v>
      </c>
      <c r="E1713" s="29">
        <v>39600</v>
      </c>
      <c r="F1713" s="29">
        <v>45000</v>
      </c>
      <c r="G1713" s="29" t="str">
        <v>-</v>
      </c>
      <c r="H1713" s="29">
        <v>42000</v>
      </c>
      <c r="I1713" s="29">
        <v>43000</v>
      </c>
      <c r="J1713" s="29">
        <v>43500</v>
      </c>
      <c r="K1713" s="29" t="str">
        <v>-</v>
      </c>
      <c r="L1713" s="29">
        <v>45300</v>
      </c>
      <c r="M1713" s="29">
        <v>44100</v>
      </c>
      <c r="N1713" s="29">
        <v>42800</v>
      </c>
      <c r="O1713" s="29">
        <v>43300</v>
      </c>
      <c r="P1713" s="29">
        <v>38900</v>
      </c>
      <c r="Q1713" s="29">
        <v>39500</v>
      </c>
      <c r="R1713" s="29">
        <v>39500</v>
      </c>
      <c r="S1713">
        <v>41600</v>
      </c>
      <c r="T1713">
        <v>43400</v>
      </c>
      <c r="U1713">
        <v>45400</v>
      </c>
      <c r="V1713">
        <v>43400</v>
      </c>
      <c r="W1713">
        <v>46600</v>
      </c>
    </row>
    <row r="1714" spans="1:23">
      <c r="A1714" s="30">
        <v>45997</v>
      </c>
      <c r="B1714" s="29">
        <v>44700</v>
      </c>
      <c r="C1714" s="29">
        <v>43000</v>
      </c>
      <c r="D1714" s="29">
        <v>43200</v>
      </c>
      <c r="E1714" s="29">
        <v>39500</v>
      </c>
      <c r="F1714" s="29">
        <v>45000</v>
      </c>
      <c r="G1714" s="29" t="str">
        <v>-</v>
      </c>
      <c r="H1714" s="29">
        <v>41800</v>
      </c>
      <c r="I1714" s="29">
        <v>42700</v>
      </c>
      <c r="J1714" s="29">
        <v>43500</v>
      </c>
      <c r="K1714" s="29" t="str">
        <v>-</v>
      </c>
      <c r="L1714" s="29">
        <v>45200</v>
      </c>
      <c r="M1714" s="29">
        <v>44300</v>
      </c>
      <c r="N1714" s="29">
        <v>42600</v>
      </c>
      <c r="O1714" s="29">
        <v>43300</v>
      </c>
      <c r="P1714" s="29">
        <v>38900</v>
      </c>
      <c r="Q1714" s="29">
        <v>39500</v>
      </c>
      <c r="R1714" s="29">
        <v>39400</v>
      </c>
      <c r="S1714">
        <v>41600</v>
      </c>
      <c r="T1714">
        <v>43400</v>
      </c>
      <c r="U1714">
        <v>45400</v>
      </c>
      <c r="V1714">
        <v>43500</v>
      </c>
      <c r="W1714">
        <v>46600</v>
      </c>
    </row>
    <row r="1715" spans="1:23">
      <c r="A1715" s="30">
        <v>45998</v>
      </c>
      <c r="B1715" s="29" t="str">
        <v>H</v>
      </c>
      <c r="C1715" s="29" t="str">
        <v>H</v>
      </c>
      <c r="D1715" s="29" t="str">
        <v>H</v>
      </c>
      <c r="E1715" s="29" t="str">
        <v>H</v>
      </c>
      <c r="F1715" s="29" t="str">
        <v>H</v>
      </c>
      <c r="G1715" s="29" t="str">
        <v>H</v>
      </c>
      <c r="H1715" s="29" t="str">
        <v>H</v>
      </c>
      <c r="I1715" s="29" t="str">
        <v>H</v>
      </c>
      <c r="J1715" s="29" t="str">
        <v>H</v>
      </c>
      <c r="K1715" s="29" t="str">
        <v>H</v>
      </c>
      <c r="L1715" s="29" t="str">
        <v>H</v>
      </c>
      <c r="M1715" s="29" t="str">
        <v>H</v>
      </c>
      <c r="N1715" s="29" t="str">
        <v>H</v>
      </c>
      <c r="O1715" s="29" t="str">
        <v>H</v>
      </c>
      <c r="P1715" s="29" t="str">
        <v>H</v>
      </c>
      <c r="Q1715" s="29" t="str">
        <v>H</v>
      </c>
      <c r="R1715" s="29" t="str">
        <v>H</v>
      </c>
      <c r="S1715" t="str">
        <v>H</v>
      </c>
      <c r="T1715" t="str">
        <v>H</v>
      </c>
      <c r="U1715" t="str">
        <v>H</v>
      </c>
      <c r="V1715" t="str">
        <v>H</v>
      </c>
      <c r="W1715" t="str">
        <v>H</v>
      </c>
    </row>
    <row r="1716" spans="1:23">
      <c r="A1716" s="30">
        <v>45999</v>
      </c>
      <c r="B1716" s="29">
        <v>44500</v>
      </c>
      <c r="C1716" s="29">
        <v>43000</v>
      </c>
      <c r="D1716" s="29">
        <v>42900</v>
      </c>
      <c r="E1716" s="29">
        <v>39400</v>
      </c>
      <c r="F1716" s="29">
        <v>45000</v>
      </c>
      <c r="G1716" s="29" t="str">
        <v>-</v>
      </c>
      <c r="H1716" s="29">
        <v>41500</v>
      </c>
      <c r="I1716" s="29">
        <v>42500</v>
      </c>
      <c r="J1716" s="29">
        <v>43500</v>
      </c>
      <c r="K1716" s="29" t="str">
        <v>-</v>
      </c>
      <c r="L1716" s="29">
        <v>45000</v>
      </c>
      <c r="M1716" s="29">
        <v>44300</v>
      </c>
      <c r="N1716" s="29">
        <v>42000</v>
      </c>
      <c r="O1716" s="29">
        <v>43300</v>
      </c>
      <c r="P1716" s="29">
        <v>38800</v>
      </c>
      <c r="Q1716" s="29">
        <v>39300</v>
      </c>
      <c r="R1716" s="29">
        <v>39100</v>
      </c>
      <c r="S1716">
        <v>41500</v>
      </c>
      <c r="T1716">
        <v>42900</v>
      </c>
      <c r="U1716">
        <v>45000</v>
      </c>
      <c r="V1716">
        <v>43500</v>
      </c>
      <c r="W1716">
        <v>46600</v>
      </c>
    </row>
    <row r="1717" spans="1:23">
      <c r="A1717" s="30">
        <v>46000</v>
      </c>
      <c r="B1717" s="29">
        <v>44500</v>
      </c>
      <c r="C1717" s="29">
        <v>43000</v>
      </c>
      <c r="D1717" s="29">
        <v>42900</v>
      </c>
      <c r="E1717" s="29">
        <v>39200</v>
      </c>
      <c r="F1717" s="29">
        <v>45000</v>
      </c>
      <c r="G1717" s="29" t="str">
        <v>-</v>
      </c>
      <c r="H1717" s="29">
        <v>41500</v>
      </c>
      <c r="I1717" s="29">
        <v>42500</v>
      </c>
      <c r="J1717" s="29">
        <v>43300</v>
      </c>
      <c r="K1717" s="29" t="str">
        <v>-</v>
      </c>
      <c r="L1717" s="29">
        <v>44900</v>
      </c>
      <c r="M1717" s="29">
        <v>44400</v>
      </c>
      <c r="N1717" s="29">
        <v>41900</v>
      </c>
      <c r="O1717" s="29">
        <v>43200</v>
      </c>
      <c r="P1717" s="29">
        <v>38800</v>
      </c>
      <c r="Q1717" s="29">
        <v>39100</v>
      </c>
      <c r="R1717" s="29">
        <v>39000</v>
      </c>
      <c r="S1717">
        <v>41300</v>
      </c>
      <c r="T1717">
        <v>42700</v>
      </c>
      <c r="U1717">
        <v>44900</v>
      </c>
      <c r="V1717">
        <v>43300</v>
      </c>
      <c r="W1717">
        <v>46600</v>
      </c>
    </row>
    <row r="1718" spans="1:23">
      <c r="A1718" s="30">
        <v>46001</v>
      </c>
      <c r="B1718" s="29">
        <v>44500</v>
      </c>
      <c r="C1718" s="29">
        <v>43000</v>
      </c>
      <c r="D1718" s="29">
        <v>43000</v>
      </c>
      <c r="E1718" s="29">
        <v>39200</v>
      </c>
      <c r="F1718" s="29">
        <v>44600</v>
      </c>
      <c r="G1718" s="29" t="str">
        <v>-</v>
      </c>
      <c r="H1718" s="29">
        <v>41300</v>
      </c>
      <c r="I1718" s="29">
        <v>42500</v>
      </c>
      <c r="J1718" s="29">
        <v>43300</v>
      </c>
      <c r="K1718" s="29" t="str">
        <v>-</v>
      </c>
      <c r="L1718" s="29">
        <v>44900</v>
      </c>
      <c r="M1718" s="29">
        <v>44500</v>
      </c>
      <c r="N1718" s="29">
        <v>41900</v>
      </c>
      <c r="O1718" s="29">
        <v>43200</v>
      </c>
      <c r="P1718" s="29">
        <v>38800</v>
      </c>
      <c r="Q1718" s="29">
        <v>39200</v>
      </c>
      <c r="R1718" s="29">
        <v>39000</v>
      </c>
      <c r="S1718">
        <v>41300</v>
      </c>
      <c r="T1718">
        <v>42700</v>
      </c>
      <c r="U1718">
        <v>44900</v>
      </c>
      <c r="V1718">
        <v>43300</v>
      </c>
      <c r="W1718">
        <v>46600</v>
      </c>
    </row>
    <row r="1719" spans="1:23">
      <c r="A1719" s="30">
        <v>46002</v>
      </c>
      <c r="B1719" s="29">
        <v>44500</v>
      </c>
      <c r="C1719" s="29">
        <v>43000</v>
      </c>
      <c r="D1719" s="29">
        <v>43000</v>
      </c>
      <c r="E1719" s="29">
        <v>39100</v>
      </c>
      <c r="F1719" s="29">
        <v>44600</v>
      </c>
      <c r="G1719" s="29" t="str">
        <v>-</v>
      </c>
      <c r="H1719" s="29">
        <v>41200</v>
      </c>
      <c r="I1719" s="29">
        <v>42500</v>
      </c>
      <c r="J1719" s="29">
        <v>43500</v>
      </c>
      <c r="K1719" s="29" t="str">
        <v>-</v>
      </c>
      <c r="L1719" s="29">
        <v>44800</v>
      </c>
      <c r="M1719" s="29">
        <v>44600</v>
      </c>
      <c r="N1719" s="29">
        <v>41800</v>
      </c>
      <c r="O1719" s="29">
        <v>43100</v>
      </c>
      <c r="P1719" s="29">
        <v>38700</v>
      </c>
      <c r="Q1719" s="29">
        <v>39100</v>
      </c>
      <c r="R1719" s="29">
        <v>39000</v>
      </c>
      <c r="S1719">
        <v>41200</v>
      </c>
      <c r="T1719">
        <v>42700</v>
      </c>
      <c r="U1719">
        <v>44800</v>
      </c>
      <c r="V1719">
        <v>43300</v>
      </c>
      <c r="W1719">
        <v>46600</v>
      </c>
    </row>
    <row r="1720" spans="1:23">
      <c r="A1720" s="30">
        <v>46003</v>
      </c>
      <c r="B1720" s="29">
        <v>44500</v>
      </c>
      <c r="C1720" s="29">
        <v>43000</v>
      </c>
      <c r="D1720" s="29">
        <v>42800</v>
      </c>
      <c r="E1720" s="29">
        <v>38900</v>
      </c>
      <c r="F1720" s="29">
        <v>44600</v>
      </c>
      <c r="G1720" s="29" t="str">
        <v>-</v>
      </c>
      <c r="H1720" s="29">
        <v>41000</v>
      </c>
      <c r="I1720" s="29">
        <v>42100</v>
      </c>
      <c r="J1720" s="29">
        <v>43500</v>
      </c>
      <c r="K1720" s="29" t="str">
        <v>-</v>
      </c>
      <c r="L1720" s="29">
        <v>44600</v>
      </c>
      <c r="M1720" s="29">
        <v>44600</v>
      </c>
      <c r="N1720" s="29">
        <v>41800</v>
      </c>
      <c r="O1720" s="29">
        <v>43000</v>
      </c>
      <c r="P1720" s="29">
        <v>38600</v>
      </c>
      <c r="Q1720" s="29">
        <v>39000</v>
      </c>
      <c r="R1720" s="29">
        <v>39000</v>
      </c>
      <c r="S1720">
        <v>41000</v>
      </c>
      <c r="T1720">
        <v>42400</v>
      </c>
      <c r="U1720">
        <v>44800</v>
      </c>
      <c r="V1720">
        <v>43300</v>
      </c>
      <c r="W1720">
        <v>46600</v>
      </c>
    </row>
    <row r="1721" spans="1:23">
      <c r="A1721" s="30">
        <v>46004</v>
      </c>
      <c r="B1721" s="29">
        <v>44500</v>
      </c>
      <c r="C1721" s="29">
        <v>43000</v>
      </c>
      <c r="D1721" s="29">
        <v>42200</v>
      </c>
      <c r="E1721" s="29">
        <v>38900</v>
      </c>
      <c r="F1721" s="29">
        <v>44200</v>
      </c>
      <c r="G1721" s="29" t="str">
        <v>-</v>
      </c>
      <c r="H1721" s="29">
        <v>41000</v>
      </c>
      <c r="I1721" s="29">
        <v>42100</v>
      </c>
      <c r="J1721" s="29">
        <v>43500</v>
      </c>
      <c r="K1721" s="29" t="str">
        <v>-</v>
      </c>
      <c r="L1721" s="29">
        <v>44300</v>
      </c>
      <c r="M1721" s="29">
        <v>44600</v>
      </c>
      <c r="N1721" s="29">
        <v>41600</v>
      </c>
      <c r="O1721" s="29">
        <v>43000</v>
      </c>
      <c r="P1721" s="29">
        <v>38300</v>
      </c>
      <c r="Q1721" s="29">
        <v>38900</v>
      </c>
      <c r="R1721" s="29">
        <v>38800</v>
      </c>
      <c r="S1721">
        <v>41000</v>
      </c>
      <c r="T1721">
        <v>42400</v>
      </c>
      <c r="U1721">
        <v>44700</v>
      </c>
      <c r="V1721">
        <v>43300</v>
      </c>
      <c r="W1721">
        <v>46600</v>
      </c>
    </row>
    <row r="1722" spans="1:23">
      <c r="A1722" s="30">
        <v>46005</v>
      </c>
      <c r="B1722" s="29" t="str">
        <v>H</v>
      </c>
      <c r="C1722" s="29" t="str">
        <v>H</v>
      </c>
      <c r="D1722" s="29" t="str">
        <v>H</v>
      </c>
      <c r="E1722" s="29" t="str">
        <v>H</v>
      </c>
      <c r="F1722" s="29" t="str">
        <v>H</v>
      </c>
      <c r="G1722" s="29" t="str">
        <v>H</v>
      </c>
      <c r="H1722" s="29" t="str">
        <v>H</v>
      </c>
      <c r="I1722" s="29" t="str">
        <v>H</v>
      </c>
      <c r="J1722" s="29" t="str">
        <v>H</v>
      </c>
      <c r="K1722" s="29" t="str">
        <v>H</v>
      </c>
      <c r="L1722" s="29" t="str">
        <v>H</v>
      </c>
      <c r="M1722" s="29" t="str">
        <v>H</v>
      </c>
      <c r="N1722" s="29" t="str">
        <v>H</v>
      </c>
      <c r="O1722" s="29" t="str">
        <v>H</v>
      </c>
      <c r="P1722" s="29" t="str">
        <v>H</v>
      </c>
      <c r="Q1722" s="29" t="str">
        <v>H</v>
      </c>
      <c r="R1722" s="29" t="str">
        <v>H</v>
      </c>
      <c r="S1722" t="str">
        <v>H</v>
      </c>
      <c r="T1722" t="str">
        <v>H</v>
      </c>
      <c r="U1722" t="str">
        <v>H</v>
      </c>
      <c r="V1722" t="str">
        <v>H</v>
      </c>
      <c r="W1722" t="str">
        <v>H</v>
      </c>
    </row>
    <row r="1723" spans="1:23">
      <c r="A1723" s="30">
        <v>46006</v>
      </c>
      <c r="B1723" s="29">
        <v>44500</v>
      </c>
      <c r="C1723" s="29">
        <v>42800</v>
      </c>
      <c r="D1723" s="29">
        <v>42100</v>
      </c>
      <c r="E1723" s="29">
        <v>38950</v>
      </c>
      <c r="F1723" s="29">
        <v>44300</v>
      </c>
      <c r="G1723" s="29" t="str">
        <v>-</v>
      </c>
      <c r="H1723" s="29">
        <v>41000</v>
      </c>
      <c r="I1723" s="29">
        <v>42200</v>
      </c>
      <c r="J1723" s="29">
        <v>43500</v>
      </c>
      <c r="K1723" s="29" t="str">
        <v>-</v>
      </c>
      <c r="L1723" s="29">
        <v>44300</v>
      </c>
      <c r="M1723" s="29">
        <v>44700</v>
      </c>
      <c r="N1723" s="29">
        <v>41350</v>
      </c>
      <c r="O1723" s="29">
        <v>43000</v>
      </c>
      <c r="P1723" s="29">
        <v>38700</v>
      </c>
      <c r="Q1723" s="29">
        <v>39000</v>
      </c>
      <c r="R1723" s="29">
        <v>38900</v>
      </c>
      <c r="S1723">
        <v>41000</v>
      </c>
      <c r="T1723">
        <v>42600</v>
      </c>
      <c r="U1723">
        <v>44800</v>
      </c>
      <c r="V1723">
        <v>43300</v>
      </c>
      <c r="W1723">
        <v>46600</v>
      </c>
    </row>
    <row r="1724" spans="1:23">
      <c r="A1724" s="30">
        <v>46007</v>
      </c>
      <c r="B1724" s="29">
        <v>44800</v>
      </c>
      <c r="C1724" s="29">
        <v>42800</v>
      </c>
      <c r="D1724" s="29">
        <v>42300</v>
      </c>
      <c r="E1724" s="29">
        <v>39100</v>
      </c>
      <c r="F1724" s="29">
        <v>44700</v>
      </c>
      <c r="G1724" s="29" t="str">
        <v>-</v>
      </c>
      <c r="H1724" s="29">
        <v>41000</v>
      </c>
      <c r="I1724" s="29">
        <v>42400</v>
      </c>
      <c r="J1724" s="29">
        <v>44000</v>
      </c>
      <c r="K1724" s="29" t="str">
        <v>-</v>
      </c>
      <c r="L1724" s="29">
        <v>44400</v>
      </c>
      <c r="M1724" s="29">
        <v>44800</v>
      </c>
      <c r="N1724" s="29">
        <v>41600</v>
      </c>
      <c r="O1724" s="29">
        <v>43100</v>
      </c>
      <c r="P1724" s="29">
        <v>39100</v>
      </c>
      <c r="Q1724" s="29">
        <v>39500</v>
      </c>
      <c r="R1724" s="29">
        <v>39400</v>
      </c>
      <c r="S1724">
        <v>41100</v>
      </c>
      <c r="T1724">
        <v>43100</v>
      </c>
      <c r="U1724">
        <v>45000</v>
      </c>
      <c r="V1724">
        <v>43300</v>
      </c>
      <c r="W1724">
        <v>46600</v>
      </c>
    </row>
    <row r="1725" spans="1:23">
      <c r="A1725" s="30">
        <v>46008</v>
      </c>
      <c r="B1725" s="29">
        <v>45000</v>
      </c>
      <c r="C1725" s="29">
        <v>43000</v>
      </c>
      <c r="D1725" s="29">
        <v>42500</v>
      </c>
      <c r="E1725" s="29">
        <v>39200</v>
      </c>
      <c r="F1725" s="29">
        <v>45100</v>
      </c>
      <c r="G1725" s="29" t="str">
        <v>-</v>
      </c>
      <c r="H1725" s="29">
        <v>41000</v>
      </c>
      <c r="I1725" s="29">
        <v>42600</v>
      </c>
      <c r="J1725" s="29">
        <v>44000</v>
      </c>
      <c r="K1725" s="29" t="str">
        <v>-</v>
      </c>
      <c r="L1725" s="29">
        <v>44500</v>
      </c>
      <c r="M1725" s="29">
        <v>45000</v>
      </c>
      <c r="N1725" s="29">
        <v>42000</v>
      </c>
      <c r="O1725" s="29">
        <v>43200</v>
      </c>
      <c r="P1725" s="29">
        <v>39200</v>
      </c>
      <c r="Q1725" s="29">
        <v>39700</v>
      </c>
      <c r="R1725" s="29">
        <v>39800</v>
      </c>
      <c r="S1725">
        <v>41300</v>
      </c>
      <c r="T1725">
        <v>43400</v>
      </c>
      <c r="U1725">
        <v>45500</v>
      </c>
      <c r="V1725">
        <v>43000</v>
      </c>
      <c r="W1725">
        <v>46600</v>
      </c>
    </row>
    <row r="1726" spans="1:23">
      <c r="A1726" s="30">
        <v>46009</v>
      </c>
      <c r="B1726" s="29">
        <v>44900</v>
      </c>
      <c r="C1726" s="29">
        <v>43000</v>
      </c>
      <c r="D1726" s="29">
        <v>42500</v>
      </c>
      <c r="E1726" s="29">
        <v>39200</v>
      </c>
      <c r="F1726" s="29">
        <v>45200</v>
      </c>
      <c r="G1726" s="29" t="str">
        <v>-</v>
      </c>
      <c r="H1726" s="29">
        <v>41500</v>
      </c>
      <c r="I1726" s="29">
        <v>42500</v>
      </c>
      <c r="J1726" s="29">
        <v>44200</v>
      </c>
      <c r="K1726" s="29" t="str">
        <v>-</v>
      </c>
      <c r="L1726" s="29">
        <v>44500</v>
      </c>
      <c r="M1726" s="29">
        <v>45200</v>
      </c>
      <c r="N1726" s="29">
        <v>41850</v>
      </c>
      <c r="O1726" s="29">
        <v>43100</v>
      </c>
      <c r="P1726" s="29">
        <v>38800</v>
      </c>
      <c r="Q1726" s="29">
        <v>39600</v>
      </c>
      <c r="R1726" s="29">
        <v>39800</v>
      </c>
      <c r="S1726">
        <v>41300</v>
      </c>
      <c r="T1726">
        <v>43400</v>
      </c>
      <c r="U1726">
        <v>45500</v>
      </c>
      <c r="V1726">
        <v>43200</v>
      </c>
      <c r="W1726">
        <v>46600</v>
      </c>
    </row>
    <row r="1727" spans="1:23">
      <c r="A1727" s="30">
        <v>46010</v>
      </c>
      <c r="B1727" s="29">
        <v>45100</v>
      </c>
      <c r="C1727" s="29">
        <v>43300</v>
      </c>
      <c r="D1727" s="29">
        <v>43200</v>
      </c>
      <c r="E1727" s="29">
        <v>39500</v>
      </c>
      <c r="F1727" s="29">
        <v>45500</v>
      </c>
      <c r="G1727" s="29" t="str">
        <v>-</v>
      </c>
      <c r="H1727" s="29">
        <v>42000</v>
      </c>
      <c r="I1727" s="29">
        <v>43000</v>
      </c>
      <c r="J1727" s="29">
        <v>45000</v>
      </c>
      <c r="K1727" s="29" t="str">
        <v>-</v>
      </c>
      <c r="L1727" s="29">
        <v>44700</v>
      </c>
      <c r="M1727" s="29">
        <v>45300</v>
      </c>
      <c r="N1727" s="29">
        <v>42600</v>
      </c>
      <c r="O1727" s="29">
        <v>43300</v>
      </c>
      <c r="P1727" s="29">
        <v>39600</v>
      </c>
      <c r="Q1727" s="29">
        <v>40000</v>
      </c>
      <c r="R1727" s="29">
        <v>40000</v>
      </c>
      <c r="S1727">
        <v>41600</v>
      </c>
      <c r="T1727">
        <v>43700</v>
      </c>
      <c r="U1727">
        <v>46000</v>
      </c>
      <c r="V1727">
        <v>43500</v>
      </c>
      <c r="W1727">
        <v>46700</v>
      </c>
    </row>
    <row r="1728" spans="1:23">
      <c r="A1728" s="30">
        <v>46011</v>
      </c>
      <c r="B1728" s="29">
        <v>45300</v>
      </c>
      <c r="C1728" s="29">
        <v>43500</v>
      </c>
      <c r="D1728" s="29">
        <v>43200</v>
      </c>
      <c r="E1728" s="29">
        <v>39400</v>
      </c>
      <c r="F1728" s="29">
        <v>45800</v>
      </c>
      <c r="G1728" s="29" t="str">
        <v>-</v>
      </c>
      <c r="H1728" s="29">
        <v>41700</v>
      </c>
      <c r="I1728" s="29">
        <v>43000</v>
      </c>
      <c r="J1728" s="29">
        <v>45000</v>
      </c>
      <c r="K1728" s="29" t="str">
        <v>-</v>
      </c>
      <c r="L1728" s="29">
        <v>44800</v>
      </c>
      <c r="M1728" s="29">
        <v>45300</v>
      </c>
      <c r="N1728" s="29">
        <v>42600</v>
      </c>
      <c r="O1728" s="29">
        <v>43200</v>
      </c>
      <c r="P1728" s="29">
        <v>39600</v>
      </c>
      <c r="Q1728" s="29">
        <v>40000</v>
      </c>
      <c r="R1728" s="29">
        <v>40000</v>
      </c>
      <c r="S1728">
        <v>41500</v>
      </c>
      <c r="T1728">
        <v>43700</v>
      </c>
      <c r="U1728">
        <v>46000</v>
      </c>
      <c r="V1728">
        <v>43500</v>
      </c>
      <c r="W1728">
        <v>46900</v>
      </c>
    </row>
    <row r="1729" spans="1:23">
      <c r="A1729" s="30">
        <v>46012</v>
      </c>
      <c r="B1729" s="29" t="str">
        <v>H</v>
      </c>
      <c r="C1729" s="29" t="str">
        <v>H</v>
      </c>
      <c r="D1729" s="29" t="str">
        <v>H</v>
      </c>
      <c r="E1729" s="29" t="str">
        <v>H</v>
      </c>
      <c r="F1729" s="29" t="str">
        <v>H</v>
      </c>
      <c r="G1729" s="29" t="str">
        <v>H</v>
      </c>
      <c r="H1729" s="29" t="str">
        <v>H</v>
      </c>
      <c r="I1729" s="29" t="str">
        <v>H</v>
      </c>
      <c r="J1729" s="29" t="str">
        <v>H</v>
      </c>
      <c r="K1729" s="29" t="str">
        <v>H</v>
      </c>
      <c r="L1729" s="29" t="str">
        <v>H</v>
      </c>
      <c r="M1729" s="29" t="str">
        <v>H</v>
      </c>
      <c r="N1729" s="29" t="str">
        <v>H</v>
      </c>
      <c r="O1729" s="29" t="str">
        <v>H</v>
      </c>
      <c r="P1729" s="29" t="str">
        <v>H</v>
      </c>
      <c r="Q1729" s="29" t="str">
        <v>H</v>
      </c>
      <c r="R1729" s="29" t="str">
        <v>H</v>
      </c>
      <c r="S1729" t="str">
        <v>H</v>
      </c>
      <c r="T1729" t="str">
        <v>H</v>
      </c>
      <c r="U1729" t="str">
        <v>H</v>
      </c>
      <c r="V1729" t="str">
        <v>H</v>
      </c>
      <c r="W1729" t="str">
        <v>H</v>
      </c>
    </row>
    <row r="1730" spans="1:23">
      <c r="A1730" s="30">
        <v>46013</v>
      </c>
      <c r="B1730" s="29">
        <v>46000</v>
      </c>
      <c r="C1730" s="29">
        <v>43800</v>
      </c>
      <c r="D1730" s="29">
        <v>43350</v>
      </c>
      <c r="E1730" s="29">
        <v>39800</v>
      </c>
      <c r="F1730" s="29">
        <v>45800</v>
      </c>
      <c r="G1730" s="29" t="str">
        <v>-</v>
      </c>
      <c r="H1730" s="29">
        <v>42300</v>
      </c>
      <c r="I1730" s="29">
        <v>43200</v>
      </c>
      <c r="J1730" s="29">
        <v>45300</v>
      </c>
      <c r="K1730" s="29" t="str">
        <v>-</v>
      </c>
      <c r="L1730" s="29">
        <v>45000</v>
      </c>
      <c r="M1730" s="29">
        <v>45300</v>
      </c>
      <c r="N1730" s="29">
        <v>42700</v>
      </c>
      <c r="O1730" s="29">
        <v>43500</v>
      </c>
      <c r="P1730" s="29">
        <v>40400</v>
      </c>
      <c r="Q1730" s="29">
        <v>40700</v>
      </c>
      <c r="R1730" s="29">
        <v>40300</v>
      </c>
      <c r="S1730">
        <v>41900</v>
      </c>
      <c r="T1730">
        <v>44100</v>
      </c>
      <c r="U1730">
        <v>46000</v>
      </c>
      <c r="V1730">
        <v>43900</v>
      </c>
      <c r="W1730">
        <v>47000</v>
      </c>
    </row>
    <row r="1731" spans="1:23">
      <c r="A1731" s="30">
        <v>46014</v>
      </c>
      <c r="B1731" s="29">
        <v>46400</v>
      </c>
      <c r="C1731" s="29">
        <v>43800</v>
      </c>
      <c r="D1731" s="29">
        <v>43400</v>
      </c>
      <c r="E1731" s="29">
        <v>39800</v>
      </c>
      <c r="F1731" s="29">
        <v>46500</v>
      </c>
      <c r="G1731" s="29" t="str">
        <v>-</v>
      </c>
      <c r="H1731" s="29">
        <v>42500</v>
      </c>
      <c r="I1731" s="29">
        <v>43000</v>
      </c>
      <c r="J1731" s="29">
        <v>45600</v>
      </c>
      <c r="K1731" s="29" t="str">
        <v>-</v>
      </c>
      <c r="L1731" s="29">
        <v>45300</v>
      </c>
      <c r="M1731" s="29">
        <v>45500</v>
      </c>
      <c r="N1731" s="29">
        <v>43000</v>
      </c>
      <c r="O1731" s="29">
        <v>43500</v>
      </c>
      <c r="P1731" s="29">
        <v>40400</v>
      </c>
      <c r="Q1731" s="29">
        <v>41000</v>
      </c>
      <c r="R1731" s="29">
        <v>40700</v>
      </c>
      <c r="S1731">
        <v>41900</v>
      </c>
      <c r="T1731">
        <v>44400</v>
      </c>
      <c r="U1731">
        <v>47000</v>
      </c>
      <c r="V1731">
        <v>44500</v>
      </c>
      <c r="W1731">
        <v>47500</v>
      </c>
    </row>
    <row r="1732" spans="1:23">
      <c r="A1732" s="30">
        <v>46015</v>
      </c>
      <c r="B1732" s="29">
        <v>46400</v>
      </c>
      <c r="C1732" s="29">
        <v>44000</v>
      </c>
      <c r="D1732" s="29">
        <v>43500</v>
      </c>
      <c r="E1732" s="29">
        <v>39800</v>
      </c>
      <c r="F1732" s="29">
        <v>46500</v>
      </c>
      <c r="G1732" s="29" t="str">
        <v>-</v>
      </c>
      <c r="H1732" s="29">
        <v>42500</v>
      </c>
      <c r="I1732" s="29">
        <v>43000</v>
      </c>
      <c r="J1732" s="29">
        <v>45600</v>
      </c>
      <c r="K1732" s="29" t="str">
        <v>-</v>
      </c>
      <c r="L1732" s="29">
        <v>45300</v>
      </c>
      <c r="M1732" s="29">
        <v>45500</v>
      </c>
      <c r="N1732" s="29">
        <v>42900</v>
      </c>
      <c r="O1732" s="29">
        <v>43500</v>
      </c>
      <c r="P1732" s="29">
        <v>40400</v>
      </c>
      <c r="Q1732" s="29">
        <v>41000</v>
      </c>
      <c r="R1732" s="29">
        <v>40700</v>
      </c>
      <c r="S1732">
        <v>41900</v>
      </c>
      <c r="T1732">
        <v>44500</v>
      </c>
      <c r="U1732">
        <v>47000</v>
      </c>
      <c r="V1732">
        <v>44800</v>
      </c>
      <c r="W1732">
        <v>47500</v>
      </c>
    </row>
    <row r="1733" spans="1:23">
      <c r="A1733" s="30">
        <v>46016</v>
      </c>
      <c r="B1733" s="29" t="str">
        <v>H</v>
      </c>
      <c r="C1733" s="29" t="str">
        <v>H</v>
      </c>
      <c r="D1733" s="29" t="str">
        <v>H</v>
      </c>
      <c r="E1733" s="29" t="str">
        <v>H</v>
      </c>
      <c r="F1733" s="29" t="str">
        <v>H</v>
      </c>
      <c r="G1733" s="29" t="str">
        <v>H</v>
      </c>
      <c r="H1733" s="29" t="str">
        <v>H</v>
      </c>
      <c r="I1733" s="29" t="str">
        <v>H</v>
      </c>
      <c r="J1733" s="29" t="str">
        <v>H</v>
      </c>
      <c r="K1733" s="29" t="str">
        <v>H</v>
      </c>
      <c r="L1733" s="29" t="str">
        <v>H</v>
      </c>
      <c r="M1733" s="29" t="str">
        <v>H</v>
      </c>
      <c r="N1733" s="29" t="str">
        <v>H</v>
      </c>
      <c r="O1733" s="29" t="str">
        <v>H</v>
      </c>
      <c r="P1733" s="29" t="str">
        <v>H</v>
      </c>
      <c r="Q1733" s="29" t="str">
        <v>H</v>
      </c>
      <c r="R1733" s="29" t="str">
        <v>H</v>
      </c>
      <c r="S1733" t="str">
        <v>H</v>
      </c>
      <c r="T1733" t="str">
        <v>H</v>
      </c>
      <c r="U1733" t="str">
        <v>H</v>
      </c>
      <c r="V1733" t="str">
        <v>H</v>
      </c>
      <c r="W1733" t="str">
        <v>H</v>
      </c>
    </row>
    <row r="1734" spans="1:23">
      <c r="A1734" s="30">
        <v>46017</v>
      </c>
      <c r="B1734" s="29">
        <v>46400</v>
      </c>
      <c r="C1734" s="29">
        <v>44000</v>
      </c>
      <c r="D1734" s="29">
        <v>43650</v>
      </c>
      <c r="E1734" s="29">
        <v>40000</v>
      </c>
      <c r="F1734" s="29">
        <v>46700</v>
      </c>
      <c r="G1734" s="29" t="str">
        <v>-</v>
      </c>
      <c r="H1734" s="29">
        <v>42500</v>
      </c>
      <c r="I1734" s="29">
        <v>43200</v>
      </c>
      <c r="J1734" s="29">
        <v>45700</v>
      </c>
      <c r="K1734" s="29" t="str">
        <v>-</v>
      </c>
      <c r="L1734" s="29">
        <v>45500</v>
      </c>
      <c r="M1734" s="29">
        <v>45600</v>
      </c>
      <c r="N1734" s="29">
        <v>43150</v>
      </c>
      <c r="O1734" s="29">
        <v>43500</v>
      </c>
      <c r="P1734" s="29">
        <v>40200</v>
      </c>
      <c r="Q1734" s="29">
        <v>40700</v>
      </c>
      <c r="R1734" s="29">
        <v>40700</v>
      </c>
      <c r="S1734">
        <v>42100</v>
      </c>
      <c r="T1734">
        <v>44500</v>
      </c>
      <c r="U1734">
        <v>47000</v>
      </c>
      <c r="V1734">
        <v>44800</v>
      </c>
      <c r="W1734">
        <v>47500</v>
      </c>
    </row>
    <row r="1735" spans="1:23">
      <c r="A1735" s="30">
        <v>46018</v>
      </c>
      <c r="B1735" s="29">
        <v>46400</v>
      </c>
      <c r="C1735" s="29">
        <v>44000</v>
      </c>
      <c r="D1735" s="29">
        <v>43700</v>
      </c>
      <c r="E1735" s="29">
        <v>40000</v>
      </c>
      <c r="F1735" s="29">
        <v>46700</v>
      </c>
      <c r="G1735" s="29" t="str">
        <v>-</v>
      </c>
      <c r="H1735" s="29">
        <v>42500</v>
      </c>
      <c r="I1735" s="29">
        <v>43400</v>
      </c>
      <c r="J1735" s="29">
        <v>45700</v>
      </c>
      <c r="K1735" s="29" t="str">
        <v>-</v>
      </c>
      <c r="L1735" s="29">
        <v>45600</v>
      </c>
      <c r="M1735" s="29">
        <v>45700</v>
      </c>
      <c r="N1735" s="29">
        <v>43200</v>
      </c>
      <c r="O1735" s="29">
        <v>43500</v>
      </c>
      <c r="P1735" s="29">
        <v>40200</v>
      </c>
      <c r="Q1735" s="29">
        <v>40600</v>
      </c>
      <c r="R1735" s="29">
        <v>40700</v>
      </c>
      <c r="S1735">
        <v>42100</v>
      </c>
      <c r="T1735">
        <v>44500</v>
      </c>
      <c r="U1735">
        <v>47000</v>
      </c>
      <c r="V1735">
        <v>44800</v>
      </c>
      <c r="W1735">
        <v>47500</v>
      </c>
    </row>
    <row r="1736" spans="1:23">
      <c r="A1736" s="30">
        <v>46019</v>
      </c>
      <c r="B1736" s="29" t="str">
        <v>H</v>
      </c>
      <c r="C1736" s="29" t="str">
        <v>H</v>
      </c>
      <c r="D1736" s="29" t="str">
        <v>H</v>
      </c>
      <c r="E1736" s="29" t="str">
        <v>H</v>
      </c>
      <c r="F1736" s="29" t="str">
        <v>H</v>
      </c>
      <c r="G1736" s="29" t="str">
        <v>H</v>
      </c>
      <c r="H1736" s="29" t="str">
        <v>H</v>
      </c>
      <c r="I1736" s="29" t="str">
        <v>H</v>
      </c>
      <c r="J1736" s="29" t="str">
        <v>H</v>
      </c>
      <c r="K1736" s="29" t="str">
        <v>H</v>
      </c>
      <c r="L1736" s="29" t="str">
        <v>H</v>
      </c>
      <c r="M1736" s="29" t="str">
        <v>H</v>
      </c>
      <c r="N1736" s="29" t="str">
        <v>H</v>
      </c>
      <c r="O1736" s="29" t="str">
        <v>H</v>
      </c>
      <c r="P1736" s="29" t="str">
        <v>H</v>
      </c>
      <c r="Q1736" s="29" t="str">
        <v>H</v>
      </c>
      <c r="R1736" s="29" t="str">
        <v>H</v>
      </c>
      <c r="S1736" t="str">
        <v>H</v>
      </c>
      <c r="T1736" t="str">
        <v>H</v>
      </c>
      <c r="U1736" t="str">
        <v>H</v>
      </c>
      <c r="V1736" t="str">
        <v>H</v>
      </c>
      <c r="W1736" t="str">
        <v>H</v>
      </c>
    </row>
    <row r="1737" spans="1:23">
      <c r="A1737" s="30">
        <v>46020</v>
      </c>
      <c r="B1737" s="29">
        <v>47500</v>
      </c>
      <c r="C1737" s="29">
        <v>45000</v>
      </c>
      <c r="D1737" s="29">
        <v>44700</v>
      </c>
      <c r="E1737" s="29">
        <v>41800</v>
      </c>
      <c r="F1737" s="29">
        <v>48900</v>
      </c>
      <c r="G1737" s="29" t="str">
        <v>-</v>
      </c>
      <c r="H1737" s="29">
        <v>43500</v>
      </c>
      <c r="I1737" s="29">
        <v>44500</v>
      </c>
      <c r="J1737" s="29">
        <v>49500</v>
      </c>
      <c r="K1737" s="29" t="str">
        <v>-</v>
      </c>
      <c r="L1737" s="29">
        <v>46500</v>
      </c>
      <c r="M1737" s="29">
        <v>46700</v>
      </c>
      <c r="N1737" s="29">
        <v>44500</v>
      </c>
      <c r="O1737" s="29">
        <v>45000</v>
      </c>
      <c r="P1737" s="29">
        <v>42500</v>
      </c>
      <c r="Q1737" s="29">
        <v>42600</v>
      </c>
      <c r="R1737" s="29">
        <v>41800</v>
      </c>
      <c r="S1737">
        <v>43900</v>
      </c>
      <c r="T1737">
        <v>45800</v>
      </c>
      <c r="U1737">
        <v>49500</v>
      </c>
      <c r="V1737">
        <v>45500</v>
      </c>
      <c r="W1737">
        <v>48400</v>
      </c>
    </row>
    <row r="1738" spans="1:23">
      <c r="A1738" s="30">
        <v>46021</v>
      </c>
      <c r="B1738" s="29">
        <v>47900</v>
      </c>
      <c r="C1738" s="29">
        <v>45000</v>
      </c>
      <c r="D1738" s="29">
        <v>45000</v>
      </c>
      <c r="E1738" s="29">
        <v>41200</v>
      </c>
      <c r="F1738" s="29">
        <v>48900</v>
      </c>
      <c r="G1738" s="29" t="str">
        <v>-</v>
      </c>
      <c r="H1738" s="29">
        <v>43500</v>
      </c>
      <c r="I1738" s="29">
        <v>44900</v>
      </c>
      <c r="J1738" s="29">
        <v>49500</v>
      </c>
      <c r="K1738" s="29" t="str">
        <v>-</v>
      </c>
      <c r="L1738" s="29">
        <v>46800</v>
      </c>
      <c r="M1738" s="29">
        <v>47400</v>
      </c>
      <c r="N1738" s="29">
        <v>44600</v>
      </c>
      <c r="O1738" s="29">
        <v>45000</v>
      </c>
      <c r="P1738" s="29">
        <v>42000</v>
      </c>
      <c r="Q1738" s="29">
        <v>42500</v>
      </c>
      <c r="R1738" s="29">
        <v>41800</v>
      </c>
      <c r="S1738">
        <v>43300</v>
      </c>
      <c r="T1738">
        <v>46000</v>
      </c>
      <c r="U1738">
        <v>49500</v>
      </c>
      <c r="V1738">
        <v>45700</v>
      </c>
      <c r="W1738">
        <v>48400</v>
      </c>
    </row>
    <row r="1739" spans="1:23">
      <c r="A1739" s="30">
        <v>46022</v>
      </c>
      <c r="B1739" s="29">
        <v>47900</v>
      </c>
      <c r="C1739" s="29">
        <v>45000</v>
      </c>
      <c r="D1739" s="29">
        <v>45300</v>
      </c>
      <c r="E1739" s="29">
        <v>41100</v>
      </c>
      <c r="F1739" s="29">
        <v>48900</v>
      </c>
      <c r="G1739" s="29" t="str">
        <v>-</v>
      </c>
      <c r="H1739" s="29">
        <v>43500</v>
      </c>
      <c r="I1739" s="29">
        <v>45000</v>
      </c>
      <c r="J1739" s="29">
        <v>49500</v>
      </c>
      <c r="K1739" s="29" t="str">
        <v>-</v>
      </c>
      <c r="L1739" s="29">
        <v>46800</v>
      </c>
      <c r="M1739" s="29">
        <v>47600</v>
      </c>
      <c r="N1739" s="29">
        <v>44750</v>
      </c>
      <c r="O1739" s="29">
        <v>45000</v>
      </c>
      <c r="P1739" s="29">
        <v>42300</v>
      </c>
      <c r="Q1739" s="29">
        <v>42800</v>
      </c>
      <c r="R1739" s="29">
        <v>41800</v>
      </c>
      <c r="S1739">
        <v>43200</v>
      </c>
      <c r="T1739">
        <v>46300</v>
      </c>
      <c r="U1739">
        <v>49500</v>
      </c>
      <c r="V1739">
        <v>45800</v>
      </c>
      <c r="W1739">
        <v>48400</v>
      </c>
    </row>
    <row r="1740" spans="1:23">
      <c r="A1740" s="30">
        <v>46023</v>
      </c>
      <c r="B1740" s="29">
        <v>48400</v>
      </c>
      <c r="C1740" s="29">
        <v>45000</v>
      </c>
      <c r="D1740" s="29">
        <v>46000</v>
      </c>
      <c r="E1740" s="29">
        <v>41900</v>
      </c>
      <c r="F1740" s="29">
        <v>49200</v>
      </c>
      <c r="G1740" s="29" t="str">
        <v>-</v>
      </c>
      <c r="H1740" s="29">
        <v>44500</v>
      </c>
      <c r="I1740" s="29">
        <v>45400</v>
      </c>
      <c r="J1740" s="29">
        <v>49600</v>
      </c>
      <c r="K1740" s="29" t="str">
        <v>-</v>
      </c>
      <c r="L1740" s="29">
        <v>47300</v>
      </c>
      <c r="M1740" s="29">
        <v>48200</v>
      </c>
      <c r="N1740" s="29">
        <v>45500</v>
      </c>
      <c r="O1740" s="29">
        <v>46000</v>
      </c>
      <c r="P1740" s="29">
        <v>43700</v>
      </c>
      <c r="Q1740" s="29">
        <v>43800</v>
      </c>
      <c r="R1740" s="29">
        <v>42500</v>
      </c>
      <c r="S1740">
        <v>44000</v>
      </c>
      <c r="T1740">
        <v>47200</v>
      </c>
      <c r="U1740">
        <v>51000</v>
      </c>
      <c r="V1740">
        <v>46000</v>
      </c>
      <c r="W1740">
        <v>49200</v>
      </c>
    </row>
    <row r="1741" spans="1:23">
      <c r="A1741" s="30">
        <v>46024</v>
      </c>
      <c r="B1741" s="29">
        <v>50000</v>
      </c>
      <c r="C1741" s="29">
        <v>45500</v>
      </c>
      <c r="D1741" s="29">
        <v>47500</v>
      </c>
      <c r="E1741" s="29">
        <v>42500</v>
      </c>
      <c r="F1741" s="29">
        <v>49500</v>
      </c>
      <c r="G1741" s="29" t="str">
        <v>-</v>
      </c>
      <c r="H1741" s="29">
        <v>45000</v>
      </c>
      <c r="I1741" s="29">
        <v>46100</v>
      </c>
      <c r="J1741" s="29">
        <v>50000</v>
      </c>
      <c r="K1741" s="29" t="str">
        <v>-</v>
      </c>
      <c r="L1741" s="29">
        <v>48000</v>
      </c>
      <c r="M1741" s="29">
        <v>48800</v>
      </c>
      <c r="N1741" s="29">
        <v>46450</v>
      </c>
      <c r="O1741" s="29">
        <v>46800</v>
      </c>
      <c r="P1741" s="29">
        <v>44300</v>
      </c>
      <c r="Q1741" s="29">
        <v>44600</v>
      </c>
      <c r="R1741" s="29">
        <v>43400</v>
      </c>
      <c r="S1741">
        <v>44600</v>
      </c>
      <c r="T1741">
        <v>47800</v>
      </c>
      <c r="U1741">
        <v>51000</v>
      </c>
      <c r="V1741">
        <v>46900</v>
      </c>
      <c r="W1741">
        <v>49400</v>
      </c>
    </row>
    <row r="1742" spans="1:23">
      <c r="A1742" s="30">
        <v>46025</v>
      </c>
      <c r="B1742" s="29">
        <v>50400</v>
      </c>
      <c r="C1742" s="29">
        <v>45500</v>
      </c>
      <c r="D1742" s="29">
        <v>47500</v>
      </c>
      <c r="E1742" s="29">
        <v>42500</v>
      </c>
      <c r="F1742" s="29">
        <v>49800</v>
      </c>
      <c r="G1742" s="29" t="str">
        <v>-</v>
      </c>
      <c r="H1742" s="29">
        <v>45500</v>
      </c>
      <c r="I1742" s="29">
        <v>46500</v>
      </c>
      <c r="J1742" s="29">
        <v>50000</v>
      </c>
      <c r="K1742" s="29" t="str">
        <v>-</v>
      </c>
      <c r="L1742" s="29">
        <v>48200</v>
      </c>
      <c r="M1742" s="29">
        <v>49000</v>
      </c>
      <c r="N1742" s="29">
        <v>46800</v>
      </c>
      <c r="O1742" s="29">
        <v>46800</v>
      </c>
      <c r="P1742" s="29">
        <v>44500</v>
      </c>
      <c r="Q1742" s="29">
        <v>44500</v>
      </c>
      <c r="R1742" s="29">
        <v>43700</v>
      </c>
      <c r="S1742">
        <v>44600</v>
      </c>
      <c r="T1742">
        <v>47800</v>
      </c>
      <c r="U1742">
        <v>51000</v>
      </c>
      <c r="V1742">
        <v>47400</v>
      </c>
      <c r="W1742">
        <v>49400</v>
      </c>
    </row>
    <row r="1743" spans="1:23">
      <c r="A1743" s="30">
        <v>46026</v>
      </c>
      <c r="B1743" s="29" t="str">
        <v>H</v>
      </c>
      <c r="C1743" s="29" t="str">
        <v>H</v>
      </c>
      <c r="D1743" s="29" t="str">
        <v>H</v>
      </c>
      <c r="E1743" s="29" t="str">
        <v>H</v>
      </c>
      <c r="F1743" s="29" t="str">
        <v>H</v>
      </c>
      <c r="G1743" s="29" t="str">
        <v>H</v>
      </c>
      <c r="H1743" s="29" t="str">
        <v>H</v>
      </c>
      <c r="I1743" s="29" t="str">
        <v>H</v>
      </c>
      <c r="J1743" s="29" t="str">
        <v>H</v>
      </c>
      <c r="K1743" s="29" t="str">
        <v>H</v>
      </c>
      <c r="L1743" s="29" t="str">
        <v>H</v>
      </c>
      <c r="M1743" s="29" t="str">
        <v>H</v>
      </c>
      <c r="N1743" s="29" t="str">
        <v>H</v>
      </c>
      <c r="O1743" s="29" t="str">
        <v>H</v>
      </c>
      <c r="P1743" s="29" t="str">
        <v>H</v>
      </c>
      <c r="Q1743" s="29" t="str">
        <v>H</v>
      </c>
      <c r="R1743" s="29" t="str">
        <v>H</v>
      </c>
      <c r="S1743" t="str">
        <v>H</v>
      </c>
      <c r="T1743" t="str">
        <v>H</v>
      </c>
      <c r="U1743" t="str">
        <v>H</v>
      </c>
      <c r="V1743" t="str">
        <v>H</v>
      </c>
      <c r="W1743" t="str">
        <v>H</v>
      </c>
    </row>
    <row r="1744" spans="1:23">
      <c r="A1744" s="30">
        <v>46027</v>
      </c>
      <c r="B1744" s="29">
        <v>50400</v>
      </c>
      <c r="C1744" s="29">
        <v>45700</v>
      </c>
      <c r="D1744" s="29">
        <v>47100</v>
      </c>
      <c r="E1744" s="29">
        <v>42000</v>
      </c>
      <c r="F1744" s="29">
        <v>49300</v>
      </c>
      <c r="G1744" s="29" t="str">
        <v>-</v>
      </c>
      <c r="H1744" s="29">
        <v>44500</v>
      </c>
      <c r="I1744" s="29">
        <v>46100</v>
      </c>
      <c r="J1744" s="29">
        <v>49600</v>
      </c>
      <c r="K1744" s="29" t="str">
        <v>-</v>
      </c>
      <c r="L1744" s="29">
        <v>47800</v>
      </c>
      <c r="M1744" s="29">
        <v>49000</v>
      </c>
      <c r="N1744" s="29">
        <v>45900</v>
      </c>
      <c r="O1744" s="29">
        <v>46500</v>
      </c>
      <c r="P1744" s="29">
        <v>43500</v>
      </c>
      <c r="Q1744" s="29">
        <v>44100</v>
      </c>
      <c r="R1744" s="29">
        <v>43300</v>
      </c>
      <c r="S1744">
        <v>44100</v>
      </c>
      <c r="T1744">
        <v>47600</v>
      </c>
      <c r="U1744">
        <v>50800</v>
      </c>
      <c r="V1744">
        <v>47400</v>
      </c>
      <c r="W1744">
        <v>49400</v>
      </c>
    </row>
    <row r="1745" spans="1:23">
      <c r="A1745" s="30">
        <v>46028</v>
      </c>
      <c r="B1745" s="29">
        <v>50100</v>
      </c>
      <c r="C1745" s="29">
        <v>45500</v>
      </c>
      <c r="D1745" s="29">
        <v>46800</v>
      </c>
      <c r="E1745" s="29">
        <v>41900</v>
      </c>
      <c r="F1745" s="29">
        <v>49000</v>
      </c>
      <c r="G1745" s="29" t="str">
        <v>-</v>
      </c>
      <c r="H1745" s="29">
        <v>44500</v>
      </c>
      <c r="I1745" s="29">
        <v>45700</v>
      </c>
      <c r="J1745" s="29">
        <v>49600</v>
      </c>
      <c r="K1745" s="29" t="str">
        <v>-</v>
      </c>
      <c r="L1745" s="29">
        <v>47500</v>
      </c>
      <c r="M1745" s="29">
        <v>49000</v>
      </c>
      <c r="N1745" s="29">
        <v>45500</v>
      </c>
      <c r="O1745" s="29">
        <v>46500</v>
      </c>
      <c r="P1745" s="29">
        <v>43000</v>
      </c>
      <c r="Q1745" s="29">
        <v>43800</v>
      </c>
      <c r="R1745" s="29">
        <v>42800</v>
      </c>
      <c r="S1745">
        <v>44000</v>
      </c>
      <c r="T1745">
        <v>47100</v>
      </c>
      <c r="U1745">
        <v>50800</v>
      </c>
      <c r="V1745">
        <v>47000</v>
      </c>
      <c r="W1745">
        <v>49500</v>
      </c>
    </row>
    <row r="1746" spans="1:23">
      <c r="A1746" s="30">
        <v>46029</v>
      </c>
      <c r="B1746" s="29">
        <v>49300</v>
      </c>
      <c r="C1746" s="29">
        <v>45000</v>
      </c>
      <c r="D1746" s="29">
        <v>46800</v>
      </c>
      <c r="E1746" s="29">
        <v>41800</v>
      </c>
      <c r="F1746" s="29">
        <v>49000</v>
      </c>
      <c r="G1746" s="29" t="str">
        <v>-</v>
      </c>
      <c r="H1746" s="29">
        <v>44500</v>
      </c>
      <c r="I1746" s="29">
        <v>45200</v>
      </c>
      <c r="J1746" s="29">
        <v>49600</v>
      </c>
      <c r="K1746" s="29" t="str">
        <v>-</v>
      </c>
      <c r="L1746" s="29">
        <v>47300</v>
      </c>
      <c r="M1746" s="29">
        <v>48800</v>
      </c>
      <c r="N1746" s="29">
        <v>45350</v>
      </c>
      <c r="O1746" s="29">
        <v>46500</v>
      </c>
      <c r="P1746" s="29">
        <v>42600</v>
      </c>
      <c r="Q1746" s="29">
        <v>43600</v>
      </c>
      <c r="R1746" s="29">
        <v>42600</v>
      </c>
      <c r="S1746">
        <v>43900</v>
      </c>
      <c r="T1746">
        <v>46800</v>
      </c>
      <c r="U1746">
        <v>49800</v>
      </c>
      <c r="V1746">
        <v>46900</v>
      </c>
      <c r="W1746">
        <v>49500</v>
      </c>
    </row>
    <row r="1747" spans="1:23">
      <c r="A1747" s="30">
        <v>46030</v>
      </c>
      <c r="B1747" s="29">
        <v>48700</v>
      </c>
      <c r="C1747" s="29">
        <v>45000</v>
      </c>
      <c r="D1747" s="29">
        <v>46400</v>
      </c>
      <c r="E1747" s="29">
        <v>41600</v>
      </c>
      <c r="F1747" s="29">
        <v>48800</v>
      </c>
      <c r="G1747" s="29" t="str">
        <v>-</v>
      </c>
      <c r="H1747" s="29">
        <v>44500</v>
      </c>
      <c r="I1747" s="29">
        <v>45000</v>
      </c>
      <c r="J1747" s="29">
        <v>49300</v>
      </c>
      <c r="K1747" s="29" t="str">
        <v>-</v>
      </c>
      <c r="L1747" s="29">
        <v>47000</v>
      </c>
      <c r="M1747" s="29">
        <v>48200</v>
      </c>
      <c r="N1747" s="29">
        <v>45000</v>
      </c>
      <c r="O1747" s="29">
        <v>46200</v>
      </c>
      <c r="P1747" s="29">
        <v>42300</v>
      </c>
      <c r="Q1747" s="29">
        <v>43000</v>
      </c>
      <c r="R1747" s="29">
        <v>42400</v>
      </c>
      <c r="S1747">
        <v>43700</v>
      </c>
      <c r="T1747">
        <v>46400</v>
      </c>
      <c r="U1747">
        <v>49800</v>
      </c>
      <c r="V1747">
        <v>46800</v>
      </c>
      <c r="W1747">
        <v>49500</v>
      </c>
    </row>
    <row r="1748" spans="1:23">
      <c r="A1748" s="30">
        <v>46031</v>
      </c>
      <c r="B1748" s="29">
        <v>48200</v>
      </c>
      <c r="C1748" s="29">
        <v>45000</v>
      </c>
      <c r="D1748" s="29">
        <v>46400</v>
      </c>
      <c r="E1748" s="29">
        <v>41600</v>
      </c>
      <c r="F1748" s="29">
        <v>48500</v>
      </c>
      <c r="G1748" s="29" t="str">
        <v>-</v>
      </c>
      <c r="H1748" s="29">
        <v>44500</v>
      </c>
      <c r="I1748" s="29">
        <v>45000</v>
      </c>
      <c r="J1748" s="29">
        <v>49000</v>
      </c>
      <c r="K1748" s="29" t="str">
        <v>-</v>
      </c>
      <c r="L1748" s="29">
        <v>47000</v>
      </c>
      <c r="M1748" s="29">
        <v>47900</v>
      </c>
      <c r="N1748" s="29">
        <v>45200</v>
      </c>
      <c r="O1748" s="29">
        <v>46200</v>
      </c>
      <c r="P1748" s="29">
        <v>42300</v>
      </c>
      <c r="Q1748" s="29">
        <v>42900</v>
      </c>
      <c r="R1748" s="29">
        <v>42500</v>
      </c>
      <c r="S1748">
        <v>43700</v>
      </c>
      <c r="T1748">
        <v>46100</v>
      </c>
      <c r="U1748">
        <v>49800</v>
      </c>
      <c r="V1748">
        <v>46800</v>
      </c>
      <c r="W1748">
        <v>49500</v>
      </c>
    </row>
    <row r="1749" spans="1:23">
      <c r="A1749" s="30">
        <v>46032</v>
      </c>
      <c r="B1749" s="29">
        <v>48300</v>
      </c>
      <c r="C1749" s="29">
        <v>45000</v>
      </c>
      <c r="D1749" s="29">
        <v>46300</v>
      </c>
      <c r="E1749" s="29">
        <v>41600</v>
      </c>
      <c r="F1749" s="29">
        <v>48500</v>
      </c>
      <c r="G1749" s="29" t="str">
        <v>-</v>
      </c>
      <c r="H1749" s="29">
        <v>44500</v>
      </c>
      <c r="I1749" s="29">
        <v>45100</v>
      </c>
      <c r="J1749" s="29">
        <v>49000</v>
      </c>
      <c r="K1749" s="29" t="str">
        <v>-</v>
      </c>
      <c r="L1749" s="29">
        <v>47200</v>
      </c>
      <c r="M1749" s="29">
        <v>48300</v>
      </c>
      <c r="N1749" s="29">
        <v>45000</v>
      </c>
      <c r="O1749" s="29">
        <v>46200</v>
      </c>
      <c r="P1749" s="29">
        <v>42300</v>
      </c>
      <c r="Q1749" s="29">
        <v>43000</v>
      </c>
      <c r="R1749" s="29">
        <v>42500</v>
      </c>
      <c r="S1749">
        <v>43700</v>
      </c>
      <c r="T1749">
        <v>46500</v>
      </c>
      <c r="U1749">
        <v>49800</v>
      </c>
      <c r="V1749">
        <v>46800</v>
      </c>
      <c r="W1749">
        <v>49500</v>
      </c>
    </row>
    <row r="1750" spans="1:23">
      <c r="A1750" s="30">
        <v>46033</v>
      </c>
      <c r="B1750" s="29" t="str">
        <v>H</v>
      </c>
      <c r="C1750" s="29" t="str">
        <v>H</v>
      </c>
      <c r="D1750" s="29" t="str">
        <v>H</v>
      </c>
      <c r="E1750" s="29" t="str">
        <v>H</v>
      </c>
      <c r="F1750" s="29" t="str">
        <v>H</v>
      </c>
      <c r="G1750" s="29" t="str">
        <v>H</v>
      </c>
      <c r="H1750" s="29" t="str">
        <v>H</v>
      </c>
      <c r="I1750" s="29" t="str">
        <v>H</v>
      </c>
      <c r="J1750" s="29" t="str">
        <v>H</v>
      </c>
      <c r="K1750" s="29" t="str">
        <v>H</v>
      </c>
      <c r="L1750" s="29" t="str">
        <v>H</v>
      </c>
      <c r="M1750" s="29" t="str">
        <v>H</v>
      </c>
      <c r="N1750" s="29" t="str">
        <v>H</v>
      </c>
      <c r="O1750" s="29" t="str">
        <v>H</v>
      </c>
      <c r="P1750" s="29" t="str">
        <v>H</v>
      </c>
      <c r="Q1750" s="29" t="str">
        <v>H</v>
      </c>
      <c r="R1750" s="29" t="str">
        <v>H</v>
      </c>
      <c r="S1750" t="str">
        <v>H</v>
      </c>
      <c r="T1750" t="str">
        <v>H</v>
      </c>
      <c r="U1750" t="str">
        <v>H</v>
      </c>
      <c r="V1750" t="str">
        <v>H</v>
      </c>
      <c r="W1750" t="str">
        <v>H</v>
      </c>
    </row>
    <row r="1751" spans="1:23">
      <c r="A1751" s="30">
        <v>46034</v>
      </c>
      <c r="B1751" s="29">
        <v>48300</v>
      </c>
      <c r="C1751" s="29">
        <v>45000</v>
      </c>
      <c r="D1751" s="29">
        <v>46000</v>
      </c>
      <c r="E1751" s="29">
        <v>41800</v>
      </c>
      <c r="F1751" s="29">
        <v>48500</v>
      </c>
      <c r="G1751" s="29" t="str">
        <v>-</v>
      </c>
      <c r="H1751" s="29">
        <v>44500</v>
      </c>
      <c r="I1751" s="29">
        <v>44900</v>
      </c>
      <c r="J1751" s="29">
        <v>48800</v>
      </c>
      <c r="K1751" s="29" t="str">
        <v>-</v>
      </c>
      <c r="L1751" s="29">
        <v>47200</v>
      </c>
      <c r="M1751" s="29">
        <v>48300</v>
      </c>
      <c r="N1751" s="29">
        <v>44800</v>
      </c>
      <c r="O1751" s="29">
        <v>46200</v>
      </c>
      <c r="P1751" s="29">
        <v>42200</v>
      </c>
      <c r="Q1751" s="29">
        <v>43000</v>
      </c>
      <c r="R1751" s="29">
        <v>42500</v>
      </c>
      <c r="S1751">
        <v>43900</v>
      </c>
      <c r="T1751">
        <v>46500</v>
      </c>
      <c r="U1751">
        <v>49500</v>
      </c>
      <c r="V1751">
        <v>46500</v>
      </c>
      <c r="W1751">
        <v>49500</v>
      </c>
    </row>
    <row r="1752" spans="1:23">
      <c r="A1752" s="30">
        <v>46035</v>
      </c>
      <c r="B1752" s="29">
        <v>48200</v>
      </c>
      <c r="C1752" s="29">
        <v>44700</v>
      </c>
      <c r="D1752" s="29">
        <v>45800</v>
      </c>
      <c r="E1752" s="29">
        <v>41900</v>
      </c>
      <c r="F1752" s="29">
        <v>48000</v>
      </c>
      <c r="G1752" s="29" t="str">
        <v>-</v>
      </c>
      <c r="H1752" s="29">
        <v>44500</v>
      </c>
      <c r="I1752" s="29">
        <v>44800</v>
      </c>
      <c r="J1752" s="29">
        <v>48500</v>
      </c>
      <c r="K1752" s="29" t="str">
        <v>-</v>
      </c>
      <c r="L1752" s="29">
        <v>47100</v>
      </c>
      <c r="M1752" s="29">
        <v>48500</v>
      </c>
      <c r="N1752" s="29">
        <v>44500</v>
      </c>
      <c r="O1752" s="29">
        <v>46200</v>
      </c>
      <c r="P1752" s="29">
        <v>42100</v>
      </c>
      <c r="Q1752" s="29">
        <v>42600</v>
      </c>
      <c r="R1752" s="29">
        <v>42300</v>
      </c>
      <c r="S1752">
        <v>44000</v>
      </c>
      <c r="T1752">
        <v>46500</v>
      </c>
      <c r="U1752">
        <v>49500</v>
      </c>
      <c r="V1752">
        <v>46500</v>
      </c>
      <c r="W1752">
        <v>49500</v>
      </c>
    </row>
    <row r="1753" spans="1:23">
      <c r="A1753" s="30">
        <v>46036</v>
      </c>
      <c r="B1753" s="29" t="str">
        <v>-</v>
      </c>
      <c r="C1753" s="29" t="str">
        <v>-</v>
      </c>
      <c r="D1753" s="29">
        <v>46900</v>
      </c>
      <c r="E1753" s="29">
        <v>42500</v>
      </c>
      <c r="F1753" s="29">
        <v>48000</v>
      </c>
      <c r="G1753" s="29" t="str">
        <v>-</v>
      </c>
      <c r="H1753" s="29">
        <v>45500</v>
      </c>
      <c r="I1753" s="29">
        <v>45500</v>
      </c>
      <c r="J1753" s="29">
        <v>49200</v>
      </c>
      <c r="K1753" s="29" t="str">
        <v>-</v>
      </c>
      <c r="L1753" s="29">
        <v>47400</v>
      </c>
      <c r="M1753" s="29">
        <v>49100</v>
      </c>
      <c r="N1753" s="29">
        <v>46100</v>
      </c>
      <c r="O1753" s="29">
        <v>47000</v>
      </c>
      <c r="P1753" s="29">
        <v>43200</v>
      </c>
      <c r="Q1753" s="29">
        <v>43500</v>
      </c>
      <c r="R1753" s="29">
        <v>42600</v>
      </c>
      <c r="S1753">
        <v>44600</v>
      </c>
      <c r="T1753">
        <v>46800</v>
      </c>
      <c r="U1753">
        <v>49500</v>
      </c>
      <c r="V1753">
        <v>46500</v>
      </c>
      <c r="W1753">
        <v>50200</v>
      </c>
    </row>
    <row r="1754" spans="1:23">
      <c r="A1754" s="30">
        <v>46037</v>
      </c>
      <c r="B1754" s="29">
        <v>49600</v>
      </c>
      <c r="C1754" s="29" t="str">
        <v>-</v>
      </c>
      <c r="D1754" s="29">
        <v>48100</v>
      </c>
      <c r="E1754" s="29">
        <v>43100</v>
      </c>
      <c r="F1754" s="29">
        <v>48800</v>
      </c>
      <c r="G1754" s="29" t="str">
        <v>-</v>
      </c>
      <c r="H1754" s="29" t="str">
        <v>-</v>
      </c>
      <c r="I1754" s="29">
        <v>46400</v>
      </c>
      <c r="J1754" s="29">
        <v>49500</v>
      </c>
      <c r="K1754" s="29" t="str">
        <v>-</v>
      </c>
      <c r="L1754" s="29">
        <v>48100</v>
      </c>
      <c r="M1754" s="29" t="str">
        <v>-</v>
      </c>
      <c r="N1754" s="29">
        <v>47200</v>
      </c>
      <c r="O1754" s="29">
        <v>47800</v>
      </c>
      <c r="P1754" s="29">
        <v>43800</v>
      </c>
      <c r="Q1754" s="29">
        <v>43800</v>
      </c>
      <c r="R1754" s="29">
        <v>43600</v>
      </c>
      <c r="S1754">
        <v>45200</v>
      </c>
      <c r="T1754">
        <v>47200</v>
      </c>
      <c r="U1754">
        <v>53000</v>
      </c>
      <c r="V1754">
        <v>46500</v>
      </c>
      <c r="W1754">
        <v>50200</v>
      </c>
    </row>
    <row r="1755" spans="1:23">
      <c r="A1755" s="30">
        <v>46038</v>
      </c>
      <c r="B1755" s="29">
        <v>50100</v>
      </c>
      <c r="C1755" s="29" t="str">
        <v>-</v>
      </c>
      <c r="D1755" s="29">
        <v>48000</v>
      </c>
      <c r="E1755" s="29">
        <v>43300</v>
      </c>
      <c r="F1755" s="29">
        <v>49200</v>
      </c>
      <c r="G1755" s="29" t="str">
        <v>-</v>
      </c>
      <c r="H1755" s="29" t="str">
        <v>-</v>
      </c>
      <c r="I1755" s="29">
        <v>47000</v>
      </c>
      <c r="J1755" s="29">
        <v>49700</v>
      </c>
      <c r="K1755" s="29" t="str">
        <v>-</v>
      </c>
      <c r="L1755" s="29">
        <v>48100</v>
      </c>
      <c r="M1755" s="29">
        <v>49800</v>
      </c>
      <c r="N1755" s="29">
        <v>47550</v>
      </c>
      <c r="O1755" s="29">
        <v>48000</v>
      </c>
      <c r="P1755" s="29">
        <v>43700</v>
      </c>
      <c r="Q1755" s="29">
        <v>43900</v>
      </c>
      <c r="R1755" s="29">
        <v>44000</v>
      </c>
      <c r="S1755">
        <v>45400</v>
      </c>
      <c r="T1755">
        <v>47500</v>
      </c>
      <c r="U1755">
        <v>53000</v>
      </c>
      <c r="V1755">
        <v>46900</v>
      </c>
      <c r="W1755">
        <v>50500</v>
      </c>
    </row>
    <row r="1756" spans="1:23">
      <c r="A1756" s="30">
        <v>46039</v>
      </c>
      <c r="B1756" s="29">
        <v>50400</v>
      </c>
      <c r="C1756" s="29" t="str">
        <v>-</v>
      </c>
      <c r="D1756" s="29">
        <v>48550</v>
      </c>
      <c r="E1756" s="29">
        <v>43700</v>
      </c>
      <c r="F1756" s="29">
        <v>49800</v>
      </c>
      <c r="G1756" s="29" t="str">
        <v>-</v>
      </c>
      <c r="H1756" s="29">
        <v>46300</v>
      </c>
      <c r="I1756" s="29">
        <v>47300</v>
      </c>
      <c r="J1756" s="29">
        <v>50300</v>
      </c>
      <c r="K1756" s="29" t="str">
        <v>-</v>
      </c>
      <c r="L1756" s="29">
        <v>48500</v>
      </c>
      <c r="M1756" s="29">
        <v>50000</v>
      </c>
      <c r="N1756" s="29">
        <v>48100</v>
      </c>
      <c r="O1756" s="29">
        <v>48300</v>
      </c>
      <c r="P1756" s="29">
        <v>44200</v>
      </c>
      <c r="Q1756" s="29">
        <v>44400</v>
      </c>
      <c r="R1756" s="29">
        <v>44000</v>
      </c>
      <c r="S1756">
        <v>45800</v>
      </c>
      <c r="T1756">
        <v>48100</v>
      </c>
      <c r="U1756">
        <v>53000</v>
      </c>
      <c r="V1756">
        <v>46900</v>
      </c>
      <c r="W1756">
        <v>50500</v>
      </c>
    </row>
    <row r="1757" spans="1:23">
      <c r="A1757" s="30">
        <v>46040</v>
      </c>
      <c r="B1757" s="29" t="str">
        <v>H</v>
      </c>
      <c r="C1757" s="29" t="str">
        <v>H</v>
      </c>
      <c r="D1757" s="29" t="str">
        <v>H</v>
      </c>
      <c r="E1757" s="29" t="str">
        <v>H</v>
      </c>
      <c r="F1757" s="29" t="str">
        <v>H</v>
      </c>
      <c r="G1757" s="29" t="str">
        <v>H</v>
      </c>
      <c r="H1757" s="29" t="str">
        <v>H</v>
      </c>
      <c r="I1757" s="29" t="str">
        <v>H</v>
      </c>
      <c r="J1757" s="29" t="str">
        <v>H</v>
      </c>
      <c r="K1757" s="29" t="str">
        <v>H</v>
      </c>
      <c r="L1757" s="29" t="str">
        <v>H</v>
      </c>
      <c r="M1757" s="29" t="str">
        <v>H</v>
      </c>
      <c r="N1757" s="29" t="str">
        <v>H</v>
      </c>
      <c r="O1757" s="29" t="str">
        <v>H</v>
      </c>
      <c r="P1757" s="29" t="str">
        <v>H</v>
      </c>
      <c r="Q1757" s="29" t="str">
        <v>H</v>
      </c>
      <c r="R1757" s="29" t="str">
        <v>H</v>
      </c>
      <c r="S1757" t="str">
        <v>H</v>
      </c>
      <c r="T1757" t="str">
        <v>H</v>
      </c>
      <c r="U1757" t="str">
        <v>H</v>
      </c>
      <c r="V1757" t="str">
        <v>H</v>
      </c>
      <c r="W1757" t="str">
        <v>H</v>
      </c>
    </row>
    <row r="1758" spans="1:23">
      <c r="A1758" s="30">
        <v>46041</v>
      </c>
      <c r="B1758" s="29">
        <v>50400</v>
      </c>
      <c r="C1758" s="29">
        <v>47300</v>
      </c>
      <c r="D1758" s="29">
        <v>48800</v>
      </c>
      <c r="E1758" s="29">
        <v>44150</v>
      </c>
      <c r="F1758" s="29">
        <v>50200</v>
      </c>
      <c r="G1758" s="29" t="str">
        <v>-</v>
      </c>
      <c r="H1758" s="29">
        <v>46500</v>
      </c>
      <c r="I1758" s="29">
        <v>47200</v>
      </c>
      <c r="J1758" s="29">
        <v>50200</v>
      </c>
      <c r="K1758" s="29" t="str">
        <v>-</v>
      </c>
      <c r="L1758" s="29">
        <v>49000</v>
      </c>
      <c r="M1758" s="29">
        <v>50300</v>
      </c>
      <c r="N1758" s="29">
        <v>48400</v>
      </c>
      <c r="O1758" s="29">
        <v>48600</v>
      </c>
      <c r="P1758" s="29">
        <v>44700</v>
      </c>
      <c r="Q1758" s="29">
        <v>44700</v>
      </c>
      <c r="R1758" s="29">
        <v>44700</v>
      </c>
      <c r="S1758">
        <v>46200</v>
      </c>
      <c r="T1758">
        <v>48700</v>
      </c>
      <c r="U1758">
        <v>53000</v>
      </c>
      <c r="V1758">
        <v>47700</v>
      </c>
      <c r="W1758">
        <v>50700</v>
      </c>
    </row>
    <row r="1759" spans="1:23">
      <c r="A1759" s="30">
        <v>46042</v>
      </c>
      <c r="B1759" s="29">
        <v>50100</v>
      </c>
      <c r="C1759" s="29">
        <v>47300</v>
      </c>
      <c r="D1759" s="29">
        <v>48000</v>
      </c>
      <c r="E1759" s="29">
        <v>44000</v>
      </c>
      <c r="F1759" s="29">
        <v>50200</v>
      </c>
      <c r="G1759" s="29" t="str">
        <v>-</v>
      </c>
      <c r="H1759" s="29">
        <v>46000</v>
      </c>
      <c r="I1759" s="29">
        <v>46800</v>
      </c>
      <c r="J1759" s="29">
        <v>50000</v>
      </c>
      <c r="K1759" s="29" t="str">
        <v>-</v>
      </c>
      <c r="L1759" s="29">
        <v>48800</v>
      </c>
      <c r="M1759" s="29">
        <v>50300</v>
      </c>
      <c r="N1759" s="29">
        <v>47800</v>
      </c>
      <c r="O1759" s="29">
        <v>48000</v>
      </c>
      <c r="P1759" s="29">
        <v>44000</v>
      </c>
      <c r="Q1759" s="29">
        <v>44300</v>
      </c>
      <c r="R1759" s="29">
        <v>44000</v>
      </c>
      <c r="S1759">
        <v>46100</v>
      </c>
      <c r="T1759">
        <v>48300</v>
      </c>
      <c r="U1759">
        <v>53000</v>
      </c>
      <c r="V1759">
        <v>47700</v>
      </c>
      <c r="W1759">
        <v>50700</v>
      </c>
    </row>
    <row r="1760" spans="1:23">
      <c r="A1760" s="30">
        <v>46043</v>
      </c>
      <c r="B1760" s="29">
        <v>49900</v>
      </c>
      <c r="C1760" s="29">
        <v>47300</v>
      </c>
      <c r="D1760" s="29">
        <v>48000</v>
      </c>
      <c r="E1760" s="29">
        <v>44000</v>
      </c>
      <c r="F1760" s="29">
        <v>50200</v>
      </c>
      <c r="G1760" s="29" t="str">
        <v>-</v>
      </c>
      <c r="H1760" s="29">
        <v>46000</v>
      </c>
      <c r="I1760" s="29">
        <v>46500</v>
      </c>
      <c r="J1760" s="29">
        <v>49800</v>
      </c>
      <c r="K1760" s="29" t="str">
        <v>-</v>
      </c>
      <c r="L1760" s="29">
        <v>48800</v>
      </c>
      <c r="M1760" s="29">
        <v>49900</v>
      </c>
      <c r="N1760" s="29">
        <v>47800</v>
      </c>
      <c r="O1760" s="29">
        <v>47700</v>
      </c>
      <c r="P1760" s="29">
        <v>43800</v>
      </c>
      <c r="Q1760" s="29">
        <v>44000</v>
      </c>
      <c r="R1760" s="29">
        <v>43800</v>
      </c>
      <c r="S1760">
        <v>46100</v>
      </c>
      <c r="T1760">
        <v>48000</v>
      </c>
      <c r="U1760">
        <v>51500</v>
      </c>
      <c r="V1760">
        <v>47700</v>
      </c>
      <c r="W1760">
        <v>50700</v>
      </c>
    </row>
    <row r="1761" spans="1:23">
      <c r="A1761" s="30">
        <v>46044</v>
      </c>
      <c r="B1761" s="29">
        <v>49600</v>
      </c>
      <c r="C1761" s="29">
        <v>47000</v>
      </c>
      <c r="D1761" s="29">
        <v>48000</v>
      </c>
      <c r="E1761" s="29">
        <v>43900</v>
      </c>
      <c r="F1761" s="29">
        <v>50000</v>
      </c>
      <c r="G1761" s="29" t="str">
        <v>-</v>
      </c>
      <c r="H1761" s="29">
        <v>45800</v>
      </c>
      <c r="I1761" s="29">
        <v>46700</v>
      </c>
      <c r="J1761" s="29">
        <v>49500</v>
      </c>
      <c r="K1761" s="29" t="str">
        <v>-</v>
      </c>
      <c r="L1761" s="29">
        <v>48800</v>
      </c>
      <c r="M1761" s="29">
        <v>49800</v>
      </c>
      <c r="N1761" s="29">
        <v>47800</v>
      </c>
      <c r="O1761" s="29">
        <v>47500</v>
      </c>
      <c r="P1761" s="29">
        <v>43500</v>
      </c>
      <c r="Q1761" s="29">
        <v>43900</v>
      </c>
      <c r="R1761" s="29">
        <v>43800</v>
      </c>
      <c r="S1761">
        <v>46000</v>
      </c>
      <c r="T1761">
        <v>47700</v>
      </c>
      <c r="U1761">
        <v>51500</v>
      </c>
      <c r="V1761">
        <v>47700</v>
      </c>
      <c r="W1761">
        <v>50700</v>
      </c>
    </row>
    <row r="1762" spans="1:23">
      <c r="A1762" s="30">
        <v>46045</v>
      </c>
      <c r="B1762" s="29">
        <v>49700</v>
      </c>
      <c r="C1762" s="29">
        <v>47200</v>
      </c>
      <c r="D1762" s="29">
        <v>48150</v>
      </c>
      <c r="E1762" s="29">
        <v>44300</v>
      </c>
      <c r="F1762" s="29">
        <v>49800</v>
      </c>
      <c r="G1762" s="29" t="str">
        <v>-</v>
      </c>
      <c r="H1762" s="29">
        <v>46000</v>
      </c>
      <c r="I1762" s="29">
        <v>47100</v>
      </c>
      <c r="J1762" s="29">
        <v>49600</v>
      </c>
      <c r="K1762" s="29" t="str">
        <v>-</v>
      </c>
      <c r="L1762" s="29">
        <v>49300</v>
      </c>
      <c r="M1762" s="29">
        <v>50100</v>
      </c>
      <c r="N1762" s="29">
        <v>48200</v>
      </c>
      <c r="O1762" s="29">
        <v>47600</v>
      </c>
      <c r="P1762" s="29">
        <v>43600</v>
      </c>
      <c r="Q1762" s="29">
        <v>43900</v>
      </c>
      <c r="R1762" s="29">
        <v>44000</v>
      </c>
      <c r="S1762">
        <v>46400</v>
      </c>
      <c r="T1762">
        <v>47700</v>
      </c>
      <c r="U1762">
        <v>51500</v>
      </c>
      <c r="V1762">
        <v>47700</v>
      </c>
      <c r="W1762">
        <v>50700</v>
      </c>
    </row>
    <row r="1763" spans="1:23">
      <c r="A1763" s="30">
        <v>46046</v>
      </c>
      <c r="B1763" s="29">
        <v>49700</v>
      </c>
      <c r="C1763" s="29">
        <v>47300</v>
      </c>
      <c r="D1763" s="29">
        <v>48650</v>
      </c>
      <c r="E1763" s="29">
        <v>44300</v>
      </c>
      <c r="F1763" s="29">
        <v>49900</v>
      </c>
      <c r="G1763" s="29" t="str">
        <v>-</v>
      </c>
      <c r="H1763" s="29">
        <v>46800</v>
      </c>
      <c r="I1763" s="29">
        <v>47200</v>
      </c>
      <c r="J1763" s="29">
        <v>49600</v>
      </c>
      <c r="K1763" s="29" t="str">
        <v>-</v>
      </c>
      <c r="L1763" s="29">
        <v>49400</v>
      </c>
      <c r="M1763" s="29">
        <v>50200</v>
      </c>
      <c r="N1763" s="29">
        <v>48400</v>
      </c>
      <c r="O1763" s="29">
        <v>47600</v>
      </c>
      <c r="P1763" s="29">
        <v>43700</v>
      </c>
      <c r="Q1763" s="29">
        <v>43900</v>
      </c>
      <c r="R1763" s="29">
        <v>44500</v>
      </c>
      <c r="S1763">
        <v>46400</v>
      </c>
      <c r="T1763">
        <v>48300</v>
      </c>
      <c r="U1763">
        <v>52500</v>
      </c>
      <c r="V1763">
        <v>47700</v>
      </c>
      <c r="W1763">
        <v>50700</v>
      </c>
    </row>
    <row r="1764" spans="1:23">
      <c r="A1764" s="30">
        <v>46047</v>
      </c>
      <c r="B1764" s="29" t="str">
        <v>H</v>
      </c>
      <c r="C1764" s="29" t="str">
        <v>H</v>
      </c>
      <c r="D1764" s="29" t="str">
        <v>H</v>
      </c>
      <c r="E1764" s="29" t="str">
        <v>H</v>
      </c>
      <c r="F1764" s="29" t="str">
        <v>H</v>
      </c>
      <c r="G1764" s="29" t="str">
        <v>H</v>
      </c>
      <c r="H1764" s="29" t="str">
        <v>H</v>
      </c>
      <c r="I1764" s="29" t="str">
        <v>H</v>
      </c>
      <c r="J1764" s="29" t="str">
        <v>H</v>
      </c>
      <c r="K1764" s="29" t="str">
        <v>H</v>
      </c>
      <c r="L1764" s="29" t="str">
        <v>H</v>
      </c>
      <c r="M1764" s="29" t="str">
        <v>H</v>
      </c>
      <c r="N1764" s="29" t="str">
        <v>H</v>
      </c>
      <c r="O1764" s="29" t="str">
        <v>H</v>
      </c>
      <c r="P1764" s="29" t="str">
        <v>H</v>
      </c>
      <c r="Q1764" s="29" t="str">
        <v>H</v>
      </c>
      <c r="R1764" s="29" t="str">
        <v>H</v>
      </c>
      <c r="S1764" t="str">
        <v>H</v>
      </c>
      <c r="T1764" t="str">
        <v>H</v>
      </c>
      <c r="U1764" t="str">
        <v>H</v>
      </c>
      <c r="V1764" t="str">
        <v>H</v>
      </c>
      <c r="W1764" t="str">
        <v>H</v>
      </c>
    </row>
    <row r="1765" spans="1:23">
      <c r="A1765" s="30">
        <v>46048</v>
      </c>
      <c r="B1765" s="29" t="str">
        <v>H</v>
      </c>
      <c r="C1765" s="29" t="str">
        <v>H</v>
      </c>
      <c r="D1765" s="29" t="str">
        <v>H</v>
      </c>
      <c r="E1765" s="29" t="str">
        <v>H</v>
      </c>
      <c r="F1765" s="29" t="str">
        <v>H</v>
      </c>
      <c r="G1765" s="29" t="str">
        <v>H</v>
      </c>
      <c r="H1765" s="29" t="str">
        <v>H</v>
      </c>
      <c r="I1765" s="29" t="str">
        <v>H</v>
      </c>
      <c r="J1765" s="29" t="str">
        <v>H</v>
      </c>
      <c r="K1765" s="29" t="str">
        <v>H</v>
      </c>
      <c r="L1765" s="29" t="str">
        <v>H</v>
      </c>
      <c r="M1765" s="29" t="str">
        <v>H</v>
      </c>
      <c r="N1765" s="29" t="str">
        <v>H</v>
      </c>
      <c r="O1765" s="29" t="str">
        <v>H</v>
      </c>
      <c r="P1765" s="29" t="str">
        <v>H</v>
      </c>
      <c r="Q1765" s="29" t="str">
        <v>H</v>
      </c>
      <c r="R1765" s="29" t="str">
        <v>H</v>
      </c>
      <c r="S1765" t="str">
        <v>H</v>
      </c>
      <c r="T1765" t="str">
        <v>H</v>
      </c>
      <c r="U1765" t="str">
        <v>H</v>
      </c>
      <c r="V1765" t="str">
        <v>H</v>
      </c>
      <c r="W1765" t="str">
        <v>H</v>
      </c>
    </row>
    <row r="1766" spans="1:23">
      <c r="A1766" s="30">
        <v>46049</v>
      </c>
      <c r="B1766" s="29">
        <v>49100</v>
      </c>
      <c r="C1766" s="29">
        <v>47500</v>
      </c>
      <c r="D1766" s="29">
        <v>48250</v>
      </c>
      <c r="E1766" s="29">
        <v>44100</v>
      </c>
      <c r="F1766" s="29">
        <v>49800</v>
      </c>
      <c r="G1766" s="29" t="str">
        <v>-</v>
      </c>
      <c r="H1766" s="29">
        <v>46500</v>
      </c>
      <c r="I1766" s="29">
        <v>46400</v>
      </c>
      <c r="J1766" s="29">
        <v>49600</v>
      </c>
      <c r="K1766" s="29" t="str">
        <v>-</v>
      </c>
      <c r="L1766" s="29">
        <v>49200</v>
      </c>
      <c r="M1766" s="29">
        <v>50300</v>
      </c>
      <c r="N1766" s="29">
        <v>47850</v>
      </c>
      <c r="O1766" s="29">
        <v>47300</v>
      </c>
      <c r="P1766" s="29">
        <v>43500</v>
      </c>
      <c r="Q1766" s="29">
        <v>43800</v>
      </c>
      <c r="R1766" s="29">
        <v>44200</v>
      </c>
      <c r="S1766">
        <v>46200</v>
      </c>
      <c r="T1766">
        <v>48000</v>
      </c>
      <c r="U1766">
        <v>52500</v>
      </c>
      <c r="V1766">
        <v>47700</v>
      </c>
      <c r="W1766">
        <v>50700</v>
      </c>
    </row>
    <row r="1767" spans="1:23">
      <c r="A1767" s="30">
        <v>46050</v>
      </c>
      <c r="B1767" s="29">
        <v>48700</v>
      </c>
      <c r="C1767" s="29">
        <v>47500</v>
      </c>
      <c r="D1767" s="29">
        <v>48000</v>
      </c>
      <c r="E1767" s="29">
        <v>44000</v>
      </c>
      <c r="F1767" s="29">
        <v>49300</v>
      </c>
      <c r="G1767" s="29" t="str">
        <v>-</v>
      </c>
      <c r="H1767" s="29">
        <v>46000</v>
      </c>
      <c r="I1767" s="29">
        <v>46300</v>
      </c>
      <c r="J1767" s="29">
        <v>49300</v>
      </c>
      <c r="K1767" s="29" t="str">
        <v>-</v>
      </c>
      <c r="L1767" s="29">
        <v>49000</v>
      </c>
      <c r="M1767" s="29">
        <v>50300</v>
      </c>
      <c r="N1767" s="29">
        <v>47400</v>
      </c>
      <c r="O1767" s="29">
        <v>47000</v>
      </c>
      <c r="P1767" s="29">
        <v>43200</v>
      </c>
      <c r="Q1767" s="29">
        <v>43700</v>
      </c>
      <c r="R1767" s="29">
        <v>44200</v>
      </c>
      <c r="S1767">
        <v>46100</v>
      </c>
      <c r="T1767">
        <v>47600</v>
      </c>
      <c r="U1767">
        <v>51500</v>
      </c>
      <c r="V1767">
        <v>47700</v>
      </c>
      <c r="W1767">
        <v>50700</v>
      </c>
    </row>
    <row r="1768" spans="1:23">
      <c r="A1768" s="30">
        <v>46051</v>
      </c>
      <c r="B1768" s="29">
        <v>48700</v>
      </c>
      <c r="C1768" s="29">
        <v>47500</v>
      </c>
      <c r="D1768" s="29">
        <v>48500</v>
      </c>
      <c r="E1768" s="29">
        <v>44200</v>
      </c>
      <c r="F1768" s="29">
        <v>49500</v>
      </c>
      <c r="G1768" s="29" t="str">
        <v>-</v>
      </c>
      <c r="H1768" s="29">
        <v>47000</v>
      </c>
      <c r="I1768" s="29">
        <v>46800</v>
      </c>
      <c r="J1768" s="29">
        <v>49100</v>
      </c>
      <c r="K1768" s="29" t="str">
        <v>-</v>
      </c>
      <c r="L1768" s="29">
        <v>49300</v>
      </c>
      <c r="M1768" s="29">
        <v>50500</v>
      </c>
      <c r="N1768" s="29">
        <v>47900</v>
      </c>
      <c r="O1768" s="29">
        <v>47000</v>
      </c>
      <c r="P1768" s="29">
        <v>43600</v>
      </c>
      <c r="Q1768" s="29">
        <v>44000</v>
      </c>
      <c r="R1768" s="29">
        <v>44200</v>
      </c>
      <c r="S1768">
        <v>46300</v>
      </c>
      <c r="T1768">
        <v>48100</v>
      </c>
      <c r="U1768">
        <v>52000</v>
      </c>
      <c r="V1768">
        <v>47700</v>
      </c>
      <c r="W1768">
        <v>51000</v>
      </c>
    </row>
    <row r="1769" spans="1:23">
      <c r="A1769" s="30">
        <v>46052</v>
      </c>
      <c r="B1769" s="29">
        <v>48700</v>
      </c>
      <c r="C1769" s="29">
        <v>47800</v>
      </c>
      <c r="D1769" s="29">
        <v>48300</v>
      </c>
      <c r="E1769" s="29">
        <v>44300</v>
      </c>
      <c r="F1769" s="29">
        <v>49700</v>
      </c>
      <c r="G1769" s="29" t="str">
        <v>-</v>
      </c>
      <c r="H1769" s="29">
        <v>46700</v>
      </c>
      <c r="I1769" s="29">
        <v>46700</v>
      </c>
      <c r="J1769" s="29">
        <v>49000</v>
      </c>
      <c r="K1769" s="29" t="str">
        <v>-</v>
      </c>
      <c r="L1769" s="29">
        <v>49200</v>
      </c>
      <c r="M1769" s="29">
        <v>50700</v>
      </c>
      <c r="N1769" s="29">
        <v>47600</v>
      </c>
      <c r="O1769" s="29">
        <v>46800</v>
      </c>
      <c r="P1769" s="29">
        <v>43700</v>
      </c>
      <c r="Q1769" s="29">
        <v>44200</v>
      </c>
      <c r="R1769" s="29">
        <v>44200</v>
      </c>
      <c r="S1769">
        <v>46400</v>
      </c>
      <c r="T1769">
        <v>48200</v>
      </c>
      <c r="U1769">
        <v>52000</v>
      </c>
      <c r="V1769">
        <v>47700</v>
      </c>
      <c r="W1769">
        <v>51300</v>
      </c>
    </row>
    <row r="1770" spans="1:23">
      <c r="A1770" s="30">
        <v>46053</v>
      </c>
      <c r="B1770" s="29">
        <v>48700</v>
      </c>
      <c r="C1770" s="29">
        <v>47500</v>
      </c>
      <c r="D1770" s="29">
        <v>48100</v>
      </c>
      <c r="E1770" s="29">
        <v>44100</v>
      </c>
      <c r="F1770" s="29">
        <v>49700</v>
      </c>
      <c r="G1770" s="29" t="str">
        <v>-</v>
      </c>
      <c r="H1770" s="29">
        <v>46500</v>
      </c>
      <c r="I1770" s="29">
        <v>46500</v>
      </c>
      <c r="J1770" s="29">
        <v>48900</v>
      </c>
      <c r="K1770" s="29" t="str">
        <v>-</v>
      </c>
      <c r="L1770" s="29">
        <v>49100</v>
      </c>
      <c r="M1770" s="29">
        <v>50800</v>
      </c>
      <c r="N1770" s="29">
        <v>47500</v>
      </c>
      <c r="O1770" s="29">
        <v>46500</v>
      </c>
      <c r="P1770" s="29">
        <v>43600</v>
      </c>
      <c r="Q1770" s="29">
        <v>44000</v>
      </c>
      <c r="R1770" s="29">
        <v>44200</v>
      </c>
      <c r="S1770">
        <v>46200</v>
      </c>
      <c r="T1770">
        <v>48100</v>
      </c>
      <c r="U1770">
        <v>52000</v>
      </c>
      <c r="V1770">
        <v>47700</v>
      </c>
      <c r="W1770">
        <v>51300</v>
      </c>
    </row>
    <row r="1771" spans="1:23">
      <c r="A1771" s="30">
        <v>46054</v>
      </c>
      <c r="B1771" s="29" t="str">
        <v>H</v>
      </c>
      <c r="C1771" s="29" t="str">
        <v>H</v>
      </c>
      <c r="D1771" s="29" t="str">
        <v>H</v>
      </c>
      <c r="E1771" s="29" t="str">
        <v>H</v>
      </c>
      <c r="F1771" s="29" t="str">
        <v>H</v>
      </c>
      <c r="G1771" s="29" t="str">
        <v>H</v>
      </c>
      <c r="H1771" s="29" t="str">
        <v>H</v>
      </c>
      <c r="I1771" s="29" t="str">
        <v>H</v>
      </c>
      <c r="J1771" s="29" t="str">
        <v>H</v>
      </c>
      <c r="K1771" s="29" t="str">
        <v>H</v>
      </c>
      <c r="L1771" s="29" t="str">
        <v>H</v>
      </c>
      <c r="M1771" s="29" t="str">
        <v>H</v>
      </c>
      <c r="N1771" s="29" t="str">
        <v>H</v>
      </c>
      <c r="O1771" s="29" t="str">
        <v>H</v>
      </c>
      <c r="P1771" s="29" t="str">
        <v>H</v>
      </c>
      <c r="Q1771" s="29" t="str">
        <v>H</v>
      </c>
      <c r="R1771" s="29" t="str">
        <v>H</v>
      </c>
      <c r="S1771" t="str">
        <v>H</v>
      </c>
      <c r="T1771" t="str">
        <v>H</v>
      </c>
      <c r="U1771" t="str">
        <v>H</v>
      </c>
      <c r="V1771" t="str">
        <v>H</v>
      </c>
      <c r="W1771" t="str">
        <v>H</v>
      </c>
    </row>
    <row r="1772" spans="1:23">
      <c r="A1772" s="30">
        <v>46055</v>
      </c>
      <c r="B1772" s="29">
        <v>48400</v>
      </c>
      <c r="C1772" s="29">
        <v>47500</v>
      </c>
      <c r="D1772" s="29">
        <v>48000</v>
      </c>
      <c r="E1772" s="29">
        <v>44200</v>
      </c>
      <c r="F1772" s="29">
        <v>49700</v>
      </c>
      <c r="G1772" s="29" t="str">
        <v>-</v>
      </c>
      <c r="H1772" s="29">
        <v>46500</v>
      </c>
      <c r="I1772" s="29">
        <v>46400</v>
      </c>
      <c r="J1772" s="29">
        <v>48800</v>
      </c>
      <c r="K1772" s="29" t="str">
        <v>-</v>
      </c>
      <c r="L1772" s="29">
        <v>49100</v>
      </c>
      <c r="M1772" s="29">
        <v>50800</v>
      </c>
      <c r="N1772" s="29">
        <v>47600</v>
      </c>
      <c r="O1772" s="29">
        <v>46500</v>
      </c>
      <c r="P1772" s="29">
        <v>43500</v>
      </c>
      <c r="Q1772" s="29">
        <v>43900</v>
      </c>
      <c r="R1772" s="29">
        <v>44200</v>
      </c>
      <c r="S1772">
        <v>46300</v>
      </c>
      <c r="T1772">
        <v>48000</v>
      </c>
      <c r="U1772">
        <v>52000</v>
      </c>
      <c r="V1772">
        <v>48000</v>
      </c>
      <c r="W1772">
        <v>51300</v>
      </c>
    </row>
    <row r="1773" spans="1:23">
      <c r="A1773" s="30">
        <v>46056</v>
      </c>
      <c r="B1773" s="29">
        <v>48800</v>
      </c>
      <c r="C1773" s="29">
        <v>48000</v>
      </c>
      <c r="D1773" s="29">
        <v>47700</v>
      </c>
      <c r="E1773" s="29">
        <v>44400</v>
      </c>
      <c r="F1773" s="29">
        <v>49500</v>
      </c>
      <c r="G1773" s="29" t="str">
        <v>-</v>
      </c>
      <c r="H1773" s="29">
        <v>46800</v>
      </c>
      <c r="I1773" s="29">
        <v>47000</v>
      </c>
      <c r="J1773" s="29">
        <v>48800</v>
      </c>
      <c r="K1773" s="29" t="str">
        <v>-</v>
      </c>
      <c r="L1773" s="29">
        <v>49400</v>
      </c>
      <c r="M1773" s="29">
        <v>50300</v>
      </c>
      <c r="N1773" s="29">
        <v>47600</v>
      </c>
      <c r="O1773" s="29">
        <v>46500</v>
      </c>
      <c r="P1773" s="29">
        <v>44100</v>
      </c>
      <c r="Q1773" s="29">
        <v>44000</v>
      </c>
      <c r="R1773" s="29">
        <v>44200</v>
      </c>
      <c r="S1773">
        <v>46500</v>
      </c>
      <c r="T1773">
        <v>47800</v>
      </c>
      <c r="U1773">
        <v>52000</v>
      </c>
      <c r="V1773">
        <v>48000</v>
      </c>
      <c r="W1773">
        <v>51300</v>
      </c>
    </row>
    <row r="1774" spans="1:23">
      <c r="A1774" s="30">
        <v>46057</v>
      </c>
      <c r="B1774" s="29">
        <v>49000</v>
      </c>
      <c r="C1774" s="29">
        <v>48000</v>
      </c>
      <c r="D1774" s="29">
        <v>48650</v>
      </c>
      <c r="E1774" s="29">
        <v>44900</v>
      </c>
      <c r="F1774" s="29">
        <v>49600</v>
      </c>
      <c r="G1774" s="29" t="str">
        <v>-</v>
      </c>
      <c r="H1774" s="29">
        <v>47000</v>
      </c>
      <c r="I1774" s="29">
        <v>47300</v>
      </c>
      <c r="J1774" s="29">
        <v>49100</v>
      </c>
      <c r="K1774" s="29" t="str">
        <v>-</v>
      </c>
      <c r="L1774" s="29">
        <v>49800</v>
      </c>
      <c r="M1774" s="29">
        <v>50300</v>
      </c>
      <c r="N1774" s="29">
        <v>48200</v>
      </c>
      <c r="O1774" s="29">
        <v>46600</v>
      </c>
      <c r="P1774" s="29">
        <v>44200</v>
      </c>
      <c r="Q1774" s="29">
        <v>44700</v>
      </c>
      <c r="R1774" s="29">
        <v>44700</v>
      </c>
      <c r="S1774">
        <v>47000</v>
      </c>
      <c r="T1774">
        <v>48300</v>
      </c>
      <c r="U1774">
        <v>52000</v>
      </c>
      <c r="V1774">
        <v>48000</v>
      </c>
      <c r="W1774">
        <v>51300</v>
      </c>
    </row>
    <row r="1775" spans="1:23">
      <c r="A1775" s="30">
        <v>46058</v>
      </c>
      <c r="B1775" s="29">
        <v>49000</v>
      </c>
      <c r="C1775" s="29">
        <v>48500</v>
      </c>
      <c r="D1775" s="29">
        <v>48500</v>
      </c>
      <c r="E1775" s="29">
        <v>44900</v>
      </c>
      <c r="F1775" s="29">
        <v>50000</v>
      </c>
      <c r="G1775" s="29" t="str">
        <v>-</v>
      </c>
      <c r="H1775" s="29">
        <v>47500</v>
      </c>
      <c r="I1775" s="29">
        <v>47300</v>
      </c>
      <c r="J1775" s="29">
        <v>49300</v>
      </c>
      <c r="K1775" s="29" t="str">
        <v>-</v>
      </c>
      <c r="L1775" s="29">
        <v>49600</v>
      </c>
      <c r="M1775" s="29">
        <v>50300</v>
      </c>
      <c r="N1775" s="29">
        <v>48200</v>
      </c>
      <c r="O1775" s="29">
        <v>46600</v>
      </c>
      <c r="P1775" s="29">
        <v>44200</v>
      </c>
      <c r="Q1775" s="29">
        <v>44500</v>
      </c>
      <c r="R1775" s="29">
        <v>44700</v>
      </c>
      <c r="S1775">
        <v>47000</v>
      </c>
      <c r="T1775">
        <v>48300</v>
      </c>
      <c r="U1775">
        <v>52000</v>
      </c>
      <c r="V1775">
        <v>48300</v>
      </c>
      <c r="W1775">
        <v>51300</v>
      </c>
    </row>
    <row r="1776" spans="1:23">
      <c r="A1776" s="30">
        <v>46059</v>
      </c>
      <c r="B1776" s="29">
        <v>49000</v>
      </c>
      <c r="C1776" s="29">
        <v>48500</v>
      </c>
      <c r="D1776" s="29">
        <v>48500</v>
      </c>
      <c r="E1776" s="29">
        <v>45000</v>
      </c>
      <c r="F1776" s="29">
        <v>50000</v>
      </c>
      <c r="G1776" s="29" t="str">
        <v>-</v>
      </c>
      <c r="H1776" s="29">
        <v>47500</v>
      </c>
      <c r="I1776" s="29">
        <v>47300</v>
      </c>
      <c r="J1776" s="29">
        <v>49100</v>
      </c>
      <c r="K1776" s="29" t="str">
        <v>-</v>
      </c>
      <c r="L1776" s="29">
        <v>49600</v>
      </c>
      <c r="M1776" s="29">
        <v>49600</v>
      </c>
      <c r="N1776" s="29">
        <v>48000</v>
      </c>
      <c r="O1776" s="29">
        <v>46600</v>
      </c>
      <c r="P1776" s="29">
        <v>44300</v>
      </c>
      <c r="Q1776" s="29">
        <v>44500</v>
      </c>
      <c r="R1776" s="29">
        <v>44700</v>
      </c>
      <c r="S1776">
        <v>47100</v>
      </c>
      <c r="T1776">
        <v>48100</v>
      </c>
      <c r="U1776">
        <v>52000</v>
      </c>
      <c r="V1776">
        <v>48300</v>
      </c>
      <c r="W1776">
        <v>51300</v>
      </c>
    </row>
    <row r="1777" spans="1:23">
      <c r="A1777" s="30">
        <v>46060</v>
      </c>
      <c r="B1777" s="29">
        <v>49000</v>
      </c>
      <c r="C1777" s="29">
        <v>48700</v>
      </c>
      <c r="D1777" s="29">
        <v>48900</v>
      </c>
      <c r="E1777" s="29">
        <v>45300</v>
      </c>
      <c r="F1777" s="29">
        <v>50000</v>
      </c>
      <c r="G1777" s="29" t="str">
        <v>-</v>
      </c>
      <c r="H1777" s="29">
        <v>48000</v>
      </c>
      <c r="I1777" s="29">
        <v>47500</v>
      </c>
      <c r="J1777" s="29">
        <v>49300</v>
      </c>
      <c r="K1777" s="29" t="str">
        <v>-</v>
      </c>
      <c r="L1777" s="29">
        <v>49900</v>
      </c>
      <c r="M1777" s="29">
        <v>49600</v>
      </c>
      <c r="N1777" s="29">
        <v>48800</v>
      </c>
      <c r="O1777" s="29">
        <v>46700</v>
      </c>
      <c r="P1777" s="29">
        <v>45200</v>
      </c>
      <c r="Q1777" s="29">
        <v>45300</v>
      </c>
      <c r="R1777" s="29">
        <v>45000</v>
      </c>
      <c r="S1777">
        <v>47400</v>
      </c>
      <c r="T1777">
        <v>49100</v>
      </c>
      <c r="U1777">
        <v>53000</v>
      </c>
      <c r="V1777">
        <v>48600</v>
      </c>
      <c r="W1777">
        <v>51300</v>
      </c>
    </row>
    <row r="1778" spans="1:23">
      <c r="A1778" s="30">
        <v>46061</v>
      </c>
      <c r="B1778" s="29" t="str">
        <v>H</v>
      </c>
      <c r="C1778" s="29" t="str">
        <v>H</v>
      </c>
      <c r="D1778" s="29" t="str">
        <v>H</v>
      </c>
      <c r="E1778" s="29" t="str">
        <v>H</v>
      </c>
      <c r="F1778" s="29" t="str">
        <v>H</v>
      </c>
      <c r="G1778" s="29" t="str">
        <v>H</v>
      </c>
      <c r="H1778" s="29" t="str">
        <v>H</v>
      </c>
      <c r="I1778" s="29" t="str">
        <v>H</v>
      </c>
      <c r="J1778" s="29" t="str">
        <v>H</v>
      </c>
      <c r="K1778" s="29" t="str">
        <v>H</v>
      </c>
      <c r="L1778" s="29" t="str">
        <v>H</v>
      </c>
      <c r="M1778" s="29" t="str">
        <v>H</v>
      </c>
      <c r="N1778" s="29" t="str">
        <v>H</v>
      </c>
      <c r="O1778" s="29" t="str">
        <v>H</v>
      </c>
      <c r="P1778" s="29" t="str">
        <v>H</v>
      </c>
      <c r="Q1778" s="29" t="str">
        <v>H</v>
      </c>
      <c r="R1778" s="29" t="str">
        <v>H</v>
      </c>
      <c r="S1778" t="str">
        <v>H</v>
      </c>
      <c r="T1778" t="str">
        <v>H</v>
      </c>
      <c r="U1778" t="str">
        <v>H</v>
      </c>
      <c r="V1778" t="str">
        <v>H</v>
      </c>
      <c r="W1778" t="str">
        <v>H</v>
      </c>
    </row>
    <row r="1779" spans="1:23">
      <c r="A1779" s="30">
        <v>46062</v>
      </c>
      <c r="B1779" s="29">
        <v>49400</v>
      </c>
      <c r="C1779" s="29">
        <v>49000</v>
      </c>
      <c r="D1779" s="29">
        <v>49200</v>
      </c>
      <c r="E1779" s="29">
        <v>45700</v>
      </c>
      <c r="F1779" s="29">
        <v>50200</v>
      </c>
      <c r="G1779" s="29" t="str">
        <v>-</v>
      </c>
      <c r="H1779" s="29">
        <v>49000</v>
      </c>
      <c r="I1779" s="29">
        <v>47500</v>
      </c>
      <c r="J1779" s="29">
        <v>49700</v>
      </c>
      <c r="K1779" s="29" t="str">
        <v>-</v>
      </c>
      <c r="L1779" s="29">
        <v>50000</v>
      </c>
      <c r="M1779" s="29">
        <v>50000</v>
      </c>
      <c r="N1779" s="29">
        <v>48800</v>
      </c>
      <c r="O1779" s="29">
        <v>46700</v>
      </c>
      <c r="P1779" s="29">
        <v>45000</v>
      </c>
      <c r="Q1779" s="29">
        <v>45200</v>
      </c>
      <c r="R1779" s="29">
        <v>45500</v>
      </c>
      <c r="S1779">
        <v>47800</v>
      </c>
      <c r="T1779">
        <v>49100</v>
      </c>
      <c r="U1779">
        <v>53000</v>
      </c>
      <c r="V1779">
        <v>49500</v>
      </c>
      <c r="W1779">
        <v>52800</v>
      </c>
    </row>
    <row r="1780" spans="1:23">
      <c r="A1780" s="30">
        <v>46063</v>
      </c>
      <c r="B1780" s="29">
        <v>49400</v>
      </c>
      <c r="C1780" s="29">
        <v>49500</v>
      </c>
      <c r="D1780" s="29">
        <v>49500</v>
      </c>
      <c r="E1780" s="29">
        <v>46000</v>
      </c>
      <c r="F1780" s="29">
        <v>50200</v>
      </c>
      <c r="G1780" s="29" t="str">
        <v>-</v>
      </c>
      <c r="H1780" s="29">
        <v>49000</v>
      </c>
      <c r="I1780" s="29">
        <v>47600</v>
      </c>
      <c r="J1780" s="29">
        <v>49800</v>
      </c>
      <c r="K1780" s="29" t="str">
        <v>-</v>
      </c>
      <c r="L1780" s="29">
        <v>50000</v>
      </c>
      <c r="M1780" s="29">
        <v>50200</v>
      </c>
      <c r="N1780" s="29">
        <v>48750</v>
      </c>
      <c r="O1780" s="29">
        <v>46800</v>
      </c>
      <c r="P1780" s="29">
        <v>45300</v>
      </c>
      <c r="Q1780" s="29">
        <v>45700</v>
      </c>
      <c r="R1780" s="29">
        <v>45500</v>
      </c>
      <c r="S1780">
        <v>48100</v>
      </c>
      <c r="T1780">
        <v>49400</v>
      </c>
      <c r="U1780">
        <v>53000</v>
      </c>
      <c r="V1780">
        <v>49500</v>
      </c>
      <c r="W1780">
        <v>52800</v>
      </c>
    </row>
    <row r="1781" spans="1:23">
      <c r="A1781" s="30">
        <v>46064</v>
      </c>
      <c r="B1781" s="29">
        <v>49300</v>
      </c>
      <c r="C1781" s="29">
        <v>49500</v>
      </c>
      <c r="D1781" s="29">
        <v>49050</v>
      </c>
      <c r="E1781" s="29">
        <v>45900</v>
      </c>
      <c r="F1781" s="29">
        <v>50200</v>
      </c>
      <c r="G1781" s="29" t="str">
        <v>-</v>
      </c>
      <c r="H1781" s="29">
        <v>49000</v>
      </c>
      <c r="I1781" s="29">
        <v>47500</v>
      </c>
      <c r="J1781" s="29">
        <v>49500</v>
      </c>
      <c r="K1781" s="29" t="str">
        <v>-</v>
      </c>
      <c r="L1781" s="29">
        <v>49900</v>
      </c>
      <c r="M1781" s="29">
        <v>50200</v>
      </c>
      <c r="N1781" s="29">
        <v>48400</v>
      </c>
      <c r="O1781" s="29">
        <v>46800</v>
      </c>
      <c r="P1781" s="29">
        <v>45200</v>
      </c>
      <c r="Q1781" s="29">
        <v>45300</v>
      </c>
      <c r="R1781" s="29">
        <v>45500</v>
      </c>
      <c r="S1781">
        <v>48000</v>
      </c>
      <c r="T1781">
        <v>49400</v>
      </c>
      <c r="U1781">
        <v>53000</v>
      </c>
      <c r="V1781">
        <v>49500</v>
      </c>
      <c r="W1781">
        <v>52800</v>
      </c>
    </row>
    <row r="1782" spans="1:23">
      <c r="A1782" s="30">
        <v>46065</v>
      </c>
      <c r="B1782" s="29">
        <v>49200</v>
      </c>
      <c r="C1782" s="29">
        <v>49500</v>
      </c>
      <c r="D1782" s="29">
        <v>48800</v>
      </c>
      <c r="E1782" s="29">
        <v>45700</v>
      </c>
      <c r="F1782" s="29">
        <v>49700</v>
      </c>
      <c r="G1782" s="29" t="str">
        <v>-</v>
      </c>
      <c r="H1782" s="29">
        <v>48500</v>
      </c>
      <c r="I1782" s="29">
        <v>47200</v>
      </c>
      <c r="J1782" s="29">
        <v>49300</v>
      </c>
      <c r="K1782" s="29" t="str">
        <v>-</v>
      </c>
      <c r="L1782" s="29">
        <v>49700</v>
      </c>
      <c r="M1782" s="29">
        <v>49600</v>
      </c>
      <c r="N1782" s="29">
        <v>48000</v>
      </c>
      <c r="O1782" s="29">
        <v>46800</v>
      </c>
      <c r="P1782" s="29">
        <v>44700</v>
      </c>
      <c r="Q1782" s="29">
        <v>45200</v>
      </c>
      <c r="R1782" s="29">
        <v>45500</v>
      </c>
      <c r="S1782">
        <v>47800</v>
      </c>
      <c r="T1782">
        <v>48900</v>
      </c>
      <c r="U1782">
        <v>52000</v>
      </c>
      <c r="V1782">
        <v>49500</v>
      </c>
      <c r="W1782">
        <v>52800</v>
      </c>
    </row>
    <row r="1783" spans="1:23">
      <c r="A1783" s="30">
        <v>46066</v>
      </c>
      <c r="B1783" s="29">
        <v>49100</v>
      </c>
      <c r="C1783" s="29">
        <v>49200</v>
      </c>
      <c r="D1783" s="29">
        <v>48500</v>
      </c>
      <c r="E1783" s="29">
        <v>45500</v>
      </c>
      <c r="F1783" s="29">
        <v>50000</v>
      </c>
      <c r="G1783" s="29" t="str">
        <v>-</v>
      </c>
      <c r="H1783" s="29">
        <v>48500</v>
      </c>
      <c r="I1783" s="29">
        <v>47000</v>
      </c>
      <c r="J1783" s="29">
        <v>49300</v>
      </c>
      <c r="K1783" s="29" t="str">
        <v>-</v>
      </c>
      <c r="L1783" s="29">
        <v>49700</v>
      </c>
      <c r="M1783" s="29">
        <v>50000</v>
      </c>
      <c r="N1783" s="29">
        <v>47800</v>
      </c>
      <c r="O1783" s="29">
        <v>46800</v>
      </c>
      <c r="P1783" s="29">
        <v>44500</v>
      </c>
      <c r="Q1783" s="29">
        <v>45000</v>
      </c>
      <c r="R1783" s="29">
        <v>45000</v>
      </c>
      <c r="S1783">
        <v>47600</v>
      </c>
      <c r="T1783">
        <v>48700</v>
      </c>
      <c r="U1783">
        <v>52000</v>
      </c>
      <c r="V1783">
        <v>49500</v>
      </c>
      <c r="W1783">
        <v>52800</v>
      </c>
    </row>
    <row r="1784" spans="1:23">
      <c r="A1784" s="30">
        <v>46067</v>
      </c>
      <c r="B1784" s="29">
        <v>49100</v>
      </c>
      <c r="C1784" s="29">
        <v>49500</v>
      </c>
      <c r="D1784" s="29">
        <v>48500</v>
      </c>
      <c r="E1784" s="29">
        <v>45700</v>
      </c>
      <c r="F1784" s="29">
        <v>50000</v>
      </c>
      <c r="G1784" s="29" t="str">
        <v>-</v>
      </c>
      <c r="H1784" s="29">
        <v>49000</v>
      </c>
      <c r="I1784" s="29">
        <v>47100</v>
      </c>
      <c r="J1784" s="29">
        <v>49300</v>
      </c>
      <c r="K1784" s="29" t="str">
        <v>-</v>
      </c>
      <c r="L1784" s="29">
        <v>49900</v>
      </c>
      <c r="M1784" s="29">
        <v>50000</v>
      </c>
      <c r="N1784" s="29">
        <v>48350</v>
      </c>
      <c r="O1784" s="29">
        <v>47000</v>
      </c>
      <c r="P1784" s="29">
        <v>44700</v>
      </c>
      <c r="Q1784" s="29">
        <v>45200</v>
      </c>
      <c r="R1784" s="29">
        <v>45000</v>
      </c>
      <c r="S1784">
        <v>47800</v>
      </c>
      <c r="T1784">
        <v>48700</v>
      </c>
      <c r="U1784">
        <v>52000</v>
      </c>
      <c r="V1784">
        <v>49500</v>
      </c>
      <c r="W1784">
        <v>52800</v>
      </c>
    </row>
    <row r="1785" spans="1:23">
      <c r="A1785" s="30">
        <v>46068</v>
      </c>
      <c r="B1785" s="29" t="str">
        <v>H</v>
      </c>
      <c r="C1785" s="29" t="str">
        <v>H</v>
      </c>
      <c r="D1785" s="29" t="str">
        <v>H</v>
      </c>
      <c r="E1785" s="29" t="str">
        <v>H</v>
      </c>
      <c r="F1785" s="29" t="str">
        <v>H</v>
      </c>
      <c r="G1785" s="29" t="str">
        <v>H</v>
      </c>
      <c r="H1785" s="29" t="str">
        <v>H</v>
      </c>
      <c r="I1785" s="29" t="str">
        <v>H</v>
      </c>
      <c r="J1785" s="29" t="str">
        <v>H</v>
      </c>
      <c r="K1785" s="29" t="str">
        <v>H</v>
      </c>
      <c r="L1785" s="29" t="str">
        <v>H</v>
      </c>
      <c r="M1785" s="29" t="str">
        <v>H</v>
      </c>
      <c r="N1785" s="29" t="str">
        <v>H</v>
      </c>
      <c r="O1785" s="29" t="str">
        <v>H</v>
      </c>
      <c r="P1785" s="29" t="str">
        <v>H</v>
      </c>
      <c r="Q1785" s="29" t="str">
        <v>H</v>
      </c>
      <c r="R1785" s="29" t="str">
        <v>H</v>
      </c>
      <c r="S1785" t="str">
        <v>H</v>
      </c>
      <c r="T1785" t="str">
        <v>H</v>
      </c>
      <c r="U1785" t="str">
        <v>H</v>
      </c>
      <c r="V1785" t="str">
        <v>H</v>
      </c>
      <c r="W1785" t="str">
        <v>H</v>
      </c>
    </row>
    <row r="1786" spans="1:23">
      <c r="A1786" s="30">
        <v>46069</v>
      </c>
      <c r="B1786" s="29">
        <v>49100</v>
      </c>
      <c r="C1786" s="29">
        <v>49500</v>
      </c>
      <c r="D1786" s="29">
        <v>48350</v>
      </c>
      <c r="E1786" s="29">
        <v>45500</v>
      </c>
      <c r="F1786" s="29">
        <v>50000</v>
      </c>
      <c r="G1786" s="29" t="str">
        <v>-</v>
      </c>
      <c r="H1786" s="29">
        <v>48500</v>
      </c>
      <c r="I1786" s="29">
        <v>47200</v>
      </c>
      <c r="J1786" s="29">
        <v>48800</v>
      </c>
      <c r="K1786" s="29" t="str">
        <v>-</v>
      </c>
      <c r="L1786" s="29">
        <v>49600</v>
      </c>
      <c r="M1786" s="29">
        <v>50000</v>
      </c>
      <c r="N1786" s="29">
        <v>47950</v>
      </c>
      <c r="O1786" s="29">
        <v>46900</v>
      </c>
      <c r="P1786" s="29">
        <v>44600</v>
      </c>
      <c r="Q1786" s="29">
        <v>44900</v>
      </c>
      <c r="R1786" s="29">
        <v>44800</v>
      </c>
      <c r="S1786">
        <v>47600</v>
      </c>
      <c r="T1786">
        <v>48700</v>
      </c>
      <c r="U1786">
        <v>52000</v>
      </c>
      <c r="V1786">
        <v>49400</v>
      </c>
      <c r="W1786">
        <v>52800</v>
      </c>
    </row>
    <row r="1787" spans="1:23">
      <c r="A1787" s="30">
        <v>46070</v>
      </c>
      <c r="B1787" s="29">
        <v>48900</v>
      </c>
      <c r="C1787" s="29">
        <v>49000</v>
      </c>
      <c r="D1787" s="29">
        <v>47750</v>
      </c>
      <c r="E1787" s="29">
        <v>45400</v>
      </c>
      <c r="F1787" s="29">
        <v>50000</v>
      </c>
      <c r="G1787" s="29" t="str">
        <v>-</v>
      </c>
      <c r="H1787" s="29">
        <v>48000</v>
      </c>
      <c r="I1787" s="29">
        <v>47100</v>
      </c>
      <c r="J1787" s="29">
        <v>48800</v>
      </c>
      <c r="K1787" s="29" t="str">
        <v>-</v>
      </c>
      <c r="L1787" s="29">
        <v>49300</v>
      </c>
      <c r="M1787" s="29">
        <v>49600</v>
      </c>
      <c r="N1787" s="29">
        <v>47700</v>
      </c>
      <c r="O1787" s="29">
        <v>46800</v>
      </c>
      <c r="P1787" s="29">
        <v>44300</v>
      </c>
      <c r="Q1787" s="29">
        <v>44800</v>
      </c>
      <c r="R1787" s="29">
        <v>44800</v>
      </c>
      <c r="S1787">
        <v>47500</v>
      </c>
      <c r="T1787">
        <v>48300</v>
      </c>
      <c r="U1787">
        <v>52000</v>
      </c>
      <c r="V1787">
        <v>49400</v>
      </c>
      <c r="W1787">
        <v>52800</v>
      </c>
    </row>
    <row r="1788" spans="1:23">
      <c r="A1788" s="30">
        <v>46071</v>
      </c>
      <c r="B1788" s="29">
        <v>48700</v>
      </c>
      <c r="C1788" s="29">
        <v>49000</v>
      </c>
      <c r="D1788" s="29">
        <v>48000</v>
      </c>
      <c r="E1788" s="29">
        <v>45400</v>
      </c>
      <c r="F1788" s="29">
        <v>50000</v>
      </c>
      <c r="G1788" s="29" t="str">
        <v>-</v>
      </c>
      <c r="H1788" s="29">
        <v>48000</v>
      </c>
      <c r="I1788" s="29">
        <v>46900</v>
      </c>
      <c r="J1788" s="29">
        <v>48800</v>
      </c>
      <c r="K1788" s="29" t="str">
        <v>-</v>
      </c>
      <c r="L1788" s="29">
        <v>49100</v>
      </c>
      <c r="M1788" s="29">
        <v>49600</v>
      </c>
      <c r="N1788" s="29">
        <v>47900</v>
      </c>
      <c r="O1788" s="29">
        <v>46800</v>
      </c>
      <c r="P1788" s="29">
        <v>44200</v>
      </c>
      <c r="Q1788" s="29">
        <v>44700</v>
      </c>
      <c r="R1788" s="29">
        <v>44800</v>
      </c>
      <c r="S1788">
        <v>47500</v>
      </c>
      <c r="T1788">
        <v>48300</v>
      </c>
      <c r="U1788">
        <v>52000</v>
      </c>
      <c r="V1788">
        <v>49400</v>
      </c>
      <c r="W1788">
        <v>52600</v>
      </c>
    </row>
    <row r="1789" spans="1:23">
      <c r="A1789" s="30">
        <v>46072</v>
      </c>
      <c r="B1789" s="29">
        <v>48400</v>
      </c>
      <c r="C1789" s="29">
        <v>48700</v>
      </c>
      <c r="D1789" s="29">
        <v>47500</v>
      </c>
      <c r="E1789" s="29">
        <v>45200</v>
      </c>
      <c r="F1789" s="29">
        <v>50000</v>
      </c>
      <c r="G1789" s="29" t="str">
        <v>-</v>
      </c>
      <c r="H1789" s="29">
        <v>47700</v>
      </c>
      <c r="I1789" s="29">
        <v>46500</v>
      </c>
      <c r="J1789" s="29">
        <v>48700</v>
      </c>
      <c r="K1789" s="29" t="str">
        <v>-</v>
      </c>
      <c r="L1789" s="29">
        <v>48700</v>
      </c>
      <c r="M1789" s="29">
        <v>49400</v>
      </c>
      <c r="N1789" s="29">
        <v>47300</v>
      </c>
      <c r="O1789" s="29">
        <v>46400</v>
      </c>
      <c r="P1789" s="29">
        <v>43800</v>
      </c>
      <c r="Q1789" s="29">
        <v>44400</v>
      </c>
      <c r="R1789" s="29">
        <v>44600</v>
      </c>
      <c r="S1789">
        <v>47400</v>
      </c>
      <c r="T1789">
        <v>47900</v>
      </c>
      <c r="U1789">
        <v>52000</v>
      </c>
      <c r="V1789">
        <v>49100</v>
      </c>
      <c r="W1789">
        <v>52200</v>
      </c>
    </row>
    <row r="1790" spans="1:23">
      <c r="A1790" s="30">
        <v>46073</v>
      </c>
      <c r="B1790" s="29">
        <v>48200</v>
      </c>
      <c r="C1790" s="29">
        <v>48300</v>
      </c>
      <c r="D1790" s="29">
        <v>47500</v>
      </c>
      <c r="E1790" s="29">
        <v>45100</v>
      </c>
      <c r="F1790" s="29">
        <v>50000</v>
      </c>
      <c r="G1790" s="29" t="str">
        <v>-</v>
      </c>
      <c r="H1790" s="29">
        <v>47700</v>
      </c>
      <c r="I1790" s="29">
        <v>46500</v>
      </c>
      <c r="J1790" s="29">
        <v>48700</v>
      </c>
      <c r="K1790" s="29" t="str">
        <v>-</v>
      </c>
      <c r="L1790" s="29">
        <v>48500</v>
      </c>
      <c r="M1790" s="29">
        <v>49400</v>
      </c>
      <c r="N1790" s="29">
        <v>47100</v>
      </c>
      <c r="O1790" s="29">
        <v>46200</v>
      </c>
      <c r="P1790" s="29">
        <v>43800</v>
      </c>
      <c r="Q1790" s="29">
        <v>44200</v>
      </c>
      <c r="R1790" s="29">
        <v>44200</v>
      </c>
      <c r="S1790">
        <v>47200</v>
      </c>
      <c r="T1790">
        <v>47900</v>
      </c>
      <c r="U1790">
        <v>52000</v>
      </c>
      <c r="V1790">
        <v>49000</v>
      </c>
      <c r="W1790">
        <v>52200</v>
      </c>
    </row>
    <row r="1791" spans="1:23">
      <c r="A1791" s="30">
        <v>46074</v>
      </c>
      <c r="B1791" s="29">
        <v>48000</v>
      </c>
      <c r="C1791" s="29">
        <v>48500</v>
      </c>
      <c r="D1791" s="29">
        <v>48400</v>
      </c>
      <c r="E1791" s="29">
        <v>45300</v>
      </c>
      <c r="F1791" s="29">
        <v>50000</v>
      </c>
      <c r="G1791" s="29" t="str">
        <v>-</v>
      </c>
      <c r="H1791" s="29">
        <v>48000</v>
      </c>
      <c r="I1791" s="29">
        <v>46800</v>
      </c>
      <c r="J1791" s="29">
        <v>48800</v>
      </c>
      <c r="K1791" s="29" t="str">
        <v>-</v>
      </c>
      <c r="L1791" s="29">
        <v>48800</v>
      </c>
      <c r="M1791" s="29">
        <v>49400</v>
      </c>
      <c r="N1791" s="29">
        <v>47700</v>
      </c>
      <c r="O1791" s="29">
        <v>46300</v>
      </c>
      <c r="P1791" s="29">
        <v>44200</v>
      </c>
      <c r="Q1791" s="29">
        <v>44400</v>
      </c>
      <c r="R1791" s="29">
        <v>44500</v>
      </c>
      <c r="S1791">
        <v>47400</v>
      </c>
      <c r="T1791">
        <v>48200</v>
      </c>
      <c r="U1791">
        <v>52000</v>
      </c>
      <c r="V1791">
        <v>49000</v>
      </c>
      <c r="W1791">
        <v>52200</v>
      </c>
    </row>
    <row r="1792" spans="1:23">
      <c r="A1792" s="30">
        <v>46075</v>
      </c>
      <c r="B1792" s="29" t="str">
        <v>H</v>
      </c>
      <c r="C1792" s="29" t="str">
        <v>H</v>
      </c>
      <c r="D1792" s="29" t="str">
        <v>H</v>
      </c>
      <c r="E1792" s="29" t="str">
        <v>H</v>
      </c>
      <c r="F1792" s="29" t="str">
        <v>H</v>
      </c>
      <c r="G1792" s="29" t="str">
        <v>H</v>
      </c>
      <c r="H1792" s="29" t="str">
        <v>H</v>
      </c>
      <c r="I1792" s="29" t="str">
        <v>H</v>
      </c>
      <c r="J1792" s="29" t="str">
        <v>H</v>
      </c>
      <c r="K1792" s="29" t="str">
        <v>H</v>
      </c>
      <c r="L1792" s="29" t="str">
        <v>H</v>
      </c>
      <c r="M1792" s="29" t="str">
        <v>H</v>
      </c>
      <c r="N1792" s="29" t="str">
        <v>H</v>
      </c>
      <c r="O1792" s="29" t="str">
        <v>H</v>
      </c>
      <c r="P1792" s="29" t="str">
        <v>H</v>
      </c>
      <c r="Q1792" s="29" t="str">
        <v>H</v>
      </c>
      <c r="R1792" s="29" t="str">
        <v>H</v>
      </c>
      <c r="S1792" t="str">
        <v>H</v>
      </c>
      <c r="T1792" t="str">
        <v>H</v>
      </c>
      <c r="U1792" t="str">
        <v>H</v>
      </c>
      <c r="V1792" t="str">
        <v>H</v>
      </c>
      <c r="W1792" t="str">
        <v>H</v>
      </c>
    </row>
    <row r="1793" spans="1:30">
      <c r="A1793" s="30">
        <v>46076</v>
      </c>
      <c r="B1793" s="29">
        <v>48000</v>
      </c>
      <c r="C1793" s="29">
        <v>48500</v>
      </c>
      <c r="D1793" s="29">
        <v>47950</v>
      </c>
      <c r="E1793" s="29">
        <v>45300</v>
      </c>
      <c r="F1793" s="29">
        <v>50000</v>
      </c>
      <c r="G1793" s="29" t="str">
        <v>-</v>
      </c>
      <c r="H1793" s="29">
        <v>48000</v>
      </c>
      <c r="I1793" s="29">
        <v>46800</v>
      </c>
      <c r="J1793" s="29">
        <v>48800</v>
      </c>
      <c r="K1793" s="29" t="str">
        <v>-</v>
      </c>
      <c r="L1793" s="29">
        <v>48500</v>
      </c>
      <c r="M1793" s="29">
        <v>49400</v>
      </c>
      <c r="N1793" s="29">
        <v>47200</v>
      </c>
      <c r="O1793" s="29">
        <v>46200</v>
      </c>
      <c r="P1793" s="29">
        <v>43600</v>
      </c>
      <c r="Q1793" s="29">
        <v>44300</v>
      </c>
      <c r="R1793" s="29">
        <v>44000</v>
      </c>
      <c r="S1793">
        <v>47400</v>
      </c>
      <c r="T1793">
        <v>48200</v>
      </c>
      <c r="U1793">
        <v>52000</v>
      </c>
      <c r="V1793">
        <v>48900</v>
      </c>
      <c r="W1793">
        <v>52100</v>
      </c>
    </row>
    <row r="1794" spans="1:30">
      <c r="A1794" s="30">
        <v>46077</v>
      </c>
      <c r="B1794" s="29">
        <v>47800</v>
      </c>
      <c r="C1794" s="29">
        <v>48300</v>
      </c>
      <c r="D1794" s="29">
        <v>47600</v>
      </c>
      <c r="E1794" s="29">
        <v>45000</v>
      </c>
      <c r="F1794" s="29">
        <v>50000</v>
      </c>
      <c r="G1794" s="29" t="str">
        <v>-</v>
      </c>
      <c r="H1794" s="29">
        <v>48000</v>
      </c>
      <c r="I1794" s="29">
        <v>46600</v>
      </c>
      <c r="J1794" s="29">
        <v>48600</v>
      </c>
      <c r="K1794" s="29" t="str">
        <v>-</v>
      </c>
      <c r="L1794" s="29">
        <v>48100</v>
      </c>
      <c r="M1794" s="29">
        <v>49400</v>
      </c>
      <c r="N1794" s="29">
        <v>47000</v>
      </c>
      <c r="O1794" s="29">
        <v>46000</v>
      </c>
      <c r="P1794" s="29">
        <v>43500</v>
      </c>
      <c r="Q1794" s="29">
        <v>43700</v>
      </c>
      <c r="R1794" s="29">
        <v>44000</v>
      </c>
      <c r="S1794">
        <v>47100</v>
      </c>
      <c r="T1794">
        <v>47700</v>
      </c>
      <c r="U1794">
        <v>51000</v>
      </c>
      <c r="V1794">
        <v>48900</v>
      </c>
      <c r="W1794">
        <v>52100</v>
      </c>
    </row>
    <row r="1795" spans="1:30">
      <c r="A1795" s="30">
        <v>46078</v>
      </c>
      <c r="B1795" s="29">
        <v>47700</v>
      </c>
      <c r="C1795" s="29">
        <v>48200</v>
      </c>
      <c r="D1795" s="29">
        <v>47900</v>
      </c>
      <c r="E1795" s="29">
        <v>44900</v>
      </c>
      <c r="F1795" s="29">
        <v>49900</v>
      </c>
      <c r="G1795" s="29" t="str">
        <v>-</v>
      </c>
      <c r="H1795" s="29">
        <v>47300</v>
      </c>
      <c r="I1795" s="29">
        <v>46400</v>
      </c>
      <c r="J1795" s="29">
        <v>48600</v>
      </c>
      <c r="K1795" s="29" t="str">
        <v>-</v>
      </c>
      <c r="L1795" s="29">
        <v>48000</v>
      </c>
      <c r="M1795" s="29">
        <v>49200</v>
      </c>
      <c r="N1795" s="29">
        <v>46850</v>
      </c>
      <c r="O1795" s="29">
        <v>46000</v>
      </c>
      <c r="P1795" s="29">
        <v>43300</v>
      </c>
      <c r="Q1795" s="29">
        <v>43700</v>
      </c>
      <c r="R1795" s="29">
        <v>44000</v>
      </c>
      <c r="S1795">
        <v>47000</v>
      </c>
      <c r="T1795">
        <v>47600</v>
      </c>
      <c r="U1795">
        <v>51000</v>
      </c>
      <c r="V1795">
        <v>48800</v>
      </c>
      <c r="W1795">
        <v>52100</v>
      </c>
    </row>
    <row r="1796" spans="1:30">
      <c r="A1796" s="30">
        <v>46079</v>
      </c>
      <c r="B1796" s="29">
        <v>47600</v>
      </c>
      <c r="C1796" s="29">
        <v>48200</v>
      </c>
      <c r="D1796" s="29">
        <v>48000</v>
      </c>
      <c r="E1796" s="29">
        <v>45100</v>
      </c>
      <c r="F1796" s="29">
        <v>49900</v>
      </c>
      <c r="G1796" s="29" t="str">
        <v>-</v>
      </c>
      <c r="H1796" s="29">
        <v>47300</v>
      </c>
      <c r="I1796" s="29">
        <v>46400</v>
      </c>
      <c r="J1796" s="29">
        <v>48300</v>
      </c>
      <c r="K1796" s="29" t="str">
        <v>-</v>
      </c>
      <c r="L1796" s="29">
        <v>48000</v>
      </c>
      <c r="M1796" s="29">
        <v>49200</v>
      </c>
      <c r="N1796" s="29">
        <v>47100</v>
      </c>
      <c r="O1796" s="29">
        <v>46000</v>
      </c>
      <c r="P1796" s="29">
        <v>43500</v>
      </c>
      <c r="Q1796" s="29">
        <v>43800</v>
      </c>
      <c r="R1796" s="29">
        <v>44000</v>
      </c>
      <c r="S1796">
        <v>47200</v>
      </c>
      <c r="T1796">
        <v>47800</v>
      </c>
      <c r="U1796">
        <v>51000</v>
      </c>
      <c r="V1796">
        <v>48800</v>
      </c>
      <c r="W1796">
        <v>52100</v>
      </c>
    </row>
    <row r="1797" spans="1:30">
      <c r="A1797" s="30">
        <v>46080</v>
      </c>
      <c r="B1797" s="29">
        <v>47500</v>
      </c>
      <c r="C1797" s="29">
        <v>48000</v>
      </c>
      <c r="D1797" s="29">
        <v>48000</v>
      </c>
      <c r="E1797" s="29">
        <v>44900</v>
      </c>
      <c r="F1797" s="29">
        <v>49900</v>
      </c>
      <c r="G1797" s="29" t="str">
        <v>-</v>
      </c>
      <c r="H1797" s="29">
        <v>47000</v>
      </c>
      <c r="I1797" s="29">
        <v>46300</v>
      </c>
      <c r="J1797" s="29">
        <v>48200</v>
      </c>
      <c r="K1797" s="29" t="str">
        <v>-</v>
      </c>
      <c r="L1797" s="29">
        <v>47900</v>
      </c>
      <c r="M1797" s="29">
        <v>49200</v>
      </c>
      <c r="N1797" s="29">
        <v>46900</v>
      </c>
      <c r="O1797" s="29">
        <v>45900</v>
      </c>
      <c r="P1797" s="29">
        <v>43300</v>
      </c>
      <c r="Q1797" s="29">
        <v>43600</v>
      </c>
      <c r="R1797" s="29">
        <v>43800</v>
      </c>
      <c r="S1797">
        <v>47000</v>
      </c>
      <c r="T1797">
        <v>47700</v>
      </c>
      <c r="U1797">
        <v>51000</v>
      </c>
      <c r="V1797">
        <v>48600</v>
      </c>
      <c r="W1797">
        <v>52100</v>
      </c>
    </row>
    <row r="1798" spans="1:30">
      <c r="A1798" s="30">
        <v>46081</v>
      </c>
      <c r="B1798" s="29">
        <v>47500</v>
      </c>
      <c r="C1798" s="29">
        <v>48000</v>
      </c>
      <c r="D1798" s="29">
        <v>47850</v>
      </c>
      <c r="E1798" s="29">
        <v>44900</v>
      </c>
      <c r="F1798" s="29">
        <v>49900</v>
      </c>
      <c r="G1798" s="29" t="str">
        <v>-</v>
      </c>
      <c r="H1798" s="29">
        <v>47000</v>
      </c>
      <c r="I1798" s="29">
        <v>46200</v>
      </c>
      <c r="J1798" s="29">
        <v>48200</v>
      </c>
      <c r="K1798" s="29" t="str">
        <v>-</v>
      </c>
      <c r="L1798" s="29">
        <v>47600</v>
      </c>
      <c r="M1798" s="29">
        <v>48800</v>
      </c>
      <c r="N1798" s="29">
        <v>46800</v>
      </c>
      <c r="O1798" s="29">
        <v>45900</v>
      </c>
      <c r="P1798" s="29">
        <v>43000</v>
      </c>
      <c r="Q1798" s="29">
        <v>43600</v>
      </c>
      <c r="R1798" s="29">
        <v>43800</v>
      </c>
      <c r="S1798">
        <v>47000</v>
      </c>
      <c r="T1798">
        <v>47700</v>
      </c>
      <c r="U1798">
        <v>51000</v>
      </c>
      <c r="V1798">
        <v>48600</v>
      </c>
      <c r="W1798">
        <v>52100</v>
      </c>
    </row>
    <row r="1799" spans="1:30">
      <c r="A1799" s="30">
        <v>46082</v>
      </c>
      <c r="B1799" s="29" t="str">
        <v>H</v>
      </c>
      <c r="C1799" s="29" t="str">
        <v>H</v>
      </c>
      <c r="D1799" s="29" t="str">
        <v>H</v>
      </c>
      <c r="E1799" s="29" t="str">
        <v>H</v>
      </c>
      <c r="F1799" s="29" t="str">
        <v>H</v>
      </c>
      <c r="G1799" s="29" t="str">
        <v>H</v>
      </c>
      <c r="H1799" s="29" t="str">
        <v>H</v>
      </c>
      <c r="I1799" s="29" t="str">
        <v>H</v>
      </c>
      <c r="J1799" s="29" t="str">
        <v>H</v>
      </c>
      <c r="K1799" s="29" t="str">
        <v>H</v>
      </c>
      <c r="L1799" s="29" t="str">
        <v>H</v>
      </c>
      <c r="M1799" s="29" t="str">
        <v>H</v>
      </c>
      <c r="N1799" s="29" t="str">
        <v>H</v>
      </c>
      <c r="O1799" s="29" t="str">
        <v>H</v>
      </c>
      <c r="P1799" s="29" t="str">
        <v>H</v>
      </c>
      <c r="Q1799" s="29" t="str">
        <v>H</v>
      </c>
      <c r="R1799" s="29" t="str">
        <v>H</v>
      </c>
      <c r="S1799" t="str">
        <v>H</v>
      </c>
      <c r="T1799" t="str">
        <v>H</v>
      </c>
      <c r="U1799" t="str">
        <v>H</v>
      </c>
      <c r="V1799" t="str">
        <v>H</v>
      </c>
      <c r="W1799" t="str">
        <v>H</v>
      </c>
      <c r="AB1799" s="472">
        <f ca="1">TODAY()</f>
        <v>46124</v>
      </c>
      <c r="AC1799" s="472">
        <v>46085</v>
      </c>
      <c r="AD1799" s="472">
        <f>AC1799-15</f>
        <v>46070</v>
      </c>
    </row>
    <row r="1800" spans="1:30">
      <c r="A1800" s="30">
        <v>46083</v>
      </c>
      <c r="B1800" s="29">
        <v>48700</v>
      </c>
      <c r="C1800" s="29">
        <v>49000</v>
      </c>
      <c r="D1800" s="29">
        <v>49500</v>
      </c>
      <c r="E1800" s="29">
        <v>46100</v>
      </c>
      <c r="F1800" s="29">
        <v>51000</v>
      </c>
      <c r="G1800" s="29" t="str">
        <v>-</v>
      </c>
      <c r="H1800" s="29">
        <v>49000</v>
      </c>
      <c r="I1800" s="29">
        <v>47400</v>
      </c>
      <c r="J1800" s="29">
        <v>49800</v>
      </c>
      <c r="K1800" s="29" t="str">
        <v>-</v>
      </c>
      <c r="L1800" s="29">
        <v>48600</v>
      </c>
      <c r="M1800" s="29">
        <v>50200</v>
      </c>
      <c r="N1800" s="29">
        <v>48500</v>
      </c>
      <c r="O1800" s="29">
        <v>46700</v>
      </c>
      <c r="P1800" s="29">
        <v>45300</v>
      </c>
      <c r="Q1800" s="29">
        <v>45600</v>
      </c>
      <c r="R1800" s="29">
        <v>45700</v>
      </c>
      <c r="S1800">
        <v>48200</v>
      </c>
      <c r="T1800">
        <v>48900</v>
      </c>
      <c r="U1800">
        <v>53000</v>
      </c>
      <c r="V1800">
        <v>49400</v>
      </c>
      <c r="W1800">
        <v>52400</v>
      </c>
    </row>
    <row r="1801" spans="1:30">
      <c r="A1801" s="30">
        <v>46084</v>
      </c>
      <c r="B1801" s="29">
        <v>48700</v>
      </c>
      <c r="C1801" s="29">
        <v>49000</v>
      </c>
      <c r="D1801" s="29">
        <v>49350</v>
      </c>
      <c r="E1801" s="29">
        <v>46000</v>
      </c>
      <c r="F1801" s="29">
        <v>51500</v>
      </c>
      <c r="G1801" s="29" t="str">
        <v>-</v>
      </c>
      <c r="H1801" s="29">
        <v>49000</v>
      </c>
      <c r="I1801" s="29" t="str">
        <v>-</v>
      </c>
      <c r="J1801" s="29" t="str">
        <v>-</v>
      </c>
      <c r="K1801" s="29" t="str">
        <v>-</v>
      </c>
      <c r="L1801" s="29">
        <v>48500</v>
      </c>
      <c r="M1801" s="29" t="str">
        <v>-</v>
      </c>
      <c r="N1801" s="29">
        <v>48400</v>
      </c>
      <c r="O1801" s="29">
        <v>46700</v>
      </c>
      <c r="P1801" s="29">
        <v>45300</v>
      </c>
      <c r="Q1801" s="29">
        <v>45300</v>
      </c>
      <c r="R1801" s="29">
        <v>45700</v>
      </c>
      <c r="S1801">
        <v>48100</v>
      </c>
      <c r="T1801">
        <v>48900</v>
      </c>
      <c r="U1801">
        <v>53000</v>
      </c>
      <c r="V1801">
        <v>50300</v>
      </c>
      <c r="W1801">
        <v>52400</v>
      </c>
    </row>
    <row r="1802" spans="1:30">
      <c r="A1802" s="30">
        <v>46085</v>
      </c>
      <c r="B1802" s="29" t="str">
        <v>H</v>
      </c>
      <c r="C1802" s="29" t="str">
        <v>H</v>
      </c>
      <c r="D1802" s="29" t="str">
        <v>H</v>
      </c>
      <c r="E1802" s="29" t="str">
        <v>H</v>
      </c>
      <c r="F1802" s="29" t="str">
        <v>H</v>
      </c>
      <c r="G1802" s="29" t="str">
        <v>H</v>
      </c>
      <c r="H1802" s="29" t="str">
        <v>H</v>
      </c>
      <c r="I1802" s="29" t="str">
        <v>H</v>
      </c>
      <c r="J1802" s="29" t="str">
        <v>H</v>
      </c>
      <c r="K1802" s="29" t="str">
        <v>H</v>
      </c>
      <c r="L1802" s="29" t="str">
        <v>H</v>
      </c>
      <c r="M1802" s="29" t="str">
        <v>H</v>
      </c>
      <c r="N1802" s="29" t="str">
        <v>H</v>
      </c>
      <c r="O1802" s="29" t="str">
        <v>H</v>
      </c>
      <c r="P1802" s="29" t="str">
        <v>H</v>
      </c>
      <c r="Q1802" s="29" t="str">
        <v>H</v>
      </c>
      <c r="R1802" s="29" t="str">
        <v>H</v>
      </c>
      <c r="S1802" t="str">
        <v>H</v>
      </c>
      <c r="T1802" t="str">
        <v>H</v>
      </c>
      <c r="U1802" t="str">
        <v>H</v>
      </c>
      <c r="V1802" t="str">
        <v>H</v>
      </c>
      <c r="W1802" t="str">
        <v>H</v>
      </c>
    </row>
    <row r="1803" spans="1:30">
      <c r="A1803" s="30">
        <v>46086</v>
      </c>
      <c r="B1803" s="29">
        <v>49100</v>
      </c>
      <c r="C1803" s="29">
        <v>49500</v>
      </c>
      <c r="D1803" s="29">
        <v>50550</v>
      </c>
      <c r="E1803" s="29">
        <v>46300</v>
      </c>
      <c r="F1803" s="29">
        <v>52600</v>
      </c>
      <c r="G1803" s="29" t="str">
        <v>-</v>
      </c>
      <c r="H1803" s="29">
        <v>49500</v>
      </c>
      <c r="I1803" s="29">
        <v>47600</v>
      </c>
      <c r="J1803" s="29">
        <v>50600</v>
      </c>
      <c r="K1803" s="29" t="str">
        <v>-</v>
      </c>
      <c r="L1803" s="29">
        <v>48800</v>
      </c>
      <c r="M1803" s="29">
        <v>50700</v>
      </c>
      <c r="N1803" s="29">
        <v>49400</v>
      </c>
      <c r="O1803" s="29">
        <v>46700</v>
      </c>
      <c r="P1803" s="29">
        <v>46000</v>
      </c>
      <c r="Q1803" s="29">
        <v>46000</v>
      </c>
      <c r="R1803" s="29">
        <v>45700</v>
      </c>
      <c r="S1803">
        <v>48400</v>
      </c>
      <c r="T1803">
        <v>48900</v>
      </c>
      <c r="U1803">
        <v>53000</v>
      </c>
      <c r="V1803">
        <v>51500</v>
      </c>
      <c r="W1803">
        <v>52900</v>
      </c>
    </row>
    <row r="1804" spans="1:30">
      <c r="A1804" s="30">
        <v>46087</v>
      </c>
      <c r="B1804" s="29">
        <v>49400</v>
      </c>
      <c r="C1804" s="29">
        <v>49500</v>
      </c>
      <c r="D1804" s="29">
        <v>50550</v>
      </c>
      <c r="E1804" s="29">
        <v>46800</v>
      </c>
      <c r="F1804" s="29">
        <v>53000</v>
      </c>
      <c r="G1804" s="29" t="str">
        <v>-</v>
      </c>
      <c r="H1804" s="29">
        <v>49500</v>
      </c>
      <c r="I1804" s="29">
        <v>47800</v>
      </c>
      <c r="J1804" s="29">
        <v>50800</v>
      </c>
      <c r="K1804" s="29" t="str">
        <v>-</v>
      </c>
      <c r="L1804" s="29">
        <v>49100</v>
      </c>
      <c r="M1804" s="29">
        <v>50500</v>
      </c>
      <c r="N1804" s="29">
        <v>49500</v>
      </c>
      <c r="O1804" s="29">
        <v>47200</v>
      </c>
      <c r="P1804" s="29">
        <v>46000</v>
      </c>
      <c r="Q1804" s="29">
        <v>46300</v>
      </c>
      <c r="R1804" s="29">
        <v>45700</v>
      </c>
      <c r="S1804">
        <v>48900</v>
      </c>
      <c r="T1804">
        <v>49800</v>
      </c>
      <c r="U1804">
        <v>53000</v>
      </c>
      <c r="V1804">
        <v>51500</v>
      </c>
      <c r="W1804">
        <v>54000</v>
      </c>
    </row>
    <row r="1805" spans="1:30">
      <c r="A1805" s="30">
        <v>46088</v>
      </c>
      <c r="B1805" s="29">
        <v>49400</v>
      </c>
      <c r="C1805" s="29">
        <v>49500</v>
      </c>
      <c r="D1805" s="29">
        <v>50400</v>
      </c>
      <c r="E1805" s="29">
        <v>46800</v>
      </c>
      <c r="F1805" s="29">
        <v>53200</v>
      </c>
      <c r="G1805" s="29" t="str">
        <v>-</v>
      </c>
      <c r="H1805" s="29">
        <v>49500</v>
      </c>
      <c r="I1805" s="29">
        <v>47800</v>
      </c>
      <c r="J1805" s="29">
        <v>50700</v>
      </c>
      <c r="K1805" s="29" t="str">
        <v>-</v>
      </c>
      <c r="L1805" s="29">
        <v>49000</v>
      </c>
      <c r="M1805" s="29">
        <v>50500</v>
      </c>
      <c r="N1805" s="29">
        <v>49400</v>
      </c>
      <c r="O1805" s="29">
        <v>47200</v>
      </c>
      <c r="P1805" s="29">
        <v>46000</v>
      </c>
      <c r="Q1805" s="29">
        <v>46000</v>
      </c>
      <c r="R1805" s="29">
        <v>45700</v>
      </c>
      <c r="S1805">
        <v>48900</v>
      </c>
      <c r="T1805">
        <v>49800</v>
      </c>
      <c r="U1805">
        <v>53000</v>
      </c>
      <c r="V1805">
        <v>51500</v>
      </c>
      <c r="W1805">
        <v>54000</v>
      </c>
    </row>
    <row r="1806" spans="1:30">
      <c r="A1806" s="30">
        <v>46089</v>
      </c>
      <c r="B1806" s="29" t="str">
        <v>H</v>
      </c>
      <c r="C1806" s="29" t="str">
        <v>H</v>
      </c>
      <c r="D1806" s="29" t="str">
        <v>H</v>
      </c>
      <c r="E1806" s="29" t="str">
        <v>H</v>
      </c>
      <c r="F1806" s="29" t="str">
        <v>H</v>
      </c>
      <c r="G1806" s="29" t="str">
        <v>H</v>
      </c>
      <c r="H1806" s="29" t="str">
        <v>H</v>
      </c>
      <c r="I1806" s="29" t="str">
        <v>H</v>
      </c>
      <c r="J1806" s="29" t="str">
        <v>H</v>
      </c>
      <c r="K1806" s="29" t="str">
        <v>H</v>
      </c>
      <c r="L1806" s="29" t="str">
        <v>H</v>
      </c>
      <c r="M1806" s="29" t="str">
        <v>H</v>
      </c>
      <c r="N1806" s="29" t="str">
        <v>H</v>
      </c>
      <c r="O1806" s="29" t="str">
        <v>H</v>
      </c>
      <c r="P1806" s="29" t="str">
        <v>H</v>
      </c>
      <c r="Q1806" s="29" t="str">
        <v>H</v>
      </c>
      <c r="R1806" s="29" t="str">
        <v>H</v>
      </c>
      <c r="S1806" t="str">
        <v>H</v>
      </c>
      <c r="T1806" t="str">
        <v>H</v>
      </c>
      <c r="U1806" t="str">
        <v>H</v>
      </c>
      <c r="V1806" t="str">
        <v>H</v>
      </c>
      <c r="W1806" t="str">
        <v>H</v>
      </c>
    </row>
    <row r="1807" spans="1:30">
      <c r="A1807" s="30">
        <v>46090</v>
      </c>
      <c r="B1807" s="29">
        <v>49800</v>
      </c>
      <c r="C1807" s="29">
        <v>49800</v>
      </c>
      <c r="D1807" s="29">
        <v>50950</v>
      </c>
      <c r="E1807" s="29">
        <v>47000</v>
      </c>
      <c r="F1807" s="29">
        <v>53200</v>
      </c>
      <c r="G1807" s="29" t="str">
        <v>-</v>
      </c>
      <c r="H1807" s="29">
        <v>50000</v>
      </c>
      <c r="I1807" s="29">
        <v>48100</v>
      </c>
      <c r="J1807" s="29">
        <v>51500</v>
      </c>
      <c r="K1807" s="29" t="str">
        <v>-</v>
      </c>
      <c r="L1807" s="29">
        <v>49400</v>
      </c>
      <c r="M1807" s="29">
        <v>50800</v>
      </c>
      <c r="N1807" s="29">
        <v>49950</v>
      </c>
      <c r="O1807" s="29">
        <v>47300</v>
      </c>
      <c r="P1807" s="29">
        <v>46100</v>
      </c>
      <c r="Q1807" s="29">
        <v>46500</v>
      </c>
      <c r="R1807" s="29">
        <v>46000</v>
      </c>
      <c r="S1807">
        <v>49000</v>
      </c>
      <c r="T1807">
        <v>50300</v>
      </c>
      <c r="U1807">
        <v>54000</v>
      </c>
      <c r="V1807">
        <v>51500</v>
      </c>
      <c r="W1807">
        <v>54000</v>
      </c>
    </row>
    <row r="1808" spans="1:30">
      <c r="A1808" s="30">
        <v>46091</v>
      </c>
      <c r="B1808" s="29">
        <v>50200</v>
      </c>
      <c r="C1808" s="29">
        <v>49800</v>
      </c>
      <c r="D1808" s="29">
        <v>51500</v>
      </c>
      <c r="E1808" s="29">
        <v>47100</v>
      </c>
      <c r="F1808" s="29">
        <v>53200</v>
      </c>
      <c r="G1808" s="29" t="str">
        <v>-</v>
      </c>
      <c r="H1808" s="29">
        <v>50000</v>
      </c>
      <c r="I1808" s="29">
        <v>49300</v>
      </c>
      <c r="J1808" s="29">
        <v>51600</v>
      </c>
      <c r="K1808" s="29" t="str">
        <v>-</v>
      </c>
      <c r="L1808" s="29">
        <v>49600</v>
      </c>
      <c r="M1808" s="29">
        <v>51500</v>
      </c>
      <c r="N1808" s="29">
        <v>50400</v>
      </c>
      <c r="O1808" s="29">
        <v>47400</v>
      </c>
      <c r="P1808" s="29">
        <v>46200</v>
      </c>
      <c r="Q1808" s="29">
        <v>46400</v>
      </c>
      <c r="R1808" s="29">
        <v>46300</v>
      </c>
      <c r="S1808">
        <v>49100</v>
      </c>
      <c r="T1808">
        <v>50400</v>
      </c>
      <c r="U1808">
        <v>54000</v>
      </c>
      <c r="V1808">
        <v>51800</v>
      </c>
      <c r="W1808">
        <v>54200</v>
      </c>
    </row>
    <row r="1809" spans="1:23">
      <c r="A1809" s="30">
        <v>46092</v>
      </c>
      <c r="B1809" s="29">
        <v>50200</v>
      </c>
      <c r="C1809" s="29">
        <v>50000</v>
      </c>
      <c r="D1809" s="29">
        <v>51400</v>
      </c>
      <c r="E1809" s="29">
        <v>47000</v>
      </c>
      <c r="F1809" s="29">
        <v>53200</v>
      </c>
      <c r="G1809" s="29" t="str">
        <v>-</v>
      </c>
      <c r="H1809" s="29">
        <v>49500</v>
      </c>
      <c r="I1809" s="29">
        <v>49300</v>
      </c>
      <c r="J1809" s="29">
        <v>51400</v>
      </c>
      <c r="K1809" s="29" t="str">
        <v>-</v>
      </c>
      <c r="L1809" s="29">
        <v>49500</v>
      </c>
      <c r="M1809" s="29">
        <v>51500</v>
      </c>
      <c r="N1809" s="29">
        <v>50000</v>
      </c>
      <c r="O1809" s="29">
        <v>47400</v>
      </c>
      <c r="P1809" s="29">
        <v>45600</v>
      </c>
      <c r="Q1809" s="29">
        <v>46000</v>
      </c>
      <c r="R1809" s="29">
        <v>46300</v>
      </c>
      <c r="S1809">
        <v>49000</v>
      </c>
      <c r="T1809">
        <v>50200</v>
      </c>
      <c r="U1809">
        <v>53500</v>
      </c>
      <c r="V1809">
        <v>51800</v>
      </c>
      <c r="W1809">
        <v>54200</v>
      </c>
    </row>
    <row r="1810" spans="1:23">
      <c r="A1810" s="30">
        <v>46093</v>
      </c>
      <c r="B1810" s="29">
        <v>50200</v>
      </c>
      <c r="C1810" s="29">
        <v>50000</v>
      </c>
      <c r="D1810" s="29">
        <v>51400</v>
      </c>
      <c r="E1810" s="29">
        <v>47200</v>
      </c>
      <c r="F1810" s="29">
        <v>53200</v>
      </c>
      <c r="G1810" s="29" t="str">
        <v>-</v>
      </c>
      <c r="H1810" s="29">
        <v>50000</v>
      </c>
      <c r="I1810" s="29">
        <v>49400</v>
      </c>
      <c r="J1810" s="29">
        <v>51500</v>
      </c>
      <c r="K1810" s="29" t="str">
        <v>-</v>
      </c>
      <c r="L1810" s="29">
        <v>49500</v>
      </c>
      <c r="M1810" s="29">
        <v>51500</v>
      </c>
      <c r="N1810" s="29">
        <v>50000</v>
      </c>
      <c r="O1810" s="29">
        <v>47500</v>
      </c>
      <c r="P1810" s="29">
        <v>46000</v>
      </c>
      <c r="Q1810" s="29">
        <v>46400</v>
      </c>
      <c r="R1810" s="29">
        <v>46300</v>
      </c>
      <c r="S1810">
        <v>49100</v>
      </c>
      <c r="T1810">
        <v>50500</v>
      </c>
      <c r="U1810">
        <v>53500</v>
      </c>
      <c r="V1810">
        <v>51800</v>
      </c>
      <c r="W1810">
        <v>54200</v>
      </c>
    </row>
    <row r="1811" spans="1:23">
      <c r="A1811" s="30">
        <v>46094</v>
      </c>
      <c r="B1811" s="29">
        <v>50200</v>
      </c>
      <c r="C1811" s="29">
        <v>50000</v>
      </c>
      <c r="D1811" s="29">
        <v>51400</v>
      </c>
      <c r="E1811" s="29">
        <v>47000</v>
      </c>
      <c r="F1811" s="29">
        <v>53800</v>
      </c>
      <c r="G1811" s="29" t="str">
        <v>-</v>
      </c>
      <c r="H1811" s="29">
        <v>50000</v>
      </c>
      <c r="I1811" s="29">
        <v>49400</v>
      </c>
      <c r="J1811" s="29">
        <v>51500</v>
      </c>
      <c r="K1811" s="29" t="str">
        <v>-</v>
      </c>
      <c r="L1811" s="29">
        <v>49500</v>
      </c>
      <c r="M1811" s="29">
        <v>51500</v>
      </c>
      <c r="N1811" s="29">
        <v>49800</v>
      </c>
      <c r="O1811" s="29">
        <v>47300</v>
      </c>
      <c r="P1811" s="29">
        <v>45500</v>
      </c>
      <c r="Q1811" s="29">
        <v>46000</v>
      </c>
      <c r="R1811" s="29">
        <v>46000</v>
      </c>
      <c r="S1811">
        <v>48900</v>
      </c>
      <c r="T1811">
        <v>50400</v>
      </c>
      <c r="U1811">
        <v>53500</v>
      </c>
      <c r="V1811">
        <v>52000</v>
      </c>
      <c r="W1811">
        <v>54200</v>
      </c>
    </row>
    <row r="1812" spans="1:23">
      <c r="A1812" s="30">
        <v>46095</v>
      </c>
      <c r="B1812" s="29">
        <v>50200</v>
      </c>
      <c r="C1812" s="29">
        <v>50000</v>
      </c>
      <c r="D1812" s="29">
        <v>51400</v>
      </c>
      <c r="E1812" s="29">
        <v>46800</v>
      </c>
      <c r="F1812" s="29">
        <v>54000</v>
      </c>
      <c r="G1812" s="29" t="str">
        <v>-</v>
      </c>
      <c r="H1812" s="29">
        <v>49500</v>
      </c>
      <c r="I1812" s="29">
        <v>49400</v>
      </c>
      <c r="J1812" s="29">
        <v>51500</v>
      </c>
      <c r="K1812" s="29" t="str">
        <v>-</v>
      </c>
      <c r="L1812" s="29">
        <v>49200</v>
      </c>
      <c r="M1812" s="29">
        <v>51500</v>
      </c>
      <c r="N1812" s="29">
        <v>49800</v>
      </c>
      <c r="O1812" s="29">
        <v>47200</v>
      </c>
      <c r="P1812" s="29">
        <v>45300</v>
      </c>
      <c r="Q1812" s="29">
        <v>45800</v>
      </c>
      <c r="R1812" s="29">
        <v>46000</v>
      </c>
      <c r="S1812">
        <v>48700</v>
      </c>
      <c r="T1812">
        <v>49900</v>
      </c>
      <c r="U1812">
        <v>53500</v>
      </c>
      <c r="V1812">
        <v>52000</v>
      </c>
      <c r="W1812">
        <v>54200</v>
      </c>
    </row>
    <row r="1813" spans="1:23">
      <c r="A1813" s="30">
        <v>46096</v>
      </c>
      <c r="B1813" s="29" t="str">
        <v>H</v>
      </c>
      <c r="C1813" s="29" t="str">
        <v>H</v>
      </c>
      <c r="D1813" s="29" t="str">
        <v>H</v>
      </c>
      <c r="E1813" s="29" t="str">
        <v>H</v>
      </c>
      <c r="F1813" s="29" t="str">
        <v>H</v>
      </c>
      <c r="G1813" s="29" t="str">
        <v>H</v>
      </c>
      <c r="H1813" s="29" t="str">
        <v>H</v>
      </c>
      <c r="I1813" s="29" t="str">
        <v>H</v>
      </c>
      <c r="J1813" s="29" t="str">
        <v>H</v>
      </c>
      <c r="K1813" s="29" t="str">
        <v>H</v>
      </c>
      <c r="L1813" s="29" t="str">
        <v>H</v>
      </c>
      <c r="M1813" s="29" t="str">
        <v>H</v>
      </c>
      <c r="N1813" s="29" t="str">
        <v>H</v>
      </c>
      <c r="O1813" s="29" t="str">
        <v>H</v>
      </c>
      <c r="P1813" s="29" t="str">
        <v>H</v>
      </c>
      <c r="Q1813" s="29" t="str">
        <v>H</v>
      </c>
      <c r="R1813" s="29" t="str">
        <v>H</v>
      </c>
      <c r="S1813" t="str">
        <v>H</v>
      </c>
      <c r="T1813" t="str">
        <v>H</v>
      </c>
      <c r="U1813" t="str">
        <v>H</v>
      </c>
      <c r="V1813" t="str">
        <v>H</v>
      </c>
      <c r="W1813" t="str">
        <v>H</v>
      </c>
    </row>
    <row r="1814" spans="1:23">
      <c r="A1814" s="30">
        <v>46097</v>
      </c>
      <c r="B1814" s="29">
        <v>50300</v>
      </c>
      <c r="C1814" s="29">
        <v>50000</v>
      </c>
      <c r="D1814" s="29">
        <v>50750</v>
      </c>
      <c r="E1814" s="29">
        <v>46900</v>
      </c>
      <c r="F1814" s="29">
        <v>54200</v>
      </c>
      <c r="G1814" s="29" t="str">
        <v>-</v>
      </c>
      <c r="H1814" s="29">
        <v>50000</v>
      </c>
      <c r="I1814" s="29">
        <v>49500</v>
      </c>
      <c r="J1814" s="29">
        <v>51200</v>
      </c>
      <c r="K1814" s="29" t="str">
        <v>-</v>
      </c>
      <c r="L1814" s="29">
        <v>49400</v>
      </c>
      <c r="M1814" s="29">
        <v>51000</v>
      </c>
      <c r="N1814" s="29">
        <v>49700</v>
      </c>
      <c r="O1814" s="29">
        <v>47300</v>
      </c>
      <c r="P1814" s="29">
        <v>45600</v>
      </c>
      <c r="Q1814" s="29">
        <v>46200</v>
      </c>
      <c r="R1814" s="29">
        <v>46000</v>
      </c>
      <c r="S1814">
        <v>48800</v>
      </c>
      <c r="T1814">
        <v>49800</v>
      </c>
      <c r="U1814">
        <v>54000</v>
      </c>
      <c r="V1814">
        <v>52000</v>
      </c>
      <c r="W1814">
        <v>54200</v>
      </c>
    </row>
    <row r="1815" spans="1:23">
      <c r="A1815" s="30">
        <v>46098</v>
      </c>
      <c r="B1815" s="29">
        <v>50400</v>
      </c>
      <c r="C1815" s="29">
        <v>50000</v>
      </c>
      <c r="D1815" s="29">
        <v>50900</v>
      </c>
      <c r="E1815" s="29">
        <v>46700</v>
      </c>
      <c r="F1815" s="29">
        <v>54200</v>
      </c>
      <c r="G1815" s="29" t="str">
        <v>-</v>
      </c>
      <c r="H1815" s="29">
        <v>49500</v>
      </c>
      <c r="I1815" s="29">
        <v>49500</v>
      </c>
      <c r="J1815" s="29">
        <v>51400</v>
      </c>
      <c r="K1815" s="29" t="str">
        <v>-</v>
      </c>
      <c r="L1815" s="29">
        <v>49800</v>
      </c>
      <c r="M1815" s="29">
        <v>51000</v>
      </c>
      <c r="N1815" s="29">
        <v>50000</v>
      </c>
      <c r="O1815" s="29">
        <v>47200</v>
      </c>
      <c r="P1815" s="29">
        <v>45400</v>
      </c>
      <c r="Q1815" s="29">
        <v>46200</v>
      </c>
      <c r="R1815" s="29">
        <v>46000</v>
      </c>
      <c r="S1815">
        <v>48600</v>
      </c>
      <c r="T1815">
        <v>50100</v>
      </c>
      <c r="U1815">
        <v>54000</v>
      </c>
      <c r="V1815">
        <v>52000</v>
      </c>
      <c r="W1815">
        <v>54200</v>
      </c>
    </row>
    <row r="1816" spans="1:23">
      <c r="A1816" s="30">
        <v>46099</v>
      </c>
      <c r="B1816" s="29">
        <v>50300</v>
      </c>
      <c r="C1816" s="29">
        <v>50200</v>
      </c>
      <c r="D1816" s="29">
        <v>50600</v>
      </c>
      <c r="E1816" s="29">
        <v>46300</v>
      </c>
      <c r="F1816" s="29">
        <v>54200</v>
      </c>
      <c r="G1816" s="29" t="str">
        <v>-</v>
      </c>
      <c r="H1816" s="29">
        <v>49500</v>
      </c>
      <c r="I1816" s="29">
        <v>49500</v>
      </c>
      <c r="J1816" s="29">
        <v>51300</v>
      </c>
      <c r="K1816" s="29" t="str">
        <v>-</v>
      </c>
      <c r="L1816" s="29">
        <v>49600</v>
      </c>
      <c r="M1816" s="29">
        <v>51000</v>
      </c>
      <c r="N1816" s="29">
        <v>49800</v>
      </c>
      <c r="O1816" s="29">
        <v>47200</v>
      </c>
      <c r="P1816" s="29">
        <v>45200</v>
      </c>
      <c r="Q1816" s="29">
        <v>46100</v>
      </c>
      <c r="R1816" s="29">
        <v>46000</v>
      </c>
      <c r="S1816">
        <v>48200</v>
      </c>
      <c r="T1816">
        <v>50000</v>
      </c>
      <c r="U1816">
        <v>54000</v>
      </c>
      <c r="V1816">
        <v>51800</v>
      </c>
      <c r="W1816">
        <v>54200</v>
      </c>
    </row>
    <row r="1817" spans="1:23">
      <c r="A1817" s="30">
        <v>46100</v>
      </c>
      <c r="B1817" s="29">
        <v>50100</v>
      </c>
      <c r="C1817" s="29">
        <v>50200</v>
      </c>
      <c r="D1817" s="29">
        <v>50600</v>
      </c>
      <c r="E1817" s="29">
        <v>46200</v>
      </c>
      <c r="F1817" s="29">
        <v>54200</v>
      </c>
      <c r="G1817" s="29" t="str">
        <v>-</v>
      </c>
      <c r="H1817" s="29">
        <v>49000</v>
      </c>
      <c r="I1817" s="29">
        <v>49100</v>
      </c>
      <c r="J1817" s="29">
        <v>51300</v>
      </c>
      <c r="K1817" s="29" t="str">
        <v>-</v>
      </c>
      <c r="L1817" s="29">
        <v>49500</v>
      </c>
      <c r="M1817" s="29">
        <v>51000</v>
      </c>
      <c r="N1817" s="29">
        <v>49600</v>
      </c>
      <c r="O1817" s="29">
        <v>47200</v>
      </c>
      <c r="P1817" s="29">
        <v>45300</v>
      </c>
      <c r="Q1817" s="29">
        <v>46000</v>
      </c>
      <c r="R1817" s="29">
        <v>45700</v>
      </c>
      <c r="S1817">
        <v>48100</v>
      </c>
      <c r="T1817">
        <v>49700</v>
      </c>
      <c r="U1817">
        <v>54000</v>
      </c>
      <c r="V1817">
        <v>51800</v>
      </c>
      <c r="W1817">
        <v>54200</v>
      </c>
    </row>
    <row r="1818" spans="1:23">
      <c r="A1818" s="30">
        <v>46101</v>
      </c>
      <c r="B1818" s="29">
        <v>50200</v>
      </c>
      <c r="C1818" s="29">
        <v>50200</v>
      </c>
      <c r="D1818" s="29">
        <v>50600</v>
      </c>
      <c r="E1818" s="29">
        <v>46200</v>
      </c>
      <c r="F1818" s="29">
        <v>54200</v>
      </c>
      <c r="G1818" s="29" t="str">
        <v>-</v>
      </c>
      <c r="H1818" s="29">
        <v>49500</v>
      </c>
      <c r="I1818" s="29">
        <v>49100</v>
      </c>
      <c r="J1818" s="29">
        <v>51400</v>
      </c>
      <c r="K1818" s="29" t="str">
        <v>-</v>
      </c>
      <c r="L1818" s="29">
        <v>49600</v>
      </c>
      <c r="M1818" s="29">
        <v>51000</v>
      </c>
      <c r="N1818" s="29">
        <v>49750</v>
      </c>
      <c r="O1818" s="29">
        <v>47200</v>
      </c>
      <c r="P1818" s="29">
        <v>45300</v>
      </c>
      <c r="Q1818" s="29">
        <v>46200</v>
      </c>
      <c r="R1818" s="29">
        <v>45700</v>
      </c>
      <c r="S1818">
        <v>48100</v>
      </c>
      <c r="T1818">
        <v>49800</v>
      </c>
      <c r="U1818">
        <v>54000</v>
      </c>
      <c r="V1818">
        <v>51800</v>
      </c>
      <c r="W1818">
        <v>54200</v>
      </c>
    </row>
    <row r="1819" spans="1:23">
      <c r="A1819" s="30">
        <v>46102</v>
      </c>
      <c r="B1819" s="29" t="str">
        <v>H</v>
      </c>
      <c r="C1819" s="29" t="str">
        <v>H</v>
      </c>
      <c r="D1819" s="29" t="str">
        <v>H</v>
      </c>
      <c r="E1819" s="29" t="str">
        <v>H</v>
      </c>
      <c r="F1819" s="29" t="str">
        <v>H</v>
      </c>
      <c r="G1819" s="29" t="str">
        <v>H</v>
      </c>
      <c r="H1819" s="29" t="str">
        <v>H</v>
      </c>
      <c r="I1819" s="29" t="str">
        <v>H</v>
      </c>
      <c r="J1819" s="29" t="str">
        <v>H</v>
      </c>
      <c r="K1819" s="29" t="str">
        <v>H</v>
      </c>
      <c r="L1819" s="29" t="str">
        <v>H</v>
      </c>
      <c r="M1819" s="29" t="str">
        <v>H</v>
      </c>
      <c r="N1819" s="29" t="str">
        <v>H</v>
      </c>
      <c r="O1819" s="29" t="str">
        <v>H</v>
      </c>
      <c r="P1819" s="29" t="str">
        <v>H</v>
      </c>
      <c r="Q1819" s="29" t="str">
        <v>H</v>
      </c>
      <c r="R1819" s="29" t="str">
        <v>H</v>
      </c>
      <c r="S1819" t="str">
        <v>H</v>
      </c>
      <c r="T1819" t="str">
        <v>H</v>
      </c>
      <c r="U1819" t="str">
        <v>H</v>
      </c>
      <c r="V1819" t="str">
        <v>H</v>
      </c>
      <c r="W1819" t="str">
        <v>H</v>
      </c>
    </row>
    <row r="1820" spans="1:23">
      <c r="A1820" s="30">
        <v>46103</v>
      </c>
      <c r="B1820" s="29" t="str">
        <v>H</v>
      </c>
      <c r="C1820" s="29" t="str">
        <v>H</v>
      </c>
      <c r="D1820" s="29" t="str">
        <v>H</v>
      </c>
      <c r="E1820" s="29" t="str">
        <v>H</v>
      </c>
      <c r="F1820" s="29" t="str">
        <v>H</v>
      </c>
      <c r="G1820" s="29" t="str">
        <v>H</v>
      </c>
      <c r="H1820" s="29" t="str">
        <v>H</v>
      </c>
      <c r="I1820" s="29" t="str">
        <v>H</v>
      </c>
      <c r="J1820" s="29" t="str">
        <v>H</v>
      </c>
      <c r="K1820" s="29" t="str">
        <v>H</v>
      </c>
      <c r="L1820" s="29" t="str">
        <v>H</v>
      </c>
      <c r="M1820" s="29" t="str">
        <v>H</v>
      </c>
      <c r="N1820" s="29" t="str">
        <v>H</v>
      </c>
      <c r="O1820" s="29" t="str">
        <v>H</v>
      </c>
      <c r="P1820" s="29" t="str">
        <v>H</v>
      </c>
      <c r="Q1820" s="29" t="str">
        <v>H</v>
      </c>
      <c r="R1820" s="29" t="str">
        <v>H</v>
      </c>
      <c r="S1820" t="str">
        <v>H</v>
      </c>
      <c r="T1820" t="str">
        <v>H</v>
      </c>
      <c r="U1820" t="str">
        <v>H</v>
      </c>
      <c r="V1820" t="str">
        <v>H</v>
      </c>
      <c r="W1820" t="str">
        <v>H</v>
      </c>
    </row>
    <row r="1821" spans="1:23">
      <c r="A1821" s="30">
        <v>46104</v>
      </c>
      <c r="B1821" s="29">
        <v>50200</v>
      </c>
      <c r="C1821" s="29">
        <v>51000</v>
      </c>
      <c r="D1821" s="29">
        <v>50500</v>
      </c>
      <c r="E1821" s="29">
        <v>46200</v>
      </c>
      <c r="F1821" s="29">
        <v>54200</v>
      </c>
      <c r="G1821" s="29" t="str">
        <v>-</v>
      </c>
      <c r="H1821" s="29">
        <v>49500</v>
      </c>
      <c r="I1821" s="29">
        <v>49000</v>
      </c>
      <c r="J1821" s="29">
        <v>51300</v>
      </c>
      <c r="K1821" s="29" t="str">
        <v>-</v>
      </c>
      <c r="L1821" s="29">
        <v>49800</v>
      </c>
      <c r="M1821" s="29">
        <v>51000</v>
      </c>
      <c r="N1821" s="29">
        <v>49700</v>
      </c>
      <c r="O1821" s="29">
        <v>47000</v>
      </c>
      <c r="P1821" s="29">
        <v>45000</v>
      </c>
      <c r="Q1821" s="29">
        <v>46000</v>
      </c>
      <c r="R1821" s="29">
        <v>45700</v>
      </c>
      <c r="S1821">
        <v>48100</v>
      </c>
      <c r="T1821">
        <v>49700</v>
      </c>
      <c r="U1821">
        <v>54000</v>
      </c>
      <c r="V1821">
        <v>51800</v>
      </c>
      <c r="W1821">
        <v>54200</v>
      </c>
    </row>
    <row r="1822" spans="1:23">
      <c r="A1822" s="30">
        <v>46105</v>
      </c>
      <c r="B1822" s="29">
        <v>50200</v>
      </c>
      <c r="C1822" s="29">
        <v>51000</v>
      </c>
      <c r="D1822" s="29">
        <v>50250</v>
      </c>
      <c r="E1822" s="29">
        <v>46100</v>
      </c>
      <c r="F1822" s="29">
        <v>54200</v>
      </c>
      <c r="G1822" s="29" t="str">
        <v>-</v>
      </c>
      <c r="H1822" s="29">
        <v>49500</v>
      </c>
      <c r="I1822" s="29">
        <v>48800</v>
      </c>
      <c r="J1822" s="29">
        <v>51100</v>
      </c>
      <c r="K1822" s="29" t="str">
        <v>-</v>
      </c>
      <c r="L1822" s="29">
        <v>49600</v>
      </c>
      <c r="M1822" s="29">
        <v>50900</v>
      </c>
      <c r="N1822" s="29">
        <v>49600</v>
      </c>
      <c r="O1822" s="29">
        <v>47000</v>
      </c>
      <c r="P1822" s="29">
        <v>44700</v>
      </c>
      <c r="Q1822" s="29">
        <v>45700</v>
      </c>
      <c r="R1822" s="29">
        <v>45500</v>
      </c>
      <c r="S1822">
        <v>47900</v>
      </c>
      <c r="T1822">
        <v>49500</v>
      </c>
      <c r="U1822">
        <v>54000</v>
      </c>
      <c r="V1822">
        <v>51800</v>
      </c>
      <c r="W1822">
        <v>54200</v>
      </c>
    </row>
    <row r="1823" spans="1:23">
      <c r="A1823" s="30">
        <v>46106</v>
      </c>
      <c r="B1823" s="29">
        <v>50100</v>
      </c>
      <c r="C1823" s="29">
        <v>50500</v>
      </c>
      <c r="D1823" s="29">
        <v>49500</v>
      </c>
      <c r="E1823" s="29">
        <v>45700</v>
      </c>
      <c r="F1823" s="29">
        <v>54200</v>
      </c>
      <c r="G1823" s="29" t="str">
        <v>-</v>
      </c>
      <c r="H1823" s="29">
        <v>49500</v>
      </c>
      <c r="I1823" s="29">
        <v>48500</v>
      </c>
      <c r="J1823" s="29">
        <v>51000</v>
      </c>
      <c r="K1823" s="29" t="str">
        <v>-</v>
      </c>
      <c r="L1823" s="29">
        <v>49400</v>
      </c>
      <c r="M1823" s="29">
        <v>50600</v>
      </c>
      <c r="N1823" s="29">
        <v>49200</v>
      </c>
      <c r="O1823" s="29">
        <v>47000</v>
      </c>
      <c r="P1823" s="29">
        <v>44400</v>
      </c>
      <c r="Q1823" s="29">
        <v>45200</v>
      </c>
      <c r="R1823" s="29">
        <v>45500</v>
      </c>
      <c r="S1823">
        <v>47500</v>
      </c>
      <c r="T1823">
        <v>49100</v>
      </c>
      <c r="U1823">
        <v>53500</v>
      </c>
      <c r="V1823">
        <v>51800</v>
      </c>
      <c r="W1823">
        <v>54200</v>
      </c>
    </row>
    <row r="1824" spans="1:23">
      <c r="A1824" s="30">
        <v>46107</v>
      </c>
      <c r="B1824" s="29">
        <v>50200</v>
      </c>
      <c r="C1824" s="29">
        <v>50500</v>
      </c>
      <c r="D1824" s="29">
        <v>49700</v>
      </c>
      <c r="E1824" s="29">
        <v>45500</v>
      </c>
      <c r="F1824" s="29">
        <v>54700</v>
      </c>
      <c r="G1824" s="29" t="str">
        <v>-</v>
      </c>
      <c r="H1824" s="29">
        <v>49500</v>
      </c>
      <c r="I1824" s="29">
        <v>48500</v>
      </c>
      <c r="J1824" s="29">
        <v>51600</v>
      </c>
      <c r="K1824" s="29" t="str">
        <v>-</v>
      </c>
      <c r="L1824" s="29">
        <v>49300</v>
      </c>
      <c r="M1824" s="29">
        <v>50400</v>
      </c>
      <c r="N1824" s="29">
        <v>49000</v>
      </c>
      <c r="O1824" s="29">
        <v>47000</v>
      </c>
      <c r="P1824" s="29">
        <v>45000</v>
      </c>
      <c r="Q1824" s="29">
        <v>45300</v>
      </c>
      <c r="R1824" s="29">
        <v>45500</v>
      </c>
      <c r="S1824">
        <v>47400</v>
      </c>
      <c r="T1824">
        <v>48900</v>
      </c>
      <c r="U1824">
        <v>53500</v>
      </c>
      <c r="V1824">
        <v>51800</v>
      </c>
      <c r="W1824">
        <v>54200</v>
      </c>
    </row>
    <row r="1825" spans="1:23">
      <c r="A1825" s="30">
        <v>46108</v>
      </c>
      <c r="B1825" s="29">
        <v>51000</v>
      </c>
      <c r="C1825" s="29">
        <v>50800</v>
      </c>
      <c r="D1825" s="29">
        <v>50300</v>
      </c>
      <c r="E1825" s="29">
        <v>45700</v>
      </c>
      <c r="F1825" s="29">
        <v>54800</v>
      </c>
      <c r="G1825" s="29" t="str">
        <v>-</v>
      </c>
      <c r="H1825" s="29">
        <v>49500</v>
      </c>
      <c r="I1825" s="29">
        <v>48500</v>
      </c>
      <c r="J1825" s="29">
        <v>51800</v>
      </c>
      <c r="K1825" s="29" t="str">
        <v>-</v>
      </c>
      <c r="L1825" s="29">
        <v>49500</v>
      </c>
      <c r="M1825" s="29">
        <v>50700</v>
      </c>
      <c r="N1825" s="29">
        <v>49600</v>
      </c>
      <c r="O1825" s="29">
        <v>47100</v>
      </c>
      <c r="P1825" s="29">
        <v>45000</v>
      </c>
      <c r="Q1825" s="29">
        <v>45600</v>
      </c>
      <c r="R1825" s="29">
        <v>45500</v>
      </c>
      <c r="S1825">
        <v>47600</v>
      </c>
      <c r="T1825">
        <v>49200</v>
      </c>
      <c r="U1825">
        <v>53500</v>
      </c>
      <c r="V1825">
        <v>51800</v>
      </c>
      <c r="W1825">
        <v>55300</v>
      </c>
    </row>
    <row r="1826" spans="1:23">
      <c r="A1826" s="30">
        <v>46109</v>
      </c>
      <c r="B1826" s="29">
        <v>51300</v>
      </c>
      <c r="C1826" s="29">
        <v>51000</v>
      </c>
      <c r="D1826" s="29">
        <v>50300</v>
      </c>
      <c r="E1826" s="29">
        <v>45800</v>
      </c>
      <c r="F1826" s="29">
        <v>55700</v>
      </c>
      <c r="G1826" s="29" t="str">
        <v>-</v>
      </c>
      <c r="H1826" s="29">
        <v>50000</v>
      </c>
      <c r="I1826" s="29">
        <v>48900</v>
      </c>
      <c r="J1826" s="29">
        <v>51800</v>
      </c>
      <c r="K1826" s="29" t="str">
        <v>-</v>
      </c>
      <c r="L1826" s="29">
        <v>49600</v>
      </c>
      <c r="M1826" s="29">
        <v>50900</v>
      </c>
      <c r="N1826" s="29">
        <v>49600</v>
      </c>
      <c r="O1826" s="29">
        <v>47200</v>
      </c>
      <c r="P1826" s="29">
        <v>45000</v>
      </c>
      <c r="Q1826" s="29">
        <v>45500</v>
      </c>
      <c r="R1826" s="29">
        <v>45500</v>
      </c>
      <c r="S1826">
        <v>47700</v>
      </c>
      <c r="T1826">
        <v>49200</v>
      </c>
      <c r="U1826">
        <v>53500</v>
      </c>
      <c r="V1826">
        <v>52200</v>
      </c>
      <c r="W1826">
        <v>56300</v>
      </c>
    </row>
    <row r="1827" spans="1:23">
      <c r="A1827" s="30">
        <v>46110</v>
      </c>
      <c r="B1827" s="29" t="str">
        <v>H</v>
      </c>
      <c r="C1827" s="29" t="str">
        <v>H</v>
      </c>
      <c r="D1827" s="29" t="str">
        <v>H</v>
      </c>
      <c r="E1827" s="29" t="str">
        <v>H</v>
      </c>
      <c r="F1827" s="29" t="str">
        <v>H</v>
      </c>
      <c r="G1827" s="29" t="str">
        <v>H</v>
      </c>
      <c r="H1827" s="29" t="str">
        <v>H</v>
      </c>
      <c r="I1827" s="29" t="str">
        <v>H</v>
      </c>
      <c r="J1827" s="29" t="str">
        <v>H</v>
      </c>
      <c r="K1827" s="29" t="str">
        <v>H</v>
      </c>
      <c r="L1827" s="29" t="str">
        <v>H</v>
      </c>
      <c r="M1827" s="29" t="str">
        <v>H</v>
      </c>
      <c r="N1827" s="29" t="str">
        <v>H</v>
      </c>
      <c r="O1827" s="29" t="str">
        <v>H</v>
      </c>
      <c r="P1827" s="29" t="str">
        <v>H</v>
      </c>
      <c r="Q1827" s="29" t="str">
        <v>H</v>
      </c>
      <c r="R1827" s="29" t="str">
        <v>H</v>
      </c>
      <c r="S1827" t="str">
        <v>H</v>
      </c>
      <c r="T1827" t="str">
        <v>H</v>
      </c>
      <c r="U1827" t="str">
        <v>H</v>
      </c>
      <c r="V1827" t="str">
        <v>H</v>
      </c>
      <c r="W1827" t="str">
        <v>H</v>
      </c>
    </row>
    <row r="1828" spans="1:23">
      <c r="A1828" s="30">
        <v>46111</v>
      </c>
      <c r="B1828" s="29">
        <v>52500</v>
      </c>
      <c r="C1828" s="29">
        <v>51700</v>
      </c>
      <c r="D1828" s="29">
        <v>52400</v>
      </c>
      <c r="E1828" s="29">
        <v>47000</v>
      </c>
      <c r="F1828" s="29">
        <v>57200</v>
      </c>
      <c r="G1828" s="29" t="str">
        <v>-</v>
      </c>
      <c r="H1828" s="29">
        <v>50500</v>
      </c>
      <c r="I1828" s="29">
        <v>49400</v>
      </c>
      <c r="J1828" s="29">
        <v>53300</v>
      </c>
      <c r="K1828" s="29" t="str">
        <v>-</v>
      </c>
      <c r="L1828" s="29">
        <v>50600</v>
      </c>
      <c r="M1828" s="29">
        <v>51600</v>
      </c>
      <c r="N1828" s="29">
        <v>51550</v>
      </c>
      <c r="O1828" s="29">
        <v>48200</v>
      </c>
      <c r="P1828" s="29">
        <v>47600</v>
      </c>
      <c r="Q1828" s="29">
        <v>48000</v>
      </c>
      <c r="R1828" s="29">
        <v>47500</v>
      </c>
      <c r="S1828">
        <v>48900</v>
      </c>
      <c r="T1828">
        <v>51300</v>
      </c>
      <c r="U1828">
        <v>55000</v>
      </c>
      <c r="V1828">
        <v>54800</v>
      </c>
      <c r="W1828">
        <v>57700</v>
      </c>
    </row>
    <row r="1829" spans="1:23">
      <c r="A1829" s="30">
        <v>46112</v>
      </c>
      <c r="B1829" s="29">
        <v>52900</v>
      </c>
      <c r="C1829" s="29">
        <v>52000</v>
      </c>
      <c r="D1829" s="29">
        <v>52400</v>
      </c>
      <c r="E1829" s="29">
        <v>46900</v>
      </c>
      <c r="F1829" s="29">
        <v>57500</v>
      </c>
      <c r="G1829" s="29" t="str">
        <v>-</v>
      </c>
      <c r="H1829" s="29">
        <v>51000</v>
      </c>
      <c r="I1829" s="29">
        <v>50100</v>
      </c>
      <c r="J1829" s="29">
        <v>53500</v>
      </c>
      <c r="K1829" s="29" t="str">
        <v>-</v>
      </c>
      <c r="L1829" s="29">
        <v>50900</v>
      </c>
      <c r="M1829" s="29">
        <v>52300</v>
      </c>
      <c r="N1829" s="29">
        <v>51450</v>
      </c>
      <c r="O1829" s="29">
        <v>48200</v>
      </c>
      <c r="P1829" s="29">
        <v>46700</v>
      </c>
      <c r="Q1829" s="29">
        <v>47500</v>
      </c>
      <c r="R1829" s="29">
        <v>47500</v>
      </c>
      <c r="S1829">
        <v>48800</v>
      </c>
      <c r="T1829">
        <v>51300</v>
      </c>
      <c r="U1829">
        <v>55000</v>
      </c>
      <c r="V1829">
        <v>54600</v>
      </c>
      <c r="W1829">
        <v>57700</v>
      </c>
    </row>
    <row r="1830" spans="1:23">
      <c r="A1830" s="30">
        <v>46113</v>
      </c>
      <c r="B1830" s="29">
        <v>53800</v>
      </c>
      <c r="C1830" s="29">
        <v>52500</v>
      </c>
      <c r="D1830" s="29">
        <v>52950</v>
      </c>
      <c r="E1830" s="29">
        <v>47300</v>
      </c>
      <c r="F1830" s="29">
        <v>57500</v>
      </c>
      <c r="G1830" s="29" t="str">
        <v>-</v>
      </c>
      <c r="H1830" s="29">
        <v>52000</v>
      </c>
      <c r="I1830" s="29">
        <v>51000</v>
      </c>
      <c r="J1830" s="29">
        <v>54100</v>
      </c>
      <c r="K1830" s="29" t="str">
        <v>-</v>
      </c>
      <c r="L1830" s="29">
        <v>51600</v>
      </c>
      <c r="M1830" s="29">
        <v>53400</v>
      </c>
      <c r="N1830" s="29">
        <v>51800</v>
      </c>
      <c r="O1830" s="29">
        <v>48700</v>
      </c>
      <c r="P1830" s="29">
        <v>47900</v>
      </c>
      <c r="Q1830" s="29">
        <v>48200</v>
      </c>
      <c r="R1830" s="29">
        <v>47500</v>
      </c>
      <c r="S1830">
        <v>49200</v>
      </c>
      <c r="T1830">
        <v>51500</v>
      </c>
      <c r="U1830">
        <v>55000</v>
      </c>
      <c r="V1830">
        <v>54600</v>
      </c>
      <c r="W1830">
        <v>57700</v>
      </c>
    </row>
    <row r="1831" spans="1:23">
      <c r="A1831" s="30">
        <v>46114</v>
      </c>
      <c r="B1831" s="29">
        <v>54400</v>
      </c>
      <c r="C1831" s="29">
        <v>53000</v>
      </c>
      <c r="D1831" s="29">
        <v>53000</v>
      </c>
      <c r="E1831" s="29">
        <v>47200</v>
      </c>
      <c r="F1831" s="29">
        <v>57500</v>
      </c>
      <c r="G1831" s="29" t="str">
        <v>-</v>
      </c>
      <c r="H1831" s="29">
        <v>52000</v>
      </c>
      <c r="I1831" s="29">
        <v>51100</v>
      </c>
      <c r="J1831" s="29">
        <v>54300</v>
      </c>
      <c r="K1831" s="29" t="str">
        <v>-</v>
      </c>
      <c r="L1831" s="29">
        <v>51900</v>
      </c>
      <c r="M1831" s="29">
        <v>53400</v>
      </c>
      <c r="N1831" s="29">
        <v>52200</v>
      </c>
      <c r="O1831" s="29">
        <v>48700</v>
      </c>
      <c r="P1831" s="29">
        <v>47700</v>
      </c>
      <c r="Q1831" s="29">
        <v>48500</v>
      </c>
      <c r="R1831" s="29">
        <v>47500</v>
      </c>
      <c r="S1831">
        <v>49100</v>
      </c>
      <c r="T1831">
        <v>51700</v>
      </c>
      <c r="U1831">
        <v>55000</v>
      </c>
      <c r="V1831">
        <v>54900</v>
      </c>
      <c r="W1831">
        <v>57700</v>
      </c>
    </row>
    <row r="1832" spans="1:23">
      <c r="A1832" s="30">
        <v>46115</v>
      </c>
      <c r="B1832" s="29">
        <v>54400</v>
      </c>
      <c r="C1832" s="29">
        <v>53000</v>
      </c>
      <c r="D1832" s="29">
        <v>52450</v>
      </c>
      <c r="E1832" s="29">
        <v>47000</v>
      </c>
      <c r="F1832" s="29">
        <v>57500</v>
      </c>
      <c r="G1832" s="29" t="str">
        <v>-</v>
      </c>
      <c r="H1832" s="29">
        <v>51500</v>
      </c>
      <c r="I1832" s="29">
        <v>51000</v>
      </c>
      <c r="J1832" s="29">
        <v>54100</v>
      </c>
      <c r="K1832" s="29" t="str">
        <v>-</v>
      </c>
      <c r="L1832" s="29">
        <v>51900</v>
      </c>
      <c r="M1832" s="29">
        <v>53400</v>
      </c>
      <c r="N1832" s="29">
        <v>51700</v>
      </c>
      <c r="O1832" s="29">
        <v>48500</v>
      </c>
      <c r="P1832" s="29">
        <v>47500</v>
      </c>
      <c r="Q1832" s="29">
        <v>47800</v>
      </c>
      <c r="R1832" s="29">
        <v>47500</v>
      </c>
      <c r="S1832">
        <v>48900</v>
      </c>
      <c r="T1832">
        <v>51500</v>
      </c>
      <c r="U1832">
        <v>55000</v>
      </c>
      <c r="V1832">
        <v>54900</v>
      </c>
      <c r="W1832">
        <v>57700</v>
      </c>
    </row>
    <row r="1833" spans="1:23">
      <c r="A1833" s="30">
        <v>46116</v>
      </c>
      <c r="B1833" s="29" t="str">
        <v>H</v>
      </c>
      <c r="C1833" s="29" t="str">
        <v>H</v>
      </c>
      <c r="D1833" s="29" t="str">
        <v>H</v>
      </c>
      <c r="E1833" s="29" t="str">
        <v>H</v>
      </c>
      <c r="F1833" s="29" t="str">
        <v>H</v>
      </c>
      <c r="G1833" s="29" t="str">
        <v>H</v>
      </c>
      <c r="H1833" s="29" t="str">
        <v>H</v>
      </c>
      <c r="I1833" s="29" t="str">
        <v>H</v>
      </c>
      <c r="J1833" s="29" t="str">
        <v>H</v>
      </c>
      <c r="K1833" s="29" t="str">
        <v>H</v>
      </c>
      <c r="L1833" s="29" t="str">
        <v>H</v>
      </c>
      <c r="M1833" s="29" t="str">
        <v>H</v>
      </c>
      <c r="N1833" s="29" t="str">
        <v>H</v>
      </c>
      <c r="O1833" s="29" t="str">
        <v>H</v>
      </c>
      <c r="P1833" s="29" t="str">
        <v>H</v>
      </c>
      <c r="Q1833" s="29" t="str">
        <v>H</v>
      </c>
      <c r="R1833" s="29" t="str">
        <v>H</v>
      </c>
      <c r="S1833" t="str">
        <v>H</v>
      </c>
      <c r="T1833" t="str">
        <v>H</v>
      </c>
      <c r="U1833" t="str">
        <v>H</v>
      </c>
      <c r="V1833" t="str">
        <v>H</v>
      </c>
      <c r="W1833" t="str">
        <v>H</v>
      </c>
    </row>
    <row r="1834" spans="1:23">
      <c r="A1834" s="30">
        <v>46117</v>
      </c>
      <c r="B1834" s="29" t="str">
        <v>H</v>
      </c>
      <c r="C1834" s="29" t="str">
        <v>H</v>
      </c>
      <c r="D1834" s="29" t="str">
        <v>H</v>
      </c>
      <c r="E1834" s="29" t="str">
        <v>H</v>
      </c>
      <c r="F1834" s="29" t="str">
        <v>H</v>
      </c>
      <c r="G1834" s="29" t="str">
        <v>H</v>
      </c>
      <c r="H1834" s="29" t="str">
        <v>H</v>
      </c>
      <c r="I1834" s="29" t="str">
        <v>H</v>
      </c>
      <c r="J1834" s="29" t="str">
        <v>H</v>
      </c>
      <c r="K1834" s="29" t="str">
        <v>H</v>
      </c>
      <c r="L1834" s="29" t="str">
        <v>H</v>
      </c>
      <c r="M1834" s="29" t="str">
        <v>H</v>
      </c>
      <c r="N1834" s="29" t="str">
        <v>H</v>
      </c>
      <c r="O1834" s="29" t="str">
        <v>H</v>
      </c>
      <c r="P1834" s="29" t="str">
        <v>H</v>
      </c>
      <c r="Q1834" s="29" t="str">
        <v>H</v>
      </c>
      <c r="R1834" s="29" t="str">
        <v>H</v>
      </c>
      <c r="S1834" t="str">
        <v>H</v>
      </c>
      <c r="T1834" t="str">
        <v>H</v>
      </c>
      <c r="U1834" t="str">
        <v>H</v>
      </c>
      <c r="V1834" t="str">
        <v>H</v>
      </c>
      <c r="W1834" t="str">
        <v>H</v>
      </c>
    </row>
    <row r="1835" spans="1:23">
      <c r="A1835" s="30">
        <v>46118</v>
      </c>
      <c r="B1835" s="29">
        <v>55000</v>
      </c>
      <c r="C1835" s="29">
        <v>53500</v>
      </c>
      <c r="D1835" s="29">
        <v>53850</v>
      </c>
      <c r="E1835" s="29">
        <v>47700</v>
      </c>
      <c r="F1835" s="29">
        <v>57800</v>
      </c>
      <c r="G1835" s="29" t="str">
        <v>-</v>
      </c>
      <c r="H1835" s="29">
        <v>52500</v>
      </c>
      <c r="I1835" s="29">
        <v>52000</v>
      </c>
      <c r="J1835" s="29">
        <v>54200</v>
      </c>
      <c r="K1835" s="29" t="str">
        <v>-</v>
      </c>
      <c r="L1835" s="29">
        <v>53000</v>
      </c>
      <c r="M1835" s="29">
        <v>54000</v>
      </c>
      <c r="N1835" s="29">
        <v>52950</v>
      </c>
      <c r="O1835" s="29">
        <v>49200</v>
      </c>
      <c r="P1835" s="29">
        <v>47700</v>
      </c>
      <c r="Q1835" s="29">
        <v>48400</v>
      </c>
      <c r="R1835" s="29">
        <v>48300</v>
      </c>
      <c r="S1835">
        <v>49600</v>
      </c>
      <c r="T1835">
        <v>51800</v>
      </c>
      <c r="U1835">
        <v>55000</v>
      </c>
      <c r="V1835">
        <v>54900</v>
      </c>
      <c r="W1835">
        <v>58000</v>
      </c>
    </row>
    <row r="1836" spans="1:23">
      <c r="A1836" s="30">
        <v>46119</v>
      </c>
      <c r="B1836" s="29">
        <v>55300</v>
      </c>
      <c r="C1836" s="29">
        <v>53500</v>
      </c>
      <c r="D1836" s="29">
        <v>54400</v>
      </c>
      <c r="E1836" s="29">
        <v>47700</v>
      </c>
      <c r="F1836" s="29">
        <v>58500</v>
      </c>
      <c r="G1836" s="29" t="str">
        <v>-</v>
      </c>
      <c r="H1836" s="29">
        <v>52500</v>
      </c>
      <c r="I1836" s="29">
        <v>52200</v>
      </c>
      <c r="J1836" s="29">
        <v>54300</v>
      </c>
      <c r="K1836" s="29" t="str">
        <v>-</v>
      </c>
      <c r="L1836" s="29">
        <v>53300</v>
      </c>
      <c r="M1836" s="29">
        <v>54200</v>
      </c>
      <c r="N1836" s="29">
        <v>53400</v>
      </c>
      <c r="O1836" s="29">
        <v>49200</v>
      </c>
      <c r="P1836" s="29">
        <v>48100</v>
      </c>
      <c r="Q1836" s="29">
        <v>48700</v>
      </c>
      <c r="R1836" s="29">
        <v>48000</v>
      </c>
      <c r="S1836">
        <v>49600</v>
      </c>
      <c r="T1836">
        <v>52000</v>
      </c>
      <c r="U1836">
        <v>56000</v>
      </c>
      <c r="V1836">
        <v>55100</v>
      </c>
      <c r="W1836">
        <v>58000</v>
      </c>
    </row>
    <row r="1837" spans="1:23">
      <c r="A1837" s="30">
        <v>46120</v>
      </c>
      <c r="B1837" s="29">
        <v>54200</v>
      </c>
      <c r="C1837" s="29">
        <v>53200</v>
      </c>
      <c r="D1837" s="29">
        <v>53450</v>
      </c>
      <c r="E1837" s="29">
        <v>47600</v>
      </c>
      <c r="F1837" s="29">
        <v>58500</v>
      </c>
      <c r="G1837" s="29" t="str">
        <v>-</v>
      </c>
      <c r="H1837" s="29">
        <v>52500</v>
      </c>
      <c r="I1837" s="29">
        <v>51800</v>
      </c>
      <c r="J1837" s="29">
        <v>54300</v>
      </c>
      <c r="K1837" s="29" t="str">
        <v>-</v>
      </c>
      <c r="L1837" s="29">
        <v>53000</v>
      </c>
      <c r="M1837" s="29">
        <v>54200</v>
      </c>
      <c r="N1837" s="29">
        <v>52650</v>
      </c>
      <c r="O1837" s="29">
        <v>49000</v>
      </c>
      <c r="P1837" s="29">
        <v>47500</v>
      </c>
      <c r="Q1837" s="29">
        <v>47700</v>
      </c>
      <c r="R1837" s="29">
        <v>47700</v>
      </c>
      <c r="S1837">
        <v>49500</v>
      </c>
      <c r="T1837">
        <v>51900</v>
      </c>
      <c r="U1837">
        <v>56000</v>
      </c>
      <c r="V1837">
        <v>55100</v>
      </c>
      <c r="W1837">
        <v>58000</v>
      </c>
    </row>
    <row r="1838" spans="1:23">
      <c r="A1838" s="30">
        <v>46121</v>
      </c>
      <c r="B1838" s="29">
        <v>54200</v>
      </c>
      <c r="C1838" s="29">
        <v>53200</v>
      </c>
      <c r="D1838" s="29">
        <v>53550</v>
      </c>
      <c r="E1838" s="29">
        <v>47600</v>
      </c>
      <c r="F1838" s="29">
        <v>58500</v>
      </c>
      <c r="G1838" s="29" t="str">
        <v>-</v>
      </c>
      <c r="H1838" s="29">
        <v>52500</v>
      </c>
      <c r="I1838" s="29">
        <v>52100</v>
      </c>
      <c r="J1838" s="29">
        <v>54200</v>
      </c>
      <c r="K1838" s="29" t="str">
        <v>-</v>
      </c>
      <c r="L1838" s="29">
        <v>53000</v>
      </c>
      <c r="M1838" s="29">
        <v>54100</v>
      </c>
      <c r="N1838" s="29">
        <v>52650</v>
      </c>
      <c r="O1838" s="29">
        <v>49000</v>
      </c>
      <c r="P1838" s="29">
        <v>47300</v>
      </c>
      <c r="Q1838" s="29">
        <v>47800</v>
      </c>
      <c r="R1838" s="29">
        <v>47700</v>
      </c>
      <c r="S1838">
        <v>49500</v>
      </c>
      <c r="T1838">
        <v>51600</v>
      </c>
      <c r="U1838">
        <v>56000</v>
      </c>
      <c r="V1838">
        <v>54900</v>
      </c>
      <c r="W1838">
        <v>58000</v>
      </c>
    </row>
    <row r="1839" spans="1:23">
      <c r="A1839" s="30">
        <v>46122</v>
      </c>
      <c r="B1839" s="29">
        <v>53400</v>
      </c>
      <c r="C1839" s="29">
        <v>53000</v>
      </c>
      <c r="D1839" s="29">
        <v>52750</v>
      </c>
      <c r="E1839" s="29">
        <v>47400</v>
      </c>
      <c r="F1839" s="29">
        <v>58500</v>
      </c>
      <c r="G1839" s="29" t="str">
        <v>-</v>
      </c>
      <c r="H1839" s="29">
        <v>52000</v>
      </c>
      <c r="I1839" s="29">
        <v>51900</v>
      </c>
      <c r="J1839" s="29">
        <v>54000</v>
      </c>
      <c r="K1839" s="29" t="str">
        <v>-</v>
      </c>
      <c r="L1839" s="29">
        <v>52700</v>
      </c>
      <c r="M1839" s="29">
        <v>53900</v>
      </c>
      <c r="N1839" s="29">
        <v>52250</v>
      </c>
      <c r="O1839" s="29">
        <v>49000</v>
      </c>
      <c r="P1839" s="29">
        <v>46900</v>
      </c>
      <c r="Q1839" s="29">
        <v>47400</v>
      </c>
      <c r="R1839" s="29">
        <v>47700</v>
      </c>
      <c r="S1839">
        <v>49300</v>
      </c>
      <c r="T1839">
        <v>51500</v>
      </c>
      <c r="U1839">
        <v>56000</v>
      </c>
      <c r="V1839">
        <v>54800</v>
      </c>
      <c r="W1839">
        <v>58000</v>
      </c>
    </row>
    <row r="1840" spans="1:23">
      <c r="A1840" s="30">
        <v>46123</v>
      </c>
      <c r="B1840" s="29">
        <v>52900</v>
      </c>
      <c r="C1840" s="29">
        <v>53000</v>
      </c>
      <c r="D1840" s="29">
        <v>51900</v>
      </c>
      <c r="E1840" s="29">
        <v>47100</v>
      </c>
      <c r="F1840" s="29">
        <v>58000</v>
      </c>
      <c r="G1840" s="29" t="str">
        <v>-</v>
      </c>
      <c r="H1840" s="29">
        <v>51800</v>
      </c>
      <c r="I1840" s="29">
        <v>51500</v>
      </c>
      <c r="J1840" s="29">
        <v>53500</v>
      </c>
      <c r="K1840" s="29" t="str">
        <v>-</v>
      </c>
      <c r="L1840" s="29">
        <v>52400</v>
      </c>
      <c r="M1840" s="29">
        <v>53500</v>
      </c>
      <c r="N1840" s="29">
        <v>51900</v>
      </c>
      <c r="O1840" s="29">
        <v>48800</v>
      </c>
      <c r="P1840" s="29">
        <v>46800</v>
      </c>
      <c r="Q1840" s="29">
        <v>47400</v>
      </c>
      <c r="R1840" s="29">
        <v>47700</v>
      </c>
      <c r="S1840">
        <v>49000</v>
      </c>
      <c r="T1840">
        <v>51400</v>
      </c>
      <c r="U1840">
        <v>56000</v>
      </c>
      <c r="V1840">
        <v>54800</v>
      </c>
      <c r="W1840">
        <v>58000</v>
      </c>
    </row>
    <row r="1841" spans="1:23">
      <c r="A1841" s="30">
        <v>0</v>
      </c>
      <c r="B1841" s="29">
        <v>0</v>
      </c>
      <c r="C1841" s="29">
        <v>0</v>
      </c>
      <c r="D1841" s="29">
        <v>0</v>
      </c>
      <c r="E1841" s="29">
        <v>0</v>
      </c>
      <c r="F1841" s="29">
        <v>0</v>
      </c>
      <c r="G1841" s="29">
        <v>0</v>
      </c>
      <c r="H1841" s="29">
        <v>0</v>
      </c>
      <c r="I1841" s="29">
        <v>0</v>
      </c>
      <c r="J1841" s="29">
        <v>0</v>
      </c>
      <c r="K1841" s="29">
        <v>0</v>
      </c>
      <c r="L1841" s="29">
        <v>0</v>
      </c>
      <c r="M1841" s="29">
        <v>0</v>
      </c>
      <c r="N1841" s="29">
        <v>0</v>
      </c>
      <c r="O1841" s="29">
        <v>0</v>
      </c>
      <c r="P1841" s="29">
        <v>0</v>
      </c>
      <c r="Q1841" s="29">
        <v>0</v>
      </c>
      <c r="R1841" s="29">
        <v>0</v>
      </c>
      <c r="S1841">
        <v>0</v>
      </c>
      <c r="T1841">
        <v>0</v>
      </c>
      <c r="U1841">
        <v>0</v>
      </c>
      <c r="V1841">
        <v>0</v>
      </c>
      <c r="W1841">
        <v>0</v>
      </c>
    </row>
    <row r="1842" spans="1:23">
      <c r="A1842" s="30">
        <v>0</v>
      </c>
      <c r="B1842" s="29">
        <v>0</v>
      </c>
      <c r="C1842" s="29">
        <v>0</v>
      </c>
      <c r="D1842" s="29">
        <v>0</v>
      </c>
      <c r="E1842" s="29">
        <v>0</v>
      </c>
      <c r="F1842" s="29">
        <v>0</v>
      </c>
      <c r="G1842" s="29">
        <v>0</v>
      </c>
      <c r="H1842" s="29">
        <v>0</v>
      </c>
      <c r="I1842" s="29">
        <v>0</v>
      </c>
      <c r="J1842" s="29">
        <v>0</v>
      </c>
      <c r="K1842" s="29">
        <v>0</v>
      </c>
      <c r="L1842" s="29">
        <v>0</v>
      </c>
      <c r="M1842" s="29">
        <v>0</v>
      </c>
      <c r="N1842" s="29">
        <v>0</v>
      </c>
      <c r="O1842" s="29">
        <v>0</v>
      </c>
      <c r="P1842" s="29">
        <v>0</v>
      </c>
      <c r="Q1842" s="29">
        <v>0</v>
      </c>
      <c r="R1842" s="29">
        <v>0</v>
      </c>
      <c r="S1842">
        <v>0</v>
      </c>
      <c r="T1842">
        <v>0</v>
      </c>
      <c r="U1842">
        <v>0</v>
      </c>
      <c r="V1842">
        <v>0</v>
      </c>
      <c r="W1842">
        <v>0</v>
      </c>
    </row>
    <row r="1843" spans="1:23">
      <c r="A1843" s="30">
        <v>0</v>
      </c>
      <c r="B1843" s="29">
        <v>0</v>
      </c>
      <c r="C1843" s="29">
        <v>0</v>
      </c>
      <c r="D1843" s="29">
        <v>0</v>
      </c>
      <c r="E1843" s="29">
        <v>0</v>
      </c>
      <c r="F1843" s="29">
        <v>0</v>
      </c>
      <c r="G1843" s="29">
        <v>0</v>
      </c>
      <c r="H1843" s="29">
        <v>0</v>
      </c>
      <c r="I1843" s="29">
        <v>0</v>
      </c>
      <c r="J1843" s="29">
        <v>0</v>
      </c>
      <c r="K1843" s="29">
        <v>0</v>
      </c>
      <c r="L1843" s="29">
        <v>0</v>
      </c>
      <c r="M1843" s="29">
        <v>0</v>
      </c>
      <c r="N1843" s="29">
        <v>0</v>
      </c>
      <c r="O1843" s="29">
        <v>0</v>
      </c>
      <c r="P1843" s="29">
        <v>0</v>
      </c>
      <c r="Q1843" s="29">
        <v>0</v>
      </c>
      <c r="R1843" s="29">
        <v>0</v>
      </c>
      <c r="S1843">
        <v>0</v>
      </c>
      <c r="T1843">
        <v>0</v>
      </c>
      <c r="U1843">
        <v>0</v>
      </c>
      <c r="V1843">
        <v>0</v>
      </c>
      <c r="W1843">
        <v>0</v>
      </c>
    </row>
    <row r="1844" spans="1:23">
      <c r="A1844" s="30">
        <v>0</v>
      </c>
      <c r="B1844" s="29">
        <v>0</v>
      </c>
      <c r="C1844" s="29">
        <v>0</v>
      </c>
      <c r="D1844" s="29">
        <v>0</v>
      </c>
      <c r="E1844" s="29">
        <v>0</v>
      </c>
      <c r="F1844" s="29">
        <v>0</v>
      </c>
      <c r="G1844" s="29">
        <v>0</v>
      </c>
      <c r="H1844" s="29">
        <v>0</v>
      </c>
      <c r="I1844" s="29">
        <v>0</v>
      </c>
      <c r="J1844" s="29">
        <v>0</v>
      </c>
      <c r="K1844" s="29">
        <v>0</v>
      </c>
      <c r="L1844" s="29">
        <v>0</v>
      </c>
      <c r="M1844" s="29">
        <v>0</v>
      </c>
      <c r="N1844" s="29">
        <v>0</v>
      </c>
      <c r="O1844" s="29">
        <v>0</v>
      </c>
      <c r="P1844" s="29">
        <v>0</v>
      </c>
      <c r="Q1844" s="29">
        <v>0</v>
      </c>
      <c r="R1844" s="29">
        <v>0</v>
      </c>
      <c r="S1844">
        <v>0</v>
      </c>
      <c r="T1844">
        <v>0</v>
      </c>
      <c r="U1844">
        <v>0</v>
      </c>
      <c r="V1844">
        <v>0</v>
      </c>
      <c r="W1844">
        <v>0</v>
      </c>
    </row>
    <row r="1845" spans="1:23">
      <c r="A1845" s="30">
        <v>0</v>
      </c>
      <c r="B1845" s="29">
        <v>0</v>
      </c>
      <c r="C1845" s="29">
        <v>0</v>
      </c>
      <c r="D1845" s="29">
        <v>0</v>
      </c>
      <c r="E1845" s="29">
        <v>0</v>
      </c>
      <c r="F1845" s="29">
        <v>0</v>
      </c>
      <c r="G1845" s="29">
        <v>0</v>
      </c>
      <c r="H1845" s="29">
        <v>0</v>
      </c>
      <c r="I1845" s="29">
        <v>0</v>
      </c>
      <c r="J1845" s="29">
        <v>0</v>
      </c>
      <c r="K1845" s="29">
        <v>0</v>
      </c>
      <c r="L1845" s="29">
        <v>0</v>
      </c>
      <c r="M1845" s="29">
        <v>0</v>
      </c>
      <c r="N1845" s="29">
        <v>0</v>
      </c>
      <c r="O1845" s="29">
        <v>0</v>
      </c>
      <c r="P1845" s="29">
        <v>0</v>
      </c>
      <c r="Q1845" s="29">
        <v>0</v>
      </c>
      <c r="R1845" s="29">
        <v>0</v>
      </c>
      <c r="S1845">
        <v>0</v>
      </c>
      <c r="T1845">
        <v>0</v>
      </c>
      <c r="U1845">
        <v>0</v>
      </c>
      <c r="V1845">
        <v>0</v>
      </c>
      <c r="W1845">
        <v>0</v>
      </c>
    </row>
    <row r="1846" spans="1:23">
      <c r="A1846" s="30">
        <v>0</v>
      </c>
      <c r="B1846" s="29">
        <v>0</v>
      </c>
      <c r="C1846" s="29">
        <v>0</v>
      </c>
      <c r="D1846" s="29">
        <v>0</v>
      </c>
      <c r="E1846" s="29">
        <v>0</v>
      </c>
      <c r="F1846" s="29">
        <v>0</v>
      </c>
      <c r="G1846" s="29">
        <v>0</v>
      </c>
      <c r="H1846" s="29">
        <v>0</v>
      </c>
      <c r="I1846" s="29">
        <v>0</v>
      </c>
      <c r="J1846" s="29">
        <v>0</v>
      </c>
      <c r="K1846" s="29">
        <v>0</v>
      </c>
      <c r="L1846" s="29">
        <v>0</v>
      </c>
      <c r="M1846" s="29">
        <v>0</v>
      </c>
      <c r="N1846" s="29">
        <v>0</v>
      </c>
      <c r="O1846" s="29">
        <v>0</v>
      </c>
      <c r="P1846" s="29">
        <v>0</v>
      </c>
      <c r="Q1846" s="29">
        <v>0</v>
      </c>
      <c r="R1846" s="29">
        <v>0</v>
      </c>
      <c r="S1846">
        <v>0</v>
      </c>
      <c r="T1846">
        <v>0</v>
      </c>
      <c r="U1846">
        <v>0</v>
      </c>
      <c r="V1846">
        <v>0</v>
      </c>
      <c r="W1846">
        <v>0</v>
      </c>
    </row>
    <row r="1847" spans="1:23">
      <c r="A1847" s="30">
        <v>0</v>
      </c>
      <c r="B1847" s="29">
        <v>0</v>
      </c>
      <c r="C1847" s="29">
        <v>0</v>
      </c>
      <c r="D1847" s="29">
        <v>0</v>
      </c>
      <c r="E1847" s="29">
        <v>0</v>
      </c>
      <c r="F1847" s="29">
        <v>0</v>
      </c>
      <c r="G1847" s="29">
        <v>0</v>
      </c>
      <c r="H1847" s="29">
        <v>0</v>
      </c>
      <c r="I1847" s="29">
        <v>0</v>
      </c>
      <c r="J1847" s="29">
        <v>0</v>
      </c>
      <c r="K1847" s="29">
        <v>0</v>
      </c>
      <c r="L1847" s="29">
        <v>0</v>
      </c>
      <c r="M1847" s="29">
        <v>0</v>
      </c>
      <c r="N1847" s="29">
        <v>0</v>
      </c>
      <c r="O1847" s="29">
        <v>0</v>
      </c>
      <c r="P1847" s="29">
        <v>0</v>
      </c>
      <c r="Q1847" s="29">
        <v>0</v>
      </c>
      <c r="R1847" s="29">
        <v>0</v>
      </c>
      <c r="S1847">
        <v>0</v>
      </c>
      <c r="T1847">
        <v>0</v>
      </c>
      <c r="U1847">
        <v>0</v>
      </c>
      <c r="V1847">
        <v>0</v>
      </c>
      <c r="W1847">
        <v>0</v>
      </c>
    </row>
    <row r="1848" spans="1:23">
      <c r="A1848" s="30">
        <v>0</v>
      </c>
      <c r="B1848" s="29">
        <v>0</v>
      </c>
      <c r="C1848" s="29">
        <v>0</v>
      </c>
      <c r="D1848" s="29">
        <v>0</v>
      </c>
      <c r="E1848" s="29">
        <v>0</v>
      </c>
      <c r="F1848" s="29">
        <v>0</v>
      </c>
      <c r="G1848" s="29">
        <v>0</v>
      </c>
      <c r="H1848" s="29">
        <v>0</v>
      </c>
      <c r="I1848" s="29">
        <v>0</v>
      </c>
      <c r="J1848" s="29">
        <v>0</v>
      </c>
      <c r="K1848" s="29">
        <v>0</v>
      </c>
      <c r="L1848" s="29">
        <v>0</v>
      </c>
      <c r="M1848" s="29">
        <v>0</v>
      </c>
      <c r="N1848" s="29">
        <v>0</v>
      </c>
      <c r="O1848" s="29">
        <v>0</v>
      </c>
      <c r="P1848" s="29">
        <v>0</v>
      </c>
      <c r="Q1848" s="29">
        <v>0</v>
      </c>
      <c r="R1848" s="29">
        <v>0</v>
      </c>
      <c r="S1848">
        <v>0</v>
      </c>
      <c r="T1848">
        <v>0</v>
      </c>
      <c r="U1848">
        <v>0</v>
      </c>
      <c r="V1848">
        <v>0</v>
      </c>
      <c r="W1848">
        <v>0</v>
      </c>
    </row>
    <row r="1849" spans="1:23">
      <c r="A1849" s="30">
        <v>0</v>
      </c>
      <c r="B1849" s="29">
        <v>0</v>
      </c>
      <c r="C1849" s="29">
        <v>0</v>
      </c>
      <c r="D1849" s="29">
        <v>0</v>
      </c>
      <c r="E1849" s="29">
        <v>0</v>
      </c>
      <c r="F1849" s="29">
        <v>0</v>
      </c>
      <c r="G1849" s="29">
        <v>0</v>
      </c>
      <c r="H1849" s="29">
        <v>0</v>
      </c>
      <c r="I1849" s="29">
        <v>0</v>
      </c>
      <c r="J1849" s="29">
        <v>0</v>
      </c>
      <c r="K1849" s="29">
        <v>0</v>
      </c>
      <c r="L1849" s="29">
        <v>0</v>
      </c>
      <c r="M1849" s="29">
        <v>0</v>
      </c>
      <c r="N1849" s="29">
        <v>0</v>
      </c>
      <c r="O1849" s="29">
        <v>0</v>
      </c>
      <c r="P1849" s="29">
        <v>0</v>
      </c>
      <c r="Q1849" s="29">
        <v>0</v>
      </c>
      <c r="R1849" s="29">
        <v>0</v>
      </c>
      <c r="S1849">
        <v>0</v>
      </c>
      <c r="T1849">
        <v>0</v>
      </c>
      <c r="U1849">
        <v>0</v>
      </c>
      <c r="V1849">
        <v>0</v>
      </c>
      <c r="W1849">
        <v>0</v>
      </c>
    </row>
    <row r="1850" spans="1:23">
      <c r="A1850" s="30">
        <v>0</v>
      </c>
      <c r="B1850" s="29">
        <v>0</v>
      </c>
      <c r="C1850" s="29">
        <v>0</v>
      </c>
      <c r="D1850" s="29">
        <v>0</v>
      </c>
      <c r="E1850" s="29">
        <v>0</v>
      </c>
      <c r="F1850" s="29">
        <v>0</v>
      </c>
      <c r="G1850" s="29">
        <v>0</v>
      </c>
      <c r="H1850" s="29">
        <v>0</v>
      </c>
      <c r="I1850" s="29">
        <v>0</v>
      </c>
      <c r="J1850" s="29">
        <v>0</v>
      </c>
      <c r="K1850" s="29">
        <v>0</v>
      </c>
      <c r="L1850" s="29">
        <v>0</v>
      </c>
      <c r="M1850" s="29">
        <v>0</v>
      </c>
      <c r="N1850" s="29">
        <v>0</v>
      </c>
      <c r="O1850" s="29">
        <v>0</v>
      </c>
      <c r="P1850" s="29">
        <v>0</v>
      </c>
      <c r="Q1850" s="29">
        <v>0</v>
      </c>
      <c r="R1850" s="29">
        <v>0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 spans="1:23">
      <c r="A1851" s="30">
        <v>0</v>
      </c>
      <c r="B1851" s="29">
        <v>0</v>
      </c>
      <c r="C1851" s="29">
        <v>0</v>
      </c>
      <c r="D1851" s="29">
        <v>0</v>
      </c>
      <c r="E1851" s="29">
        <v>0</v>
      </c>
      <c r="F1851" s="29">
        <v>0</v>
      </c>
      <c r="G1851" s="29">
        <v>0</v>
      </c>
      <c r="H1851" s="29">
        <v>0</v>
      </c>
      <c r="I1851" s="29">
        <v>0</v>
      </c>
      <c r="J1851" s="29">
        <v>0</v>
      </c>
      <c r="K1851" s="29">
        <v>0</v>
      </c>
      <c r="L1851" s="29">
        <v>0</v>
      </c>
      <c r="M1851" s="29">
        <v>0</v>
      </c>
      <c r="N1851" s="29">
        <v>0</v>
      </c>
      <c r="O1851" s="29">
        <v>0</v>
      </c>
      <c r="P1851" s="29">
        <v>0</v>
      </c>
      <c r="Q1851" s="29">
        <v>0</v>
      </c>
      <c r="R1851" s="29">
        <v>0</v>
      </c>
      <c r="S1851">
        <v>0</v>
      </c>
      <c r="T1851">
        <v>0</v>
      </c>
      <c r="U1851">
        <v>0</v>
      </c>
      <c r="V1851">
        <v>0</v>
      </c>
      <c r="W1851">
        <v>0</v>
      </c>
    </row>
    <row r="1852" spans="1:23">
      <c r="A1852" s="30">
        <v>0</v>
      </c>
      <c r="B1852" s="29">
        <v>0</v>
      </c>
      <c r="C1852" s="29">
        <v>0</v>
      </c>
      <c r="D1852" s="29">
        <v>0</v>
      </c>
      <c r="E1852" s="29">
        <v>0</v>
      </c>
      <c r="F1852" s="29">
        <v>0</v>
      </c>
      <c r="G1852" s="29">
        <v>0</v>
      </c>
      <c r="H1852" s="29">
        <v>0</v>
      </c>
      <c r="I1852" s="29">
        <v>0</v>
      </c>
      <c r="J1852" s="29">
        <v>0</v>
      </c>
      <c r="K1852" s="29">
        <v>0</v>
      </c>
      <c r="L1852" s="29">
        <v>0</v>
      </c>
      <c r="M1852" s="29">
        <v>0</v>
      </c>
      <c r="N1852" s="29">
        <v>0</v>
      </c>
      <c r="O1852" s="29">
        <v>0</v>
      </c>
      <c r="P1852" s="29">
        <v>0</v>
      </c>
      <c r="Q1852" s="29">
        <v>0</v>
      </c>
      <c r="R1852" s="29">
        <v>0</v>
      </c>
      <c r="S1852">
        <v>0</v>
      </c>
      <c r="T1852">
        <v>0</v>
      </c>
      <c r="U1852">
        <v>0</v>
      </c>
      <c r="V1852">
        <v>0</v>
      </c>
      <c r="W1852">
        <v>0</v>
      </c>
    </row>
    <row r="1853" spans="1:23">
      <c r="A1853" s="30">
        <v>0</v>
      </c>
      <c r="B1853" s="29">
        <v>0</v>
      </c>
      <c r="C1853" s="29">
        <v>0</v>
      </c>
      <c r="D1853" s="29">
        <v>0</v>
      </c>
      <c r="E1853" s="29">
        <v>0</v>
      </c>
      <c r="F1853" s="29">
        <v>0</v>
      </c>
      <c r="G1853" s="29">
        <v>0</v>
      </c>
      <c r="H1853" s="29">
        <v>0</v>
      </c>
      <c r="I1853" s="29">
        <v>0</v>
      </c>
      <c r="J1853" s="29">
        <v>0</v>
      </c>
      <c r="K1853" s="29">
        <v>0</v>
      </c>
      <c r="L1853" s="29">
        <v>0</v>
      </c>
      <c r="M1853" s="29">
        <v>0</v>
      </c>
      <c r="N1853" s="29">
        <v>0</v>
      </c>
      <c r="O1853" s="29">
        <v>0</v>
      </c>
      <c r="P1853" s="29">
        <v>0</v>
      </c>
      <c r="Q1853" s="29">
        <v>0</v>
      </c>
      <c r="R1853" s="29">
        <v>0</v>
      </c>
      <c r="S1853">
        <v>0</v>
      </c>
      <c r="T1853">
        <v>0</v>
      </c>
      <c r="U1853">
        <v>0</v>
      </c>
      <c r="V1853">
        <v>0</v>
      </c>
      <c r="W1853">
        <v>0</v>
      </c>
    </row>
    <row r="1854" spans="1:23">
      <c r="A1854" s="30">
        <v>0</v>
      </c>
      <c r="B1854" s="29">
        <v>0</v>
      </c>
      <c r="C1854" s="29">
        <v>0</v>
      </c>
      <c r="D1854" s="29">
        <v>0</v>
      </c>
      <c r="E1854" s="29">
        <v>0</v>
      </c>
      <c r="F1854" s="29">
        <v>0</v>
      </c>
      <c r="G1854" s="29">
        <v>0</v>
      </c>
      <c r="H1854" s="29">
        <v>0</v>
      </c>
      <c r="I1854" s="29">
        <v>0</v>
      </c>
      <c r="J1854" s="29">
        <v>0</v>
      </c>
      <c r="K1854" s="29">
        <v>0</v>
      </c>
      <c r="L1854" s="29">
        <v>0</v>
      </c>
      <c r="M1854" s="29">
        <v>0</v>
      </c>
      <c r="N1854" s="29">
        <v>0</v>
      </c>
      <c r="O1854" s="29">
        <v>0</v>
      </c>
      <c r="P1854" s="29">
        <v>0</v>
      </c>
      <c r="Q1854" s="29">
        <v>0</v>
      </c>
      <c r="R1854" s="29">
        <v>0</v>
      </c>
      <c r="S1854">
        <v>0</v>
      </c>
      <c r="T1854">
        <v>0</v>
      </c>
      <c r="U1854">
        <v>0</v>
      </c>
      <c r="V1854">
        <v>0</v>
      </c>
      <c r="W1854">
        <v>0</v>
      </c>
    </row>
    <row r="1855" spans="1:23">
      <c r="A1855" s="30">
        <v>0</v>
      </c>
      <c r="B1855" s="29">
        <v>0</v>
      </c>
      <c r="C1855" s="29">
        <v>0</v>
      </c>
      <c r="D1855" s="29">
        <v>0</v>
      </c>
      <c r="E1855" s="29">
        <v>0</v>
      </c>
      <c r="F1855" s="29">
        <v>0</v>
      </c>
      <c r="G1855" s="29">
        <v>0</v>
      </c>
      <c r="H1855" s="29">
        <v>0</v>
      </c>
      <c r="I1855" s="29">
        <v>0</v>
      </c>
      <c r="J1855" s="29">
        <v>0</v>
      </c>
      <c r="K1855" s="29">
        <v>0</v>
      </c>
      <c r="L1855" s="29">
        <v>0</v>
      </c>
      <c r="M1855" s="29">
        <v>0</v>
      </c>
      <c r="N1855" s="29">
        <v>0</v>
      </c>
      <c r="O1855" s="29">
        <v>0</v>
      </c>
      <c r="P1855" s="29">
        <v>0</v>
      </c>
      <c r="Q1855" s="29">
        <v>0</v>
      </c>
      <c r="R1855" s="29">
        <v>0</v>
      </c>
      <c r="S1855">
        <v>0</v>
      </c>
      <c r="T1855">
        <v>0</v>
      </c>
      <c r="U1855">
        <v>0</v>
      </c>
      <c r="V1855">
        <v>0</v>
      </c>
      <c r="W1855">
        <v>0</v>
      </c>
    </row>
    <row r="1856" spans="1:23">
      <c r="A1856" s="30">
        <v>0</v>
      </c>
      <c r="B1856" s="29">
        <v>0</v>
      </c>
      <c r="C1856" s="29">
        <v>0</v>
      </c>
      <c r="D1856" s="29">
        <v>0</v>
      </c>
      <c r="E1856" s="29">
        <v>0</v>
      </c>
      <c r="F1856" s="29">
        <v>0</v>
      </c>
      <c r="G1856" s="29">
        <v>0</v>
      </c>
      <c r="H1856" s="29">
        <v>0</v>
      </c>
      <c r="I1856" s="29">
        <v>0</v>
      </c>
      <c r="J1856" s="29">
        <v>0</v>
      </c>
      <c r="K1856" s="29">
        <v>0</v>
      </c>
      <c r="L1856" s="29">
        <v>0</v>
      </c>
      <c r="M1856" s="29">
        <v>0</v>
      </c>
      <c r="N1856" s="29">
        <v>0</v>
      </c>
      <c r="O1856" s="29">
        <v>0</v>
      </c>
      <c r="P1856" s="29">
        <v>0</v>
      </c>
      <c r="Q1856" s="29">
        <v>0</v>
      </c>
      <c r="R1856" s="29">
        <v>0</v>
      </c>
      <c r="S1856">
        <v>0</v>
      </c>
      <c r="T1856">
        <v>0</v>
      </c>
      <c r="U1856">
        <v>0</v>
      </c>
      <c r="V1856">
        <v>0</v>
      </c>
      <c r="W1856">
        <v>0</v>
      </c>
    </row>
    <row r="1857" spans="1:23">
      <c r="A1857" s="30">
        <v>0</v>
      </c>
      <c r="B1857" s="29">
        <v>0</v>
      </c>
      <c r="C1857" s="29">
        <v>0</v>
      </c>
      <c r="D1857" s="29">
        <v>0</v>
      </c>
      <c r="E1857" s="29">
        <v>0</v>
      </c>
      <c r="F1857" s="29">
        <v>0</v>
      </c>
      <c r="G1857" s="29">
        <v>0</v>
      </c>
      <c r="H1857" s="29">
        <v>0</v>
      </c>
      <c r="I1857" s="29">
        <v>0</v>
      </c>
      <c r="J1857" s="29">
        <v>0</v>
      </c>
      <c r="K1857" s="29">
        <v>0</v>
      </c>
      <c r="L1857" s="29">
        <v>0</v>
      </c>
      <c r="M1857" s="29">
        <v>0</v>
      </c>
      <c r="N1857" s="29">
        <v>0</v>
      </c>
      <c r="O1857" s="29">
        <v>0</v>
      </c>
      <c r="P1857" s="29">
        <v>0</v>
      </c>
      <c r="Q1857" s="29">
        <v>0</v>
      </c>
      <c r="R1857" s="29">
        <v>0</v>
      </c>
      <c r="S1857">
        <v>0</v>
      </c>
      <c r="T1857">
        <v>0</v>
      </c>
      <c r="U1857">
        <v>0</v>
      </c>
      <c r="V1857">
        <v>0</v>
      </c>
      <c r="W1857">
        <v>0</v>
      </c>
    </row>
    <row r="1858" spans="1:23">
      <c r="A1858" s="30">
        <v>0</v>
      </c>
      <c r="B1858" s="29">
        <v>0</v>
      </c>
      <c r="C1858" s="29">
        <v>0</v>
      </c>
      <c r="D1858" s="29">
        <v>0</v>
      </c>
      <c r="E1858" s="29">
        <v>0</v>
      </c>
      <c r="F1858" s="29">
        <v>0</v>
      </c>
      <c r="G1858" s="29">
        <v>0</v>
      </c>
      <c r="H1858" s="29">
        <v>0</v>
      </c>
      <c r="I1858" s="29">
        <v>0</v>
      </c>
      <c r="J1858" s="29">
        <v>0</v>
      </c>
      <c r="K1858" s="29">
        <v>0</v>
      </c>
      <c r="L1858" s="29">
        <v>0</v>
      </c>
      <c r="M1858" s="29">
        <v>0</v>
      </c>
      <c r="N1858" s="29">
        <v>0</v>
      </c>
      <c r="O1858" s="29">
        <v>0</v>
      </c>
      <c r="P1858" s="29">
        <v>0</v>
      </c>
      <c r="Q1858" s="29">
        <v>0</v>
      </c>
      <c r="R1858" s="29">
        <v>0</v>
      </c>
      <c r="S1858">
        <v>0</v>
      </c>
      <c r="T1858">
        <v>0</v>
      </c>
      <c r="U1858">
        <v>0</v>
      </c>
      <c r="V1858">
        <v>0</v>
      </c>
      <c r="W1858">
        <v>0</v>
      </c>
    </row>
    <row r="1859" spans="1:23">
      <c r="A1859" s="30">
        <v>0</v>
      </c>
      <c r="B1859" s="29">
        <v>0</v>
      </c>
      <c r="C1859" s="29">
        <v>0</v>
      </c>
      <c r="D1859" s="29">
        <v>0</v>
      </c>
      <c r="E1859" s="29">
        <v>0</v>
      </c>
      <c r="F1859" s="29">
        <v>0</v>
      </c>
      <c r="G1859" s="29">
        <v>0</v>
      </c>
      <c r="H1859" s="29">
        <v>0</v>
      </c>
      <c r="I1859" s="29">
        <v>0</v>
      </c>
      <c r="J1859" s="29">
        <v>0</v>
      </c>
      <c r="K1859" s="29">
        <v>0</v>
      </c>
      <c r="L1859" s="29">
        <v>0</v>
      </c>
      <c r="M1859" s="29">
        <v>0</v>
      </c>
      <c r="N1859" s="29">
        <v>0</v>
      </c>
      <c r="O1859" s="29">
        <v>0</v>
      </c>
      <c r="P1859" s="29">
        <v>0</v>
      </c>
      <c r="Q1859" s="29">
        <v>0</v>
      </c>
      <c r="R1859" s="29">
        <v>0</v>
      </c>
      <c r="S1859">
        <v>0</v>
      </c>
      <c r="T1859">
        <v>0</v>
      </c>
      <c r="U1859">
        <v>0</v>
      </c>
      <c r="V1859">
        <v>0</v>
      </c>
      <c r="W1859">
        <v>0</v>
      </c>
    </row>
    <row r="1860" spans="1:23">
      <c r="A1860" s="30">
        <v>0</v>
      </c>
      <c r="B1860" s="29">
        <v>0</v>
      </c>
      <c r="C1860" s="29">
        <v>0</v>
      </c>
      <c r="D1860" s="29">
        <v>0</v>
      </c>
      <c r="E1860" s="29">
        <v>0</v>
      </c>
      <c r="F1860" s="29">
        <v>0</v>
      </c>
      <c r="G1860" s="29">
        <v>0</v>
      </c>
      <c r="H1860" s="29">
        <v>0</v>
      </c>
      <c r="I1860" s="29">
        <v>0</v>
      </c>
      <c r="J1860" s="29">
        <v>0</v>
      </c>
      <c r="K1860" s="29">
        <v>0</v>
      </c>
      <c r="L1860" s="29">
        <v>0</v>
      </c>
      <c r="M1860" s="29">
        <v>0</v>
      </c>
      <c r="N1860" s="29">
        <v>0</v>
      </c>
      <c r="O1860" s="29">
        <v>0</v>
      </c>
      <c r="P1860" s="29">
        <v>0</v>
      </c>
      <c r="Q1860" s="29">
        <v>0</v>
      </c>
      <c r="R1860" s="29">
        <v>0</v>
      </c>
      <c r="S1860">
        <v>0</v>
      </c>
      <c r="T1860">
        <v>0</v>
      </c>
      <c r="U1860">
        <v>0</v>
      </c>
      <c r="V1860">
        <v>0</v>
      </c>
      <c r="W1860">
        <v>0</v>
      </c>
    </row>
    <row r="1861" spans="1:23">
      <c r="A1861" s="30">
        <v>0</v>
      </c>
      <c r="B1861" s="29">
        <v>0</v>
      </c>
      <c r="C1861" s="29">
        <v>0</v>
      </c>
      <c r="D1861" s="29">
        <v>0</v>
      </c>
      <c r="E1861" s="29">
        <v>0</v>
      </c>
      <c r="F1861" s="29">
        <v>0</v>
      </c>
      <c r="G1861" s="29">
        <v>0</v>
      </c>
      <c r="H1861" s="29">
        <v>0</v>
      </c>
      <c r="I1861" s="29">
        <v>0</v>
      </c>
      <c r="J1861" s="29">
        <v>0</v>
      </c>
      <c r="K1861" s="29">
        <v>0</v>
      </c>
      <c r="L1861" s="29">
        <v>0</v>
      </c>
      <c r="M1861" s="29">
        <v>0</v>
      </c>
      <c r="N1861" s="29">
        <v>0</v>
      </c>
      <c r="O1861" s="29">
        <v>0</v>
      </c>
      <c r="P1861" s="29">
        <v>0</v>
      </c>
      <c r="Q1861" s="29">
        <v>0</v>
      </c>
      <c r="R1861" s="29">
        <v>0</v>
      </c>
      <c r="S1861">
        <v>0</v>
      </c>
      <c r="T1861">
        <v>0</v>
      </c>
      <c r="U1861">
        <v>0</v>
      </c>
      <c r="V1861">
        <v>0</v>
      </c>
      <c r="W1861">
        <v>0</v>
      </c>
    </row>
    <row r="1862" spans="1:23">
      <c r="A1862" s="30">
        <v>0</v>
      </c>
      <c r="B1862" s="29">
        <v>0</v>
      </c>
      <c r="C1862" s="29">
        <v>0</v>
      </c>
      <c r="D1862" s="29">
        <v>0</v>
      </c>
      <c r="E1862" s="29">
        <v>0</v>
      </c>
      <c r="F1862" s="29">
        <v>0</v>
      </c>
      <c r="G1862" s="29">
        <v>0</v>
      </c>
      <c r="H1862" s="29">
        <v>0</v>
      </c>
      <c r="I1862" s="29">
        <v>0</v>
      </c>
      <c r="J1862" s="29">
        <v>0</v>
      </c>
      <c r="K1862" s="29">
        <v>0</v>
      </c>
      <c r="L1862" s="29">
        <v>0</v>
      </c>
      <c r="M1862" s="29">
        <v>0</v>
      </c>
      <c r="N1862" s="29">
        <v>0</v>
      </c>
      <c r="O1862" s="29">
        <v>0</v>
      </c>
      <c r="P1862" s="29">
        <v>0</v>
      </c>
      <c r="Q1862" s="29">
        <v>0</v>
      </c>
      <c r="R1862" s="29">
        <v>0</v>
      </c>
      <c r="S1862">
        <v>0</v>
      </c>
      <c r="T1862">
        <v>0</v>
      </c>
      <c r="U1862">
        <v>0</v>
      </c>
      <c r="V1862">
        <v>0</v>
      </c>
      <c r="W1862">
        <v>0</v>
      </c>
    </row>
    <row r="1863" spans="1:23">
      <c r="A1863" s="30">
        <v>0</v>
      </c>
      <c r="B1863" s="29">
        <v>0</v>
      </c>
      <c r="C1863" s="29">
        <v>0</v>
      </c>
      <c r="D1863" s="29">
        <v>0</v>
      </c>
      <c r="E1863" s="29">
        <v>0</v>
      </c>
      <c r="F1863" s="29">
        <v>0</v>
      </c>
      <c r="G1863" s="29">
        <v>0</v>
      </c>
      <c r="H1863" s="29">
        <v>0</v>
      </c>
      <c r="I1863" s="29">
        <v>0</v>
      </c>
      <c r="J1863" s="29">
        <v>0</v>
      </c>
      <c r="K1863" s="29">
        <v>0</v>
      </c>
      <c r="L1863" s="29">
        <v>0</v>
      </c>
      <c r="M1863" s="29">
        <v>0</v>
      </c>
      <c r="N1863" s="29">
        <v>0</v>
      </c>
      <c r="O1863" s="29">
        <v>0</v>
      </c>
      <c r="P1863" s="29">
        <v>0</v>
      </c>
      <c r="Q1863" s="29">
        <v>0</v>
      </c>
      <c r="R1863" s="29">
        <v>0</v>
      </c>
      <c r="S1863">
        <v>0</v>
      </c>
      <c r="T1863">
        <v>0</v>
      </c>
      <c r="U1863">
        <v>0</v>
      </c>
      <c r="V1863">
        <v>0</v>
      </c>
      <c r="W1863">
        <v>0</v>
      </c>
    </row>
    <row r="1864" spans="1:23">
      <c r="A1864" s="30">
        <v>0</v>
      </c>
      <c r="B1864" s="29">
        <v>0</v>
      </c>
      <c r="C1864" s="29">
        <v>0</v>
      </c>
      <c r="D1864" s="29">
        <v>0</v>
      </c>
      <c r="E1864" s="29">
        <v>0</v>
      </c>
      <c r="F1864" s="29">
        <v>0</v>
      </c>
      <c r="G1864" s="29">
        <v>0</v>
      </c>
      <c r="H1864" s="29">
        <v>0</v>
      </c>
      <c r="I1864" s="29">
        <v>0</v>
      </c>
      <c r="J1864" s="29">
        <v>0</v>
      </c>
      <c r="K1864" s="29">
        <v>0</v>
      </c>
      <c r="L1864" s="29">
        <v>0</v>
      </c>
      <c r="M1864" s="29">
        <v>0</v>
      </c>
      <c r="N1864" s="29">
        <v>0</v>
      </c>
      <c r="O1864" s="29">
        <v>0</v>
      </c>
      <c r="P1864" s="29">
        <v>0</v>
      </c>
      <c r="Q1864" s="29">
        <v>0</v>
      </c>
      <c r="R1864" s="29">
        <v>0</v>
      </c>
      <c r="S1864">
        <v>0</v>
      </c>
      <c r="T1864">
        <v>0</v>
      </c>
      <c r="U1864">
        <v>0</v>
      </c>
      <c r="V1864">
        <v>0</v>
      </c>
      <c r="W1864">
        <v>0</v>
      </c>
    </row>
    <row r="1865" spans="1:23">
      <c r="A1865" s="30">
        <v>0</v>
      </c>
      <c r="B1865" s="29">
        <v>0</v>
      </c>
      <c r="C1865" s="29">
        <v>0</v>
      </c>
      <c r="D1865" s="29">
        <v>0</v>
      </c>
      <c r="E1865" s="29">
        <v>0</v>
      </c>
      <c r="F1865" s="29">
        <v>0</v>
      </c>
      <c r="G1865" s="29">
        <v>0</v>
      </c>
      <c r="H1865" s="29">
        <v>0</v>
      </c>
      <c r="I1865" s="29">
        <v>0</v>
      </c>
      <c r="J1865" s="29">
        <v>0</v>
      </c>
      <c r="K1865" s="29">
        <v>0</v>
      </c>
      <c r="L1865" s="29">
        <v>0</v>
      </c>
      <c r="M1865" s="29">
        <v>0</v>
      </c>
      <c r="N1865" s="29">
        <v>0</v>
      </c>
      <c r="O1865" s="29">
        <v>0</v>
      </c>
      <c r="P1865" s="29">
        <v>0</v>
      </c>
      <c r="Q1865" s="29">
        <v>0</v>
      </c>
      <c r="R1865" s="29">
        <v>0</v>
      </c>
      <c r="S1865">
        <v>0</v>
      </c>
      <c r="T1865">
        <v>0</v>
      </c>
      <c r="U1865">
        <v>0</v>
      </c>
      <c r="V1865">
        <v>0</v>
      </c>
      <c r="W1865">
        <v>0</v>
      </c>
    </row>
    <row r="1866" spans="1:23">
      <c r="A1866" s="30">
        <v>0</v>
      </c>
      <c r="B1866" s="29">
        <v>0</v>
      </c>
      <c r="C1866" s="29">
        <v>0</v>
      </c>
      <c r="D1866" s="29">
        <v>0</v>
      </c>
      <c r="E1866" s="29">
        <v>0</v>
      </c>
      <c r="F1866" s="29">
        <v>0</v>
      </c>
      <c r="G1866" s="29">
        <v>0</v>
      </c>
      <c r="H1866" s="29">
        <v>0</v>
      </c>
      <c r="I1866" s="29">
        <v>0</v>
      </c>
      <c r="J1866" s="29">
        <v>0</v>
      </c>
      <c r="K1866" s="29">
        <v>0</v>
      </c>
      <c r="L1866" s="29">
        <v>0</v>
      </c>
      <c r="M1866" s="29">
        <v>0</v>
      </c>
      <c r="N1866" s="29">
        <v>0</v>
      </c>
      <c r="O1866" s="29">
        <v>0</v>
      </c>
      <c r="P1866" s="29">
        <v>0</v>
      </c>
      <c r="Q1866" s="29">
        <v>0</v>
      </c>
      <c r="R1866" s="29">
        <v>0</v>
      </c>
      <c r="S1866">
        <v>0</v>
      </c>
      <c r="T1866">
        <v>0</v>
      </c>
      <c r="U1866">
        <v>0</v>
      </c>
      <c r="V1866">
        <v>0</v>
      </c>
      <c r="W1866">
        <v>0</v>
      </c>
    </row>
    <row r="1867" spans="1:23">
      <c r="A1867" s="30">
        <v>0</v>
      </c>
      <c r="B1867" s="29">
        <v>0</v>
      </c>
      <c r="C1867" s="29">
        <v>0</v>
      </c>
      <c r="D1867" s="29">
        <v>0</v>
      </c>
      <c r="E1867" s="29">
        <v>0</v>
      </c>
      <c r="F1867" s="29">
        <v>0</v>
      </c>
      <c r="G1867" s="29">
        <v>0</v>
      </c>
      <c r="H1867" s="29">
        <v>0</v>
      </c>
      <c r="I1867" s="29">
        <v>0</v>
      </c>
      <c r="J1867" s="29">
        <v>0</v>
      </c>
      <c r="K1867" s="29">
        <v>0</v>
      </c>
      <c r="L1867" s="29">
        <v>0</v>
      </c>
      <c r="M1867" s="29">
        <v>0</v>
      </c>
      <c r="N1867" s="29">
        <v>0</v>
      </c>
      <c r="O1867" s="29">
        <v>0</v>
      </c>
      <c r="P1867" s="29">
        <v>0</v>
      </c>
      <c r="Q1867" s="29">
        <v>0</v>
      </c>
      <c r="R1867" s="29">
        <v>0</v>
      </c>
      <c r="S1867">
        <v>0</v>
      </c>
      <c r="T1867">
        <v>0</v>
      </c>
      <c r="U1867">
        <v>0</v>
      </c>
      <c r="V1867">
        <v>0</v>
      </c>
      <c r="W1867">
        <v>0</v>
      </c>
    </row>
    <row r="1868" spans="1:23">
      <c r="A1868" s="30">
        <v>0</v>
      </c>
      <c r="B1868" s="29">
        <v>0</v>
      </c>
      <c r="C1868" s="29">
        <v>0</v>
      </c>
      <c r="D1868" s="29">
        <v>0</v>
      </c>
      <c r="E1868" s="29">
        <v>0</v>
      </c>
      <c r="F1868" s="29">
        <v>0</v>
      </c>
      <c r="G1868" s="29">
        <v>0</v>
      </c>
      <c r="H1868" s="29">
        <v>0</v>
      </c>
      <c r="I1868" s="29">
        <v>0</v>
      </c>
      <c r="J1868" s="29">
        <v>0</v>
      </c>
      <c r="K1868" s="29">
        <v>0</v>
      </c>
      <c r="L1868" s="29">
        <v>0</v>
      </c>
      <c r="M1868" s="29">
        <v>0</v>
      </c>
      <c r="N1868" s="29">
        <v>0</v>
      </c>
      <c r="O1868" s="29">
        <v>0</v>
      </c>
      <c r="P1868" s="29">
        <v>0</v>
      </c>
      <c r="Q1868" s="29">
        <v>0</v>
      </c>
      <c r="R1868" s="29">
        <v>0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 spans="1:23">
      <c r="A1869" s="30">
        <v>0</v>
      </c>
      <c r="B1869" s="29">
        <v>0</v>
      </c>
      <c r="C1869" s="29">
        <v>0</v>
      </c>
      <c r="D1869" s="29">
        <v>0</v>
      </c>
      <c r="E1869" s="29">
        <v>0</v>
      </c>
      <c r="F1869" s="29">
        <v>0</v>
      </c>
      <c r="G1869" s="29">
        <v>0</v>
      </c>
      <c r="H1869" s="29">
        <v>0</v>
      </c>
      <c r="I1869" s="29">
        <v>0</v>
      </c>
      <c r="J1869" s="29">
        <v>0</v>
      </c>
      <c r="K1869" s="29">
        <v>0</v>
      </c>
      <c r="L1869" s="29">
        <v>0</v>
      </c>
      <c r="M1869" s="29">
        <v>0</v>
      </c>
      <c r="N1869" s="29">
        <v>0</v>
      </c>
      <c r="O1869" s="29">
        <v>0</v>
      </c>
      <c r="P1869" s="29">
        <v>0</v>
      </c>
      <c r="Q1869" s="29">
        <v>0</v>
      </c>
      <c r="R1869" s="29">
        <v>0</v>
      </c>
      <c r="S1869">
        <v>0</v>
      </c>
      <c r="T1869">
        <v>0</v>
      </c>
      <c r="U1869">
        <v>0</v>
      </c>
      <c r="V1869">
        <v>0</v>
      </c>
      <c r="W1869">
        <v>0</v>
      </c>
    </row>
    <row r="1870" spans="1:23">
      <c r="A1870" s="30">
        <v>0</v>
      </c>
      <c r="B1870" s="29">
        <v>0</v>
      </c>
      <c r="C1870" s="29">
        <v>0</v>
      </c>
      <c r="D1870" s="29">
        <v>0</v>
      </c>
      <c r="E1870" s="29">
        <v>0</v>
      </c>
      <c r="F1870" s="29">
        <v>0</v>
      </c>
      <c r="G1870" s="29">
        <v>0</v>
      </c>
      <c r="H1870" s="29">
        <v>0</v>
      </c>
      <c r="I1870" s="29">
        <v>0</v>
      </c>
      <c r="J1870" s="29">
        <v>0</v>
      </c>
      <c r="K1870" s="29">
        <v>0</v>
      </c>
      <c r="L1870" s="29">
        <v>0</v>
      </c>
      <c r="M1870" s="29">
        <v>0</v>
      </c>
      <c r="N1870" s="29">
        <v>0</v>
      </c>
      <c r="O1870" s="29">
        <v>0</v>
      </c>
      <c r="P1870" s="29">
        <v>0</v>
      </c>
      <c r="Q1870" s="29">
        <v>0</v>
      </c>
      <c r="R1870" s="29">
        <v>0</v>
      </c>
      <c r="S1870">
        <v>0</v>
      </c>
      <c r="T1870">
        <v>0</v>
      </c>
      <c r="U1870">
        <v>0</v>
      </c>
      <c r="V1870">
        <v>0</v>
      </c>
      <c r="W1870">
        <v>0</v>
      </c>
    </row>
    <row r="1871" spans="1:23">
      <c r="A1871" s="30">
        <v>0</v>
      </c>
      <c r="B1871" s="29">
        <v>0</v>
      </c>
      <c r="C1871" s="29">
        <v>0</v>
      </c>
      <c r="D1871" s="29">
        <v>0</v>
      </c>
      <c r="E1871" s="29">
        <v>0</v>
      </c>
      <c r="F1871" s="29">
        <v>0</v>
      </c>
      <c r="G1871" s="29">
        <v>0</v>
      </c>
      <c r="H1871" s="29">
        <v>0</v>
      </c>
      <c r="I1871" s="29">
        <v>0</v>
      </c>
      <c r="J1871" s="29">
        <v>0</v>
      </c>
      <c r="K1871" s="29">
        <v>0</v>
      </c>
      <c r="L1871" s="29">
        <v>0</v>
      </c>
      <c r="M1871" s="29">
        <v>0</v>
      </c>
      <c r="N1871" s="29">
        <v>0</v>
      </c>
      <c r="O1871" s="29">
        <v>0</v>
      </c>
      <c r="P1871" s="29">
        <v>0</v>
      </c>
      <c r="Q1871" s="29">
        <v>0</v>
      </c>
      <c r="R1871" s="29">
        <v>0</v>
      </c>
      <c r="S1871">
        <v>0</v>
      </c>
      <c r="T1871">
        <v>0</v>
      </c>
      <c r="U1871">
        <v>0</v>
      </c>
      <c r="V1871">
        <v>0</v>
      </c>
      <c r="W1871">
        <v>0</v>
      </c>
    </row>
    <row r="1872" spans="1:23">
      <c r="A1872" s="30">
        <v>0</v>
      </c>
      <c r="B1872" s="29">
        <v>0</v>
      </c>
      <c r="C1872" s="29">
        <v>0</v>
      </c>
      <c r="D1872" s="29">
        <v>0</v>
      </c>
      <c r="E1872" s="29">
        <v>0</v>
      </c>
      <c r="F1872" s="29">
        <v>0</v>
      </c>
      <c r="G1872" s="29">
        <v>0</v>
      </c>
      <c r="H1872" s="29">
        <v>0</v>
      </c>
      <c r="I1872" s="29">
        <v>0</v>
      </c>
      <c r="J1872" s="29">
        <v>0</v>
      </c>
      <c r="K1872" s="29">
        <v>0</v>
      </c>
      <c r="L1872" s="29">
        <v>0</v>
      </c>
      <c r="M1872" s="29">
        <v>0</v>
      </c>
      <c r="N1872" s="29">
        <v>0</v>
      </c>
      <c r="O1872" s="29">
        <v>0</v>
      </c>
      <c r="P1872" s="29">
        <v>0</v>
      </c>
      <c r="Q1872" s="29">
        <v>0</v>
      </c>
      <c r="R1872" s="29">
        <v>0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 spans="1:23">
      <c r="A1873" s="30">
        <v>0</v>
      </c>
      <c r="B1873" s="29">
        <v>0</v>
      </c>
      <c r="C1873" s="29">
        <v>0</v>
      </c>
      <c r="D1873" s="29">
        <v>0</v>
      </c>
      <c r="E1873" s="29">
        <v>0</v>
      </c>
      <c r="F1873" s="29">
        <v>0</v>
      </c>
      <c r="G1873" s="29">
        <v>0</v>
      </c>
      <c r="H1873" s="29">
        <v>0</v>
      </c>
      <c r="I1873" s="29">
        <v>0</v>
      </c>
      <c r="J1873" s="29">
        <v>0</v>
      </c>
      <c r="K1873" s="29">
        <v>0</v>
      </c>
      <c r="L1873" s="29">
        <v>0</v>
      </c>
      <c r="M1873" s="29">
        <v>0</v>
      </c>
      <c r="N1873" s="29">
        <v>0</v>
      </c>
      <c r="O1873" s="29">
        <v>0</v>
      </c>
      <c r="P1873" s="29">
        <v>0</v>
      </c>
      <c r="Q1873" s="29">
        <v>0</v>
      </c>
      <c r="R1873" s="29">
        <v>0</v>
      </c>
      <c r="S1873">
        <v>0</v>
      </c>
      <c r="T1873">
        <v>0</v>
      </c>
      <c r="U1873">
        <v>0</v>
      </c>
      <c r="V1873">
        <v>0</v>
      </c>
      <c r="W1873">
        <v>0</v>
      </c>
    </row>
    <row r="1874" spans="1:23">
      <c r="A1874" s="30">
        <v>0</v>
      </c>
      <c r="B1874" s="29">
        <v>0</v>
      </c>
      <c r="C1874" s="29">
        <v>0</v>
      </c>
      <c r="D1874" s="29">
        <v>0</v>
      </c>
      <c r="E1874" s="29">
        <v>0</v>
      </c>
      <c r="F1874" s="29">
        <v>0</v>
      </c>
      <c r="G1874" s="29">
        <v>0</v>
      </c>
      <c r="H1874" s="29">
        <v>0</v>
      </c>
      <c r="I1874" s="29">
        <v>0</v>
      </c>
      <c r="J1874" s="29">
        <v>0</v>
      </c>
      <c r="K1874" s="29">
        <v>0</v>
      </c>
      <c r="L1874" s="29">
        <v>0</v>
      </c>
      <c r="M1874" s="29">
        <v>0</v>
      </c>
      <c r="N1874" s="29">
        <v>0</v>
      </c>
      <c r="O1874" s="29">
        <v>0</v>
      </c>
      <c r="P1874" s="29">
        <v>0</v>
      </c>
      <c r="Q1874" s="29">
        <v>0</v>
      </c>
      <c r="R1874" s="29">
        <v>0</v>
      </c>
      <c r="S1874">
        <v>0</v>
      </c>
      <c r="T1874">
        <v>0</v>
      </c>
      <c r="U1874">
        <v>0</v>
      </c>
      <c r="V1874">
        <v>0</v>
      </c>
      <c r="W1874">
        <v>0</v>
      </c>
    </row>
    <row r="1875" spans="1:23">
      <c r="A1875" s="30">
        <v>0</v>
      </c>
      <c r="B1875" s="29">
        <v>0</v>
      </c>
      <c r="C1875" s="29">
        <v>0</v>
      </c>
      <c r="D1875" s="29">
        <v>0</v>
      </c>
      <c r="E1875" s="29">
        <v>0</v>
      </c>
      <c r="F1875" s="29">
        <v>0</v>
      </c>
      <c r="G1875" s="29">
        <v>0</v>
      </c>
      <c r="H1875" s="29">
        <v>0</v>
      </c>
      <c r="I1875" s="29">
        <v>0</v>
      </c>
      <c r="J1875" s="29">
        <v>0</v>
      </c>
      <c r="K1875" s="29">
        <v>0</v>
      </c>
      <c r="L1875" s="29">
        <v>0</v>
      </c>
      <c r="M1875" s="29">
        <v>0</v>
      </c>
      <c r="N1875" s="29">
        <v>0</v>
      </c>
      <c r="O1875" s="29">
        <v>0</v>
      </c>
      <c r="P1875" s="29">
        <v>0</v>
      </c>
      <c r="Q1875" s="29">
        <v>0</v>
      </c>
      <c r="R1875" s="29">
        <v>0</v>
      </c>
      <c r="S1875">
        <v>0</v>
      </c>
      <c r="T1875">
        <v>0</v>
      </c>
      <c r="U1875">
        <v>0</v>
      </c>
      <c r="V1875">
        <v>0</v>
      </c>
      <c r="W1875">
        <v>0</v>
      </c>
    </row>
    <row r="1876" spans="1:23">
      <c r="A1876" s="30">
        <v>0</v>
      </c>
      <c r="B1876" s="29">
        <v>0</v>
      </c>
      <c r="C1876" s="29">
        <v>0</v>
      </c>
      <c r="D1876" s="29">
        <v>0</v>
      </c>
      <c r="E1876" s="29">
        <v>0</v>
      </c>
      <c r="F1876" s="29">
        <v>0</v>
      </c>
      <c r="G1876" s="29">
        <v>0</v>
      </c>
      <c r="H1876" s="29">
        <v>0</v>
      </c>
      <c r="I1876" s="29">
        <v>0</v>
      </c>
      <c r="J1876" s="29">
        <v>0</v>
      </c>
      <c r="K1876" s="29">
        <v>0</v>
      </c>
      <c r="L1876" s="29">
        <v>0</v>
      </c>
      <c r="M1876" s="29">
        <v>0</v>
      </c>
      <c r="N1876" s="29">
        <v>0</v>
      </c>
      <c r="O1876" s="29">
        <v>0</v>
      </c>
      <c r="P1876" s="29">
        <v>0</v>
      </c>
      <c r="Q1876" s="29">
        <v>0</v>
      </c>
      <c r="R1876" s="29">
        <v>0</v>
      </c>
      <c r="S1876">
        <v>0</v>
      </c>
      <c r="T1876">
        <v>0</v>
      </c>
      <c r="U1876">
        <v>0</v>
      </c>
      <c r="V1876">
        <v>0</v>
      </c>
      <c r="W1876">
        <v>0</v>
      </c>
    </row>
    <row r="1877" spans="1:23">
      <c r="A1877" s="30">
        <v>0</v>
      </c>
      <c r="B1877" s="29">
        <v>0</v>
      </c>
      <c r="C1877" s="29">
        <v>0</v>
      </c>
      <c r="D1877" s="29">
        <v>0</v>
      </c>
      <c r="E1877" s="29">
        <v>0</v>
      </c>
      <c r="F1877" s="29">
        <v>0</v>
      </c>
      <c r="G1877" s="29">
        <v>0</v>
      </c>
      <c r="H1877" s="29">
        <v>0</v>
      </c>
      <c r="I1877" s="29">
        <v>0</v>
      </c>
      <c r="J1877" s="29">
        <v>0</v>
      </c>
      <c r="K1877" s="29">
        <v>0</v>
      </c>
      <c r="L1877" s="29">
        <v>0</v>
      </c>
      <c r="M1877" s="29">
        <v>0</v>
      </c>
      <c r="N1877" s="29">
        <v>0</v>
      </c>
      <c r="O1877" s="29">
        <v>0</v>
      </c>
      <c r="P1877" s="29">
        <v>0</v>
      </c>
      <c r="Q1877" s="29">
        <v>0</v>
      </c>
      <c r="R1877" s="29">
        <v>0</v>
      </c>
      <c r="S1877">
        <v>0</v>
      </c>
      <c r="T1877">
        <v>0</v>
      </c>
      <c r="U1877">
        <v>0</v>
      </c>
      <c r="V1877">
        <v>0</v>
      </c>
      <c r="W1877">
        <v>0</v>
      </c>
    </row>
    <row r="1878" spans="1:23">
      <c r="A1878" s="30">
        <v>0</v>
      </c>
      <c r="B1878" s="29">
        <v>0</v>
      </c>
      <c r="C1878" s="29">
        <v>0</v>
      </c>
      <c r="D1878" s="29">
        <v>0</v>
      </c>
      <c r="E1878" s="29">
        <v>0</v>
      </c>
      <c r="F1878" s="29">
        <v>0</v>
      </c>
      <c r="G1878" s="29">
        <v>0</v>
      </c>
      <c r="H1878" s="29">
        <v>0</v>
      </c>
      <c r="I1878" s="29">
        <v>0</v>
      </c>
      <c r="J1878" s="29">
        <v>0</v>
      </c>
      <c r="K1878" s="29">
        <v>0</v>
      </c>
      <c r="L1878" s="29">
        <v>0</v>
      </c>
      <c r="M1878" s="29">
        <v>0</v>
      </c>
      <c r="N1878" s="29">
        <v>0</v>
      </c>
      <c r="O1878" s="29">
        <v>0</v>
      </c>
      <c r="P1878" s="29">
        <v>0</v>
      </c>
      <c r="Q1878" s="29">
        <v>0</v>
      </c>
      <c r="R1878" s="29">
        <v>0</v>
      </c>
      <c r="S1878">
        <v>0</v>
      </c>
      <c r="T1878">
        <v>0</v>
      </c>
      <c r="U1878">
        <v>0</v>
      </c>
      <c r="V1878">
        <v>0</v>
      </c>
      <c r="W1878">
        <v>0</v>
      </c>
    </row>
    <row r="1879" spans="1:23">
      <c r="A1879" s="30">
        <v>0</v>
      </c>
      <c r="B1879" s="29">
        <v>0</v>
      </c>
      <c r="C1879" s="29">
        <v>0</v>
      </c>
      <c r="D1879" s="29">
        <v>0</v>
      </c>
      <c r="E1879" s="29">
        <v>0</v>
      </c>
      <c r="F1879" s="29">
        <v>0</v>
      </c>
      <c r="G1879" s="29">
        <v>0</v>
      </c>
      <c r="H1879" s="29">
        <v>0</v>
      </c>
      <c r="I1879" s="29">
        <v>0</v>
      </c>
      <c r="J1879" s="29">
        <v>0</v>
      </c>
      <c r="K1879" s="29">
        <v>0</v>
      </c>
      <c r="L1879" s="29">
        <v>0</v>
      </c>
      <c r="M1879" s="29">
        <v>0</v>
      </c>
      <c r="N1879" s="29">
        <v>0</v>
      </c>
      <c r="O1879" s="29">
        <v>0</v>
      </c>
      <c r="P1879" s="29">
        <v>0</v>
      </c>
      <c r="Q1879" s="29">
        <v>0</v>
      </c>
      <c r="R1879" s="29">
        <v>0</v>
      </c>
      <c r="S1879">
        <v>0</v>
      </c>
      <c r="T1879">
        <v>0</v>
      </c>
      <c r="U1879">
        <v>0</v>
      </c>
      <c r="V1879">
        <v>0</v>
      </c>
      <c r="W1879">
        <v>0</v>
      </c>
    </row>
    <row r="1880" spans="1:23">
      <c r="A1880" s="30">
        <v>0</v>
      </c>
      <c r="B1880" s="29">
        <v>0</v>
      </c>
      <c r="C1880" s="29">
        <v>0</v>
      </c>
      <c r="D1880" s="29">
        <v>0</v>
      </c>
      <c r="E1880" s="29">
        <v>0</v>
      </c>
      <c r="F1880" s="29">
        <v>0</v>
      </c>
      <c r="G1880" s="29">
        <v>0</v>
      </c>
      <c r="H1880" s="29">
        <v>0</v>
      </c>
      <c r="I1880" s="29">
        <v>0</v>
      </c>
      <c r="J1880" s="29">
        <v>0</v>
      </c>
      <c r="K1880" s="29">
        <v>0</v>
      </c>
      <c r="L1880" s="29">
        <v>0</v>
      </c>
      <c r="M1880" s="29">
        <v>0</v>
      </c>
      <c r="N1880" s="29">
        <v>0</v>
      </c>
      <c r="O1880" s="29">
        <v>0</v>
      </c>
      <c r="P1880" s="29">
        <v>0</v>
      </c>
      <c r="Q1880" s="29">
        <v>0</v>
      </c>
      <c r="R1880" s="29">
        <v>0</v>
      </c>
      <c r="S1880">
        <v>0</v>
      </c>
      <c r="T1880">
        <v>0</v>
      </c>
      <c r="U1880">
        <v>0</v>
      </c>
      <c r="V1880">
        <v>0</v>
      </c>
      <c r="W1880">
        <v>0</v>
      </c>
    </row>
    <row r="1881" spans="1:23">
      <c r="A1881" s="30">
        <v>0</v>
      </c>
      <c r="B1881" s="29">
        <v>0</v>
      </c>
      <c r="C1881" s="29">
        <v>0</v>
      </c>
      <c r="D1881" s="29">
        <v>0</v>
      </c>
      <c r="E1881" s="29">
        <v>0</v>
      </c>
      <c r="F1881" s="29">
        <v>0</v>
      </c>
      <c r="G1881" s="29">
        <v>0</v>
      </c>
      <c r="H1881" s="29">
        <v>0</v>
      </c>
      <c r="I1881" s="29">
        <v>0</v>
      </c>
      <c r="J1881" s="29">
        <v>0</v>
      </c>
      <c r="K1881" s="29">
        <v>0</v>
      </c>
      <c r="L1881" s="29">
        <v>0</v>
      </c>
      <c r="M1881" s="29">
        <v>0</v>
      </c>
      <c r="N1881" s="29">
        <v>0</v>
      </c>
      <c r="O1881" s="29">
        <v>0</v>
      </c>
      <c r="P1881" s="29">
        <v>0</v>
      </c>
      <c r="Q1881" s="29">
        <v>0</v>
      </c>
      <c r="R1881" s="29">
        <v>0</v>
      </c>
      <c r="S1881">
        <v>0</v>
      </c>
      <c r="T1881">
        <v>0</v>
      </c>
      <c r="U1881">
        <v>0</v>
      </c>
      <c r="V1881">
        <v>0</v>
      </c>
      <c r="W1881">
        <v>0</v>
      </c>
    </row>
    <row r="1882" spans="1:23">
      <c r="A1882" s="30">
        <v>0</v>
      </c>
      <c r="B1882" s="29">
        <v>0</v>
      </c>
      <c r="C1882" s="29">
        <v>0</v>
      </c>
      <c r="D1882" s="29">
        <v>0</v>
      </c>
      <c r="E1882" s="29">
        <v>0</v>
      </c>
      <c r="F1882" s="29">
        <v>0</v>
      </c>
      <c r="G1882" s="29">
        <v>0</v>
      </c>
      <c r="H1882" s="29">
        <v>0</v>
      </c>
      <c r="I1882" s="29">
        <v>0</v>
      </c>
      <c r="J1882" s="29">
        <v>0</v>
      </c>
      <c r="K1882" s="29">
        <v>0</v>
      </c>
      <c r="L1882" s="29">
        <v>0</v>
      </c>
      <c r="M1882" s="29">
        <v>0</v>
      </c>
      <c r="N1882" s="29">
        <v>0</v>
      </c>
      <c r="O1882" s="29">
        <v>0</v>
      </c>
      <c r="P1882" s="29">
        <v>0</v>
      </c>
      <c r="Q1882" s="29">
        <v>0</v>
      </c>
      <c r="R1882" s="29">
        <v>0</v>
      </c>
      <c r="S1882">
        <v>0</v>
      </c>
      <c r="T1882">
        <v>0</v>
      </c>
      <c r="U1882">
        <v>0</v>
      </c>
      <c r="V1882">
        <v>0</v>
      </c>
      <c r="W1882">
        <v>0</v>
      </c>
    </row>
    <row r="1883" spans="1:23">
      <c r="A1883" s="30">
        <v>0</v>
      </c>
      <c r="B1883" s="29">
        <v>0</v>
      </c>
      <c r="C1883" s="29">
        <v>0</v>
      </c>
      <c r="D1883" s="29">
        <v>0</v>
      </c>
      <c r="E1883" s="29">
        <v>0</v>
      </c>
      <c r="F1883" s="29">
        <v>0</v>
      </c>
      <c r="G1883" s="29">
        <v>0</v>
      </c>
      <c r="H1883" s="29">
        <v>0</v>
      </c>
      <c r="I1883" s="29">
        <v>0</v>
      </c>
      <c r="J1883" s="29">
        <v>0</v>
      </c>
      <c r="K1883" s="29">
        <v>0</v>
      </c>
      <c r="L1883" s="29">
        <v>0</v>
      </c>
      <c r="M1883" s="29">
        <v>0</v>
      </c>
      <c r="N1883" s="29">
        <v>0</v>
      </c>
      <c r="O1883" s="29">
        <v>0</v>
      </c>
      <c r="P1883" s="29">
        <v>0</v>
      </c>
      <c r="Q1883" s="29">
        <v>0</v>
      </c>
      <c r="R1883" s="29">
        <v>0</v>
      </c>
      <c r="S1883">
        <v>0</v>
      </c>
      <c r="T1883">
        <v>0</v>
      </c>
      <c r="U1883">
        <v>0</v>
      </c>
      <c r="V1883">
        <v>0</v>
      </c>
      <c r="W1883">
        <v>0</v>
      </c>
    </row>
    <row r="1884" spans="1:23">
      <c r="A1884" s="30">
        <v>0</v>
      </c>
      <c r="B1884" s="29">
        <v>0</v>
      </c>
      <c r="C1884" s="29">
        <v>0</v>
      </c>
      <c r="D1884" s="29">
        <v>0</v>
      </c>
      <c r="E1884" s="29">
        <v>0</v>
      </c>
      <c r="F1884" s="29">
        <v>0</v>
      </c>
      <c r="G1884" s="29">
        <v>0</v>
      </c>
      <c r="H1884" s="29">
        <v>0</v>
      </c>
      <c r="I1884" s="29">
        <v>0</v>
      </c>
      <c r="J1884" s="29">
        <v>0</v>
      </c>
      <c r="K1884" s="29">
        <v>0</v>
      </c>
      <c r="L1884" s="29">
        <v>0</v>
      </c>
      <c r="M1884" s="29">
        <v>0</v>
      </c>
      <c r="N1884" s="29">
        <v>0</v>
      </c>
      <c r="O1884" s="29">
        <v>0</v>
      </c>
      <c r="P1884" s="29">
        <v>0</v>
      </c>
      <c r="Q1884" s="29">
        <v>0</v>
      </c>
      <c r="R1884" s="29">
        <v>0</v>
      </c>
      <c r="S1884">
        <v>0</v>
      </c>
      <c r="T1884">
        <v>0</v>
      </c>
      <c r="U1884">
        <v>0</v>
      </c>
      <c r="V1884">
        <v>0</v>
      </c>
      <c r="W1884">
        <v>0</v>
      </c>
    </row>
    <row r="1885" spans="1:23">
      <c r="A1885" s="30">
        <v>0</v>
      </c>
      <c r="B1885" s="29">
        <v>0</v>
      </c>
      <c r="C1885" s="29">
        <v>0</v>
      </c>
      <c r="D1885" s="29">
        <v>0</v>
      </c>
      <c r="E1885" s="29">
        <v>0</v>
      </c>
      <c r="F1885" s="29">
        <v>0</v>
      </c>
      <c r="G1885" s="29">
        <v>0</v>
      </c>
      <c r="H1885" s="29">
        <v>0</v>
      </c>
      <c r="I1885" s="29">
        <v>0</v>
      </c>
      <c r="J1885" s="29">
        <v>0</v>
      </c>
      <c r="K1885" s="29">
        <v>0</v>
      </c>
      <c r="L1885" s="29">
        <v>0</v>
      </c>
      <c r="M1885" s="29">
        <v>0</v>
      </c>
      <c r="N1885" s="29">
        <v>0</v>
      </c>
      <c r="O1885" s="29">
        <v>0</v>
      </c>
      <c r="P1885" s="29">
        <v>0</v>
      </c>
      <c r="Q1885" s="29">
        <v>0</v>
      </c>
      <c r="R1885" s="29">
        <v>0</v>
      </c>
      <c r="S1885">
        <v>0</v>
      </c>
      <c r="T1885">
        <v>0</v>
      </c>
      <c r="U1885">
        <v>0</v>
      </c>
      <c r="V1885">
        <v>0</v>
      </c>
      <c r="W1885">
        <v>0</v>
      </c>
    </row>
    <row r="1886" spans="1:23">
      <c r="A1886" s="30">
        <v>0</v>
      </c>
      <c r="B1886" s="29">
        <v>0</v>
      </c>
      <c r="C1886" s="29">
        <v>0</v>
      </c>
      <c r="D1886" s="29">
        <v>0</v>
      </c>
      <c r="E1886" s="29">
        <v>0</v>
      </c>
      <c r="F1886" s="29">
        <v>0</v>
      </c>
      <c r="G1886" s="29">
        <v>0</v>
      </c>
      <c r="H1886" s="29">
        <v>0</v>
      </c>
      <c r="I1886" s="29">
        <v>0</v>
      </c>
      <c r="J1886" s="29">
        <v>0</v>
      </c>
      <c r="K1886" s="29">
        <v>0</v>
      </c>
      <c r="L1886" s="29">
        <v>0</v>
      </c>
      <c r="M1886" s="29">
        <v>0</v>
      </c>
      <c r="N1886" s="29">
        <v>0</v>
      </c>
      <c r="O1886" s="29">
        <v>0</v>
      </c>
      <c r="P1886" s="29">
        <v>0</v>
      </c>
      <c r="Q1886" s="29">
        <v>0</v>
      </c>
      <c r="R1886" s="29">
        <v>0</v>
      </c>
      <c r="S1886">
        <v>0</v>
      </c>
      <c r="T1886">
        <v>0</v>
      </c>
      <c r="U1886">
        <v>0</v>
      </c>
      <c r="V1886">
        <v>0</v>
      </c>
      <c r="W1886">
        <v>0</v>
      </c>
    </row>
    <row r="1887" spans="1:23">
      <c r="A1887" s="30">
        <v>0</v>
      </c>
      <c r="B1887" s="29">
        <v>0</v>
      </c>
      <c r="C1887" s="29">
        <v>0</v>
      </c>
      <c r="D1887" s="29">
        <v>0</v>
      </c>
      <c r="E1887" s="29">
        <v>0</v>
      </c>
      <c r="F1887" s="29">
        <v>0</v>
      </c>
      <c r="G1887" s="29">
        <v>0</v>
      </c>
      <c r="H1887" s="29">
        <v>0</v>
      </c>
      <c r="I1887" s="29">
        <v>0</v>
      </c>
      <c r="J1887" s="29">
        <v>0</v>
      </c>
      <c r="K1887" s="29">
        <v>0</v>
      </c>
      <c r="L1887" s="29">
        <v>0</v>
      </c>
      <c r="M1887" s="29">
        <v>0</v>
      </c>
      <c r="N1887" s="29">
        <v>0</v>
      </c>
      <c r="O1887" s="29">
        <v>0</v>
      </c>
      <c r="P1887" s="29">
        <v>0</v>
      </c>
      <c r="Q1887" s="29">
        <v>0</v>
      </c>
      <c r="R1887" s="29">
        <v>0</v>
      </c>
      <c r="S1887">
        <v>0</v>
      </c>
      <c r="T1887">
        <v>0</v>
      </c>
      <c r="U1887">
        <v>0</v>
      </c>
      <c r="V1887">
        <v>0</v>
      </c>
      <c r="W1887">
        <v>0</v>
      </c>
    </row>
    <row r="1888" spans="1:23">
      <c r="A1888" s="30">
        <v>0</v>
      </c>
      <c r="B1888" s="29">
        <v>0</v>
      </c>
      <c r="C1888" s="29">
        <v>0</v>
      </c>
      <c r="D1888" s="29">
        <v>0</v>
      </c>
      <c r="E1888" s="29">
        <v>0</v>
      </c>
      <c r="F1888" s="29">
        <v>0</v>
      </c>
      <c r="G1888" s="29">
        <v>0</v>
      </c>
      <c r="H1888" s="29">
        <v>0</v>
      </c>
      <c r="I1888" s="29">
        <v>0</v>
      </c>
      <c r="J1888" s="29">
        <v>0</v>
      </c>
      <c r="K1888" s="29">
        <v>0</v>
      </c>
      <c r="L1888" s="29">
        <v>0</v>
      </c>
      <c r="M1888" s="29">
        <v>0</v>
      </c>
      <c r="N1888" s="29">
        <v>0</v>
      </c>
      <c r="O1888" s="29">
        <v>0</v>
      </c>
      <c r="P1888" s="29">
        <v>0</v>
      </c>
      <c r="Q1888" s="29">
        <v>0</v>
      </c>
      <c r="R1888" s="29">
        <v>0</v>
      </c>
      <c r="S1888">
        <v>0</v>
      </c>
      <c r="T1888">
        <v>0</v>
      </c>
      <c r="U1888">
        <v>0</v>
      </c>
      <c r="V1888">
        <v>0</v>
      </c>
      <c r="W1888">
        <v>0</v>
      </c>
    </row>
    <row r="1889" spans="1:23">
      <c r="A1889" s="30">
        <v>0</v>
      </c>
      <c r="B1889" s="29">
        <v>0</v>
      </c>
      <c r="C1889" s="29">
        <v>0</v>
      </c>
      <c r="D1889" s="29">
        <v>0</v>
      </c>
      <c r="E1889" s="29">
        <v>0</v>
      </c>
      <c r="F1889" s="29">
        <v>0</v>
      </c>
      <c r="G1889" s="29">
        <v>0</v>
      </c>
      <c r="H1889" s="29">
        <v>0</v>
      </c>
      <c r="I1889" s="29">
        <v>0</v>
      </c>
      <c r="J1889" s="29">
        <v>0</v>
      </c>
      <c r="K1889" s="29">
        <v>0</v>
      </c>
      <c r="L1889" s="29">
        <v>0</v>
      </c>
      <c r="M1889" s="29">
        <v>0</v>
      </c>
      <c r="N1889" s="29">
        <v>0</v>
      </c>
      <c r="O1889" s="29">
        <v>0</v>
      </c>
      <c r="P1889" s="29">
        <v>0</v>
      </c>
      <c r="Q1889" s="29">
        <v>0</v>
      </c>
      <c r="R1889" s="29">
        <v>0</v>
      </c>
      <c r="S1889">
        <v>0</v>
      </c>
      <c r="T1889">
        <v>0</v>
      </c>
      <c r="U1889">
        <v>0</v>
      </c>
      <c r="V1889">
        <v>0</v>
      </c>
      <c r="W1889">
        <v>0</v>
      </c>
    </row>
    <row r="1890" spans="1:23">
      <c r="A1890" s="30">
        <v>0</v>
      </c>
      <c r="B1890" s="29">
        <v>0</v>
      </c>
      <c r="C1890" s="29">
        <v>0</v>
      </c>
      <c r="D1890" s="29">
        <v>0</v>
      </c>
      <c r="E1890" s="29">
        <v>0</v>
      </c>
      <c r="F1890" s="29">
        <v>0</v>
      </c>
      <c r="G1890" s="29">
        <v>0</v>
      </c>
      <c r="H1890" s="29">
        <v>0</v>
      </c>
      <c r="I1890" s="29">
        <v>0</v>
      </c>
      <c r="J1890" s="29">
        <v>0</v>
      </c>
      <c r="K1890" s="29">
        <v>0</v>
      </c>
      <c r="L1890" s="29">
        <v>0</v>
      </c>
      <c r="M1890" s="29">
        <v>0</v>
      </c>
      <c r="N1890" s="29">
        <v>0</v>
      </c>
      <c r="O1890" s="29">
        <v>0</v>
      </c>
      <c r="P1890" s="29">
        <v>0</v>
      </c>
      <c r="Q1890" s="29">
        <v>0</v>
      </c>
      <c r="R1890" s="29">
        <v>0</v>
      </c>
      <c r="S1890">
        <v>0</v>
      </c>
      <c r="T1890">
        <v>0</v>
      </c>
      <c r="U1890">
        <v>0</v>
      </c>
      <c r="V1890">
        <v>0</v>
      </c>
      <c r="W1890">
        <v>0</v>
      </c>
    </row>
    <row r="1891" spans="1:23">
      <c r="A1891" s="30">
        <v>0</v>
      </c>
      <c r="B1891" s="29">
        <v>0</v>
      </c>
      <c r="C1891" s="29">
        <v>0</v>
      </c>
      <c r="D1891" s="29">
        <v>0</v>
      </c>
      <c r="E1891" s="29">
        <v>0</v>
      </c>
      <c r="F1891" s="29">
        <v>0</v>
      </c>
      <c r="G1891" s="29">
        <v>0</v>
      </c>
      <c r="H1891" s="29">
        <v>0</v>
      </c>
      <c r="I1891" s="29">
        <v>0</v>
      </c>
      <c r="J1891" s="29">
        <v>0</v>
      </c>
      <c r="K1891" s="29">
        <v>0</v>
      </c>
      <c r="L1891" s="29">
        <v>0</v>
      </c>
      <c r="M1891" s="29">
        <v>0</v>
      </c>
      <c r="N1891" s="29">
        <v>0</v>
      </c>
      <c r="O1891" s="29">
        <v>0</v>
      </c>
      <c r="P1891" s="29">
        <v>0</v>
      </c>
      <c r="Q1891" s="29">
        <v>0</v>
      </c>
      <c r="R1891" s="29">
        <v>0</v>
      </c>
      <c r="S1891">
        <v>0</v>
      </c>
      <c r="T1891">
        <v>0</v>
      </c>
      <c r="U1891">
        <v>0</v>
      </c>
      <c r="V1891">
        <v>0</v>
      </c>
      <c r="W1891">
        <v>0</v>
      </c>
    </row>
    <row r="1892" spans="1:23">
      <c r="A1892" s="30">
        <v>0</v>
      </c>
      <c r="B1892" s="29">
        <v>0</v>
      </c>
      <c r="C1892" s="29">
        <v>0</v>
      </c>
      <c r="D1892" s="29">
        <v>0</v>
      </c>
      <c r="E1892" s="29">
        <v>0</v>
      </c>
      <c r="F1892" s="29">
        <v>0</v>
      </c>
      <c r="G1892" s="29">
        <v>0</v>
      </c>
      <c r="H1892" s="29">
        <v>0</v>
      </c>
      <c r="I1892" s="29">
        <v>0</v>
      </c>
      <c r="J1892" s="29">
        <v>0</v>
      </c>
      <c r="K1892" s="29">
        <v>0</v>
      </c>
      <c r="L1892" s="29">
        <v>0</v>
      </c>
      <c r="M1892" s="29">
        <v>0</v>
      </c>
      <c r="N1892" s="29">
        <v>0</v>
      </c>
      <c r="O1892" s="29">
        <v>0</v>
      </c>
      <c r="P1892" s="29">
        <v>0</v>
      </c>
      <c r="Q1892" s="29">
        <v>0</v>
      </c>
      <c r="R1892" s="29">
        <v>0</v>
      </c>
      <c r="S1892">
        <v>0</v>
      </c>
      <c r="T1892">
        <v>0</v>
      </c>
      <c r="U1892">
        <v>0</v>
      </c>
      <c r="V1892">
        <v>0</v>
      </c>
      <c r="W1892">
        <v>0</v>
      </c>
    </row>
    <row r="1893" spans="1:23">
      <c r="A1893" s="30">
        <v>0</v>
      </c>
      <c r="B1893" s="29">
        <v>0</v>
      </c>
      <c r="C1893" s="29">
        <v>0</v>
      </c>
      <c r="D1893" s="29">
        <v>0</v>
      </c>
      <c r="E1893" s="29">
        <v>0</v>
      </c>
      <c r="F1893" s="29">
        <v>0</v>
      </c>
      <c r="G1893" s="29">
        <v>0</v>
      </c>
      <c r="H1893" s="29">
        <v>0</v>
      </c>
      <c r="I1893" s="29">
        <v>0</v>
      </c>
      <c r="J1893" s="29">
        <v>0</v>
      </c>
      <c r="K1893" s="29">
        <v>0</v>
      </c>
      <c r="L1893" s="29">
        <v>0</v>
      </c>
      <c r="M1893" s="29">
        <v>0</v>
      </c>
      <c r="N1893" s="29">
        <v>0</v>
      </c>
      <c r="O1893" s="29">
        <v>0</v>
      </c>
      <c r="P1893" s="29">
        <v>0</v>
      </c>
      <c r="Q1893" s="29">
        <v>0</v>
      </c>
      <c r="R1893" s="29">
        <v>0</v>
      </c>
      <c r="S1893">
        <v>0</v>
      </c>
      <c r="T1893">
        <v>0</v>
      </c>
      <c r="U1893">
        <v>0</v>
      </c>
      <c r="V1893">
        <v>0</v>
      </c>
      <c r="W1893">
        <v>0</v>
      </c>
    </row>
    <row r="1894" spans="1:23">
      <c r="A1894" s="30">
        <v>0</v>
      </c>
      <c r="B1894" s="29">
        <v>0</v>
      </c>
      <c r="C1894" s="29">
        <v>0</v>
      </c>
      <c r="D1894" s="29">
        <v>0</v>
      </c>
      <c r="E1894" s="29">
        <v>0</v>
      </c>
      <c r="F1894" s="29">
        <v>0</v>
      </c>
      <c r="G1894" s="29">
        <v>0</v>
      </c>
      <c r="H1894" s="29">
        <v>0</v>
      </c>
      <c r="I1894" s="29">
        <v>0</v>
      </c>
      <c r="J1894" s="29">
        <v>0</v>
      </c>
      <c r="K1894" s="29">
        <v>0</v>
      </c>
      <c r="L1894" s="29">
        <v>0</v>
      </c>
      <c r="M1894" s="29">
        <v>0</v>
      </c>
      <c r="N1894" s="29">
        <v>0</v>
      </c>
      <c r="O1894" s="29">
        <v>0</v>
      </c>
      <c r="P1894" s="29">
        <v>0</v>
      </c>
      <c r="Q1894" s="29">
        <v>0</v>
      </c>
      <c r="R1894" s="29">
        <v>0</v>
      </c>
      <c r="S1894">
        <v>0</v>
      </c>
      <c r="T1894">
        <v>0</v>
      </c>
      <c r="U1894">
        <v>0</v>
      </c>
      <c r="V1894">
        <v>0</v>
      </c>
      <c r="W1894">
        <v>0</v>
      </c>
    </row>
    <row r="1895" spans="1:23">
      <c r="A1895" s="30">
        <v>0</v>
      </c>
      <c r="B1895" s="29">
        <v>0</v>
      </c>
      <c r="C1895" s="29">
        <v>0</v>
      </c>
      <c r="D1895" s="29">
        <v>0</v>
      </c>
      <c r="E1895" s="29">
        <v>0</v>
      </c>
      <c r="F1895" s="29">
        <v>0</v>
      </c>
      <c r="G1895" s="29">
        <v>0</v>
      </c>
      <c r="H1895" s="29">
        <v>0</v>
      </c>
      <c r="I1895" s="29">
        <v>0</v>
      </c>
      <c r="J1895" s="29">
        <v>0</v>
      </c>
      <c r="K1895" s="29">
        <v>0</v>
      </c>
      <c r="L1895" s="29">
        <v>0</v>
      </c>
      <c r="M1895" s="29">
        <v>0</v>
      </c>
      <c r="N1895" s="29">
        <v>0</v>
      </c>
      <c r="O1895" s="29">
        <v>0</v>
      </c>
      <c r="P1895" s="29">
        <v>0</v>
      </c>
      <c r="Q1895" s="29">
        <v>0</v>
      </c>
      <c r="R1895" s="29">
        <v>0</v>
      </c>
      <c r="S1895">
        <v>0</v>
      </c>
      <c r="T1895">
        <v>0</v>
      </c>
      <c r="U1895">
        <v>0</v>
      </c>
      <c r="V1895">
        <v>0</v>
      </c>
      <c r="W1895">
        <v>0</v>
      </c>
    </row>
    <row r="1896" spans="1:23">
      <c r="A1896" s="30">
        <v>0</v>
      </c>
      <c r="B1896" s="29">
        <v>0</v>
      </c>
      <c r="C1896" s="29">
        <v>0</v>
      </c>
      <c r="D1896" s="29">
        <v>0</v>
      </c>
      <c r="E1896" s="29">
        <v>0</v>
      </c>
      <c r="F1896" s="29">
        <v>0</v>
      </c>
      <c r="G1896" s="29">
        <v>0</v>
      </c>
      <c r="H1896" s="29">
        <v>0</v>
      </c>
      <c r="I1896" s="29">
        <v>0</v>
      </c>
      <c r="J1896" s="29">
        <v>0</v>
      </c>
      <c r="K1896" s="29">
        <v>0</v>
      </c>
      <c r="L1896" s="29">
        <v>0</v>
      </c>
      <c r="M1896" s="29">
        <v>0</v>
      </c>
      <c r="N1896" s="29">
        <v>0</v>
      </c>
      <c r="O1896" s="29">
        <v>0</v>
      </c>
      <c r="P1896" s="29">
        <v>0</v>
      </c>
      <c r="Q1896" s="29">
        <v>0</v>
      </c>
      <c r="R1896" s="29">
        <v>0</v>
      </c>
      <c r="S1896">
        <v>0</v>
      </c>
      <c r="T1896">
        <v>0</v>
      </c>
      <c r="U1896">
        <v>0</v>
      </c>
      <c r="V1896">
        <v>0</v>
      </c>
      <c r="W1896">
        <v>0</v>
      </c>
    </row>
    <row r="1897" spans="1:23">
      <c r="A1897" s="30">
        <v>0</v>
      </c>
      <c r="B1897" s="29">
        <v>0</v>
      </c>
      <c r="C1897" s="29">
        <v>0</v>
      </c>
      <c r="D1897" s="29">
        <v>0</v>
      </c>
      <c r="E1897" s="29">
        <v>0</v>
      </c>
      <c r="F1897" s="29">
        <v>0</v>
      </c>
      <c r="G1897" s="29">
        <v>0</v>
      </c>
      <c r="H1897" s="29">
        <v>0</v>
      </c>
      <c r="I1897" s="29">
        <v>0</v>
      </c>
      <c r="J1897" s="29">
        <v>0</v>
      </c>
      <c r="K1897" s="29">
        <v>0</v>
      </c>
      <c r="L1897" s="29">
        <v>0</v>
      </c>
      <c r="M1897" s="29">
        <v>0</v>
      </c>
      <c r="N1897" s="29">
        <v>0</v>
      </c>
      <c r="O1897" s="29">
        <v>0</v>
      </c>
      <c r="P1897" s="29">
        <v>0</v>
      </c>
      <c r="Q1897" s="29">
        <v>0</v>
      </c>
      <c r="R1897" s="29">
        <v>0</v>
      </c>
      <c r="S1897">
        <v>0</v>
      </c>
      <c r="T1897">
        <v>0</v>
      </c>
      <c r="U1897">
        <v>0</v>
      </c>
      <c r="V1897">
        <v>0</v>
      </c>
      <c r="W1897">
        <v>0</v>
      </c>
    </row>
    <row r="1898" spans="1:23">
      <c r="A1898" s="30">
        <v>0</v>
      </c>
      <c r="B1898" s="29">
        <v>0</v>
      </c>
      <c r="C1898" s="29">
        <v>0</v>
      </c>
      <c r="D1898" s="29">
        <v>0</v>
      </c>
      <c r="E1898" s="29">
        <v>0</v>
      </c>
      <c r="F1898" s="29">
        <v>0</v>
      </c>
      <c r="G1898" s="29">
        <v>0</v>
      </c>
      <c r="H1898" s="29">
        <v>0</v>
      </c>
      <c r="I1898" s="29">
        <v>0</v>
      </c>
      <c r="J1898" s="29">
        <v>0</v>
      </c>
      <c r="K1898" s="29">
        <v>0</v>
      </c>
      <c r="L1898" s="29">
        <v>0</v>
      </c>
      <c r="M1898" s="29">
        <v>0</v>
      </c>
      <c r="N1898" s="29">
        <v>0</v>
      </c>
      <c r="O1898" s="29">
        <v>0</v>
      </c>
      <c r="P1898" s="29">
        <v>0</v>
      </c>
      <c r="Q1898" s="29">
        <v>0</v>
      </c>
      <c r="R1898" s="29">
        <v>0</v>
      </c>
      <c r="S1898">
        <v>0</v>
      </c>
      <c r="T1898">
        <v>0</v>
      </c>
      <c r="U1898">
        <v>0</v>
      </c>
      <c r="V1898">
        <v>0</v>
      </c>
      <c r="W1898">
        <v>0</v>
      </c>
    </row>
    <row r="1899" spans="1:23">
      <c r="A1899" s="30">
        <v>0</v>
      </c>
      <c r="B1899" s="29">
        <v>0</v>
      </c>
      <c r="C1899" s="29">
        <v>0</v>
      </c>
      <c r="D1899" s="29">
        <v>0</v>
      </c>
      <c r="E1899" s="29">
        <v>0</v>
      </c>
      <c r="F1899" s="29">
        <v>0</v>
      </c>
      <c r="G1899" s="29">
        <v>0</v>
      </c>
      <c r="H1899" s="29">
        <v>0</v>
      </c>
      <c r="I1899" s="29">
        <v>0</v>
      </c>
      <c r="J1899" s="29">
        <v>0</v>
      </c>
      <c r="K1899" s="29">
        <v>0</v>
      </c>
      <c r="L1899" s="29">
        <v>0</v>
      </c>
      <c r="M1899" s="29">
        <v>0</v>
      </c>
      <c r="N1899" s="29">
        <v>0</v>
      </c>
      <c r="O1899" s="29">
        <v>0</v>
      </c>
      <c r="P1899" s="29">
        <v>0</v>
      </c>
      <c r="Q1899" s="29">
        <v>0</v>
      </c>
      <c r="R1899" s="29">
        <v>0</v>
      </c>
      <c r="S1899">
        <v>0</v>
      </c>
      <c r="T1899">
        <v>0</v>
      </c>
      <c r="U1899">
        <v>0</v>
      </c>
      <c r="V1899">
        <v>0</v>
      </c>
      <c r="W1899">
        <v>0</v>
      </c>
    </row>
    <row r="1900" spans="1:23">
      <c r="A1900" s="30">
        <v>0</v>
      </c>
      <c r="B1900" s="29">
        <v>0</v>
      </c>
      <c r="C1900" s="29">
        <v>0</v>
      </c>
      <c r="D1900" s="29">
        <v>0</v>
      </c>
      <c r="E1900" s="29">
        <v>0</v>
      </c>
      <c r="F1900" s="29">
        <v>0</v>
      </c>
      <c r="G1900" s="29">
        <v>0</v>
      </c>
      <c r="H1900" s="29">
        <v>0</v>
      </c>
      <c r="I1900" s="29">
        <v>0</v>
      </c>
      <c r="J1900" s="29">
        <v>0</v>
      </c>
      <c r="K1900" s="29">
        <v>0</v>
      </c>
      <c r="L1900" s="29">
        <v>0</v>
      </c>
      <c r="M1900" s="29">
        <v>0</v>
      </c>
      <c r="N1900" s="29">
        <v>0</v>
      </c>
      <c r="O1900" s="29">
        <v>0</v>
      </c>
      <c r="P1900" s="29">
        <v>0</v>
      </c>
      <c r="Q1900" s="29">
        <v>0</v>
      </c>
      <c r="R1900" s="29">
        <v>0</v>
      </c>
      <c r="S1900">
        <v>0</v>
      </c>
      <c r="T1900">
        <v>0</v>
      </c>
      <c r="U1900">
        <v>0</v>
      </c>
      <c r="V1900">
        <v>0</v>
      </c>
      <c r="W1900">
        <v>0</v>
      </c>
    </row>
    <row r="1901" spans="1:23">
      <c r="A1901" s="30">
        <v>0</v>
      </c>
      <c r="B1901" s="29">
        <v>0</v>
      </c>
      <c r="C1901" s="29">
        <v>0</v>
      </c>
      <c r="D1901" s="29">
        <v>0</v>
      </c>
      <c r="E1901" s="29">
        <v>0</v>
      </c>
      <c r="F1901" s="29">
        <v>0</v>
      </c>
      <c r="G1901" s="29">
        <v>0</v>
      </c>
      <c r="H1901" s="29">
        <v>0</v>
      </c>
      <c r="I1901" s="29">
        <v>0</v>
      </c>
      <c r="J1901" s="29">
        <v>0</v>
      </c>
      <c r="K1901" s="29">
        <v>0</v>
      </c>
      <c r="L1901" s="29">
        <v>0</v>
      </c>
      <c r="M1901" s="29">
        <v>0</v>
      </c>
      <c r="N1901" s="29">
        <v>0</v>
      </c>
      <c r="O1901" s="29">
        <v>0</v>
      </c>
      <c r="P1901" s="29">
        <v>0</v>
      </c>
      <c r="Q1901" s="29">
        <v>0</v>
      </c>
      <c r="R1901" s="29">
        <v>0</v>
      </c>
      <c r="S1901">
        <v>0</v>
      </c>
      <c r="T1901">
        <v>0</v>
      </c>
      <c r="U1901">
        <v>0</v>
      </c>
      <c r="V1901">
        <v>0</v>
      </c>
      <c r="W1901">
        <v>0</v>
      </c>
    </row>
    <row r="1902" spans="1:23">
      <c r="A1902" s="30">
        <v>0</v>
      </c>
      <c r="B1902" s="29">
        <v>0</v>
      </c>
      <c r="C1902" s="29">
        <v>0</v>
      </c>
      <c r="D1902" s="29">
        <v>0</v>
      </c>
      <c r="E1902" s="29">
        <v>0</v>
      </c>
      <c r="F1902" s="29">
        <v>0</v>
      </c>
      <c r="G1902" s="29">
        <v>0</v>
      </c>
      <c r="H1902" s="29">
        <v>0</v>
      </c>
      <c r="I1902" s="29">
        <v>0</v>
      </c>
      <c r="J1902" s="29">
        <v>0</v>
      </c>
      <c r="K1902" s="29">
        <v>0</v>
      </c>
      <c r="L1902" s="29">
        <v>0</v>
      </c>
      <c r="M1902" s="29">
        <v>0</v>
      </c>
      <c r="N1902" s="29">
        <v>0</v>
      </c>
      <c r="O1902" s="29">
        <v>0</v>
      </c>
      <c r="P1902" s="29">
        <v>0</v>
      </c>
      <c r="Q1902" s="29">
        <v>0</v>
      </c>
      <c r="R1902" s="29">
        <v>0</v>
      </c>
      <c r="S1902">
        <v>0</v>
      </c>
      <c r="T1902">
        <v>0</v>
      </c>
      <c r="U1902">
        <v>0</v>
      </c>
      <c r="V1902">
        <v>0</v>
      </c>
      <c r="W1902">
        <v>0</v>
      </c>
    </row>
    <row r="1903" spans="1:23">
      <c r="A1903" s="30">
        <v>0</v>
      </c>
      <c r="B1903" s="29">
        <v>0</v>
      </c>
      <c r="C1903" s="29">
        <v>0</v>
      </c>
      <c r="D1903" s="29">
        <v>0</v>
      </c>
      <c r="E1903" s="29">
        <v>0</v>
      </c>
      <c r="F1903" s="29">
        <v>0</v>
      </c>
      <c r="G1903" s="29">
        <v>0</v>
      </c>
      <c r="H1903" s="29">
        <v>0</v>
      </c>
      <c r="I1903" s="29">
        <v>0</v>
      </c>
      <c r="J1903" s="29">
        <v>0</v>
      </c>
      <c r="K1903" s="29">
        <v>0</v>
      </c>
      <c r="L1903" s="29">
        <v>0</v>
      </c>
      <c r="M1903" s="29">
        <v>0</v>
      </c>
      <c r="N1903" s="29">
        <v>0</v>
      </c>
      <c r="O1903" s="29">
        <v>0</v>
      </c>
      <c r="P1903" s="29">
        <v>0</v>
      </c>
      <c r="Q1903" s="29">
        <v>0</v>
      </c>
      <c r="R1903" s="29">
        <v>0</v>
      </c>
      <c r="S1903">
        <v>0</v>
      </c>
      <c r="T1903">
        <v>0</v>
      </c>
      <c r="U1903">
        <v>0</v>
      </c>
      <c r="V1903">
        <v>0</v>
      </c>
      <c r="W1903">
        <v>0</v>
      </c>
    </row>
    <row r="1904" spans="1:23">
      <c r="A1904" s="30">
        <v>0</v>
      </c>
      <c r="B1904" s="29">
        <v>0</v>
      </c>
      <c r="C1904" s="29">
        <v>0</v>
      </c>
      <c r="D1904" s="29">
        <v>0</v>
      </c>
      <c r="E1904" s="29">
        <v>0</v>
      </c>
      <c r="F1904" s="29">
        <v>0</v>
      </c>
      <c r="G1904" s="29">
        <v>0</v>
      </c>
      <c r="H1904" s="29">
        <v>0</v>
      </c>
      <c r="I1904" s="29">
        <v>0</v>
      </c>
      <c r="J1904" s="29">
        <v>0</v>
      </c>
      <c r="K1904" s="29">
        <v>0</v>
      </c>
      <c r="L1904" s="29">
        <v>0</v>
      </c>
      <c r="M1904" s="29">
        <v>0</v>
      </c>
      <c r="N1904" s="29">
        <v>0</v>
      </c>
      <c r="O1904" s="29">
        <v>0</v>
      </c>
      <c r="P1904" s="29">
        <v>0</v>
      </c>
      <c r="Q1904" s="29">
        <v>0</v>
      </c>
      <c r="R1904" s="29">
        <v>0</v>
      </c>
      <c r="S1904">
        <v>0</v>
      </c>
      <c r="T1904">
        <v>0</v>
      </c>
      <c r="U1904">
        <v>0</v>
      </c>
      <c r="V1904">
        <v>0</v>
      </c>
      <c r="W1904">
        <v>0</v>
      </c>
    </row>
    <row r="1905" spans="1:23">
      <c r="A1905" s="30">
        <v>0</v>
      </c>
      <c r="B1905" s="29">
        <v>0</v>
      </c>
      <c r="C1905" s="29">
        <v>0</v>
      </c>
      <c r="D1905" s="29">
        <v>0</v>
      </c>
      <c r="E1905" s="29">
        <v>0</v>
      </c>
      <c r="F1905" s="29">
        <v>0</v>
      </c>
      <c r="G1905" s="29">
        <v>0</v>
      </c>
      <c r="H1905" s="29">
        <v>0</v>
      </c>
      <c r="I1905" s="29">
        <v>0</v>
      </c>
      <c r="J1905" s="29">
        <v>0</v>
      </c>
      <c r="K1905" s="29">
        <v>0</v>
      </c>
      <c r="L1905" s="29">
        <v>0</v>
      </c>
      <c r="M1905" s="29">
        <v>0</v>
      </c>
      <c r="N1905" s="29">
        <v>0</v>
      </c>
      <c r="O1905" s="29">
        <v>0</v>
      </c>
      <c r="P1905" s="29">
        <v>0</v>
      </c>
      <c r="Q1905" s="29">
        <v>0</v>
      </c>
      <c r="R1905" s="29">
        <v>0</v>
      </c>
      <c r="S1905">
        <v>0</v>
      </c>
      <c r="T1905">
        <v>0</v>
      </c>
      <c r="U1905">
        <v>0</v>
      </c>
      <c r="V1905">
        <v>0</v>
      </c>
      <c r="W1905">
        <v>0</v>
      </c>
    </row>
    <row r="1906" spans="1:23">
      <c r="A1906" s="30">
        <v>0</v>
      </c>
      <c r="B1906" s="29">
        <v>0</v>
      </c>
      <c r="C1906" s="29">
        <v>0</v>
      </c>
      <c r="D1906" s="29">
        <v>0</v>
      </c>
      <c r="E1906" s="29">
        <v>0</v>
      </c>
      <c r="F1906" s="29">
        <v>0</v>
      </c>
      <c r="G1906" s="29">
        <v>0</v>
      </c>
      <c r="H1906" s="29">
        <v>0</v>
      </c>
      <c r="I1906" s="29">
        <v>0</v>
      </c>
      <c r="J1906" s="29">
        <v>0</v>
      </c>
      <c r="K1906" s="29">
        <v>0</v>
      </c>
      <c r="L1906" s="29">
        <v>0</v>
      </c>
      <c r="M1906" s="29">
        <v>0</v>
      </c>
      <c r="N1906" s="29">
        <v>0</v>
      </c>
      <c r="O1906" s="29">
        <v>0</v>
      </c>
      <c r="P1906" s="29">
        <v>0</v>
      </c>
      <c r="Q1906" s="29">
        <v>0</v>
      </c>
      <c r="R1906" s="29">
        <v>0</v>
      </c>
      <c r="S1906">
        <v>0</v>
      </c>
      <c r="T1906">
        <v>0</v>
      </c>
      <c r="U1906">
        <v>0</v>
      </c>
      <c r="V1906">
        <v>0</v>
      </c>
      <c r="W1906">
        <v>0</v>
      </c>
    </row>
    <row r="1907" spans="1:23">
      <c r="A1907" s="30">
        <v>0</v>
      </c>
      <c r="B1907" s="29">
        <v>0</v>
      </c>
      <c r="C1907" s="29">
        <v>0</v>
      </c>
      <c r="D1907" s="29">
        <v>0</v>
      </c>
      <c r="E1907" s="29">
        <v>0</v>
      </c>
      <c r="F1907" s="29">
        <v>0</v>
      </c>
      <c r="G1907" s="29">
        <v>0</v>
      </c>
      <c r="H1907" s="29">
        <v>0</v>
      </c>
      <c r="I1907" s="29">
        <v>0</v>
      </c>
      <c r="J1907" s="29">
        <v>0</v>
      </c>
      <c r="K1907" s="29">
        <v>0</v>
      </c>
      <c r="L1907" s="29">
        <v>0</v>
      </c>
      <c r="M1907" s="29">
        <v>0</v>
      </c>
      <c r="N1907" s="29">
        <v>0</v>
      </c>
      <c r="O1907" s="29">
        <v>0</v>
      </c>
      <c r="P1907" s="29">
        <v>0</v>
      </c>
      <c r="Q1907" s="29">
        <v>0</v>
      </c>
      <c r="R1907" s="29">
        <v>0</v>
      </c>
      <c r="S1907">
        <v>0</v>
      </c>
      <c r="T1907">
        <v>0</v>
      </c>
      <c r="U1907">
        <v>0</v>
      </c>
      <c r="V1907">
        <v>0</v>
      </c>
      <c r="W1907">
        <v>0</v>
      </c>
    </row>
    <row r="1908" spans="1:23">
      <c r="A1908" s="30">
        <v>0</v>
      </c>
      <c r="B1908" s="29">
        <v>0</v>
      </c>
      <c r="C1908" s="29">
        <v>0</v>
      </c>
      <c r="D1908" s="29">
        <v>0</v>
      </c>
      <c r="E1908" s="29">
        <v>0</v>
      </c>
      <c r="F1908" s="29">
        <v>0</v>
      </c>
      <c r="G1908" s="29">
        <v>0</v>
      </c>
      <c r="H1908" s="29">
        <v>0</v>
      </c>
      <c r="I1908" s="29">
        <v>0</v>
      </c>
      <c r="J1908" s="29">
        <v>0</v>
      </c>
      <c r="K1908" s="29">
        <v>0</v>
      </c>
      <c r="L1908" s="29">
        <v>0</v>
      </c>
      <c r="M1908" s="29">
        <v>0</v>
      </c>
      <c r="N1908" s="29">
        <v>0</v>
      </c>
      <c r="O1908" s="29">
        <v>0</v>
      </c>
      <c r="P1908" s="29">
        <v>0</v>
      </c>
      <c r="Q1908" s="29">
        <v>0</v>
      </c>
      <c r="R1908" s="29">
        <v>0</v>
      </c>
      <c r="S1908">
        <v>0</v>
      </c>
      <c r="T1908">
        <v>0</v>
      </c>
      <c r="U1908">
        <v>0</v>
      </c>
      <c r="V1908">
        <v>0</v>
      </c>
      <c r="W1908">
        <v>0</v>
      </c>
    </row>
    <row r="1909" spans="1:23">
      <c r="A1909" s="30">
        <v>0</v>
      </c>
      <c r="B1909" s="29">
        <v>0</v>
      </c>
      <c r="C1909" s="29">
        <v>0</v>
      </c>
      <c r="D1909" s="29">
        <v>0</v>
      </c>
      <c r="E1909" s="29">
        <v>0</v>
      </c>
      <c r="F1909" s="29">
        <v>0</v>
      </c>
      <c r="G1909" s="29">
        <v>0</v>
      </c>
      <c r="H1909" s="29">
        <v>0</v>
      </c>
      <c r="I1909" s="29">
        <v>0</v>
      </c>
      <c r="J1909" s="29">
        <v>0</v>
      </c>
      <c r="K1909" s="29">
        <v>0</v>
      </c>
      <c r="L1909" s="29">
        <v>0</v>
      </c>
      <c r="M1909" s="29">
        <v>0</v>
      </c>
      <c r="N1909" s="29">
        <v>0</v>
      </c>
      <c r="O1909" s="29">
        <v>0</v>
      </c>
      <c r="P1909" s="29">
        <v>0</v>
      </c>
      <c r="Q1909" s="29">
        <v>0</v>
      </c>
      <c r="R1909" s="29">
        <v>0</v>
      </c>
      <c r="S1909">
        <v>0</v>
      </c>
      <c r="T1909">
        <v>0</v>
      </c>
      <c r="U1909">
        <v>0</v>
      </c>
      <c r="V1909">
        <v>0</v>
      </c>
      <c r="W1909">
        <v>0</v>
      </c>
    </row>
    <row r="1910" spans="1:23">
      <c r="A1910" s="30">
        <v>0</v>
      </c>
      <c r="B1910" s="29">
        <v>0</v>
      </c>
      <c r="C1910" s="29">
        <v>0</v>
      </c>
      <c r="D1910" s="29">
        <v>0</v>
      </c>
      <c r="E1910" s="29">
        <v>0</v>
      </c>
      <c r="F1910" s="29">
        <v>0</v>
      </c>
      <c r="G1910" s="29">
        <v>0</v>
      </c>
      <c r="H1910" s="29">
        <v>0</v>
      </c>
      <c r="I1910" s="29">
        <v>0</v>
      </c>
      <c r="J1910" s="29">
        <v>0</v>
      </c>
      <c r="K1910" s="29">
        <v>0</v>
      </c>
      <c r="L1910" s="29">
        <v>0</v>
      </c>
      <c r="M1910" s="29">
        <v>0</v>
      </c>
      <c r="N1910" s="29">
        <v>0</v>
      </c>
      <c r="O1910" s="29">
        <v>0</v>
      </c>
      <c r="P1910" s="29">
        <v>0</v>
      </c>
      <c r="Q1910" s="29">
        <v>0</v>
      </c>
      <c r="R1910" s="29">
        <v>0</v>
      </c>
      <c r="S1910">
        <v>0</v>
      </c>
      <c r="T1910">
        <v>0</v>
      </c>
      <c r="U1910">
        <v>0</v>
      </c>
      <c r="V1910">
        <v>0</v>
      </c>
      <c r="W1910">
        <v>0</v>
      </c>
    </row>
    <row r="1911" spans="1:23">
      <c r="A1911" s="30">
        <v>0</v>
      </c>
      <c r="B1911" s="29">
        <v>0</v>
      </c>
      <c r="C1911" s="29">
        <v>0</v>
      </c>
      <c r="D1911" s="29">
        <v>0</v>
      </c>
      <c r="E1911" s="29">
        <v>0</v>
      </c>
      <c r="F1911" s="29">
        <v>0</v>
      </c>
      <c r="G1911" s="29">
        <v>0</v>
      </c>
      <c r="H1911" s="29">
        <v>0</v>
      </c>
      <c r="I1911" s="29">
        <v>0</v>
      </c>
      <c r="J1911" s="29">
        <v>0</v>
      </c>
      <c r="K1911" s="29">
        <v>0</v>
      </c>
      <c r="L1911" s="29">
        <v>0</v>
      </c>
      <c r="M1911" s="29">
        <v>0</v>
      </c>
      <c r="N1911" s="29">
        <v>0</v>
      </c>
      <c r="O1911" s="29">
        <v>0</v>
      </c>
      <c r="P1911" s="29">
        <v>0</v>
      </c>
      <c r="Q1911" s="29">
        <v>0</v>
      </c>
      <c r="R1911" s="29">
        <v>0</v>
      </c>
      <c r="S1911">
        <v>0</v>
      </c>
      <c r="T1911">
        <v>0</v>
      </c>
      <c r="U1911">
        <v>0</v>
      </c>
      <c r="V1911">
        <v>0</v>
      </c>
      <c r="W1911">
        <v>0</v>
      </c>
    </row>
    <row r="1912" spans="1:23">
      <c r="A1912" s="30">
        <v>0</v>
      </c>
      <c r="B1912" s="29">
        <v>0</v>
      </c>
      <c r="C1912" s="29">
        <v>0</v>
      </c>
      <c r="D1912" s="29">
        <v>0</v>
      </c>
      <c r="E1912" s="29">
        <v>0</v>
      </c>
      <c r="F1912" s="29">
        <v>0</v>
      </c>
      <c r="G1912" s="29">
        <v>0</v>
      </c>
      <c r="H1912" s="29">
        <v>0</v>
      </c>
      <c r="I1912" s="29">
        <v>0</v>
      </c>
      <c r="J1912" s="29">
        <v>0</v>
      </c>
      <c r="K1912" s="29">
        <v>0</v>
      </c>
      <c r="L1912" s="29">
        <v>0</v>
      </c>
      <c r="M1912" s="29">
        <v>0</v>
      </c>
      <c r="N1912" s="29">
        <v>0</v>
      </c>
      <c r="O1912" s="29">
        <v>0</v>
      </c>
      <c r="P1912" s="29">
        <v>0</v>
      </c>
      <c r="Q1912" s="29">
        <v>0</v>
      </c>
      <c r="R1912" s="29">
        <v>0</v>
      </c>
      <c r="S1912">
        <v>0</v>
      </c>
      <c r="T1912">
        <v>0</v>
      </c>
      <c r="U1912">
        <v>0</v>
      </c>
      <c r="V1912">
        <v>0</v>
      </c>
      <c r="W1912">
        <v>0</v>
      </c>
    </row>
    <row r="1913" spans="1:23">
      <c r="A1913" s="30">
        <v>0</v>
      </c>
      <c r="B1913" s="29">
        <v>0</v>
      </c>
      <c r="C1913" s="29">
        <v>0</v>
      </c>
      <c r="D1913" s="29">
        <v>0</v>
      </c>
      <c r="E1913" s="29">
        <v>0</v>
      </c>
      <c r="F1913" s="29">
        <v>0</v>
      </c>
      <c r="G1913" s="29">
        <v>0</v>
      </c>
      <c r="H1913" s="29">
        <v>0</v>
      </c>
      <c r="I1913" s="29">
        <v>0</v>
      </c>
      <c r="J1913" s="29">
        <v>0</v>
      </c>
      <c r="K1913" s="29">
        <v>0</v>
      </c>
      <c r="L1913" s="29">
        <v>0</v>
      </c>
      <c r="M1913" s="29">
        <v>0</v>
      </c>
      <c r="N1913" s="29">
        <v>0</v>
      </c>
      <c r="O1913" s="29">
        <v>0</v>
      </c>
      <c r="P1913" s="29">
        <v>0</v>
      </c>
      <c r="Q1913" s="29">
        <v>0</v>
      </c>
      <c r="R1913" s="29">
        <v>0</v>
      </c>
      <c r="S1913">
        <v>0</v>
      </c>
      <c r="T1913">
        <v>0</v>
      </c>
      <c r="U1913">
        <v>0</v>
      </c>
      <c r="V1913">
        <v>0</v>
      </c>
      <c r="W1913">
        <v>0</v>
      </c>
    </row>
    <row r="1914" spans="1:23">
      <c r="A1914" s="30">
        <v>0</v>
      </c>
      <c r="B1914" s="29">
        <v>0</v>
      </c>
      <c r="C1914" s="29">
        <v>0</v>
      </c>
      <c r="D1914" s="29">
        <v>0</v>
      </c>
      <c r="E1914" s="29">
        <v>0</v>
      </c>
      <c r="F1914" s="29">
        <v>0</v>
      </c>
      <c r="G1914" s="29">
        <v>0</v>
      </c>
      <c r="H1914" s="29">
        <v>0</v>
      </c>
      <c r="I1914" s="29">
        <v>0</v>
      </c>
      <c r="J1914" s="29">
        <v>0</v>
      </c>
      <c r="K1914" s="29">
        <v>0</v>
      </c>
      <c r="L1914" s="29">
        <v>0</v>
      </c>
      <c r="M1914" s="29">
        <v>0</v>
      </c>
      <c r="N1914" s="29">
        <v>0</v>
      </c>
      <c r="O1914" s="29">
        <v>0</v>
      </c>
      <c r="P1914" s="29">
        <v>0</v>
      </c>
      <c r="Q1914" s="29">
        <v>0</v>
      </c>
      <c r="R1914" s="29">
        <v>0</v>
      </c>
      <c r="S1914">
        <v>0</v>
      </c>
      <c r="T1914">
        <v>0</v>
      </c>
      <c r="U1914">
        <v>0</v>
      </c>
      <c r="V1914">
        <v>0</v>
      </c>
      <c r="W1914">
        <v>0</v>
      </c>
    </row>
    <row r="1915" spans="1:23">
      <c r="A1915" s="30">
        <v>0</v>
      </c>
      <c r="B1915" s="29">
        <v>0</v>
      </c>
      <c r="C1915" s="29">
        <v>0</v>
      </c>
      <c r="D1915" s="29">
        <v>0</v>
      </c>
      <c r="E1915" s="29">
        <v>0</v>
      </c>
      <c r="F1915" s="29">
        <v>0</v>
      </c>
      <c r="G1915" s="29">
        <v>0</v>
      </c>
      <c r="H1915" s="29">
        <v>0</v>
      </c>
      <c r="I1915" s="29">
        <v>0</v>
      </c>
      <c r="J1915" s="29">
        <v>0</v>
      </c>
      <c r="K1915" s="29">
        <v>0</v>
      </c>
      <c r="L1915" s="29">
        <v>0</v>
      </c>
      <c r="M1915" s="29">
        <v>0</v>
      </c>
      <c r="N1915" s="29">
        <v>0</v>
      </c>
      <c r="O1915" s="29">
        <v>0</v>
      </c>
      <c r="P1915" s="29">
        <v>0</v>
      </c>
      <c r="Q1915" s="29">
        <v>0</v>
      </c>
      <c r="R1915" s="29">
        <v>0</v>
      </c>
      <c r="S1915">
        <v>0</v>
      </c>
      <c r="T1915">
        <v>0</v>
      </c>
      <c r="U1915">
        <v>0</v>
      </c>
      <c r="V1915">
        <v>0</v>
      </c>
      <c r="W1915">
        <v>0</v>
      </c>
    </row>
    <row r="1916" spans="1:23">
      <c r="A1916" s="30">
        <v>0</v>
      </c>
      <c r="B1916" s="29">
        <v>0</v>
      </c>
      <c r="C1916" s="29">
        <v>0</v>
      </c>
      <c r="D1916" s="29">
        <v>0</v>
      </c>
      <c r="E1916" s="29">
        <v>0</v>
      </c>
      <c r="F1916" s="29">
        <v>0</v>
      </c>
      <c r="G1916" s="29">
        <v>0</v>
      </c>
      <c r="H1916" s="29">
        <v>0</v>
      </c>
      <c r="I1916" s="29">
        <v>0</v>
      </c>
      <c r="J1916" s="29">
        <v>0</v>
      </c>
      <c r="K1916" s="29">
        <v>0</v>
      </c>
      <c r="L1916" s="29">
        <v>0</v>
      </c>
      <c r="M1916" s="29">
        <v>0</v>
      </c>
      <c r="N1916" s="29">
        <v>0</v>
      </c>
      <c r="O1916" s="29">
        <v>0</v>
      </c>
      <c r="P1916" s="29">
        <v>0</v>
      </c>
      <c r="Q1916" s="29">
        <v>0</v>
      </c>
      <c r="R1916" s="29">
        <v>0</v>
      </c>
      <c r="S1916">
        <v>0</v>
      </c>
      <c r="T1916">
        <v>0</v>
      </c>
      <c r="U1916">
        <v>0</v>
      </c>
      <c r="V1916">
        <v>0</v>
      </c>
      <c r="W1916">
        <v>0</v>
      </c>
    </row>
    <row r="1917" spans="1:23">
      <c r="A1917" s="30">
        <v>0</v>
      </c>
      <c r="B1917" s="29">
        <v>0</v>
      </c>
      <c r="C1917" s="29">
        <v>0</v>
      </c>
      <c r="D1917" s="29">
        <v>0</v>
      </c>
      <c r="E1917" s="29">
        <v>0</v>
      </c>
      <c r="F1917" s="29">
        <v>0</v>
      </c>
      <c r="G1917" s="29">
        <v>0</v>
      </c>
      <c r="H1917" s="29">
        <v>0</v>
      </c>
      <c r="I1917" s="29">
        <v>0</v>
      </c>
      <c r="J1917" s="29">
        <v>0</v>
      </c>
      <c r="K1917" s="29">
        <v>0</v>
      </c>
      <c r="L1917" s="29">
        <v>0</v>
      </c>
      <c r="M1917" s="29">
        <v>0</v>
      </c>
      <c r="N1917" s="29">
        <v>0</v>
      </c>
      <c r="O1917" s="29">
        <v>0</v>
      </c>
      <c r="P1917" s="29">
        <v>0</v>
      </c>
      <c r="Q1917" s="29">
        <v>0</v>
      </c>
      <c r="R1917" s="29">
        <v>0</v>
      </c>
      <c r="S1917">
        <v>0</v>
      </c>
      <c r="T1917">
        <v>0</v>
      </c>
      <c r="U1917">
        <v>0</v>
      </c>
      <c r="V1917">
        <v>0</v>
      </c>
      <c r="W1917">
        <v>0</v>
      </c>
    </row>
    <row r="1918" spans="1:23">
      <c r="A1918" s="30">
        <v>0</v>
      </c>
      <c r="B1918" s="29">
        <v>0</v>
      </c>
      <c r="C1918" s="29">
        <v>0</v>
      </c>
      <c r="D1918" s="29">
        <v>0</v>
      </c>
      <c r="E1918" s="29">
        <v>0</v>
      </c>
      <c r="F1918" s="29">
        <v>0</v>
      </c>
      <c r="G1918" s="29">
        <v>0</v>
      </c>
      <c r="H1918" s="29">
        <v>0</v>
      </c>
      <c r="I1918" s="29">
        <v>0</v>
      </c>
      <c r="J1918" s="29">
        <v>0</v>
      </c>
      <c r="K1918" s="29">
        <v>0</v>
      </c>
      <c r="L1918" s="29">
        <v>0</v>
      </c>
      <c r="M1918" s="29">
        <v>0</v>
      </c>
      <c r="N1918" s="29">
        <v>0</v>
      </c>
      <c r="O1918" s="29">
        <v>0</v>
      </c>
      <c r="P1918" s="29">
        <v>0</v>
      </c>
      <c r="Q1918" s="29">
        <v>0</v>
      </c>
      <c r="R1918" s="29">
        <v>0</v>
      </c>
      <c r="S1918">
        <v>0</v>
      </c>
      <c r="T1918">
        <v>0</v>
      </c>
      <c r="U1918">
        <v>0</v>
      </c>
      <c r="V1918">
        <v>0</v>
      </c>
      <c r="W1918">
        <v>0</v>
      </c>
    </row>
    <row r="1919" spans="1:23">
      <c r="A1919" s="30">
        <v>0</v>
      </c>
      <c r="B1919" s="29">
        <v>0</v>
      </c>
      <c r="C1919" s="29">
        <v>0</v>
      </c>
      <c r="D1919" s="29">
        <v>0</v>
      </c>
      <c r="E1919" s="29">
        <v>0</v>
      </c>
      <c r="F1919" s="29">
        <v>0</v>
      </c>
      <c r="G1919" s="29">
        <v>0</v>
      </c>
      <c r="H1919" s="29">
        <v>0</v>
      </c>
      <c r="I1919" s="29">
        <v>0</v>
      </c>
      <c r="J1919" s="29">
        <v>0</v>
      </c>
      <c r="K1919" s="29">
        <v>0</v>
      </c>
      <c r="L1919" s="29">
        <v>0</v>
      </c>
      <c r="M1919" s="29">
        <v>0</v>
      </c>
      <c r="N1919" s="29">
        <v>0</v>
      </c>
      <c r="O1919" s="29">
        <v>0</v>
      </c>
      <c r="P1919" s="29">
        <v>0</v>
      </c>
      <c r="Q1919" s="29">
        <v>0</v>
      </c>
      <c r="R1919" s="29">
        <v>0</v>
      </c>
      <c r="S1919">
        <v>0</v>
      </c>
      <c r="T1919">
        <v>0</v>
      </c>
      <c r="U1919">
        <v>0</v>
      </c>
      <c r="V1919">
        <v>0</v>
      </c>
      <c r="W1919">
        <v>0</v>
      </c>
    </row>
    <row r="1920" spans="1:23">
      <c r="A1920" s="30">
        <v>0</v>
      </c>
      <c r="B1920" s="29">
        <v>0</v>
      </c>
      <c r="C1920" s="29">
        <v>0</v>
      </c>
      <c r="D1920" s="29">
        <v>0</v>
      </c>
      <c r="E1920" s="29">
        <v>0</v>
      </c>
      <c r="F1920" s="29">
        <v>0</v>
      </c>
      <c r="G1920" s="29">
        <v>0</v>
      </c>
      <c r="H1920" s="29">
        <v>0</v>
      </c>
      <c r="I1920" s="29">
        <v>0</v>
      </c>
      <c r="J1920" s="29">
        <v>0</v>
      </c>
      <c r="K1920" s="29">
        <v>0</v>
      </c>
      <c r="L1920" s="29">
        <v>0</v>
      </c>
      <c r="M1920" s="29">
        <v>0</v>
      </c>
      <c r="N1920" s="29">
        <v>0</v>
      </c>
      <c r="O1920" s="29">
        <v>0</v>
      </c>
      <c r="P1920" s="29">
        <v>0</v>
      </c>
      <c r="Q1920" s="29">
        <v>0</v>
      </c>
      <c r="R1920" s="29">
        <v>0</v>
      </c>
      <c r="S1920">
        <v>0</v>
      </c>
      <c r="T1920">
        <v>0</v>
      </c>
      <c r="U1920">
        <v>0</v>
      </c>
      <c r="V1920">
        <v>0</v>
      </c>
      <c r="W1920">
        <v>0</v>
      </c>
    </row>
    <row r="1921" spans="1:23">
      <c r="A1921" s="30">
        <v>0</v>
      </c>
      <c r="B1921" s="29">
        <v>0</v>
      </c>
      <c r="C1921" s="29">
        <v>0</v>
      </c>
      <c r="D1921" s="29">
        <v>0</v>
      </c>
      <c r="E1921" s="29">
        <v>0</v>
      </c>
      <c r="F1921" s="29">
        <v>0</v>
      </c>
      <c r="G1921" s="29">
        <v>0</v>
      </c>
      <c r="H1921" s="29">
        <v>0</v>
      </c>
      <c r="I1921" s="29">
        <v>0</v>
      </c>
      <c r="J1921" s="29">
        <v>0</v>
      </c>
      <c r="K1921" s="29">
        <v>0</v>
      </c>
      <c r="L1921" s="29">
        <v>0</v>
      </c>
      <c r="M1921" s="29">
        <v>0</v>
      </c>
      <c r="N1921" s="29">
        <v>0</v>
      </c>
      <c r="O1921" s="29">
        <v>0</v>
      </c>
      <c r="P1921" s="29">
        <v>0</v>
      </c>
      <c r="Q1921" s="29">
        <v>0</v>
      </c>
      <c r="R1921" s="29">
        <v>0</v>
      </c>
      <c r="S1921">
        <v>0</v>
      </c>
      <c r="T1921">
        <v>0</v>
      </c>
      <c r="U1921">
        <v>0</v>
      </c>
      <c r="V1921">
        <v>0</v>
      </c>
      <c r="W1921">
        <v>0</v>
      </c>
    </row>
    <row r="1922" spans="1:23">
      <c r="A1922" s="30">
        <v>0</v>
      </c>
      <c r="B1922" s="29">
        <v>0</v>
      </c>
      <c r="C1922" s="29">
        <v>0</v>
      </c>
      <c r="D1922" s="29">
        <v>0</v>
      </c>
      <c r="E1922" s="29">
        <v>0</v>
      </c>
      <c r="F1922" s="29">
        <v>0</v>
      </c>
      <c r="G1922" s="29">
        <v>0</v>
      </c>
      <c r="H1922" s="29">
        <v>0</v>
      </c>
      <c r="I1922" s="29">
        <v>0</v>
      </c>
      <c r="J1922" s="29">
        <v>0</v>
      </c>
      <c r="K1922" s="29">
        <v>0</v>
      </c>
      <c r="L1922" s="29">
        <v>0</v>
      </c>
      <c r="M1922" s="29">
        <v>0</v>
      </c>
      <c r="N1922" s="29">
        <v>0</v>
      </c>
      <c r="O1922" s="29">
        <v>0</v>
      </c>
      <c r="P1922" s="29">
        <v>0</v>
      </c>
      <c r="Q1922" s="29">
        <v>0</v>
      </c>
      <c r="R1922" s="29">
        <v>0</v>
      </c>
      <c r="S1922">
        <v>0</v>
      </c>
      <c r="T1922">
        <v>0</v>
      </c>
      <c r="U1922">
        <v>0</v>
      </c>
      <c r="V1922">
        <v>0</v>
      </c>
      <c r="W1922">
        <v>0</v>
      </c>
    </row>
    <row r="1923" spans="1:23">
      <c r="A1923" s="30">
        <v>0</v>
      </c>
      <c r="B1923" s="29">
        <v>0</v>
      </c>
      <c r="C1923" s="29">
        <v>0</v>
      </c>
      <c r="D1923" s="29">
        <v>0</v>
      </c>
      <c r="E1923" s="29">
        <v>0</v>
      </c>
      <c r="F1923" s="29">
        <v>0</v>
      </c>
      <c r="G1923" s="29">
        <v>0</v>
      </c>
      <c r="H1923" s="29">
        <v>0</v>
      </c>
      <c r="I1923" s="29">
        <v>0</v>
      </c>
      <c r="J1923" s="29">
        <v>0</v>
      </c>
      <c r="K1923" s="29">
        <v>0</v>
      </c>
      <c r="L1923" s="29">
        <v>0</v>
      </c>
      <c r="M1923" s="29">
        <v>0</v>
      </c>
      <c r="N1923" s="29">
        <v>0</v>
      </c>
      <c r="O1923" s="29">
        <v>0</v>
      </c>
      <c r="P1923" s="29">
        <v>0</v>
      </c>
      <c r="Q1923" s="29">
        <v>0</v>
      </c>
      <c r="R1923" s="29">
        <v>0</v>
      </c>
      <c r="S1923">
        <v>0</v>
      </c>
      <c r="T1923">
        <v>0</v>
      </c>
      <c r="U1923">
        <v>0</v>
      </c>
      <c r="V1923">
        <v>0</v>
      </c>
      <c r="W1923">
        <v>0</v>
      </c>
    </row>
    <row r="1924" spans="1:23">
      <c r="A1924" s="30">
        <v>0</v>
      </c>
      <c r="B1924" s="29">
        <v>0</v>
      </c>
      <c r="C1924" s="29">
        <v>0</v>
      </c>
      <c r="D1924" s="29">
        <v>0</v>
      </c>
      <c r="E1924" s="29">
        <v>0</v>
      </c>
      <c r="F1924" s="29">
        <v>0</v>
      </c>
      <c r="G1924" s="29">
        <v>0</v>
      </c>
      <c r="H1924" s="29">
        <v>0</v>
      </c>
      <c r="I1924" s="29">
        <v>0</v>
      </c>
      <c r="J1924" s="29">
        <v>0</v>
      </c>
      <c r="K1924" s="29">
        <v>0</v>
      </c>
      <c r="L1924" s="29">
        <v>0</v>
      </c>
      <c r="M1924" s="29">
        <v>0</v>
      </c>
      <c r="N1924" s="29">
        <v>0</v>
      </c>
      <c r="O1924" s="29">
        <v>0</v>
      </c>
      <c r="P1924" s="29">
        <v>0</v>
      </c>
      <c r="Q1924" s="29">
        <v>0</v>
      </c>
      <c r="R1924" s="29">
        <v>0</v>
      </c>
      <c r="S1924">
        <v>0</v>
      </c>
      <c r="T1924">
        <v>0</v>
      </c>
      <c r="U1924">
        <v>0</v>
      </c>
      <c r="V1924">
        <v>0</v>
      </c>
      <c r="W1924">
        <v>0</v>
      </c>
    </row>
    <row r="1925" spans="1:23">
      <c r="A1925" s="30">
        <v>0</v>
      </c>
      <c r="B1925" s="29">
        <v>0</v>
      </c>
      <c r="C1925" s="29">
        <v>0</v>
      </c>
      <c r="D1925" s="29">
        <v>0</v>
      </c>
      <c r="E1925" s="29">
        <v>0</v>
      </c>
      <c r="F1925" s="29">
        <v>0</v>
      </c>
      <c r="G1925" s="29">
        <v>0</v>
      </c>
      <c r="H1925" s="29">
        <v>0</v>
      </c>
      <c r="I1925" s="29">
        <v>0</v>
      </c>
      <c r="J1925" s="29">
        <v>0</v>
      </c>
      <c r="K1925" s="29">
        <v>0</v>
      </c>
      <c r="L1925" s="29">
        <v>0</v>
      </c>
      <c r="M1925" s="29">
        <v>0</v>
      </c>
      <c r="N1925" s="29">
        <v>0</v>
      </c>
      <c r="O1925" s="29">
        <v>0</v>
      </c>
      <c r="P1925" s="29">
        <v>0</v>
      </c>
      <c r="Q1925" s="29">
        <v>0</v>
      </c>
      <c r="R1925" s="29">
        <v>0</v>
      </c>
      <c r="S1925">
        <v>0</v>
      </c>
      <c r="T1925">
        <v>0</v>
      </c>
      <c r="U1925">
        <v>0</v>
      </c>
      <c r="V1925">
        <v>0</v>
      </c>
      <c r="W1925">
        <v>0</v>
      </c>
    </row>
    <row r="1926" spans="1:23">
      <c r="A1926" s="30">
        <v>0</v>
      </c>
      <c r="B1926" s="29">
        <v>0</v>
      </c>
      <c r="C1926" s="29">
        <v>0</v>
      </c>
      <c r="D1926" s="29">
        <v>0</v>
      </c>
      <c r="E1926" s="29">
        <v>0</v>
      </c>
      <c r="F1926" s="29">
        <v>0</v>
      </c>
      <c r="G1926" s="29">
        <v>0</v>
      </c>
      <c r="H1926" s="29">
        <v>0</v>
      </c>
      <c r="I1926" s="29">
        <v>0</v>
      </c>
      <c r="J1926" s="29">
        <v>0</v>
      </c>
      <c r="K1926" s="29">
        <v>0</v>
      </c>
      <c r="L1926" s="29">
        <v>0</v>
      </c>
      <c r="M1926" s="29">
        <v>0</v>
      </c>
      <c r="N1926" s="29">
        <v>0</v>
      </c>
      <c r="O1926" s="29">
        <v>0</v>
      </c>
      <c r="P1926" s="29">
        <v>0</v>
      </c>
      <c r="Q1926" s="29">
        <v>0</v>
      </c>
      <c r="R1926" s="29">
        <v>0</v>
      </c>
      <c r="S1926">
        <v>0</v>
      </c>
      <c r="T1926">
        <v>0</v>
      </c>
      <c r="U1926">
        <v>0</v>
      </c>
      <c r="V1926">
        <v>0</v>
      </c>
      <c r="W1926">
        <v>0</v>
      </c>
    </row>
    <row r="1927" spans="1:23">
      <c r="A1927" s="30">
        <v>0</v>
      </c>
      <c r="B1927" s="29">
        <v>0</v>
      </c>
      <c r="C1927" s="29">
        <v>0</v>
      </c>
      <c r="D1927" s="29">
        <v>0</v>
      </c>
      <c r="E1927" s="29">
        <v>0</v>
      </c>
      <c r="F1927" s="29">
        <v>0</v>
      </c>
      <c r="G1927" s="29">
        <v>0</v>
      </c>
      <c r="H1927" s="29">
        <v>0</v>
      </c>
      <c r="I1927" s="29">
        <v>0</v>
      </c>
      <c r="J1927" s="29">
        <v>0</v>
      </c>
      <c r="K1927" s="29">
        <v>0</v>
      </c>
      <c r="L1927" s="29">
        <v>0</v>
      </c>
      <c r="M1927" s="29">
        <v>0</v>
      </c>
      <c r="N1927" s="29">
        <v>0</v>
      </c>
      <c r="O1927" s="29">
        <v>0</v>
      </c>
      <c r="P1927" s="29">
        <v>0</v>
      </c>
      <c r="Q1927" s="29">
        <v>0</v>
      </c>
      <c r="R1927" s="29">
        <v>0</v>
      </c>
      <c r="S1927">
        <v>0</v>
      </c>
      <c r="T1927">
        <v>0</v>
      </c>
      <c r="U1927">
        <v>0</v>
      </c>
      <c r="V1927">
        <v>0</v>
      </c>
      <c r="W1927">
        <v>0</v>
      </c>
    </row>
    <row r="1928" spans="1:23">
      <c r="A1928" s="30">
        <v>0</v>
      </c>
      <c r="B1928" s="29">
        <v>0</v>
      </c>
      <c r="C1928" s="29">
        <v>0</v>
      </c>
      <c r="D1928" s="29">
        <v>0</v>
      </c>
      <c r="E1928" s="29">
        <v>0</v>
      </c>
      <c r="F1928" s="29">
        <v>0</v>
      </c>
      <c r="G1928" s="29">
        <v>0</v>
      </c>
      <c r="H1928" s="29">
        <v>0</v>
      </c>
      <c r="I1928" s="29">
        <v>0</v>
      </c>
      <c r="J1928" s="29">
        <v>0</v>
      </c>
      <c r="K1928" s="29">
        <v>0</v>
      </c>
      <c r="L1928" s="29">
        <v>0</v>
      </c>
      <c r="M1928" s="29">
        <v>0</v>
      </c>
      <c r="N1928" s="29">
        <v>0</v>
      </c>
      <c r="O1928" s="29">
        <v>0</v>
      </c>
      <c r="P1928" s="29">
        <v>0</v>
      </c>
      <c r="Q1928" s="29">
        <v>0</v>
      </c>
      <c r="R1928" s="29">
        <v>0</v>
      </c>
      <c r="S1928">
        <v>0</v>
      </c>
      <c r="T1928">
        <v>0</v>
      </c>
      <c r="U1928">
        <v>0</v>
      </c>
      <c r="V1928">
        <v>0</v>
      </c>
      <c r="W1928">
        <v>0</v>
      </c>
    </row>
    <row r="1929" spans="1:23">
      <c r="A1929" s="30">
        <v>0</v>
      </c>
      <c r="B1929" s="29">
        <v>0</v>
      </c>
      <c r="C1929" s="29">
        <v>0</v>
      </c>
      <c r="D1929" s="29">
        <v>0</v>
      </c>
      <c r="E1929" s="29">
        <v>0</v>
      </c>
      <c r="F1929" s="29">
        <v>0</v>
      </c>
      <c r="G1929" s="29">
        <v>0</v>
      </c>
      <c r="H1929" s="29">
        <v>0</v>
      </c>
      <c r="I1929" s="29">
        <v>0</v>
      </c>
      <c r="J1929" s="29">
        <v>0</v>
      </c>
      <c r="K1929" s="29">
        <v>0</v>
      </c>
      <c r="L1929" s="29">
        <v>0</v>
      </c>
      <c r="M1929" s="29">
        <v>0</v>
      </c>
      <c r="N1929" s="29">
        <v>0</v>
      </c>
      <c r="O1929" s="29">
        <v>0</v>
      </c>
      <c r="P1929" s="29">
        <v>0</v>
      </c>
      <c r="Q1929" s="29">
        <v>0</v>
      </c>
      <c r="R1929" s="29">
        <v>0</v>
      </c>
      <c r="S1929">
        <v>0</v>
      </c>
      <c r="T1929">
        <v>0</v>
      </c>
      <c r="U1929">
        <v>0</v>
      </c>
      <c r="V1929">
        <v>0</v>
      </c>
      <c r="W1929">
        <v>0</v>
      </c>
    </row>
    <row r="1930" spans="1:23">
      <c r="A1930" s="30">
        <v>0</v>
      </c>
      <c r="B1930" s="29">
        <v>0</v>
      </c>
      <c r="C1930" s="29">
        <v>0</v>
      </c>
      <c r="D1930" s="29">
        <v>0</v>
      </c>
      <c r="E1930" s="29">
        <v>0</v>
      </c>
      <c r="F1930" s="29">
        <v>0</v>
      </c>
      <c r="G1930" s="29">
        <v>0</v>
      </c>
      <c r="H1930" s="29">
        <v>0</v>
      </c>
      <c r="I1930" s="29">
        <v>0</v>
      </c>
      <c r="J1930" s="29">
        <v>0</v>
      </c>
      <c r="K1930" s="29">
        <v>0</v>
      </c>
      <c r="L1930" s="29">
        <v>0</v>
      </c>
      <c r="M1930" s="29">
        <v>0</v>
      </c>
      <c r="N1930" s="29">
        <v>0</v>
      </c>
      <c r="O1930" s="29">
        <v>0</v>
      </c>
      <c r="P1930" s="29">
        <v>0</v>
      </c>
      <c r="Q1930" s="29">
        <v>0</v>
      </c>
      <c r="R1930" s="29">
        <v>0</v>
      </c>
      <c r="S1930">
        <v>0</v>
      </c>
      <c r="T1930">
        <v>0</v>
      </c>
      <c r="U1930">
        <v>0</v>
      </c>
      <c r="V1930">
        <v>0</v>
      </c>
      <c r="W1930">
        <v>0</v>
      </c>
    </row>
    <row r="1931" spans="1:23">
      <c r="A1931" s="30">
        <v>0</v>
      </c>
      <c r="B1931" s="29">
        <v>0</v>
      </c>
      <c r="C1931" s="29">
        <v>0</v>
      </c>
      <c r="D1931" s="29">
        <v>0</v>
      </c>
      <c r="E1931" s="29">
        <v>0</v>
      </c>
      <c r="F1931" s="29">
        <v>0</v>
      </c>
      <c r="G1931" s="29">
        <v>0</v>
      </c>
      <c r="H1931" s="29">
        <v>0</v>
      </c>
      <c r="I1931" s="29">
        <v>0</v>
      </c>
      <c r="J1931" s="29">
        <v>0</v>
      </c>
      <c r="K1931" s="29">
        <v>0</v>
      </c>
      <c r="L1931" s="29">
        <v>0</v>
      </c>
      <c r="M1931" s="29">
        <v>0</v>
      </c>
      <c r="N1931" s="29">
        <v>0</v>
      </c>
      <c r="O1931" s="29">
        <v>0</v>
      </c>
      <c r="P1931" s="29">
        <v>0</v>
      </c>
      <c r="Q1931" s="29">
        <v>0</v>
      </c>
      <c r="R1931" s="29">
        <v>0</v>
      </c>
      <c r="S1931">
        <v>0</v>
      </c>
      <c r="T1931">
        <v>0</v>
      </c>
      <c r="U1931">
        <v>0</v>
      </c>
      <c r="V1931">
        <v>0</v>
      </c>
      <c r="W1931">
        <v>0</v>
      </c>
    </row>
    <row r="1932" spans="1:23">
      <c r="A1932" s="30">
        <v>0</v>
      </c>
      <c r="B1932" s="29">
        <v>0</v>
      </c>
      <c r="C1932" s="29">
        <v>0</v>
      </c>
      <c r="D1932" s="29">
        <v>0</v>
      </c>
      <c r="E1932" s="29">
        <v>0</v>
      </c>
      <c r="F1932" s="29">
        <v>0</v>
      </c>
      <c r="G1932" s="29">
        <v>0</v>
      </c>
      <c r="H1932" s="29">
        <v>0</v>
      </c>
      <c r="I1932" s="29">
        <v>0</v>
      </c>
      <c r="J1932" s="29">
        <v>0</v>
      </c>
      <c r="K1932" s="29">
        <v>0</v>
      </c>
      <c r="L1932" s="29">
        <v>0</v>
      </c>
      <c r="M1932" s="29">
        <v>0</v>
      </c>
      <c r="N1932" s="29">
        <v>0</v>
      </c>
      <c r="O1932" s="29">
        <v>0</v>
      </c>
      <c r="P1932" s="29">
        <v>0</v>
      </c>
      <c r="Q1932" s="29">
        <v>0</v>
      </c>
      <c r="R1932" s="29">
        <v>0</v>
      </c>
      <c r="S1932">
        <v>0</v>
      </c>
      <c r="T1932">
        <v>0</v>
      </c>
      <c r="U1932">
        <v>0</v>
      </c>
      <c r="V1932">
        <v>0</v>
      </c>
      <c r="W1932">
        <v>0</v>
      </c>
    </row>
    <row r="1933" spans="1:23">
      <c r="A1933" s="30">
        <v>0</v>
      </c>
      <c r="B1933" s="29">
        <v>0</v>
      </c>
      <c r="C1933" s="29">
        <v>0</v>
      </c>
      <c r="D1933" s="29">
        <v>0</v>
      </c>
      <c r="E1933" s="29">
        <v>0</v>
      </c>
      <c r="F1933" s="29">
        <v>0</v>
      </c>
      <c r="G1933" s="29">
        <v>0</v>
      </c>
      <c r="H1933" s="29">
        <v>0</v>
      </c>
      <c r="I1933" s="29">
        <v>0</v>
      </c>
      <c r="J1933" s="29">
        <v>0</v>
      </c>
      <c r="K1933" s="29">
        <v>0</v>
      </c>
      <c r="L1933" s="29">
        <v>0</v>
      </c>
      <c r="M1933" s="29">
        <v>0</v>
      </c>
      <c r="N1933" s="29">
        <v>0</v>
      </c>
      <c r="O1933" s="29">
        <v>0</v>
      </c>
      <c r="P1933" s="29">
        <v>0</v>
      </c>
      <c r="Q1933" s="29">
        <v>0</v>
      </c>
      <c r="R1933" s="29">
        <v>0</v>
      </c>
      <c r="S1933">
        <v>0</v>
      </c>
      <c r="T1933">
        <v>0</v>
      </c>
      <c r="U1933">
        <v>0</v>
      </c>
      <c r="V1933">
        <v>0</v>
      </c>
      <c r="W1933">
        <v>0</v>
      </c>
    </row>
    <row r="1934" spans="1:23">
      <c r="A1934" s="30">
        <v>0</v>
      </c>
      <c r="B1934" s="29">
        <v>0</v>
      </c>
      <c r="C1934" s="29">
        <v>0</v>
      </c>
      <c r="D1934" s="29">
        <v>0</v>
      </c>
      <c r="E1934" s="29">
        <v>0</v>
      </c>
      <c r="F1934" s="29">
        <v>0</v>
      </c>
      <c r="G1934" s="29">
        <v>0</v>
      </c>
      <c r="H1934" s="29">
        <v>0</v>
      </c>
      <c r="I1934" s="29">
        <v>0</v>
      </c>
      <c r="J1934" s="29">
        <v>0</v>
      </c>
      <c r="K1934" s="29">
        <v>0</v>
      </c>
      <c r="L1934" s="29">
        <v>0</v>
      </c>
      <c r="M1934" s="29">
        <v>0</v>
      </c>
      <c r="N1934" s="29">
        <v>0</v>
      </c>
      <c r="O1934" s="29">
        <v>0</v>
      </c>
      <c r="P1934" s="29">
        <v>0</v>
      </c>
      <c r="Q1934" s="29">
        <v>0</v>
      </c>
      <c r="R1934" s="29">
        <v>0</v>
      </c>
      <c r="S1934">
        <v>0</v>
      </c>
      <c r="T1934">
        <v>0</v>
      </c>
      <c r="U1934">
        <v>0</v>
      </c>
      <c r="V1934">
        <v>0</v>
      </c>
      <c r="W1934">
        <v>0</v>
      </c>
    </row>
    <row r="1935" spans="1:23">
      <c r="A1935" s="30">
        <v>0</v>
      </c>
      <c r="B1935" s="29">
        <v>0</v>
      </c>
      <c r="C1935" s="29">
        <v>0</v>
      </c>
      <c r="D1935" s="29">
        <v>0</v>
      </c>
      <c r="E1935" s="29">
        <v>0</v>
      </c>
      <c r="F1935" s="29">
        <v>0</v>
      </c>
      <c r="G1935" s="29">
        <v>0</v>
      </c>
      <c r="H1935" s="29">
        <v>0</v>
      </c>
      <c r="I1935" s="29">
        <v>0</v>
      </c>
      <c r="J1935" s="29">
        <v>0</v>
      </c>
      <c r="K1935" s="29">
        <v>0</v>
      </c>
      <c r="L1935" s="29">
        <v>0</v>
      </c>
      <c r="M1935" s="29">
        <v>0</v>
      </c>
      <c r="N1935" s="29">
        <v>0</v>
      </c>
      <c r="O1935" s="29">
        <v>0</v>
      </c>
      <c r="P1935" s="29">
        <v>0</v>
      </c>
      <c r="Q1935" s="29">
        <v>0</v>
      </c>
      <c r="R1935" s="29">
        <v>0</v>
      </c>
      <c r="S1935">
        <v>0</v>
      </c>
      <c r="T1935">
        <v>0</v>
      </c>
      <c r="U1935">
        <v>0</v>
      </c>
      <c r="V1935">
        <v>0</v>
      </c>
      <c r="W1935">
        <v>0</v>
      </c>
    </row>
    <row r="1936" spans="1:23">
      <c r="A1936" s="30">
        <v>0</v>
      </c>
      <c r="B1936" s="29">
        <v>0</v>
      </c>
      <c r="C1936" s="29">
        <v>0</v>
      </c>
      <c r="D1936" s="29">
        <v>0</v>
      </c>
      <c r="E1936" s="29">
        <v>0</v>
      </c>
      <c r="F1936" s="29">
        <v>0</v>
      </c>
      <c r="G1936" s="29">
        <v>0</v>
      </c>
      <c r="H1936" s="29">
        <v>0</v>
      </c>
      <c r="I1936" s="29">
        <v>0</v>
      </c>
      <c r="J1936" s="29">
        <v>0</v>
      </c>
      <c r="K1936" s="29">
        <v>0</v>
      </c>
      <c r="L1936" s="29">
        <v>0</v>
      </c>
      <c r="M1936" s="29">
        <v>0</v>
      </c>
      <c r="N1936" s="29">
        <v>0</v>
      </c>
      <c r="O1936" s="29">
        <v>0</v>
      </c>
      <c r="P1936" s="29">
        <v>0</v>
      </c>
      <c r="Q1936" s="29">
        <v>0</v>
      </c>
      <c r="R1936" s="29">
        <v>0</v>
      </c>
      <c r="S1936">
        <v>0</v>
      </c>
      <c r="T1936">
        <v>0</v>
      </c>
      <c r="U1936">
        <v>0</v>
      </c>
      <c r="V1936">
        <v>0</v>
      </c>
      <c r="W1936">
        <v>0</v>
      </c>
    </row>
    <row r="1937" spans="1:23">
      <c r="A1937" s="30">
        <v>0</v>
      </c>
      <c r="B1937" s="29">
        <v>0</v>
      </c>
      <c r="C1937" s="29">
        <v>0</v>
      </c>
      <c r="D1937" s="29">
        <v>0</v>
      </c>
      <c r="E1937" s="29">
        <v>0</v>
      </c>
      <c r="F1937" s="29">
        <v>0</v>
      </c>
      <c r="G1937" s="29">
        <v>0</v>
      </c>
      <c r="H1937" s="29">
        <v>0</v>
      </c>
      <c r="I1937" s="29">
        <v>0</v>
      </c>
      <c r="J1937" s="29">
        <v>0</v>
      </c>
      <c r="K1937" s="29">
        <v>0</v>
      </c>
      <c r="L1937" s="29">
        <v>0</v>
      </c>
      <c r="M1937" s="29">
        <v>0</v>
      </c>
      <c r="N1937" s="29">
        <v>0</v>
      </c>
      <c r="O1937" s="29">
        <v>0</v>
      </c>
      <c r="P1937" s="29">
        <v>0</v>
      </c>
      <c r="Q1937" s="29">
        <v>0</v>
      </c>
      <c r="R1937" s="29">
        <v>0</v>
      </c>
      <c r="S1937">
        <v>0</v>
      </c>
      <c r="T1937">
        <v>0</v>
      </c>
      <c r="U1937">
        <v>0</v>
      </c>
      <c r="V1937">
        <v>0</v>
      </c>
      <c r="W1937">
        <v>0</v>
      </c>
    </row>
    <row r="1938" spans="1:23">
      <c r="A1938" s="30">
        <v>0</v>
      </c>
      <c r="B1938" s="29">
        <v>0</v>
      </c>
      <c r="C1938" s="29">
        <v>0</v>
      </c>
      <c r="D1938" s="29">
        <v>0</v>
      </c>
      <c r="E1938" s="29">
        <v>0</v>
      </c>
      <c r="F1938" s="29">
        <v>0</v>
      </c>
      <c r="G1938" s="29">
        <v>0</v>
      </c>
      <c r="H1938" s="29">
        <v>0</v>
      </c>
      <c r="I1938" s="29">
        <v>0</v>
      </c>
      <c r="J1938" s="29">
        <v>0</v>
      </c>
      <c r="K1938" s="29">
        <v>0</v>
      </c>
      <c r="L1938" s="29">
        <v>0</v>
      </c>
      <c r="M1938" s="29">
        <v>0</v>
      </c>
      <c r="N1938" s="29">
        <v>0</v>
      </c>
      <c r="O1938" s="29">
        <v>0</v>
      </c>
      <c r="P1938" s="29">
        <v>0</v>
      </c>
      <c r="Q1938" s="29">
        <v>0</v>
      </c>
      <c r="R1938" s="29">
        <v>0</v>
      </c>
      <c r="S1938">
        <v>0</v>
      </c>
      <c r="T1938">
        <v>0</v>
      </c>
      <c r="U1938">
        <v>0</v>
      </c>
      <c r="V1938">
        <v>0</v>
      </c>
      <c r="W1938">
        <v>0</v>
      </c>
    </row>
    <row r="1939" spans="1:23">
      <c r="A1939" s="30">
        <v>0</v>
      </c>
      <c r="B1939" s="29">
        <v>0</v>
      </c>
      <c r="C1939" s="29">
        <v>0</v>
      </c>
      <c r="D1939" s="29">
        <v>0</v>
      </c>
      <c r="E1939" s="29">
        <v>0</v>
      </c>
      <c r="F1939" s="29">
        <v>0</v>
      </c>
      <c r="G1939" s="29">
        <v>0</v>
      </c>
      <c r="H1939" s="29">
        <v>0</v>
      </c>
      <c r="I1939" s="29">
        <v>0</v>
      </c>
      <c r="J1939" s="29">
        <v>0</v>
      </c>
      <c r="K1939" s="29">
        <v>0</v>
      </c>
      <c r="L1939" s="29">
        <v>0</v>
      </c>
      <c r="M1939" s="29">
        <v>0</v>
      </c>
      <c r="N1939" s="29">
        <v>0</v>
      </c>
      <c r="O1939" s="29">
        <v>0</v>
      </c>
      <c r="P1939" s="29">
        <v>0</v>
      </c>
      <c r="Q1939" s="29">
        <v>0</v>
      </c>
      <c r="R1939" s="29">
        <v>0</v>
      </c>
      <c r="S1939">
        <v>0</v>
      </c>
      <c r="T1939">
        <v>0</v>
      </c>
      <c r="U1939">
        <v>0</v>
      </c>
      <c r="V1939">
        <v>0</v>
      </c>
      <c r="W1939">
        <v>0</v>
      </c>
    </row>
    <row r="1940" spans="1:23">
      <c r="A1940" s="30">
        <v>0</v>
      </c>
      <c r="B1940" s="29">
        <v>0</v>
      </c>
      <c r="C1940" s="29">
        <v>0</v>
      </c>
      <c r="D1940" s="29">
        <v>0</v>
      </c>
      <c r="E1940" s="29">
        <v>0</v>
      </c>
      <c r="F1940" s="29">
        <v>0</v>
      </c>
      <c r="G1940" s="29">
        <v>0</v>
      </c>
      <c r="H1940" s="29">
        <v>0</v>
      </c>
      <c r="I1940" s="29">
        <v>0</v>
      </c>
      <c r="J1940" s="29">
        <v>0</v>
      </c>
      <c r="K1940" s="29">
        <v>0</v>
      </c>
      <c r="L1940" s="29">
        <v>0</v>
      </c>
      <c r="M1940" s="29">
        <v>0</v>
      </c>
      <c r="N1940" s="29">
        <v>0</v>
      </c>
      <c r="O1940" s="29">
        <v>0</v>
      </c>
      <c r="P1940" s="29">
        <v>0</v>
      </c>
      <c r="Q1940" s="29">
        <v>0</v>
      </c>
      <c r="R1940" s="29">
        <v>0</v>
      </c>
      <c r="S1940">
        <v>0</v>
      </c>
      <c r="T1940">
        <v>0</v>
      </c>
      <c r="U1940">
        <v>0</v>
      </c>
      <c r="V1940">
        <v>0</v>
      </c>
      <c r="W1940">
        <v>0</v>
      </c>
    </row>
    <row r="1941" spans="1:23">
      <c r="A1941" s="30">
        <v>0</v>
      </c>
      <c r="B1941" s="29">
        <v>0</v>
      </c>
      <c r="C1941" s="29">
        <v>0</v>
      </c>
      <c r="D1941" s="29">
        <v>0</v>
      </c>
      <c r="E1941" s="29">
        <v>0</v>
      </c>
      <c r="F1941" s="29">
        <v>0</v>
      </c>
      <c r="G1941" s="29">
        <v>0</v>
      </c>
      <c r="H1941" s="29">
        <v>0</v>
      </c>
      <c r="I1941" s="29">
        <v>0</v>
      </c>
      <c r="J1941" s="29">
        <v>0</v>
      </c>
      <c r="K1941" s="29">
        <v>0</v>
      </c>
      <c r="L1941" s="29">
        <v>0</v>
      </c>
      <c r="M1941" s="29">
        <v>0</v>
      </c>
      <c r="N1941" s="29">
        <v>0</v>
      </c>
      <c r="O1941" s="29">
        <v>0</v>
      </c>
      <c r="P1941" s="29">
        <v>0</v>
      </c>
      <c r="Q1941" s="29">
        <v>0</v>
      </c>
      <c r="R1941" s="29">
        <v>0</v>
      </c>
      <c r="S1941">
        <v>0</v>
      </c>
      <c r="T1941">
        <v>0</v>
      </c>
      <c r="U1941">
        <v>0</v>
      </c>
      <c r="V1941">
        <v>0</v>
      </c>
      <c r="W1941">
        <v>0</v>
      </c>
    </row>
    <row r="1942" spans="1:23">
      <c r="A1942" s="30">
        <v>0</v>
      </c>
      <c r="B1942" s="29">
        <v>0</v>
      </c>
      <c r="C1942" s="29">
        <v>0</v>
      </c>
      <c r="D1942" s="29">
        <v>0</v>
      </c>
      <c r="E1942" s="29">
        <v>0</v>
      </c>
      <c r="F1942" s="29">
        <v>0</v>
      </c>
      <c r="G1942" s="29">
        <v>0</v>
      </c>
      <c r="H1942" s="29">
        <v>0</v>
      </c>
      <c r="I1942" s="29">
        <v>0</v>
      </c>
      <c r="J1942" s="29">
        <v>0</v>
      </c>
      <c r="K1942" s="29">
        <v>0</v>
      </c>
      <c r="L1942" s="29">
        <v>0</v>
      </c>
      <c r="M1942" s="29">
        <v>0</v>
      </c>
      <c r="N1942" s="29">
        <v>0</v>
      </c>
      <c r="O1942" s="29">
        <v>0</v>
      </c>
      <c r="P1942" s="29">
        <v>0</v>
      </c>
      <c r="Q1942" s="29">
        <v>0</v>
      </c>
      <c r="R1942" s="29">
        <v>0</v>
      </c>
      <c r="S1942">
        <v>0</v>
      </c>
      <c r="T1942">
        <v>0</v>
      </c>
      <c r="U1942">
        <v>0</v>
      </c>
      <c r="V1942">
        <v>0</v>
      </c>
      <c r="W1942">
        <v>0</v>
      </c>
    </row>
    <row r="1943" spans="1:23">
      <c r="A1943" s="30">
        <v>0</v>
      </c>
      <c r="B1943" s="29">
        <v>0</v>
      </c>
      <c r="C1943" s="29">
        <v>0</v>
      </c>
      <c r="D1943" s="29">
        <v>0</v>
      </c>
      <c r="E1943" s="29">
        <v>0</v>
      </c>
      <c r="F1943" s="29">
        <v>0</v>
      </c>
      <c r="G1943" s="29">
        <v>0</v>
      </c>
      <c r="H1943" s="29">
        <v>0</v>
      </c>
      <c r="I1943" s="29">
        <v>0</v>
      </c>
      <c r="J1943" s="29">
        <v>0</v>
      </c>
      <c r="K1943" s="29">
        <v>0</v>
      </c>
      <c r="L1943" s="29">
        <v>0</v>
      </c>
      <c r="M1943" s="29">
        <v>0</v>
      </c>
      <c r="N1943" s="29">
        <v>0</v>
      </c>
      <c r="O1943" s="29">
        <v>0</v>
      </c>
      <c r="P1943" s="29">
        <v>0</v>
      </c>
      <c r="Q1943" s="29">
        <v>0</v>
      </c>
      <c r="R1943" s="29">
        <v>0</v>
      </c>
      <c r="S1943">
        <v>0</v>
      </c>
      <c r="T1943">
        <v>0</v>
      </c>
      <c r="U1943">
        <v>0</v>
      </c>
      <c r="V1943">
        <v>0</v>
      </c>
      <c r="W1943">
        <v>0</v>
      </c>
    </row>
    <row r="1944" spans="1:23">
      <c r="A1944" s="30">
        <v>0</v>
      </c>
      <c r="B1944" s="29">
        <v>0</v>
      </c>
      <c r="C1944" s="29">
        <v>0</v>
      </c>
      <c r="D1944" s="29">
        <v>0</v>
      </c>
      <c r="E1944" s="29">
        <v>0</v>
      </c>
      <c r="F1944" s="29">
        <v>0</v>
      </c>
      <c r="G1944" s="29">
        <v>0</v>
      </c>
      <c r="H1944" s="29">
        <v>0</v>
      </c>
      <c r="I1944" s="29">
        <v>0</v>
      </c>
      <c r="J1944" s="29">
        <v>0</v>
      </c>
      <c r="K1944" s="29">
        <v>0</v>
      </c>
      <c r="L1944" s="29">
        <v>0</v>
      </c>
      <c r="M1944" s="29">
        <v>0</v>
      </c>
      <c r="N1944" s="29">
        <v>0</v>
      </c>
      <c r="O1944" s="29">
        <v>0</v>
      </c>
      <c r="P1944" s="29">
        <v>0</v>
      </c>
      <c r="Q1944" s="29">
        <v>0</v>
      </c>
      <c r="R1944" s="29">
        <v>0</v>
      </c>
      <c r="S1944">
        <v>0</v>
      </c>
      <c r="T1944">
        <v>0</v>
      </c>
      <c r="U1944">
        <v>0</v>
      </c>
      <c r="V1944">
        <v>0</v>
      </c>
      <c r="W1944">
        <v>0</v>
      </c>
    </row>
    <row r="1945" spans="1:23">
      <c r="A1945" s="30">
        <v>0</v>
      </c>
      <c r="B1945" s="29">
        <v>0</v>
      </c>
      <c r="C1945" s="29">
        <v>0</v>
      </c>
      <c r="D1945" s="29">
        <v>0</v>
      </c>
      <c r="E1945" s="29">
        <v>0</v>
      </c>
      <c r="F1945" s="29">
        <v>0</v>
      </c>
      <c r="G1945" s="29">
        <v>0</v>
      </c>
      <c r="H1945" s="29">
        <v>0</v>
      </c>
      <c r="I1945" s="29">
        <v>0</v>
      </c>
      <c r="J1945" s="29">
        <v>0</v>
      </c>
      <c r="K1945" s="29">
        <v>0</v>
      </c>
      <c r="L1945" s="29">
        <v>0</v>
      </c>
      <c r="M1945" s="29">
        <v>0</v>
      </c>
      <c r="N1945" s="29">
        <v>0</v>
      </c>
      <c r="O1945" s="29">
        <v>0</v>
      </c>
      <c r="P1945" s="29">
        <v>0</v>
      </c>
      <c r="Q1945" s="29">
        <v>0</v>
      </c>
      <c r="R1945" s="29">
        <v>0</v>
      </c>
      <c r="S1945">
        <v>0</v>
      </c>
      <c r="T1945">
        <v>0</v>
      </c>
      <c r="U1945">
        <v>0</v>
      </c>
      <c r="V1945">
        <v>0</v>
      </c>
      <c r="W1945">
        <v>0</v>
      </c>
    </row>
    <row r="1946" spans="1:23">
      <c r="A1946" s="30">
        <v>0</v>
      </c>
      <c r="B1946" s="29">
        <v>0</v>
      </c>
      <c r="C1946" s="29">
        <v>0</v>
      </c>
      <c r="D1946" s="29">
        <v>0</v>
      </c>
      <c r="E1946" s="29">
        <v>0</v>
      </c>
      <c r="F1946" s="29">
        <v>0</v>
      </c>
      <c r="G1946" s="29">
        <v>0</v>
      </c>
      <c r="H1946" s="29">
        <v>0</v>
      </c>
      <c r="I1946" s="29">
        <v>0</v>
      </c>
      <c r="J1946" s="29">
        <v>0</v>
      </c>
      <c r="K1946" s="29">
        <v>0</v>
      </c>
      <c r="L1946" s="29">
        <v>0</v>
      </c>
      <c r="M1946" s="29">
        <v>0</v>
      </c>
      <c r="N1946" s="29">
        <v>0</v>
      </c>
      <c r="O1946" s="29">
        <v>0</v>
      </c>
      <c r="P1946" s="29">
        <v>0</v>
      </c>
      <c r="Q1946" s="29">
        <v>0</v>
      </c>
      <c r="R1946" s="29">
        <v>0</v>
      </c>
      <c r="S1946">
        <v>0</v>
      </c>
      <c r="T1946">
        <v>0</v>
      </c>
      <c r="U1946">
        <v>0</v>
      </c>
      <c r="V1946">
        <v>0</v>
      </c>
      <c r="W1946">
        <v>0</v>
      </c>
    </row>
    <row r="1947" spans="1:23">
      <c r="A1947" s="30">
        <v>0</v>
      </c>
      <c r="B1947" s="29">
        <v>0</v>
      </c>
      <c r="C1947" s="29">
        <v>0</v>
      </c>
      <c r="D1947" s="29">
        <v>0</v>
      </c>
      <c r="E1947" s="29">
        <v>0</v>
      </c>
      <c r="F1947" s="29">
        <v>0</v>
      </c>
      <c r="G1947" s="29">
        <v>0</v>
      </c>
      <c r="H1947" s="29">
        <v>0</v>
      </c>
      <c r="I1947" s="29">
        <v>0</v>
      </c>
      <c r="J1947" s="29">
        <v>0</v>
      </c>
      <c r="K1947" s="29">
        <v>0</v>
      </c>
      <c r="L1947" s="29">
        <v>0</v>
      </c>
      <c r="M1947" s="29">
        <v>0</v>
      </c>
      <c r="N1947" s="29">
        <v>0</v>
      </c>
      <c r="O1947" s="29">
        <v>0</v>
      </c>
      <c r="P1947" s="29">
        <v>0</v>
      </c>
      <c r="Q1947" s="29">
        <v>0</v>
      </c>
      <c r="R1947" s="29">
        <v>0</v>
      </c>
      <c r="S1947">
        <v>0</v>
      </c>
      <c r="T1947">
        <v>0</v>
      </c>
      <c r="U1947">
        <v>0</v>
      </c>
      <c r="V1947">
        <v>0</v>
      </c>
      <c r="W1947">
        <v>0</v>
      </c>
    </row>
    <row r="1948" spans="1:23">
      <c r="A1948" s="30">
        <v>0</v>
      </c>
      <c r="B1948" s="29">
        <v>0</v>
      </c>
      <c r="C1948" s="29">
        <v>0</v>
      </c>
      <c r="D1948" s="29">
        <v>0</v>
      </c>
      <c r="E1948" s="29">
        <v>0</v>
      </c>
      <c r="F1948" s="29">
        <v>0</v>
      </c>
      <c r="G1948" s="29">
        <v>0</v>
      </c>
      <c r="H1948" s="29">
        <v>0</v>
      </c>
      <c r="I1948" s="29">
        <v>0</v>
      </c>
      <c r="J1948" s="29">
        <v>0</v>
      </c>
      <c r="K1948" s="29">
        <v>0</v>
      </c>
      <c r="L1948" s="29">
        <v>0</v>
      </c>
      <c r="M1948" s="29">
        <v>0</v>
      </c>
      <c r="N1948" s="29">
        <v>0</v>
      </c>
      <c r="O1948" s="29">
        <v>0</v>
      </c>
      <c r="P1948" s="29">
        <v>0</v>
      </c>
      <c r="Q1948" s="29">
        <v>0</v>
      </c>
      <c r="R1948" s="29">
        <v>0</v>
      </c>
      <c r="S1948">
        <v>0</v>
      </c>
      <c r="T1948">
        <v>0</v>
      </c>
      <c r="U1948">
        <v>0</v>
      </c>
      <c r="V1948">
        <v>0</v>
      </c>
      <c r="W1948">
        <v>0</v>
      </c>
    </row>
    <row r="1949" spans="1:23">
      <c r="A1949" s="30">
        <v>0</v>
      </c>
      <c r="B1949" s="29">
        <v>0</v>
      </c>
      <c r="C1949" s="29">
        <v>0</v>
      </c>
      <c r="D1949" s="29">
        <v>0</v>
      </c>
      <c r="E1949" s="29">
        <v>0</v>
      </c>
      <c r="F1949" s="29">
        <v>0</v>
      </c>
      <c r="G1949" s="29">
        <v>0</v>
      </c>
      <c r="H1949" s="29">
        <v>0</v>
      </c>
      <c r="I1949" s="29">
        <v>0</v>
      </c>
      <c r="J1949" s="29">
        <v>0</v>
      </c>
      <c r="K1949" s="29">
        <v>0</v>
      </c>
      <c r="L1949" s="29">
        <v>0</v>
      </c>
      <c r="M1949" s="29">
        <v>0</v>
      </c>
      <c r="N1949" s="29">
        <v>0</v>
      </c>
      <c r="O1949" s="29">
        <v>0</v>
      </c>
      <c r="P1949" s="29">
        <v>0</v>
      </c>
      <c r="Q1949" s="29">
        <v>0</v>
      </c>
      <c r="R1949" s="29">
        <v>0</v>
      </c>
      <c r="S1949">
        <v>0</v>
      </c>
      <c r="T1949">
        <v>0</v>
      </c>
      <c r="U1949">
        <v>0</v>
      </c>
      <c r="V1949">
        <v>0</v>
      </c>
      <c r="W1949">
        <v>0</v>
      </c>
    </row>
    <row r="1950" spans="1:23">
      <c r="A1950" s="30">
        <v>0</v>
      </c>
      <c r="B1950" s="29">
        <v>0</v>
      </c>
      <c r="C1950" s="29">
        <v>0</v>
      </c>
      <c r="D1950" s="29">
        <v>0</v>
      </c>
      <c r="E1950" s="29">
        <v>0</v>
      </c>
      <c r="F1950" s="29">
        <v>0</v>
      </c>
      <c r="G1950" s="29">
        <v>0</v>
      </c>
      <c r="H1950" s="29">
        <v>0</v>
      </c>
      <c r="I1950" s="29">
        <v>0</v>
      </c>
      <c r="J1950" s="29">
        <v>0</v>
      </c>
      <c r="K1950" s="29">
        <v>0</v>
      </c>
      <c r="L1950" s="29">
        <v>0</v>
      </c>
      <c r="M1950" s="29">
        <v>0</v>
      </c>
      <c r="N1950" s="29">
        <v>0</v>
      </c>
      <c r="O1950" s="29">
        <v>0</v>
      </c>
      <c r="P1950" s="29">
        <v>0</v>
      </c>
      <c r="Q1950" s="29">
        <v>0</v>
      </c>
      <c r="R1950" s="29">
        <v>0</v>
      </c>
      <c r="S1950">
        <v>0</v>
      </c>
      <c r="T1950">
        <v>0</v>
      </c>
      <c r="U1950">
        <v>0</v>
      </c>
      <c r="V1950">
        <v>0</v>
      </c>
      <c r="W1950">
        <v>0</v>
      </c>
    </row>
    <row r="1951" spans="1:23">
      <c r="A1951" s="30">
        <v>0</v>
      </c>
      <c r="B1951" s="29">
        <v>0</v>
      </c>
      <c r="C1951" s="29">
        <v>0</v>
      </c>
      <c r="D1951" s="29">
        <v>0</v>
      </c>
      <c r="E1951" s="29">
        <v>0</v>
      </c>
      <c r="F1951" s="29">
        <v>0</v>
      </c>
      <c r="G1951" s="29">
        <v>0</v>
      </c>
      <c r="H1951" s="29">
        <v>0</v>
      </c>
      <c r="I1951" s="29">
        <v>0</v>
      </c>
      <c r="J1951" s="29">
        <v>0</v>
      </c>
      <c r="K1951" s="29">
        <v>0</v>
      </c>
      <c r="L1951" s="29">
        <v>0</v>
      </c>
      <c r="M1951" s="29">
        <v>0</v>
      </c>
      <c r="N1951" s="29">
        <v>0</v>
      </c>
      <c r="O1951" s="29">
        <v>0</v>
      </c>
      <c r="P1951" s="29">
        <v>0</v>
      </c>
      <c r="Q1951" s="29">
        <v>0</v>
      </c>
      <c r="R1951" s="29">
        <v>0</v>
      </c>
      <c r="S1951">
        <v>0</v>
      </c>
      <c r="T1951">
        <v>0</v>
      </c>
      <c r="U1951">
        <v>0</v>
      </c>
      <c r="V1951">
        <v>0</v>
      </c>
      <c r="W1951">
        <v>0</v>
      </c>
    </row>
    <row r="1952" spans="1:23">
      <c r="A1952" s="30">
        <v>0</v>
      </c>
      <c r="B1952" s="29">
        <v>0</v>
      </c>
      <c r="C1952" s="29">
        <v>0</v>
      </c>
      <c r="D1952" s="29">
        <v>0</v>
      </c>
      <c r="E1952" s="29">
        <v>0</v>
      </c>
      <c r="F1952" s="29">
        <v>0</v>
      </c>
      <c r="G1952" s="29">
        <v>0</v>
      </c>
      <c r="H1952" s="29">
        <v>0</v>
      </c>
      <c r="I1952" s="29">
        <v>0</v>
      </c>
      <c r="J1952" s="29">
        <v>0</v>
      </c>
      <c r="K1952" s="29">
        <v>0</v>
      </c>
      <c r="L1952" s="29">
        <v>0</v>
      </c>
      <c r="M1952" s="29">
        <v>0</v>
      </c>
      <c r="N1952" s="29">
        <v>0</v>
      </c>
      <c r="O1952" s="29">
        <v>0</v>
      </c>
      <c r="P1952" s="29">
        <v>0</v>
      </c>
      <c r="Q1952" s="29">
        <v>0</v>
      </c>
      <c r="R1952" s="29">
        <v>0</v>
      </c>
      <c r="S1952">
        <v>0</v>
      </c>
      <c r="T1952">
        <v>0</v>
      </c>
      <c r="U1952">
        <v>0</v>
      </c>
      <c r="V1952">
        <v>0</v>
      </c>
      <c r="W1952">
        <v>0</v>
      </c>
    </row>
    <row r="1953" spans="1:23">
      <c r="A1953" s="30">
        <v>0</v>
      </c>
      <c r="B1953" s="29">
        <v>0</v>
      </c>
      <c r="C1953" s="29">
        <v>0</v>
      </c>
      <c r="D1953" s="29">
        <v>0</v>
      </c>
      <c r="E1953" s="29">
        <v>0</v>
      </c>
      <c r="F1953" s="29">
        <v>0</v>
      </c>
      <c r="G1953" s="29">
        <v>0</v>
      </c>
      <c r="H1953" s="29">
        <v>0</v>
      </c>
      <c r="I1953" s="29">
        <v>0</v>
      </c>
      <c r="J1953" s="29">
        <v>0</v>
      </c>
      <c r="K1953" s="29">
        <v>0</v>
      </c>
      <c r="L1953" s="29">
        <v>0</v>
      </c>
      <c r="M1953" s="29">
        <v>0</v>
      </c>
      <c r="N1953" s="29">
        <v>0</v>
      </c>
      <c r="O1953" s="29">
        <v>0</v>
      </c>
      <c r="P1953" s="29">
        <v>0</v>
      </c>
      <c r="Q1953" s="29">
        <v>0</v>
      </c>
      <c r="R1953" s="29">
        <v>0</v>
      </c>
      <c r="S1953">
        <v>0</v>
      </c>
      <c r="T1953">
        <v>0</v>
      </c>
      <c r="U1953">
        <v>0</v>
      </c>
      <c r="V1953">
        <v>0</v>
      </c>
      <c r="W1953">
        <v>0</v>
      </c>
    </row>
    <row r="1954" spans="1:23">
      <c r="A1954" s="30">
        <v>0</v>
      </c>
      <c r="B1954" s="29">
        <v>0</v>
      </c>
      <c r="C1954" s="29">
        <v>0</v>
      </c>
      <c r="D1954" s="29">
        <v>0</v>
      </c>
      <c r="E1954" s="29">
        <v>0</v>
      </c>
      <c r="F1954" s="29">
        <v>0</v>
      </c>
      <c r="G1954" s="29">
        <v>0</v>
      </c>
      <c r="H1954" s="29">
        <v>0</v>
      </c>
      <c r="I1954" s="29">
        <v>0</v>
      </c>
      <c r="J1954" s="29">
        <v>0</v>
      </c>
      <c r="K1954" s="29">
        <v>0</v>
      </c>
      <c r="L1954" s="29">
        <v>0</v>
      </c>
      <c r="M1954" s="29">
        <v>0</v>
      </c>
      <c r="N1954" s="29">
        <v>0</v>
      </c>
      <c r="O1954" s="29">
        <v>0</v>
      </c>
      <c r="P1954" s="29">
        <v>0</v>
      </c>
      <c r="Q1954" s="29">
        <v>0</v>
      </c>
      <c r="R1954" s="29">
        <v>0</v>
      </c>
      <c r="S1954">
        <v>0</v>
      </c>
      <c r="T1954">
        <v>0</v>
      </c>
      <c r="U1954">
        <v>0</v>
      </c>
      <c r="V1954">
        <v>0</v>
      </c>
      <c r="W1954">
        <v>0</v>
      </c>
    </row>
    <row r="1955" spans="1:23">
      <c r="A1955" s="30">
        <v>0</v>
      </c>
      <c r="B1955" s="29">
        <v>0</v>
      </c>
      <c r="C1955" s="29">
        <v>0</v>
      </c>
      <c r="D1955" s="29">
        <v>0</v>
      </c>
      <c r="E1955" s="29">
        <v>0</v>
      </c>
      <c r="F1955" s="29">
        <v>0</v>
      </c>
      <c r="G1955" s="29">
        <v>0</v>
      </c>
      <c r="H1955" s="29">
        <v>0</v>
      </c>
      <c r="I1955" s="29">
        <v>0</v>
      </c>
      <c r="J1955" s="29">
        <v>0</v>
      </c>
      <c r="K1955" s="29">
        <v>0</v>
      </c>
      <c r="L1955" s="29">
        <v>0</v>
      </c>
      <c r="M1955" s="29">
        <v>0</v>
      </c>
      <c r="N1955" s="29">
        <v>0</v>
      </c>
      <c r="O1955" s="29">
        <v>0</v>
      </c>
      <c r="P1955" s="29">
        <v>0</v>
      </c>
      <c r="Q1955" s="29">
        <v>0</v>
      </c>
      <c r="R1955" s="29">
        <v>0</v>
      </c>
      <c r="S1955">
        <v>0</v>
      </c>
      <c r="T1955">
        <v>0</v>
      </c>
      <c r="U1955">
        <v>0</v>
      </c>
      <c r="V1955">
        <v>0</v>
      </c>
      <c r="W1955">
        <v>0</v>
      </c>
    </row>
    <row r="1956" spans="1:23">
      <c r="A1956" s="30">
        <v>0</v>
      </c>
      <c r="B1956" s="29">
        <v>0</v>
      </c>
      <c r="C1956" s="29">
        <v>0</v>
      </c>
      <c r="D1956" s="29">
        <v>0</v>
      </c>
      <c r="E1956" s="29">
        <v>0</v>
      </c>
      <c r="F1956" s="29">
        <v>0</v>
      </c>
      <c r="G1956" s="29">
        <v>0</v>
      </c>
      <c r="H1956" s="29">
        <v>0</v>
      </c>
      <c r="I1956" s="29">
        <v>0</v>
      </c>
      <c r="J1956" s="29">
        <v>0</v>
      </c>
      <c r="K1956" s="29">
        <v>0</v>
      </c>
      <c r="L1956" s="29">
        <v>0</v>
      </c>
      <c r="M1956" s="29">
        <v>0</v>
      </c>
      <c r="N1956" s="29">
        <v>0</v>
      </c>
      <c r="O1956" s="29">
        <v>0</v>
      </c>
      <c r="P1956" s="29">
        <v>0</v>
      </c>
      <c r="Q1956" s="29">
        <v>0</v>
      </c>
      <c r="R1956" s="29">
        <v>0</v>
      </c>
      <c r="S1956">
        <v>0</v>
      </c>
      <c r="T1956">
        <v>0</v>
      </c>
      <c r="U1956">
        <v>0</v>
      </c>
      <c r="V1956">
        <v>0</v>
      </c>
      <c r="W1956">
        <v>0</v>
      </c>
    </row>
    <row r="1957" spans="1:23">
      <c r="A1957" s="30">
        <v>0</v>
      </c>
      <c r="B1957" s="29">
        <v>0</v>
      </c>
      <c r="C1957" s="29">
        <v>0</v>
      </c>
      <c r="D1957" s="29">
        <v>0</v>
      </c>
      <c r="E1957" s="29">
        <v>0</v>
      </c>
      <c r="F1957" s="29">
        <v>0</v>
      </c>
      <c r="G1957" s="29">
        <v>0</v>
      </c>
      <c r="H1957" s="29">
        <v>0</v>
      </c>
      <c r="I1957" s="29">
        <v>0</v>
      </c>
      <c r="J1957" s="29">
        <v>0</v>
      </c>
      <c r="K1957" s="29">
        <v>0</v>
      </c>
      <c r="L1957" s="29">
        <v>0</v>
      </c>
      <c r="M1957" s="29">
        <v>0</v>
      </c>
      <c r="N1957" s="29">
        <v>0</v>
      </c>
      <c r="O1957" s="29">
        <v>0</v>
      </c>
      <c r="P1957" s="29">
        <v>0</v>
      </c>
      <c r="Q1957" s="29">
        <v>0</v>
      </c>
      <c r="R1957" s="29">
        <v>0</v>
      </c>
      <c r="S1957">
        <v>0</v>
      </c>
      <c r="T1957">
        <v>0</v>
      </c>
      <c r="U1957">
        <v>0</v>
      </c>
      <c r="V1957">
        <v>0</v>
      </c>
      <c r="W1957">
        <v>0</v>
      </c>
    </row>
    <row r="1958" spans="1:23">
      <c r="A1958" s="30">
        <v>0</v>
      </c>
      <c r="B1958" s="29">
        <v>0</v>
      </c>
      <c r="C1958" s="29">
        <v>0</v>
      </c>
      <c r="D1958" s="29">
        <v>0</v>
      </c>
      <c r="E1958" s="29">
        <v>0</v>
      </c>
      <c r="F1958" s="29">
        <v>0</v>
      </c>
      <c r="G1958" s="29">
        <v>0</v>
      </c>
      <c r="H1958" s="29">
        <v>0</v>
      </c>
      <c r="I1958" s="29">
        <v>0</v>
      </c>
      <c r="J1958" s="29">
        <v>0</v>
      </c>
      <c r="K1958" s="29">
        <v>0</v>
      </c>
      <c r="L1958" s="29">
        <v>0</v>
      </c>
      <c r="M1958" s="29">
        <v>0</v>
      </c>
      <c r="N1958" s="29">
        <v>0</v>
      </c>
      <c r="O1958" s="29">
        <v>0</v>
      </c>
      <c r="P1958" s="29">
        <v>0</v>
      </c>
      <c r="Q1958" s="29">
        <v>0</v>
      </c>
      <c r="R1958" s="29">
        <v>0</v>
      </c>
      <c r="S1958">
        <v>0</v>
      </c>
      <c r="T1958">
        <v>0</v>
      </c>
      <c r="U1958">
        <v>0</v>
      </c>
      <c r="V1958">
        <v>0</v>
      </c>
      <c r="W1958">
        <v>0</v>
      </c>
    </row>
    <row r="1959" spans="1:23">
      <c r="A1959" s="30">
        <v>0</v>
      </c>
      <c r="B1959" s="29">
        <v>0</v>
      </c>
      <c r="C1959" s="29">
        <v>0</v>
      </c>
      <c r="D1959" s="29">
        <v>0</v>
      </c>
      <c r="E1959" s="29">
        <v>0</v>
      </c>
      <c r="F1959" s="29">
        <v>0</v>
      </c>
      <c r="G1959" s="29">
        <v>0</v>
      </c>
      <c r="H1959" s="29">
        <v>0</v>
      </c>
      <c r="I1959" s="29">
        <v>0</v>
      </c>
      <c r="J1959" s="29">
        <v>0</v>
      </c>
      <c r="K1959" s="29">
        <v>0</v>
      </c>
      <c r="L1959" s="29">
        <v>0</v>
      </c>
      <c r="M1959" s="29">
        <v>0</v>
      </c>
      <c r="N1959" s="29">
        <v>0</v>
      </c>
      <c r="O1959" s="29">
        <v>0</v>
      </c>
      <c r="P1959" s="29">
        <v>0</v>
      </c>
      <c r="Q1959" s="29">
        <v>0</v>
      </c>
      <c r="R1959" s="29">
        <v>0</v>
      </c>
      <c r="S1959">
        <v>0</v>
      </c>
      <c r="T1959">
        <v>0</v>
      </c>
      <c r="U1959">
        <v>0</v>
      </c>
      <c r="V1959">
        <v>0</v>
      </c>
      <c r="W1959">
        <v>0</v>
      </c>
    </row>
    <row r="1960" spans="1:23">
      <c r="A1960" s="30">
        <v>0</v>
      </c>
      <c r="B1960" s="29">
        <v>0</v>
      </c>
      <c r="C1960" s="29">
        <v>0</v>
      </c>
      <c r="D1960" s="29">
        <v>0</v>
      </c>
      <c r="E1960" s="29">
        <v>0</v>
      </c>
      <c r="F1960" s="29">
        <v>0</v>
      </c>
      <c r="G1960" s="29">
        <v>0</v>
      </c>
      <c r="H1960" s="29">
        <v>0</v>
      </c>
      <c r="I1960" s="29">
        <v>0</v>
      </c>
      <c r="J1960" s="29">
        <v>0</v>
      </c>
      <c r="K1960" s="29">
        <v>0</v>
      </c>
      <c r="L1960" s="29">
        <v>0</v>
      </c>
      <c r="M1960" s="29">
        <v>0</v>
      </c>
      <c r="N1960" s="29">
        <v>0</v>
      </c>
      <c r="O1960" s="29">
        <v>0</v>
      </c>
      <c r="P1960" s="29">
        <v>0</v>
      </c>
      <c r="Q1960" s="29">
        <v>0</v>
      </c>
      <c r="R1960" s="29">
        <v>0</v>
      </c>
      <c r="S1960">
        <v>0</v>
      </c>
      <c r="T1960">
        <v>0</v>
      </c>
      <c r="U1960">
        <v>0</v>
      </c>
      <c r="V1960">
        <v>0</v>
      </c>
      <c r="W1960">
        <v>0</v>
      </c>
    </row>
    <row r="1961" spans="1:23">
      <c r="A1961" s="30">
        <v>0</v>
      </c>
      <c r="B1961" s="29">
        <v>0</v>
      </c>
      <c r="C1961" s="29">
        <v>0</v>
      </c>
      <c r="D1961" s="29">
        <v>0</v>
      </c>
      <c r="E1961" s="29">
        <v>0</v>
      </c>
      <c r="F1961" s="29">
        <v>0</v>
      </c>
      <c r="G1961" s="29">
        <v>0</v>
      </c>
      <c r="H1961" s="29">
        <v>0</v>
      </c>
      <c r="I1961" s="29">
        <v>0</v>
      </c>
      <c r="J1961" s="29">
        <v>0</v>
      </c>
      <c r="K1961" s="29">
        <v>0</v>
      </c>
      <c r="L1961" s="29">
        <v>0</v>
      </c>
      <c r="M1961" s="29">
        <v>0</v>
      </c>
      <c r="N1961" s="29">
        <v>0</v>
      </c>
      <c r="O1961" s="29">
        <v>0</v>
      </c>
      <c r="P1961" s="29">
        <v>0</v>
      </c>
      <c r="Q1961" s="29">
        <v>0</v>
      </c>
      <c r="R1961" s="29">
        <v>0</v>
      </c>
      <c r="S1961">
        <v>0</v>
      </c>
      <c r="T1961">
        <v>0</v>
      </c>
      <c r="U1961">
        <v>0</v>
      </c>
      <c r="V1961">
        <v>0</v>
      </c>
      <c r="W1961">
        <v>0</v>
      </c>
    </row>
    <row r="1962" spans="1:23">
      <c r="A1962" s="30">
        <v>0</v>
      </c>
      <c r="B1962" s="29">
        <v>0</v>
      </c>
      <c r="C1962" s="29">
        <v>0</v>
      </c>
      <c r="D1962" s="29">
        <v>0</v>
      </c>
      <c r="E1962" s="29">
        <v>0</v>
      </c>
      <c r="F1962" s="29">
        <v>0</v>
      </c>
      <c r="G1962" s="29">
        <v>0</v>
      </c>
      <c r="H1962" s="29">
        <v>0</v>
      </c>
      <c r="I1962" s="29">
        <v>0</v>
      </c>
      <c r="J1962" s="29">
        <v>0</v>
      </c>
      <c r="K1962" s="29">
        <v>0</v>
      </c>
      <c r="L1962" s="29">
        <v>0</v>
      </c>
      <c r="M1962" s="29">
        <v>0</v>
      </c>
      <c r="N1962" s="29">
        <v>0</v>
      </c>
      <c r="O1962" s="29">
        <v>0</v>
      </c>
      <c r="P1962" s="29">
        <v>0</v>
      </c>
      <c r="Q1962" s="29">
        <v>0</v>
      </c>
      <c r="R1962" s="29">
        <v>0</v>
      </c>
      <c r="S1962">
        <v>0</v>
      </c>
      <c r="T1962">
        <v>0</v>
      </c>
      <c r="U1962">
        <v>0</v>
      </c>
      <c r="V1962">
        <v>0</v>
      </c>
      <c r="W1962">
        <v>0</v>
      </c>
    </row>
    <row r="1963" spans="1:23">
      <c r="A1963" s="30">
        <v>0</v>
      </c>
      <c r="B1963" s="29">
        <v>0</v>
      </c>
      <c r="C1963" s="29">
        <v>0</v>
      </c>
      <c r="D1963" s="29">
        <v>0</v>
      </c>
      <c r="E1963" s="29">
        <v>0</v>
      </c>
      <c r="F1963" s="29">
        <v>0</v>
      </c>
      <c r="G1963" s="29">
        <v>0</v>
      </c>
      <c r="H1963" s="29">
        <v>0</v>
      </c>
      <c r="I1963" s="29">
        <v>0</v>
      </c>
      <c r="J1963" s="29">
        <v>0</v>
      </c>
      <c r="K1963" s="29">
        <v>0</v>
      </c>
      <c r="L1963" s="29">
        <v>0</v>
      </c>
      <c r="M1963" s="29">
        <v>0</v>
      </c>
      <c r="N1963" s="29">
        <v>0</v>
      </c>
      <c r="O1963" s="29">
        <v>0</v>
      </c>
      <c r="P1963" s="29">
        <v>0</v>
      </c>
      <c r="Q1963" s="29">
        <v>0</v>
      </c>
      <c r="R1963" s="29">
        <v>0</v>
      </c>
      <c r="S1963">
        <v>0</v>
      </c>
      <c r="T1963">
        <v>0</v>
      </c>
      <c r="U1963">
        <v>0</v>
      </c>
      <c r="V1963">
        <v>0</v>
      </c>
      <c r="W1963">
        <v>0</v>
      </c>
    </row>
    <row r="1964" spans="1:23">
      <c r="A1964" s="30">
        <v>0</v>
      </c>
      <c r="B1964" s="29">
        <v>0</v>
      </c>
      <c r="C1964" s="29">
        <v>0</v>
      </c>
      <c r="D1964" s="29">
        <v>0</v>
      </c>
      <c r="E1964" s="29">
        <v>0</v>
      </c>
      <c r="F1964" s="29">
        <v>0</v>
      </c>
      <c r="G1964" s="29">
        <v>0</v>
      </c>
      <c r="H1964" s="29">
        <v>0</v>
      </c>
      <c r="I1964" s="29">
        <v>0</v>
      </c>
      <c r="J1964" s="29">
        <v>0</v>
      </c>
      <c r="K1964" s="29">
        <v>0</v>
      </c>
      <c r="L1964" s="29">
        <v>0</v>
      </c>
      <c r="M1964" s="29">
        <v>0</v>
      </c>
      <c r="N1964" s="29">
        <v>0</v>
      </c>
      <c r="O1964" s="29">
        <v>0</v>
      </c>
      <c r="P1964" s="29">
        <v>0</v>
      </c>
      <c r="Q1964" s="29">
        <v>0</v>
      </c>
      <c r="R1964" s="29">
        <v>0</v>
      </c>
      <c r="S1964">
        <v>0</v>
      </c>
      <c r="T1964">
        <v>0</v>
      </c>
      <c r="U1964">
        <v>0</v>
      </c>
      <c r="V1964">
        <v>0</v>
      </c>
      <c r="W1964">
        <v>0</v>
      </c>
    </row>
    <row r="1965" spans="1:23">
      <c r="A1965" s="30">
        <v>0</v>
      </c>
      <c r="B1965" s="29">
        <v>0</v>
      </c>
      <c r="C1965" s="29">
        <v>0</v>
      </c>
      <c r="D1965" s="29">
        <v>0</v>
      </c>
      <c r="E1965" s="29">
        <v>0</v>
      </c>
      <c r="F1965" s="29">
        <v>0</v>
      </c>
      <c r="G1965" s="29">
        <v>0</v>
      </c>
      <c r="H1965" s="29">
        <v>0</v>
      </c>
      <c r="I1965" s="29">
        <v>0</v>
      </c>
      <c r="J1965" s="29">
        <v>0</v>
      </c>
      <c r="K1965" s="29">
        <v>0</v>
      </c>
      <c r="L1965" s="29">
        <v>0</v>
      </c>
      <c r="M1965" s="29">
        <v>0</v>
      </c>
      <c r="N1965" s="29">
        <v>0</v>
      </c>
      <c r="O1965" s="29">
        <v>0</v>
      </c>
      <c r="P1965" s="29">
        <v>0</v>
      </c>
      <c r="Q1965" s="29">
        <v>0</v>
      </c>
      <c r="R1965" s="29">
        <v>0</v>
      </c>
      <c r="S1965">
        <v>0</v>
      </c>
      <c r="T1965">
        <v>0</v>
      </c>
      <c r="U1965">
        <v>0</v>
      </c>
      <c r="V1965">
        <v>0</v>
      </c>
      <c r="W1965">
        <v>0</v>
      </c>
    </row>
    <row r="1966" spans="1:23">
      <c r="A1966" s="30">
        <v>0</v>
      </c>
      <c r="B1966" s="29">
        <v>0</v>
      </c>
      <c r="C1966" s="29">
        <v>0</v>
      </c>
      <c r="D1966" s="29">
        <v>0</v>
      </c>
      <c r="E1966" s="29">
        <v>0</v>
      </c>
      <c r="F1966" s="29">
        <v>0</v>
      </c>
      <c r="G1966" s="29">
        <v>0</v>
      </c>
      <c r="H1966" s="29">
        <v>0</v>
      </c>
      <c r="I1966" s="29">
        <v>0</v>
      </c>
      <c r="J1966" s="29">
        <v>0</v>
      </c>
      <c r="K1966" s="29">
        <v>0</v>
      </c>
      <c r="L1966" s="29">
        <v>0</v>
      </c>
      <c r="M1966" s="29">
        <v>0</v>
      </c>
      <c r="N1966" s="29">
        <v>0</v>
      </c>
      <c r="O1966" s="29">
        <v>0</v>
      </c>
      <c r="P1966" s="29">
        <v>0</v>
      </c>
      <c r="Q1966" s="29">
        <v>0</v>
      </c>
      <c r="R1966" s="29">
        <v>0</v>
      </c>
      <c r="S1966">
        <v>0</v>
      </c>
      <c r="T1966">
        <v>0</v>
      </c>
      <c r="U1966">
        <v>0</v>
      </c>
      <c r="V1966">
        <v>0</v>
      </c>
      <c r="W1966">
        <v>0</v>
      </c>
    </row>
    <row r="1967" spans="1:23">
      <c r="A1967" s="30">
        <v>0</v>
      </c>
      <c r="B1967" s="29">
        <v>0</v>
      </c>
      <c r="C1967" s="29">
        <v>0</v>
      </c>
      <c r="D1967" s="29">
        <v>0</v>
      </c>
      <c r="E1967" s="29">
        <v>0</v>
      </c>
      <c r="F1967" s="29">
        <v>0</v>
      </c>
      <c r="G1967" s="29">
        <v>0</v>
      </c>
      <c r="H1967" s="29">
        <v>0</v>
      </c>
      <c r="I1967" s="29">
        <v>0</v>
      </c>
      <c r="J1967" s="29">
        <v>0</v>
      </c>
      <c r="K1967" s="29">
        <v>0</v>
      </c>
      <c r="L1967" s="29">
        <v>0</v>
      </c>
      <c r="M1967" s="29">
        <v>0</v>
      </c>
      <c r="N1967" s="29">
        <v>0</v>
      </c>
      <c r="O1967" s="29">
        <v>0</v>
      </c>
      <c r="P1967" s="29">
        <v>0</v>
      </c>
      <c r="Q1967" s="29">
        <v>0</v>
      </c>
      <c r="R1967" s="29">
        <v>0</v>
      </c>
      <c r="S1967">
        <v>0</v>
      </c>
      <c r="T1967">
        <v>0</v>
      </c>
      <c r="U1967">
        <v>0</v>
      </c>
      <c r="V1967">
        <v>0</v>
      </c>
      <c r="W1967">
        <v>0</v>
      </c>
    </row>
    <row r="1968" spans="1:23">
      <c r="A1968" s="30">
        <v>0</v>
      </c>
      <c r="B1968" s="29">
        <v>0</v>
      </c>
      <c r="C1968" s="29">
        <v>0</v>
      </c>
      <c r="D1968" s="29">
        <v>0</v>
      </c>
      <c r="E1968" s="29">
        <v>0</v>
      </c>
      <c r="F1968" s="29">
        <v>0</v>
      </c>
      <c r="G1968" s="29">
        <v>0</v>
      </c>
      <c r="H1968" s="29">
        <v>0</v>
      </c>
      <c r="I1968" s="29">
        <v>0</v>
      </c>
      <c r="J1968" s="29">
        <v>0</v>
      </c>
      <c r="K1968" s="29">
        <v>0</v>
      </c>
      <c r="L1968" s="29">
        <v>0</v>
      </c>
      <c r="M1968" s="29">
        <v>0</v>
      </c>
      <c r="N1968" s="29">
        <v>0</v>
      </c>
      <c r="O1968" s="29">
        <v>0</v>
      </c>
      <c r="P1968" s="29">
        <v>0</v>
      </c>
      <c r="Q1968" s="29">
        <v>0</v>
      </c>
      <c r="R1968" s="29">
        <v>0</v>
      </c>
      <c r="S1968">
        <v>0</v>
      </c>
      <c r="T1968">
        <v>0</v>
      </c>
      <c r="U1968">
        <v>0</v>
      </c>
      <c r="V1968">
        <v>0</v>
      </c>
      <c r="W1968">
        <v>0</v>
      </c>
    </row>
    <row r="1969" spans="1:23">
      <c r="A1969" s="30">
        <v>0</v>
      </c>
      <c r="B1969" s="29">
        <v>0</v>
      </c>
      <c r="C1969" s="29">
        <v>0</v>
      </c>
      <c r="D1969" s="29">
        <v>0</v>
      </c>
      <c r="E1969" s="29">
        <v>0</v>
      </c>
      <c r="F1969" s="29">
        <v>0</v>
      </c>
      <c r="G1969" s="29">
        <v>0</v>
      </c>
      <c r="H1969" s="29">
        <v>0</v>
      </c>
      <c r="I1969" s="29">
        <v>0</v>
      </c>
      <c r="J1969" s="29">
        <v>0</v>
      </c>
      <c r="K1969" s="29">
        <v>0</v>
      </c>
      <c r="L1969" s="29">
        <v>0</v>
      </c>
      <c r="M1969" s="29">
        <v>0</v>
      </c>
      <c r="N1969" s="29">
        <v>0</v>
      </c>
      <c r="O1969" s="29">
        <v>0</v>
      </c>
      <c r="P1969" s="29">
        <v>0</v>
      </c>
      <c r="Q1969" s="29">
        <v>0</v>
      </c>
      <c r="R1969" s="29">
        <v>0</v>
      </c>
      <c r="S1969">
        <v>0</v>
      </c>
      <c r="T1969">
        <v>0</v>
      </c>
      <c r="U1969">
        <v>0</v>
      </c>
      <c r="V1969">
        <v>0</v>
      </c>
      <c r="W1969">
        <v>0</v>
      </c>
    </row>
    <row r="1970" spans="1:23">
      <c r="A1970" s="30">
        <v>0</v>
      </c>
      <c r="B1970" s="29">
        <v>0</v>
      </c>
      <c r="C1970" s="29">
        <v>0</v>
      </c>
      <c r="D1970" s="29">
        <v>0</v>
      </c>
      <c r="E1970" s="29">
        <v>0</v>
      </c>
      <c r="F1970" s="29">
        <v>0</v>
      </c>
      <c r="G1970" s="29">
        <v>0</v>
      </c>
      <c r="H1970" s="29">
        <v>0</v>
      </c>
      <c r="I1970" s="29">
        <v>0</v>
      </c>
      <c r="J1970" s="29">
        <v>0</v>
      </c>
      <c r="K1970" s="29">
        <v>0</v>
      </c>
      <c r="L1970" s="29">
        <v>0</v>
      </c>
      <c r="M1970" s="29">
        <v>0</v>
      </c>
      <c r="N1970" s="29">
        <v>0</v>
      </c>
      <c r="O1970" s="29">
        <v>0</v>
      </c>
      <c r="P1970" s="29">
        <v>0</v>
      </c>
      <c r="Q1970" s="29">
        <v>0</v>
      </c>
      <c r="R1970" s="29">
        <v>0</v>
      </c>
      <c r="S1970">
        <v>0</v>
      </c>
      <c r="T1970">
        <v>0</v>
      </c>
      <c r="U1970">
        <v>0</v>
      </c>
      <c r="V1970">
        <v>0</v>
      </c>
      <c r="W1970">
        <v>0</v>
      </c>
    </row>
    <row r="1971" spans="1:23">
      <c r="A1971" s="30">
        <v>0</v>
      </c>
      <c r="B1971" s="29">
        <v>0</v>
      </c>
      <c r="C1971" s="29">
        <v>0</v>
      </c>
      <c r="D1971" s="29">
        <v>0</v>
      </c>
      <c r="E1971" s="29">
        <v>0</v>
      </c>
      <c r="F1971" s="29">
        <v>0</v>
      </c>
      <c r="G1971" s="29">
        <v>0</v>
      </c>
      <c r="H1971" s="29">
        <v>0</v>
      </c>
      <c r="I1971" s="29">
        <v>0</v>
      </c>
      <c r="J1971" s="29">
        <v>0</v>
      </c>
      <c r="K1971" s="29">
        <v>0</v>
      </c>
      <c r="L1971" s="29">
        <v>0</v>
      </c>
      <c r="M1971" s="29">
        <v>0</v>
      </c>
      <c r="N1971" s="29">
        <v>0</v>
      </c>
      <c r="O1971" s="29">
        <v>0</v>
      </c>
      <c r="P1971" s="29">
        <v>0</v>
      </c>
      <c r="Q1971" s="29">
        <v>0</v>
      </c>
      <c r="R1971" s="29">
        <v>0</v>
      </c>
      <c r="S1971">
        <v>0</v>
      </c>
      <c r="T1971">
        <v>0</v>
      </c>
      <c r="U1971">
        <v>0</v>
      </c>
      <c r="V1971">
        <v>0</v>
      </c>
      <c r="W1971">
        <v>0</v>
      </c>
    </row>
    <row r="1972" spans="1:23">
      <c r="A1972" s="30">
        <v>0</v>
      </c>
      <c r="B1972" s="29">
        <v>0</v>
      </c>
      <c r="C1972" s="29">
        <v>0</v>
      </c>
      <c r="D1972" s="29">
        <v>0</v>
      </c>
      <c r="E1972" s="29">
        <v>0</v>
      </c>
      <c r="F1972" s="29">
        <v>0</v>
      </c>
      <c r="G1972" s="29">
        <v>0</v>
      </c>
      <c r="H1972" s="29">
        <v>0</v>
      </c>
      <c r="I1972" s="29">
        <v>0</v>
      </c>
      <c r="J1972" s="29">
        <v>0</v>
      </c>
      <c r="K1972" s="29">
        <v>0</v>
      </c>
      <c r="L1972" s="29">
        <v>0</v>
      </c>
      <c r="M1972" s="29">
        <v>0</v>
      </c>
      <c r="N1972" s="29">
        <v>0</v>
      </c>
      <c r="O1972" s="29">
        <v>0</v>
      </c>
      <c r="P1972" s="29">
        <v>0</v>
      </c>
      <c r="Q1972" s="29">
        <v>0</v>
      </c>
      <c r="R1972" s="29">
        <v>0</v>
      </c>
      <c r="S1972">
        <v>0</v>
      </c>
      <c r="T1972">
        <v>0</v>
      </c>
      <c r="U1972">
        <v>0</v>
      </c>
      <c r="V1972">
        <v>0</v>
      </c>
      <c r="W1972">
        <v>0</v>
      </c>
    </row>
    <row r="1973" spans="1:23">
      <c r="A1973" s="30">
        <v>0</v>
      </c>
      <c r="B1973" s="29">
        <v>0</v>
      </c>
      <c r="C1973" s="29">
        <v>0</v>
      </c>
      <c r="D1973" s="29">
        <v>0</v>
      </c>
      <c r="E1973" s="29">
        <v>0</v>
      </c>
      <c r="F1973" s="29">
        <v>0</v>
      </c>
      <c r="G1973" s="29">
        <v>0</v>
      </c>
      <c r="H1973" s="29">
        <v>0</v>
      </c>
      <c r="I1973" s="29">
        <v>0</v>
      </c>
      <c r="J1973" s="29">
        <v>0</v>
      </c>
      <c r="K1973" s="29">
        <v>0</v>
      </c>
      <c r="L1973" s="29">
        <v>0</v>
      </c>
      <c r="M1973" s="29">
        <v>0</v>
      </c>
      <c r="N1973" s="29">
        <v>0</v>
      </c>
      <c r="O1973" s="29">
        <v>0</v>
      </c>
      <c r="P1973" s="29">
        <v>0</v>
      </c>
      <c r="Q1973" s="29">
        <v>0</v>
      </c>
      <c r="R1973" s="29">
        <v>0</v>
      </c>
      <c r="S1973">
        <v>0</v>
      </c>
      <c r="T1973">
        <v>0</v>
      </c>
      <c r="U1973">
        <v>0</v>
      </c>
      <c r="V1973">
        <v>0</v>
      </c>
      <c r="W1973">
        <v>0</v>
      </c>
    </row>
    <row r="1974" spans="1:23">
      <c r="A1974" s="30">
        <v>0</v>
      </c>
      <c r="B1974" s="29">
        <v>0</v>
      </c>
      <c r="C1974" s="29">
        <v>0</v>
      </c>
      <c r="D1974" s="29">
        <v>0</v>
      </c>
      <c r="E1974" s="29">
        <v>0</v>
      </c>
      <c r="F1974" s="29">
        <v>0</v>
      </c>
      <c r="G1974" s="29">
        <v>0</v>
      </c>
      <c r="H1974" s="29">
        <v>0</v>
      </c>
      <c r="I1974" s="29">
        <v>0</v>
      </c>
      <c r="J1974" s="29">
        <v>0</v>
      </c>
      <c r="K1974" s="29">
        <v>0</v>
      </c>
      <c r="L1974" s="29">
        <v>0</v>
      </c>
      <c r="M1974" s="29">
        <v>0</v>
      </c>
      <c r="N1974" s="29">
        <v>0</v>
      </c>
      <c r="O1974" s="29">
        <v>0</v>
      </c>
      <c r="P1974" s="29">
        <v>0</v>
      </c>
      <c r="Q1974" s="29">
        <v>0</v>
      </c>
      <c r="R1974" s="29">
        <v>0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 spans="1:23">
      <c r="A1975" s="30">
        <v>0</v>
      </c>
      <c r="B1975" s="29">
        <v>0</v>
      </c>
      <c r="C1975" s="29">
        <v>0</v>
      </c>
      <c r="D1975" s="29">
        <v>0</v>
      </c>
      <c r="E1975" s="29">
        <v>0</v>
      </c>
      <c r="F1975" s="29">
        <v>0</v>
      </c>
      <c r="G1975" s="29">
        <v>0</v>
      </c>
      <c r="H1975" s="29">
        <v>0</v>
      </c>
      <c r="I1975" s="29">
        <v>0</v>
      </c>
      <c r="J1975" s="29">
        <v>0</v>
      </c>
      <c r="K1975" s="29">
        <v>0</v>
      </c>
      <c r="L1975" s="29">
        <v>0</v>
      </c>
      <c r="M1975" s="29">
        <v>0</v>
      </c>
      <c r="N1975" s="29">
        <v>0</v>
      </c>
      <c r="O1975" s="29">
        <v>0</v>
      </c>
      <c r="P1975" s="29">
        <v>0</v>
      </c>
      <c r="Q1975" s="29">
        <v>0</v>
      </c>
      <c r="R1975" s="29">
        <v>0</v>
      </c>
      <c r="S1975">
        <v>0</v>
      </c>
      <c r="T1975">
        <v>0</v>
      </c>
      <c r="U1975">
        <v>0</v>
      </c>
      <c r="V1975">
        <v>0</v>
      </c>
      <c r="W1975">
        <v>0</v>
      </c>
    </row>
    <row r="1976" spans="1:23">
      <c r="A1976" s="30">
        <v>0</v>
      </c>
      <c r="B1976" s="29">
        <v>0</v>
      </c>
      <c r="C1976" s="29">
        <v>0</v>
      </c>
      <c r="D1976" s="29">
        <v>0</v>
      </c>
      <c r="E1976" s="29">
        <v>0</v>
      </c>
      <c r="F1976" s="29">
        <v>0</v>
      </c>
      <c r="G1976" s="29">
        <v>0</v>
      </c>
      <c r="H1976" s="29">
        <v>0</v>
      </c>
      <c r="I1976" s="29">
        <v>0</v>
      </c>
      <c r="J1976" s="29">
        <v>0</v>
      </c>
      <c r="K1976" s="29">
        <v>0</v>
      </c>
      <c r="L1976" s="29">
        <v>0</v>
      </c>
      <c r="M1976" s="29">
        <v>0</v>
      </c>
      <c r="N1976" s="29">
        <v>0</v>
      </c>
      <c r="O1976" s="29">
        <v>0</v>
      </c>
      <c r="P1976" s="29">
        <v>0</v>
      </c>
      <c r="Q1976" s="29">
        <v>0</v>
      </c>
      <c r="R1976" s="29">
        <v>0</v>
      </c>
      <c r="S1976">
        <v>0</v>
      </c>
      <c r="T1976">
        <v>0</v>
      </c>
      <c r="U1976">
        <v>0</v>
      </c>
      <c r="V1976">
        <v>0</v>
      </c>
      <c r="W1976">
        <v>0</v>
      </c>
    </row>
    <row r="1977" spans="1:23">
      <c r="A1977" s="30">
        <v>0</v>
      </c>
      <c r="B1977" s="29">
        <v>0</v>
      </c>
      <c r="C1977" s="29">
        <v>0</v>
      </c>
      <c r="D1977" s="29">
        <v>0</v>
      </c>
      <c r="E1977" s="29">
        <v>0</v>
      </c>
      <c r="F1977" s="29">
        <v>0</v>
      </c>
      <c r="G1977" s="29">
        <v>0</v>
      </c>
      <c r="H1977" s="29">
        <v>0</v>
      </c>
      <c r="I1977" s="29">
        <v>0</v>
      </c>
      <c r="J1977" s="29">
        <v>0</v>
      </c>
      <c r="K1977" s="29">
        <v>0</v>
      </c>
      <c r="L1977" s="29">
        <v>0</v>
      </c>
      <c r="M1977" s="29">
        <v>0</v>
      </c>
      <c r="N1977" s="29">
        <v>0</v>
      </c>
      <c r="O1977" s="29">
        <v>0</v>
      </c>
      <c r="P1977" s="29">
        <v>0</v>
      </c>
      <c r="Q1977" s="29">
        <v>0</v>
      </c>
      <c r="R1977" s="29">
        <v>0</v>
      </c>
      <c r="S1977">
        <v>0</v>
      </c>
      <c r="T1977">
        <v>0</v>
      </c>
      <c r="U1977">
        <v>0</v>
      </c>
      <c r="V1977">
        <v>0</v>
      </c>
      <c r="W1977">
        <v>0</v>
      </c>
    </row>
    <row r="1978" spans="1:23">
      <c r="A1978" s="30">
        <v>0</v>
      </c>
      <c r="B1978" s="29">
        <v>0</v>
      </c>
      <c r="C1978" s="29">
        <v>0</v>
      </c>
      <c r="D1978" s="29">
        <v>0</v>
      </c>
      <c r="E1978" s="29">
        <v>0</v>
      </c>
      <c r="F1978" s="29">
        <v>0</v>
      </c>
      <c r="G1978" s="29">
        <v>0</v>
      </c>
      <c r="H1978" s="29">
        <v>0</v>
      </c>
      <c r="I1978" s="29">
        <v>0</v>
      </c>
      <c r="J1978" s="29">
        <v>0</v>
      </c>
      <c r="K1978" s="29">
        <v>0</v>
      </c>
      <c r="L1978" s="29">
        <v>0</v>
      </c>
      <c r="M1978" s="29">
        <v>0</v>
      </c>
      <c r="N1978" s="29">
        <v>0</v>
      </c>
      <c r="O1978" s="29">
        <v>0</v>
      </c>
      <c r="P1978" s="29">
        <v>0</v>
      </c>
      <c r="Q1978" s="29">
        <v>0</v>
      </c>
      <c r="R1978" s="29">
        <v>0</v>
      </c>
      <c r="S1978">
        <v>0</v>
      </c>
      <c r="T1978">
        <v>0</v>
      </c>
      <c r="U1978">
        <v>0</v>
      </c>
      <c r="V1978">
        <v>0</v>
      </c>
      <c r="W1978">
        <v>0</v>
      </c>
    </row>
    <row r="1979" spans="1:23">
      <c r="A1979" s="30">
        <v>0</v>
      </c>
      <c r="B1979" s="29">
        <v>0</v>
      </c>
      <c r="C1979" s="29">
        <v>0</v>
      </c>
      <c r="D1979" s="29">
        <v>0</v>
      </c>
      <c r="E1979" s="29">
        <v>0</v>
      </c>
      <c r="F1979" s="29">
        <v>0</v>
      </c>
      <c r="G1979" s="29">
        <v>0</v>
      </c>
      <c r="H1979" s="29">
        <v>0</v>
      </c>
      <c r="I1979" s="29">
        <v>0</v>
      </c>
      <c r="J1979" s="29">
        <v>0</v>
      </c>
      <c r="K1979" s="29">
        <v>0</v>
      </c>
      <c r="L1979" s="29">
        <v>0</v>
      </c>
      <c r="M1979" s="29">
        <v>0</v>
      </c>
      <c r="N1979" s="29">
        <v>0</v>
      </c>
      <c r="O1979" s="29">
        <v>0</v>
      </c>
      <c r="P1979" s="29">
        <v>0</v>
      </c>
      <c r="Q1979" s="29">
        <v>0</v>
      </c>
      <c r="R1979" s="29">
        <v>0</v>
      </c>
      <c r="S1979">
        <v>0</v>
      </c>
      <c r="T1979">
        <v>0</v>
      </c>
      <c r="U1979">
        <v>0</v>
      </c>
      <c r="V1979">
        <v>0</v>
      </c>
      <c r="W1979">
        <v>0</v>
      </c>
    </row>
    <row r="1980" spans="1:23">
      <c r="A1980" s="30">
        <v>0</v>
      </c>
      <c r="B1980" s="29">
        <v>0</v>
      </c>
      <c r="C1980" s="29">
        <v>0</v>
      </c>
      <c r="D1980" s="29">
        <v>0</v>
      </c>
      <c r="E1980" s="29">
        <v>0</v>
      </c>
      <c r="F1980" s="29">
        <v>0</v>
      </c>
      <c r="G1980" s="29">
        <v>0</v>
      </c>
      <c r="H1980" s="29">
        <v>0</v>
      </c>
      <c r="I1980" s="29">
        <v>0</v>
      </c>
      <c r="J1980" s="29">
        <v>0</v>
      </c>
      <c r="K1980" s="29">
        <v>0</v>
      </c>
      <c r="L1980" s="29">
        <v>0</v>
      </c>
      <c r="M1980" s="29">
        <v>0</v>
      </c>
      <c r="N1980" s="29">
        <v>0</v>
      </c>
      <c r="O1980" s="29">
        <v>0</v>
      </c>
      <c r="P1980" s="29">
        <v>0</v>
      </c>
      <c r="Q1980" s="29">
        <v>0</v>
      </c>
      <c r="R1980" s="29">
        <v>0</v>
      </c>
      <c r="S1980">
        <v>0</v>
      </c>
      <c r="T1980">
        <v>0</v>
      </c>
      <c r="U1980">
        <v>0</v>
      </c>
      <c r="V1980">
        <v>0</v>
      </c>
      <c r="W1980">
        <v>0</v>
      </c>
    </row>
    <row r="1981" spans="1:23">
      <c r="A1981" s="30">
        <v>0</v>
      </c>
      <c r="B1981" s="29">
        <v>0</v>
      </c>
      <c r="C1981" s="29">
        <v>0</v>
      </c>
      <c r="D1981" s="29">
        <v>0</v>
      </c>
      <c r="E1981" s="29">
        <v>0</v>
      </c>
      <c r="F1981" s="29">
        <v>0</v>
      </c>
      <c r="G1981" s="29">
        <v>0</v>
      </c>
      <c r="H1981" s="29">
        <v>0</v>
      </c>
      <c r="I1981" s="29">
        <v>0</v>
      </c>
      <c r="J1981" s="29">
        <v>0</v>
      </c>
      <c r="K1981" s="29">
        <v>0</v>
      </c>
      <c r="L1981" s="29">
        <v>0</v>
      </c>
      <c r="M1981" s="29">
        <v>0</v>
      </c>
      <c r="N1981" s="29">
        <v>0</v>
      </c>
      <c r="O1981" s="29">
        <v>0</v>
      </c>
      <c r="P1981" s="29">
        <v>0</v>
      </c>
      <c r="Q1981" s="29">
        <v>0</v>
      </c>
      <c r="R1981" s="29">
        <v>0</v>
      </c>
      <c r="S1981">
        <v>0</v>
      </c>
      <c r="T1981">
        <v>0</v>
      </c>
      <c r="U1981">
        <v>0</v>
      </c>
      <c r="V1981">
        <v>0</v>
      </c>
      <c r="W1981">
        <v>0</v>
      </c>
    </row>
    <row r="1982" spans="1:23">
      <c r="A1982" s="30">
        <v>0</v>
      </c>
      <c r="B1982" s="29">
        <v>0</v>
      </c>
      <c r="C1982" s="29">
        <v>0</v>
      </c>
      <c r="D1982" s="29">
        <v>0</v>
      </c>
      <c r="E1982" s="29">
        <v>0</v>
      </c>
      <c r="F1982" s="29">
        <v>0</v>
      </c>
      <c r="G1982" s="29">
        <v>0</v>
      </c>
      <c r="H1982" s="29">
        <v>0</v>
      </c>
      <c r="I1982" s="29">
        <v>0</v>
      </c>
      <c r="J1982" s="29">
        <v>0</v>
      </c>
      <c r="K1982" s="29">
        <v>0</v>
      </c>
      <c r="L1982" s="29">
        <v>0</v>
      </c>
      <c r="M1982" s="29">
        <v>0</v>
      </c>
      <c r="N1982" s="29">
        <v>0</v>
      </c>
      <c r="O1982" s="29">
        <v>0</v>
      </c>
      <c r="P1982" s="29">
        <v>0</v>
      </c>
      <c r="Q1982" s="29">
        <v>0</v>
      </c>
      <c r="R1982" s="29">
        <v>0</v>
      </c>
      <c r="S1982">
        <v>0</v>
      </c>
      <c r="T1982">
        <v>0</v>
      </c>
      <c r="U1982">
        <v>0</v>
      </c>
      <c r="V1982">
        <v>0</v>
      </c>
      <c r="W1982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E62B-17C4-4312-BD22-D059384B9F84}">
  <dimension ref="A1:O34"/>
  <sheetViews>
    <sheetView workbookViewId="0">
      <selection activeCell="O2" sqref="O2"/>
    </sheetView>
  </sheetViews>
  <sheetFormatPr defaultRowHeight="15"/>
  <cols>
    <col min="3" max="3" width="22.5703125" customWidth="1"/>
    <col min="4" max="4" width="14.42578125" customWidth="1"/>
    <col min="5" max="5" width="9.140625" customWidth="1"/>
    <col min="6" max="6" width="10.5703125" bestFit="1" customWidth="1"/>
    <col min="7" max="8" width="10.5703125" customWidth="1"/>
    <col min="9" max="10" width="13.7109375" customWidth="1"/>
    <col min="11" max="11" width="24.140625" customWidth="1"/>
    <col min="14" max="14" width="14.85546875" customWidth="1"/>
    <col min="15" max="15" width="15.5703125" customWidth="1"/>
    <col min="16" max="16" width="12" customWidth="1"/>
    <col min="17" max="17" width="9.7109375" bestFit="1" customWidth="1"/>
  </cols>
  <sheetData>
    <row r="1" spans="1:15">
      <c r="D1" s="368"/>
      <c r="E1" s="369"/>
      <c r="F1" s="358"/>
      <c r="G1" s="369"/>
      <c r="H1" s="358"/>
      <c r="I1" s="370"/>
      <c r="J1" s="371"/>
    </row>
    <row r="2" spans="1:15">
      <c r="A2" s="295" t="s">
        <v>324</v>
      </c>
      <c r="B2" s="295" t="s">
        <v>325</v>
      </c>
      <c r="C2" s="359" t="s">
        <v>330</v>
      </c>
      <c r="D2" s="296" t="s">
        <v>424</v>
      </c>
      <c r="E2" s="296" t="s">
        <v>425</v>
      </c>
      <c r="F2" s="367">
        <v>46032</v>
      </c>
      <c r="G2" s="367">
        <v>46088</v>
      </c>
      <c r="H2" s="367"/>
      <c r="I2" s="360" t="s">
        <v>425</v>
      </c>
      <c r="J2" s="372"/>
      <c r="K2" t="s">
        <v>445</v>
      </c>
      <c r="L2" t="s">
        <v>332</v>
      </c>
      <c r="N2" t="s">
        <v>323</v>
      </c>
      <c r="O2" s="30">
        <v>46100</v>
      </c>
    </row>
    <row r="3" spans="1:15">
      <c r="A3" s="206" t="s">
        <v>340</v>
      </c>
      <c r="B3" s="206" t="s">
        <v>341</v>
      </c>
      <c r="C3" s="361" t="s">
        <v>342</v>
      </c>
      <c r="D3" s="362" t="s">
        <v>426</v>
      </c>
      <c r="E3" s="362">
        <f>O3+I3</f>
        <v>52400</v>
      </c>
      <c r="F3" s="362">
        <v>46600</v>
      </c>
      <c r="G3" s="362">
        <f>E3</f>
        <v>52400</v>
      </c>
      <c r="H3" s="362"/>
      <c r="I3" s="363">
        <f>300+750+750</f>
        <v>1800</v>
      </c>
      <c r="J3" s="373"/>
      <c r="N3" t="s">
        <v>427</v>
      </c>
      <c r="O3">
        <f>_xlfn.XLOOKUP(O2,'steel Mint data'!A:A,'steel Mint data'!D:D,"")</f>
        <v>50600</v>
      </c>
    </row>
    <row r="4" spans="1:15">
      <c r="A4" s="206" t="s">
        <v>340</v>
      </c>
      <c r="B4" s="206" t="s">
        <v>345</v>
      </c>
      <c r="C4" s="361" t="s">
        <v>346</v>
      </c>
      <c r="D4" s="364" t="s">
        <v>428</v>
      </c>
      <c r="E4" s="364">
        <f>E3+I4</f>
        <v>52200</v>
      </c>
      <c r="F4" s="364">
        <v>46440</v>
      </c>
      <c r="G4" s="364">
        <f t="shared" ref="G4:G33" si="0">E4</f>
        <v>52200</v>
      </c>
      <c r="H4" s="364"/>
      <c r="I4" s="363">
        <f>500-1000+300</f>
        <v>-200</v>
      </c>
      <c r="J4" s="373"/>
      <c r="N4" t="s">
        <v>45</v>
      </c>
      <c r="O4">
        <f>_xlfn.XLOOKUP(O2,'steel Mint data'!A:A,'steel Mint data'!I:I,"")</f>
        <v>49100</v>
      </c>
    </row>
    <row r="5" spans="1:15">
      <c r="A5" s="206" t="s">
        <v>340</v>
      </c>
      <c r="B5" s="206" t="s">
        <v>349</v>
      </c>
      <c r="C5" s="361" t="s">
        <v>350</v>
      </c>
      <c r="D5" s="364" t="s">
        <v>429</v>
      </c>
      <c r="E5" s="364">
        <f>52500+I5</f>
        <v>50500</v>
      </c>
      <c r="F5" s="364">
        <v>51500</v>
      </c>
      <c r="G5" s="364">
        <f t="shared" si="0"/>
        <v>50500</v>
      </c>
      <c r="H5" s="364"/>
      <c r="I5" s="363">
        <v>-2000</v>
      </c>
      <c r="J5" s="373" t="s">
        <v>446</v>
      </c>
      <c r="K5" t="s">
        <v>447</v>
      </c>
      <c r="L5">
        <v>44800</v>
      </c>
      <c r="N5" t="s">
        <v>384</v>
      </c>
      <c r="O5">
        <f>_xlfn.XLOOKUP(O2,'steel Mint data'!A:A,'steel Mint data'!O:O,"")</f>
        <v>47200</v>
      </c>
    </row>
    <row r="6" spans="1:15">
      <c r="A6" s="206" t="s">
        <v>340</v>
      </c>
      <c r="B6" s="206" t="s">
        <v>353</v>
      </c>
      <c r="C6" s="361" t="s">
        <v>430</v>
      </c>
      <c r="D6" s="364" t="str">
        <f>D5</f>
        <v xml:space="preserve">Shyam </v>
      </c>
      <c r="E6" s="364">
        <f>52000+I6</f>
        <v>51500</v>
      </c>
      <c r="F6" s="364">
        <v>52400</v>
      </c>
      <c r="G6" s="364">
        <f t="shared" si="0"/>
        <v>51500</v>
      </c>
      <c r="H6" s="364"/>
      <c r="I6" s="363">
        <v>-500</v>
      </c>
      <c r="J6" s="373" t="s">
        <v>343</v>
      </c>
      <c r="K6" t="s">
        <v>448</v>
      </c>
      <c r="L6" s="104">
        <v>48200</v>
      </c>
      <c r="N6" t="s">
        <v>431</v>
      </c>
      <c r="O6">
        <f>_xlfn.XLOOKUP(O2,'steel Mint data'!A:A,'steel Mint data'!E:E,"")</f>
        <v>46200</v>
      </c>
    </row>
    <row r="7" spans="1:15">
      <c r="A7" s="206" t="s">
        <v>340</v>
      </c>
      <c r="B7" s="206" t="s">
        <v>357</v>
      </c>
      <c r="C7" s="361" t="s">
        <v>45</v>
      </c>
      <c r="D7" s="364" t="s">
        <v>426</v>
      </c>
      <c r="E7" s="362">
        <f>O4+I7</f>
        <v>50900</v>
      </c>
      <c r="F7" s="362">
        <v>47000</v>
      </c>
      <c r="G7" s="362">
        <f>E7</f>
        <v>50900</v>
      </c>
      <c r="H7" s="362"/>
      <c r="I7" s="363">
        <f>300+500+1000</f>
        <v>1800</v>
      </c>
      <c r="J7" s="373" t="s">
        <v>45</v>
      </c>
      <c r="K7" t="s">
        <v>449</v>
      </c>
      <c r="L7" s="104">
        <v>46000</v>
      </c>
      <c r="N7" t="s">
        <v>404</v>
      </c>
      <c r="O7">
        <f>_xlfn.XLOOKUP(O2,'steel Mint data'!A:A,'steel Mint data'!B:B,"")</f>
        <v>50100</v>
      </c>
    </row>
    <row r="8" spans="1:15">
      <c r="A8" s="206" t="s">
        <v>340</v>
      </c>
      <c r="B8" s="206" t="s">
        <v>359</v>
      </c>
      <c r="C8" s="361" t="s">
        <v>360</v>
      </c>
      <c r="D8" s="364" t="s">
        <v>426</v>
      </c>
      <c r="E8" s="364">
        <f>E3+I8</f>
        <v>53900</v>
      </c>
      <c r="F8" s="364">
        <v>48200</v>
      </c>
      <c r="G8" s="364">
        <f t="shared" si="0"/>
        <v>53900</v>
      </c>
      <c r="H8" s="364"/>
      <c r="I8" s="363">
        <v>1500</v>
      </c>
      <c r="J8" s="373"/>
      <c r="N8" t="s">
        <v>154</v>
      </c>
      <c r="O8">
        <f>_xlfn.XLOOKUP(O2,'steel Mint data'!A:A,'steel Mint data'!Q:Q,"")</f>
        <v>46000</v>
      </c>
    </row>
    <row r="9" spans="1:15">
      <c r="A9" s="206" t="s">
        <v>340</v>
      </c>
      <c r="B9" s="206" t="s">
        <v>359</v>
      </c>
      <c r="C9" s="361" t="s">
        <v>365</v>
      </c>
      <c r="D9" s="364" t="s">
        <v>426</v>
      </c>
      <c r="E9" s="364">
        <f>E3+I9</f>
        <v>53900</v>
      </c>
      <c r="F9" s="364">
        <v>47700</v>
      </c>
      <c r="G9" s="364">
        <f t="shared" si="0"/>
        <v>53900</v>
      </c>
      <c r="H9" s="364"/>
      <c r="I9" s="363">
        <v>1500</v>
      </c>
      <c r="J9" s="373"/>
      <c r="N9" s="365" t="s">
        <v>392</v>
      </c>
      <c r="O9">
        <f>_xlfn.XLOOKUP(O2,'steel Mint data'!A:A,'steel Mint data'!R:R,"")</f>
        <v>45700</v>
      </c>
    </row>
    <row r="10" spans="1:15">
      <c r="A10" s="206" t="s">
        <v>340</v>
      </c>
      <c r="B10" s="206" t="s">
        <v>367</v>
      </c>
      <c r="C10" s="361" t="s">
        <v>368</v>
      </c>
      <c r="D10" s="364" t="s">
        <v>426</v>
      </c>
      <c r="E10" s="364">
        <f>E3+I10</f>
        <v>53900</v>
      </c>
      <c r="F10" s="364">
        <v>48200</v>
      </c>
      <c r="G10" s="364">
        <f t="shared" si="0"/>
        <v>53900</v>
      </c>
      <c r="H10" s="364"/>
      <c r="I10" s="363">
        <v>1500</v>
      </c>
      <c r="J10" s="373"/>
      <c r="N10" s="366" t="s">
        <v>396</v>
      </c>
      <c r="O10">
        <f>_xlfn.XLOOKUP(O2,'steel Mint data'!A:A,'steel Mint data'!M:M,"")</f>
        <v>51000</v>
      </c>
    </row>
    <row r="11" spans="1:15">
      <c r="A11" s="206" t="s">
        <v>340</v>
      </c>
      <c r="B11" s="206" t="s">
        <v>370</v>
      </c>
      <c r="C11" s="361" t="s">
        <v>371</v>
      </c>
      <c r="D11" s="364" t="s">
        <v>426</v>
      </c>
      <c r="E11" s="364">
        <f>E3+I11</f>
        <v>53900</v>
      </c>
      <c r="F11" s="364"/>
      <c r="G11" s="364">
        <f t="shared" si="0"/>
        <v>53900</v>
      </c>
      <c r="H11" s="364"/>
      <c r="I11" s="363">
        <v>1500</v>
      </c>
      <c r="J11" s="373"/>
      <c r="N11" t="s">
        <v>432</v>
      </c>
      <c r="O11">
        <f>_xlfn.XLOOKUP(O2,'steel Mint data'!A:A,'steel Mint data'!J:J,"")</f>
        <v>51300</v>
      </c>
    </row>
    <row r="12" spans="1:15">
      <c r="A12" s="206" t="s">
        <v>340</v>
      </c>
      <c r="B12" s="206" t="s">
        <v>373</v>
      </c>
      <c r="C12" s="361" t="s">
        <v>374</v>
      </c>
      <c r="D12" s="364" t="s">
        <v>433</v>
      </c>
      <c r="E12" s="364">
        <f>E3+I12</f>
        <v>53400</v>
      </c>
      <c r="F12" s="364">
        <v>45800</v>
      </c>
      <c r="G12" s="364">
        <f>E12</f>
        <v>53400</v>
      </c>
      <c r="H12" s="364"/>
      <c r="I12" s="502">
        <v>1000</v>
      </c>
      <c r="J12" s="373"/>
      <c r="N12" t="s">
        <v>434</v>
      </c>
      <c r="O12">
        <f>_xlfn.XLOOKUP(O2,'steel Mint data'!A:A,'steel Mint data'!F:F,"")</f>
        <v>54200</v>
      </c>
    </row>
    <row r="13" spans="1:15">
      <c r="A13" s="206" t="s">
        <v>340</v>
      </c>
      <c r="B13" s="206" t="s">
        <v>376</v>
      </c>
      <c r="C13" s="361" t="s">
        <v>377</v>
      </c>
      <c r="D13" s="364" t="s">
        <v>435</v>
      </c>
      <c r="E13" s="364">
        <f>E3+I13</f>
        <v>52900</v>
      </c>
      <c r="F13" s="364">
        <v>48700</v>
      </c>
      <c r="G13" s="364">
        <f t="shared" si="0"/>
        <v>52900</v>
      </c>
      <c r="H13" s="364"/>
      <c r="I13" s="363">
        <v>500</v>
      </c>
      <c r="J13" s="373"/>
    </row>
    <row r="14" spans="1:15">
      <c r="A14" s="206" t="s">
        <v>379</v>
      </c>
      <c r="B14" s="206" t="s">
        <v>380</v>
      </c>
      <c r="C14" s="361" t="s">
        <v>96</v>
      </c>
      <c r="D14" s="364" t="s">
        <v>436</v>
      </c>
      <c r="E14" s="364">
        <f>E18+I14</f>
        <v>48200</v>
      </c>
      <c r="F14" s="364"/>
      <c r="G14" s="364">
        <f t="shared" si="0"/>
        <v>48200</v>
      </c>
      <c r="H14" s="364"/>
      <c r="I14" s="363">
        <v>1000</v>
      </c>
      <c r="J14" s="373"/>
    </row>
    <row r="15" spans="1:15">
      <c r="A15" s="206" t="s">
        <v>379</v>
      </c>
      <c r="B15" s="206" t="s">
        <v>383</v>
      </c>
      <c r="C15" s="361" t="s">
        <v>384</v>
      </c>
      <c r="D15" s="364" t="s">
        <v>437</v>
      </c>
      <c r="E15" s="362">
        <f>O5+I15</f>
        <v>46200</v>
      </c>
      <c r="F15" s="362"/>
      <c r="G15" s="362">
        <f t="shared" si="0"/>
        <v>46200</v>
      </c>
      <c r="H15" s="362"/>
      <c r="I15" s="363">
        <f>-1000</f>
        <v>-1000</v>
      </c>
      <c r="J15" s="373"/>
    </row>
    <row r="16" spans="1:15">
      <c r="A16" s="206" t="s">
        <v>379</v>
      </c>
      <c r="B16" s="206" t="s">
        <v>386</v>
      </c>
      <c r="C16" s="361" t="s">
        <v>387</v>
      </c>
      <c r="D16" s="364" t="s">
        <v>149</v>
      </c>
      <c r="E16" s="362">
        <f>O6+I16</f>
        <v>48700</v>
      </c>
      <c r="F16" s="362"/>
      <c r="G16" s="362">
        <f t="shared" si="0"/>
        <v>48700</v>
      </c>
      <c r="H16" s="362"/>
      <c r="I16" s="363">
        <f>1000+1500</f>
        <v>2500</v>
      </c>
      <c r="J16" s="373"/>
    </row>
    <row r="17" spans="1:10">
      <c r="A17" s="206" t="s">
        <v>379</v>
      </c>
      <c r="B17" s="206" t="s">
        <v>386</v>
      </c>
      <c r="C17" s="361" t="s">
        <v>107</v>
      </c>
      <c r="D17" s="364" t="s">
        <v>149</v>
      </c>
      <c r="E17" s="364">
        <f>O6+I17</f>
        <v>47700</v>
      </c>
      <c r="F17" s="364"/>
      <c r="G17" s="364">
        <f t="shared" si="0"/>
        <v>47700</v>
      </c>
      <c r="H17" s="364"/>
      <c r="I17" s="363">
        <f>500+1000</f>
        <v>1500</v>
      </c>
      <c r="J17" s="373"/>
    </row>
    <row r="18" spans="1:10">
      <c r="A18" s="206" t="s">
        <v>379</v>
      </c>
      <c r="B18" s="206" t="s">
        <v>389</v>
      </c>
      <c r="C18" s="361" t="s">
        <v>390</v>
      </c>
      <c r="D18" s="364" t="s">
        <v>436</v>
      </c>
      <c r="E18" s="362">
        <f>O9+I18</f>
        <v>47200</v>
      </c>
      <c r="F18" s="362"/>
      <c r="G18" s="362">
        <f t="shared" si="0"/>
        <v>47200</v>
      </c>
      <c r="H18" s="362"/>
      <c r="I18" s="363">
        <f>500+1000</f>
        <v>1500</v>
      </c>
      <c r="J18" s="373"/>
    </row>
    <row r="19" spans="1:10">
      <c r="A19" s="206" t="s">
        <v>379</v>
      </c>
      <c r="B19" s="206" t="s">
        <v>391</v>
      </c>
      <c r="C19" s="361" t="s">
        <v>392</v>
      </c>
      <c r="D19" s="364" t="s">
        <v>436</v>
      </c>
      <c r="E19" s="364">
        <f>O9+I19</f>
        <v>47200</v>
      </c>
      <c r="F19" s="364"/>
      <c r="G19" s="364">
        <f t="shared" si="0"/>
        <v>47200</v>
      </c>
      <c r="H19" s="364"/>
      <c r="I19" s="363">
        <v>1500</v>
      </c>
      <c r="J19" s="373"/>
    </row>
    <row r="20" spans="1:10">
      <c r="A20" s="206" t="s">
        <v>394</v>
      </c>
      <c r="B20" s="206" t="s">
        <v>395</v>
      </c>
      <c r="C20" s="361" t="s">
        <v>396</v>
      </c>
      <c r="D20" s="364" t="s">
        <v>438</v>
      </c>
      <c r="E20" s="362">
        <f>O10+I20</f>
        <v>51500</v>
      </c>
      <c r="F20" s="362"/>
      <c r="G20" s="362">
        <f t="shared" si="0"/>
        <v>51500</v>
      </c>
      <c r="H20" s="362"/>
      <c r="I20" s="363">
        <f>1500-1000</f>
        <v>500</v>
      </c>
      <c r="J20" s="373"/>
    </row>
    <row r="21" spans="1:10">
      <c r="A21" s="206" t="s">
        <v>394</v>
      </c>
      <c r="B21" s="206" t="s">
        <v>395</v>
      </c>
      <c r="C21" s="361" t="s">
        <v>398</v>
      </c>
      <c r="D21" s="364" t="s">
        <v>439</v>
      </c>
      <c r="E21" s="364">
        <f>O10+I21</f>
        <v>51500</v>
      </c>
      <c r="F21" s="364"/>
      <c r="G21" s="364">
        <f t="shared" si="0"/>
        <v>51500</v>
      </c>
      <c r="H21" s="364"/>
      <c r="I21" s="363">
        <v>500</v>
      </c>
      <c r="J21" s="373"/>
    </row>
    <row r="22" spans="1:10">
      <c r="A22" s="206" t="s">
        <v>394</v>
      </c>
      <c r="B22" s="206" t="s">
        <v>395</v>
      </c>
      <c r="C22" s="361" t="s">
        <v>399</v>
      </c>
      <c r="D22" s="364" t="s">
        <v>440</v>
      </c>
      <c r="E22" s="364">
        <f>O10+I22</f>
        <v>51500</v>
      </c>
      <c r="F22" s="364"/>
      <c r="G22" s="364">
        <f t="shared" si="0"/>
        <v>51500</v>
      </c>
      <c r="H22" s="364"/>
      <c r="I22" s="363">
        <v>500</v>
      </c>
      <c r="J22" s="373"/>
    </row>
    <row r="23" spans="1:10">
      <c r="A23" s="206" t="s">
        <v>394</v>
      </c>
      <c r="B23" s="206" t="s">
        <v>395</v>
      </c>
      <c r="C23" s="361" t="s">
        <v>401</v>
      </c>
      <c r="D23" s="364" t="s">
        <v>441</v>
      </c>
      <c r="E23" s="362">
        <f>O11+I23</f>
        <v>51800</v>
      </c>
      <c r="F23" s="362"/>
      <c r="G23" s="362">
        <f t="shared" si="0"/>
        <v>51800</v>
      </c>
      <c r="H23" s="362"/>
      <c r="I23" s="363">
        <v>500</v>
      </c>
      <c r="J23" s="373"/>
    </row>
    <row r="24" spans="1:10">
      <c r="A24" s="206" t="s">
        <v>394</v>
      </c>
      <c r="B24" s="206" t="s">
        <v>403</v>
      </c>
      <c r="C24" s="361" t="s">
        <v>404</v>
      </c>
      <c r="D24" s="364" t="s">
        <v>442</v>
      </c>
      <c r="E24" s="362">
        <f>O7+I24</f>
        <v>51100</v>
      </c>
      <c r="F24" s="362"/>
      <c r="G24" s="362">
        <f t="shared" si="0"/>
        <v>51100</v>
      </c>
      <c r="H24" s="362"/>
      <c r="I24" s="363">
        <f>500+1500-1000</f>
        <v>1000</v>
      </c>
      <c r="J24" s="373"/>
    </row>
    <row r="25" spans="1:10">
      <c r="A25" s="206" t="s">
        <v>337</v>
      </c>
      <c r="B25" s="206" t="s">
        <v>406</v>
      </c>
      <c r="C25" s="361" t="s">
        <v>154</v>
      </c>
      <c r="D25" s="364" t="s">
        <v>443</v>
      </c>
      <c r="E25" s="362">
        <f>O8+I25</f>
        <v>49000</v>
      </c>
      <c r="F25" s="362"/>
      <c r="G25" s="362">
        <f t="shared" si="0"/>
        <v>49000</v>
      </c>
      <c r="H25" s="362"/>
      <c r="I25" s="363">
        <v>3000</v>
      </c>
      <c r="J25" s="373"/>
    </row>
    <row r="26" spans="1:10">
      <c r="A26" s="206" t="s">
        <v>337</v>
      </c>
      <c r="B26" s="206" t="s">
        <v>407</v>
      </c>
      <c r="C26" s="361" t="s">
        <v>408</v>
      </c>
      <c r="D26" s="364" t="s">
        <v>444</v>
      </c>
      <c r="E26" s="364">
        <f>E25+I26</f>
        <v>49900</v>
      </c>
      <c r="F26" s="364"/>
      <c r="G26" s="364">
        <f t="shared" si="0"/>
        <v>49900</v>
      </c>
      <c r="H26" s="364"/>
      <c r="I26" s="363">
        <v>900</v>
      </c>
      <c r="J26" s="373"/>
    </row>
    <row r="27" spans="1:10">
      <c r="A27" s="206" t="s">
        <v>409</v>
      </c>
      <c r="B27" s="206" t="s">
        <v>410</v>
      </c>
      <c r="C27" s="361" t="s">
        <v>411</v>
      </c>
      <c r="D27" s="364" t="s">
        <v>412</v>
      </c>
      <c r="E27" s="364"/>
      <c r="F27" s="364"/>
      <c r="G27" s="364">
        <f t="shared" si="0"/>
        <v>0</v>
      </c>
      <c r="H27" s="364"/>
      <c r="I27" s="363">
        <v>0</v>
      </c>
      <c r="J27" s="373"/>
    </row>
    <row r="28" spans="1:10">
      <c r="A28" s="206" t="s">
        <v>409</v>
      </c>
      <c r="B28" s="206" t="s">
        <v>410</v>
      </c>
      <c r="C28" s="361" t="s">
        <v>413</v>
      </c>
      <c r="D28" s="364" t="s">
        <v>412</v>
      </c>
      <c r="E28" s="364"/>
      <c r="F28" s="364"/>
      <c r="G28" s="364">
        <f t="shared" si="0"/>
        <v>0</v>
      </c>
      <c r="H28" s="364"/>
      <c r="I28" s="363">
        <v>0</v>
      </c>
      <c r="J28" s="373"/>
    </row>
    <row r="29" spans="1:10">
      <c r="A29" s="206" t="s">
        <v>409</v>
      </c>
      <c r="B29" s="206" t="s">
        <v>414</v>
      </c>
      <c r="C29" s="361" t="s">
        <v>415</v>
      </c>
      <c r="D29" s="364" t="s">
        <v>412</v>
      </c>
      <c r="E29" s="364"/>
      <c r="F29" s="364"/>
      <c r="G29" s="364">
        <f t="shared" si="0"/>
        <v>0</v>
      </c>
      <c r="H29" s="364"/>
      <c r="I29" s="363">
        <v>0</v>
      </c>
      <c r="J29" s="373"/>
    </row>
    <row r="30" spans="1:10">
      <c r="A30" s="206" t="s">
        <v>409</v>
      </c>
      <c r="B30" s="206" t="s">
        <v>414</v>
      </c>
      <c r="C30" s="361" t="s">
        <v>416</v>
      </c>
      <c r="D30" s="364" t="s">
        <v>412</v>
      </c>
      <c r="E30" s="364"/>
      <c r="F30" s="364"/>
      <c r="G30" s="364">
        <f t="shared" si="0"/>
        <v>0</v>
      </c>
      <c r="H30" s="364"/>
      <c r="I30" s="363">
        <v>0</v>
      </c>
      <c r="J30" s="373"/>
    </row>
    <row r="31" spans="1:10">
      <c r="A31" s="206" t="s">
        <v>409</v>
      </c>
      <c r="B31" s="206" t="s">
        <v>417</v>
      </c>
      <c r="C31" s="361" t="s">
        <v>418</v>
      </c>
      <c r="D31" s="364" t="s">
        <v>412</v>
      </c>
      <c r="E31" s="364"/>
      <c r="F31" s="364"/>
      <c r="G31" s="364">
        <f t="shared" si="0"/>
        <v>0</v>
      </c>
      <c r="H31" s="364"/>
      <c r="I31" s="363">
        <v>0</v>
      </c>
      <c r="J31" s="373"/>
    </row>
    <row r="32" spans="1:10">
      <c r="A32" s="206" t="s">
        <v>409</v>
      </c>
      <c r="B32" s="206" t="s">
        <v>419</v>
      </c>
      <c r="C32" s="361" t="s">
        <v>420</v>
      </c>
      <c r="D32" s="364" t="s">
        <v>412</v>
      </c>
      <c r="E32" s="364"/>
      <c r="F32" s="364"/>
      <c r="G32" s="364">
        <f t="shared" si="0"/>
        <v>0</v>
      </c>
      <c r="H32" s="364"/>
      <c r="I32" s="363">
        <v>0</v>
      </c>
      <c r="J32" s="373"/>
    </row>
    <row r="33" spans="1:10">
      <c r="A33" s="206" t="s">
        <v>409</v>
      </c>
      <c r="B33" s="206" t="s">
        <v>419</v>
      </c>
      <c r="C33" s="361" t="s">
        <v>421</v>
      </c>
      <c r="D33" s="364" t="s">
        <v>412</v>
      </c>
      <c r="E33" s="364"/>
      <c r="F33" s="364"/>
      <c r="G33" s="364">
        <f t="shared" si="0"/>
        <v>0</v>
      </c>
      <c r="H33" s="364"/>
      <c r="I33" s="363">
        <v>0</v>
      </c>
      <c r="J33" s="373"/>
    </row>
    <row r="34" spans="1:10">
      <c r="A34" s="206" t="s">
        <v>409</v>
      </c>
      <c r="B34" s="206" t="s">
        <v>422</v>
      </c>
      <c r="C34" s="361" t="s">
        <v>423</v>
      </c>
      <c r="D34" s="364" t="s">
        <v>412</v>
      </c>
      <c r="E34" s="364"/>
      <c r="F34" s="364"/>
      <c r="G34" s="364"/>
      <c r="H34" s="364"/>
      <c r="I34" s="363">
        <v>0</v>
      </c>
      <c r="J34" s="373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2E0C5-1871-4AC0-BB82-909CCA3A15A2}">
  <dimension ref="E8:L14"/>
  <sheetViews>
    <sheetView workbookViewId="0">
      <selection activeCell="Q19" sqref="Q19"/>
    </sheetView>
  </sheetViews>
  <sheetFormatPr defaultRowHeight="15"/>
  <cols>
    <col min="5" max="5" width="26.85546875" bestFit="1" customWidth="1"/>
    <col min="6" max="6" width="13.5703125" customWidth="1"/>
    <col min="7" max="7" width="9.28515625" bestFit="1" customWidth="1"/>
    <col min="8" max="8" width="9.7109375" bestFit="1" customWidth="1"/>
    <col min="9" max="9" width="11" bestFit="1" customWidth="1"/>
  </cols>
  <sheetData>
    <row r="8" spans="5:12">
      <c r="E8" s="14"/>
      <c r="F8" s="14"/>
      <c r="G8" s="261"/>
      <c r="H8" s="262"/>
      <c r="I8" s="262"/>
    </row>
    <row r="9" spans="5:12">
      <c r="E9" s="14"/>
      <c r="F9" s="251" t="s">
        <v>450</v>
      </c>
      <c r="G9" s="251" t="s">
        <v>451</v>
      </c>
      <c r="H9" s="252" t="s">
        <v>452</v>
      </c>
      <c r="I9" s="252" t="s">
        <v>453</v>
      </c>
    </row>
    <row r="10" spans="5:12">
      <c r="E10" s="253" t="s">
        <v>454</v>
      </c>
      <c r="F10" s="263">
        <f>G10+1000-750</f>
        <v>48550</v>
      </c>
      <c r="G10" s="254">
        <v>48300</v>
      </c>
      <c r="H10" s="255">
        <v>48300</v>
      </c>
      <c r="I10" s="255">
        <f>48300-500</f>
        <v>47800</v>
      </c>
    </row>
    <row r="11" spans="5:12">
      <c r="E11" s="256" t="s">
        <v>455</v>
      </c>
      <c r="F11" s="257">
        <v>300</v>
      </c>
      <c r="G11" s="257">
        <v>300</v>
      </c>
      <c r="H11" s="258">
        <v>300</v>
      </c>
      <c r="I11" s="258">
        <v>300</v>
      </c>
    </row>
    <row r="12" spans="5:12">
      <c r="E12" s="256" t="s">
        <v>456</v>
      </c>
      <c r="F12" s="257">
        <v>1500</v>
      </c>
      <c r="G12" s="257">
        <v>1100</v>
      </c>
      <c r="H12" s="258">
        <v>1100</v>
      </c>
      <c r="I12" s="258">
        <v>1100</v>
      </c>
      <c r="L12">
        <f>47050</f>
        <v>47050</v>
      </c>
    </row>
    <row r="13" spans="5:12">
      <c r="E13" s="259" t="s">
        <v>457</v>
      </c>
      <c r="F13" s="260">
        <f>F10-F11-F12</f>
        <v>46750</v>
      </c>
      <c r="G13" s="260">
        <f>G10-G11-G12</f>
        <v>46900</v>
      </c>
      <c r="H13" s="260">
        <f t="shared" ref="H13:I13" si="0">H10-H11-H12</f>
        <v>46900</v>
      </c>
      <c r="I13" s="260">
        <f t="shared" si="0"/>
        <v>46400</v>
      </c>
      <c r="L13">
        <f>L12-500</f>
        <v>46550</v>
      </c>
    </row>
    <row r="14" spans="5:12">
      <c r="E14" s="256" t="s">
        <v>458</v>
      </c>
      <c r="F14" s="257">
        <f>F13-3000</f>
        <v>43750</v>
      </c>
      <c r="G14" s="257">
        <f>G13-3000</f>
        <v>43900</v>
      </c>
      <c r="H14" s="257">
        <f>H13-3000</f>
        <v>43900</v>
      </c>
      <c r="I14" s="257">
        <f>I13-3000</f>
        <v>43400</v>
      </c>
      <c r="L14">
        <f>L13-1500</f>
        <v>45050</v>
      </c>
    </row>
  </sheetData>
  <dataValidations count="1">
    <dataValidation allowBlank="1" showInputMessage="1" showErrorMessage="1" sqref="F10:I14" xr:uid="{2466C7EC-B354-4D8C-9FC8-47E5243FE549}"/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4F171-0811-4CE0-AD3A-276E7C711CDE}">
  <dimension ref="B3:CO86"/>
  <sheetViews>
    <sheetView workbookViewId="0">
      <selection activeCell="AX21" sqref="AX21"/>
    </sheetView>
  </sheetViews>
  <sheetFormatPr defaultRowHeight="15"/>
  <cols>
    <col min="3" max="3" width="12.42578125" bestFit="1" customWidth="1"/>
    <col min="4" max="4" width="12.85546875" bestFit="1" customWidth="1"/>
    <col min="17" max="17" width="20" customWidth="1"/>
    <col min="18" max="26" width="14.28515625" customWidth="1"/>
    <col min="27" max="27" width="13.28515625" customWidth="1"/>
    <col min="32" max="32" width="13" customWidth="1"/>
    <col min="39" max="39" width="18.5703125" customWidth="1"/>
    <col min="47" max="47" width="14" customWidth="1"/>
    <col min="50" max="53" width="15" customWidth="1"/>
    <col min="54" max="54" width="15.7109375" customWidth="1"/>
    <col min="55" max="55" width="15" customWidth="1"/>
    <col min="56" max="56" width="21.28515625" customWidth="1"/>
    <col min="57" max="57" width="20.28515625" customWidth="1"/>
    <col min="58" max="59" width="17.42578125" customWidth="1"/>
    <col min="60" max="60" width="21.5703125" customWidth="1"/>
    <col min="61" max="61" width="20.28515625" customWidth="1"/>
    <col min="62" max="62" width="17.42578125" customWidth="1"/>
    <col min="66" max="66" width="19.5703125" customWidth="1"/>
  </cols>
  <sheetData>
    <row r="3" spans="2:65" ht="18.75">
      <c r="B3" s="191" t="s">
        <v>459</v>
      </c>
      <c r="C3" s="534" t="s">
        <v>460</v>
      </c>
      <c r="D3" s="535"/>
      <c r="E3" s="536"/>
      <c r="F3" s="192" t="s">
        <v>461</v>
      </c>
      <c r="G3" s="534" t="s">
        <v>462</v>
      </c>
      <c r="H3" s="536"/>
      <c r="I3" s="190"/>
      <c r="J3" s="190"/>
      <c r="K3" s="190"/>
    </row>
    <row r="4" spans="2:65" ht="18.75">
      <c r="B4" s="191" t="s">
        <v>459</v>
      </c>
      <c r="C4" s="192" t="s">
        <v>463</v>
      </c>
      <c r="D4" s="534" t="s">
        <v>464</v>
      </c>
      <c r="E4" s="536"/>
      <c r="F4" s="192" t="s">
        <v>465</v>
      </c>
      <c r="G4" s="192" t="s">
        <v>466</v>
      </c>
      <c r="H4" s="192" t="s">
        <v>467</v>
      </c>
      <c r="I4" s="190"/>
      <c r="J4" s="190"/>
      <c r="K4" s="190"/>
    </row>
    <row r="5" spans="2:65" ht="18.75">
      <c r="B5" s="193" t="s">
        <v>459</v>
      </c>
      <c r="C5" s="194" t="s">
        <v>468</v>
      </c>
      <c r="D5" s="194" t="s">
        <v>468</v>
      </c>
      <c r="E5" s="194" t="s">
        <v>469</v>
      </c>
      <c r="F5" s="194" t="s">
        <v>470</v>
      </c>
      <c r="G5" s="194" t="s">
        <v>471</v>
      </c>
      <c r="H5" s="194" t="s">
        <v>472</v>
      </c>
      <c r="I5" s="194" t="s">
        <v>473</v>
      </c>
      <c r="J5" s="194" t="s">
        <v>155</v>
      </c>
      <c r="K5" s="194" t="s">
        <v>474</v>
      </c>
    </row>
    <row r="6" spans="2:65" ht="18.75">
      <c r="B6" s="195" t="s">
        <v>475</v>
      </c>
      <c r="C6" s="196">
        <v>54000</v>
      </c>
      <c r="D6" s="197" t="s">
        <v>476</v>
      </c>
      <c r="E6" s="197" t="s">
        <v>477</v>
      </c>
      <c r="F6" s="197" t="s">
        <v>478</v>
      </c>
      <c r="G6" s="197" t="s">
        <v>479</v>
      </c>
      <c r="H6" s="197" t="s">
        <v>480</v>
      </c>
      <c r="I6" s="195">
        <v>50663</v>
      </c>
      <c r="J6" s="195">
        <v>54300</v>
      </c>
      <c r="K6" s="196">
        <f>J6-C6</f>
        <v>300</v>
      </c>
      <c r="N6" s="198" t="e">
        <f>C6-D6</f>
        <v>#VALUE!</v>
      </c>
    </row>
    <row r="7" spans="2:65" ht="18.75">
      <c r="B7" s="195" t="s">
        <v>481</v>
      </c>
      <c r="C7" s="196">
        <v>55050</v>
      </c>
      <c r="D7" s="197" t="s">
        <v>482</v>
      </c>
      <c r="E7" s="197" t="s">
        <v>483</v>
      </c>
      <c r="F7" s="197" t="s">
        <v>484</v>
      </c>
      <c r="G7" s="197" t="s">
        <v>479</v>
      </c>
      <c r="H7" s="197" t="s">
        <v>485</v>
      </c>
      <c r="I7" s="195">
        <v>52163.000606489433</v>
      </c>
      <c r="J7" s="195">
        <v>55800</v>
      </c>
      <c r="K7" s="196">
        <f t="shared" ref="K7:K15" si="0">J7-C7</f>
        <v>750</v>
      </c>
    </row>
    <row r="8" spans="2:65" ht="18.75">
      <c r="B8" s="195" t="s">
        <v>486</v>
      </c>
      <c r="C8" s="196">
        <v>52500</v>
      </c>
      <c r="D8" s="197" t="s">
        <v>487</v>
      </c>
      <c r="E8" s="197" t="s">
        <v>488</v>
      </c>
      <c r="F8" s="197" t="s">
        <v>489</v>
      </c>
      <c r="G8" s="197" t="s">
        <v>490</v>
      </c>
      <c r="H8" s="197" t="s">
        <v>491</v>
      </c>
      <c r="I8" s="195"/>
      <c r="J8" s="195"/>
      <c r="K8" s="196">
        <f t="shared" si="0"/>
        <v>-52500</v>
      </c>
    </row>
    <row r="9" spans="2:65" ht="18.75">
      <c r="B9" s="195" t="s">
        <v>492</v>
      </c>
      <c r="C9" s="196">
        <v>52500</v>
      </c>
      <c r="D9" s="197" t="s">
        <v>493</v>
      </c>
      <c r="E9" s="197" t="s">
        <v>494</v>
      </c>
      <c r="F9" s="197" t="s">
        <v>495</v>
      </c>
      <c r="G9" s="197" t="s">
        <v>496</v>
      </c>
      <c r="H9" s="197" t="s">
        <v>497</v>
      </c>
      <c r="I9" s="195">
        <v>49830.000000000007</v>
      </c>
      <c r="J9" s="195">
        <v>53550.000000000007</v>
      </c>
      <c r="K9" s="196">
        <f t="shared" si="0"/>
        <v>1050.0000000000073</v>
      </c>
      <c r="BA9">
        <f>SUMPRODUCT(AY10:BA10,AY19:BA19)/BB19</f>
        <v>40.469178082191782</v>
      </c>
    </row>
    <row r="10" spans="2:65" ht="18.75">
      <c r="B10" s="195" t="s">
        <v>498</v>
      </c>
      <c r="C10" s="196">
        <v>52050</v>
      </c>
      <c r="D10" s="197" t="s">
        <v>499</v>
      </c>
      <c r="E10" s="197" t="s">
        <v>500</v>
      </c>
      <c r="F10" s="197" t="s">
        <v>501</v>
      </c>
      <c r="G10" s="197" t="s">
        <v>502</v>
      </c>
      <c r="H10" s="197" t="s">
        <v>503</v>
      </c>
      <c r="I10" s="195">
        <v>52850</v>
      </c>
      <c r="J10" s="195">
        <v>53375.999999999993</v>
      </c>
      <c r="K10" s="196">
        <f t="shared" si="0"/>
        <v>1325.9999999999927</v>
      </c>
      <c r="AY10">
        <v>22.5</v>
      </c>
      <c r="AZ10">
        <v>37.5</v>
      </c>
      <c r="BA10">
        <v>75</v>
      </c>
    </row>
    <row r="11" spans="2:65" ht="18.75">
      <c r="B11" s="195" t="s">
        <v>504</v>
      </c>
      <c r="C11" s="196">
        <v>54863</v>
      </c>
      <c r="D11" s="197" t="s">
        <v>505</v>
      </c>
      <c r="E11" s="197" t="s">
        <v>506</v>
      </c>
      <c r="F11" s="197" t="s">
        <v>507</v>
      </c>
      <c r="G11" s="197" t="s">
        <v>508</v>
      </c>
      <c r="H11" s="197" t="s">
        <v>509</v>
      </c>
      <c r="I11" s="195">
        <v>55600</v>
      </c>
      <c r="J11" s="195">
        <v>56126</v>
      </c>
      <c r="K11" s="196">
        <f t="shared" si="0"/>
        <v>1263</v>
      </c>
      <c r="AX11" s="29" t="s">
        <v>37</v>
      </c>
      <c r="AY11" s="532" t="s">
        <v>510</v>
      </c>
      <c r="AZ11" s="532"/>
      <c r="BA11" s="532"/>
      <c r="BB11" s="532"/>
      <c r="BC11" s="532"/>
      <c r="BD11" s="29"/>
      <c r="BE11" s="11"/>
      <c r="BF11" s="11"/>
      <c r="BG11" s="11"/>
      <c r="BH11" s="11"/>
      <c r="BI11" s="11"/>
    </row>
    <row r="12" spans="2:65" ht="18.75">
      <c r="B12" s="195" t="s">
        <v>511</v>
      </c>
      <c r="C12" s="196">
        <v>56716</v>
      </c>
      <c r="D12" s="197" t="s">
        <v>512</v>
      </c>
      <c r="E12" s="197" t="s">
        <v>513</v>
      </c>
      <c r="F12" s="197" t="s">
        <v>514</v>
      </c>
      <c r="G12" s="197" t="s">
        <v>515</v>
      </c>
      <c r="H12" s="197" t="s">
        <v>516</v>
      </c>
      <c r="I12" s="195">
        <v>53301</v>
      </c>
      <c r="J12" s="195">
        <v>57050</v>
      </c>
      <c r="K12" s="196">
        <f>J12-C12</f>
        <v>334</v>
      </c>
      <c r="AM12" s="66" t="s">
        <v>517</v>
      </c>
      <c r="AN12" s="66">
        <v>8</v>
      </c>
      <c r="AO12" s="66">
        <v>10</v>
      </c>
      <c r="AP12" s="66">
        <v>12</v>
      </c>
      <c r="AQ12" s="66">
        <v>16</v>
      </c>
      <c r="AR12" s="66">
        <v>20</v>
      </c>
      <c r="AS12" s="66">
        <v>25</v>
      </c>
      <c r="AT12" s="66">
        <v>32</v>
      </c>
      <c r="AU12" s="66" t="s">
        <v>59</v>
      </c>
      <c r="AX12" s="240" t="s">
        <v>173</v>
      </c>
      <c r="AY12" s="240" t="s">
        <v>518</v>
      </c>
      <c r="AZ12" s="240" t="s">
        <v>519</v>
      </c>
      <c r="BA12" s="240" t="s">
        <v>520</v>
      </c>
      <c r="BB12" s="240" t="s">
        <v>59</v>
      </c>
      <c r="BC12" s="182" t="s">
        <v>174</v>
      </c>
      <c r="BD12" s="241" t="s">
        <v>521</v>
      </c>
      <c r="BE12" s="247" t="s">
        <v>522</v>
      </c>
      <c r="BF12" s="247" t="s">
        <v>71</v>
      </c>
      <c r="BG12" s="247" t="s">
        <v>155</v>
      </c>
      <c r="BH12" s="184" t="s">
        <v>523</v>
      </c>
      <c r="BI12" s="184" t="s">
        <v>72</v>
      </c>
    </row>
    <row r="13" spans="2:65" ht="18.75">
      <c r="B13" s="195" t="s">
        <v>524</v>
      </c>
      <c r="C13" s="196">
        <v>55939</v>
      </c>
      <c r="D13" s="197" t="s">
        <v>525</v>
      </c>
      <c r="E13" s="197" t="s">
        <v>526</v>
      </c>
      <c r="F13" s="197" t="s">
        <v>527</v>
      </c>
      <c r="G13" s="197" t="s">
        <v>516</v>
      </c>
      <c r="H13" s="197" t="s">
        <v>528</v>
      </c>
      <c r="I13" s="195">
        <v>52718.999999999993</v>
      </c>
      <c r="J13" s="195">
        <v>57049.999999999993</v>
      </c>
      <c r="K13" s="196">
        <f t="shared" si="0"/>
        <v>1110.9999999999927</v>
      </c>
      <c r="AM13" s="67" t="s">
        <v>518</v>
      </c>
      <c r="AN13" s="65"/>
      <c r="AO13" s="65"/>
      <c r="AP13" s="65"/>
      <c r="AQ13" s="65">
        <v>122</v>
      </c>
      <c r="AR13" s="65">
        <v>151</v>
      </c>
      <c r="AS13" s="65"/>
      <c r="AT13" s="65"/>
      <c r="AU13" s="65">
        <v>273</v>
      </c>
      <c r="AX13" s="29">
        <v>10</v>
      </c>
      <c r="AY13" s="29">
        <v>0</v>
      </c>
      <c r="AZ13" s="29">
        <v>0</v>
      </c>
      <c r="BA13" s="29">
        <v>35</v>
      </c>
      <c r="BB13" s="29">
        <v>35</v>
      </c>
      <c r="BC13" s="43">
        <v>200</v>
      </c>
      <c r="BD13" s="29">
        <v>35</v>
      </c>
      <c r="BE13" s="29">
        <v>45967</v>
      </c>
      <c r="BF13" s="29">
        <v>1300</v>
      </c>
      <c r="BG13" s="29">
        <f>BE13+BF13</f>
        <v>47267</v>
      </c>
      <c r="BH13" s="43">
        <f>44900+2500</f>
        <v>47400</v>
      </c>
      <c r="BI13" s="177">
        <f>BH13-BG13</f>
        <v>133</v>
      </c>
    </row>
    <row r="14" spans="2:65" ht="18.75">
      <c r="B14" s="195" t="s">
        <v>529</v>
      </c>
      <c r="C14" s="196">
        <v>52500</v>
      </c>
      <c r="D14" s="197" t="s">
        <v>530</v>
      </c>
      <c r="E14" s="197" t="s">
        <v>531</v>
      </c>
      <c r="F14" s="197" t="s">
        <v>532</v>
      </c>
      <c r="G14" s="197" t="s">
        <v>533</v>
      </c>
      <c r="H14" s="197" t="s">
        <v>534</v>
      </c>
      <c r="I14" s="195">
        <v>54850</v>
      </c>
      <c r="J14" s="195">
        <v>55375.999755859375</v>
      </c>
      <c r="K14" s="196">
        <f t="shared" si="0"/>
        <v>2875.999755859375</v>
      </c>
      <c r="AM14" s="67" t="s">
        <v>519</v>
      </c>
      <c r="AN14" s="65">
        <v>100</v>
      </c>
      <c r="AO14" s="65"/>
      <c r="AP14" s="65"/>
      <c r="AQ14" s="65"/>
      <c r="AR14" s="65"/>
      <c r="AS14" s="65">
        <v>130</v>
      </c>
      <c r="AT14" s="65">
        <v>160</v>
      </c>
      <c r="AU14" s="65">
        <v>390</v>
      </c>
      <c r="AX14" s="29">
        <v>12</v>
      </c>
      <c r="AY14" s="29">
        <v>0</v>
      </c>
      <c r="AZ14" s="29">
        <v>0</v>
      </c>
      <c r="BA14" s="29">
        <v>123</v>
      </c>
      <c r="BB14" s="29">
        <v>123</v>
      </c>
      <c r="BC14" s="43">
        <v>150</v>
      </c>
      <c r="BD14" s="29">
        <v>123</v>
      </c>
      <c r="BE14" s="29">
        <v>46069</v>
      </c>
      <c r="BF14" s="29">
        <v>1300</v>
      </c>
      <c r="BG14" s="29">
        <f t="shared" ref="BG14:BG18" si="1">BE14+BF14</f>
        <v>47369</v>
      </c>
      <c r="BH14" s="43">
        <f>44900+1000</f>
        <v>45900</v>
      </c>
      <c r="BI14" s="177">
        <f t="shared" ref="BI14:BI18" si="2">BH14-BG14</f>
        <v>-1469</v>
      </c>
      <c r="BK14" s="225">
        <v>10</v>
      </c>
      <c r="BL14" s="225">
        <v>501</v>
      </c>
      <c r="BM14">
        <f>BL14*1000/2571</f>
        <v>194.86581096849474</v>
      </c>
    </row>
    <row r="15" spans="2:65" ht="18.75">
      <c r="B15" s="195" t="s">
        <v>535</v>
      </c>
      <c r="C15" s="196">
        <v>48300</v>
      </c>
      <c r="D15" s="197" t="s">
        <v>536</v>
      </c>
      <c r="E15" s="197" t="s">
        <v>537</v>
      </c>
      <c r="F15" s="197" t="s">
        <v>538</v>
      </c>
      <c r="G15" s="197" t="s">
        <v>507</v>
      </c>
      <c r="H15" s="197" t="s">
        <v>539</v>
      </c>
      <c r="I15" s="195">
        <v>47330</v>
      </c>
      <c r="J15" s="195">
        <v>51050</v>
      </c>
      <c r="K15" s="196">
        <f t="shared" si="0"/>
        <v>2750</v>
      </c>
      <c r="AM15" s="67" t="s">
        <v>520</v>
      </c>
      <c r="AN15" s="65"/>
      <c r="AO15" s="65">
        <v>35</v>
      </c>
      <c r="AP15" s="65">
        <v>123</v>
      </c>
      <c r="AQ15" s="65"/>
      <c r="AR15" s="65">
        <v>9</v>
      </c>
      <c r="AS15" s="65"/>
      <c r="AT15" s="65"/>
      <c r="AU15" s="65">
        <v>167</v>
      </c>
      <c r="AX15" s="29">
        <v>16</v>
      </c>
      <c r="AY15" s="29">
        <v>122</v>
      </c>
      <c r="AZ15" s="29">
        <v>0</v>
      </c>
      <c r="BA15" s="29">
        <v>0</v>
      </c>
      <c r="BB15" s="29">
        <v>122</v>
      </c>
      <c r="BC15" s="43">
        <v>140</v>
      </c>
      <c r="BD15" s="29">
        <v>122</v>
      </c>
      <c r="BE15" s="29">
        <v>45967</v>
      </c>
      <c r="BF15" s="29">
        <v>1300</v>
      </c>
      <c r="BG15" s="29">
        <f t="shared" si="1"/>
        <v>47267</v>
      </c>
      <c r="BH15" s="43">
        <v>44900</v>
      </c>
      <c r="BI15" s="177">
        <f t="shared" si="2"/>
        <v>-2367</v>
      </c>
      <c r="BK15" s="225">
        <v>12</v>
      </c>
      <c r="BL15" s="225">
        <v>367</v>
      </c>
      <c r="BM15">
        <f t="shared" ref="BM15:BM19" si="3">BL15*1000/2571</f>
        <v>142.74601322442629</v>
      </c>
    </row>
    <row r="16" spans="2:65" ht="15.75">
      <c r="AM16" s="67" t="s">
        <v>540</v>
      </c>
      <c r="AN16" s="65">
        <v>7</v>
      </c>
      <c r="AO16" s="65">
        <v>0</v>
      </c>
      <c r="AP16" s="65">
        <v>0</v>
      </c>
      <c r="AQ16" s="65">
        <v>0</v>
      </c>
      <c r="AR16" s="65">
        <v>0</v>
      </c>
      <c r="AS16" s="65">
        <v>0</v>
      </c>
      <c r="AT16" s="65"/>
      <c r="AU16" s="65">
        <v>7</v>
      </c>
      <c r="AX16" s="29">
        <v>20</v>
      </c>
      <c r="AY16" s="29">
        <v>151</v>
      </c>
      <c r="AZ16" s="29">
        <v>0</v>
      </c>
      <c r="BA16" s="29">
        <v>9</v>
      </c>
      <c r="BB16" s="29">
        <v>160</v>
      </c>
      <c r="BC16" s="43">
        <v>140</v>
      </c>
      <c r="BD16" s="29">
        <v>140</v>
      </c>
      <c r="BE16" s="29">
        <v>45993</v>
      </c>
      <c r="BF16" s="29">
        <v>1300</v>
      </c>
      <c r="BG16" s="29">
        <f t="shared" si="1"/>
        <v>47293</v>
      </c>
      <c r="BH16" s="43">
        <v>44900</v>
      </c>
      <c r="BI16" s="177">
        <f t="shared" si="2"/>
        <v>-2393</v>
      </c>
      <c r="BK16" s="225">
        <v>16</v>
      </c>
      <c r="BL16" s="225">
        <v>348</v>
      </c>
      <c r="BM16">
        <f t="shared" si="3"/>
        <v>135.35589264877478</v>
      </c>
    </row>
    <row r="17" spans="2:92" ht="15.75">
      <c r="AM17" s="66" t="s">
        <v>59</v>
      </c>
      <c r="AN17" s="68">
        <v>107</v>
      </c>
      <c r="AO17" s="68">
        <v>35</v>
      </c>
      <c r="AP17" s="68">
        <v>123</v>
      </c>
      <c r="AQ17" s="68">
        <v>122</v>
      </c>
      <c r="AR17" s="68">
        <v>160</v>
      </c>
      <c r="AS17" s="68">
        <v>130</v>
      </c>
      <c r="AT17" s="68">
        <v>160</v>
      </c>
      <c r="AU17" s="68">
        <v>837</v>
      </c>
      <c r="AX17" s="29">
        <v>25</v>
      </c>
      <c r="AY17" s="29">
        <v>0</v>
      </c>
      <c r="AZ17" s="29">
        <v>130</v>
      </c>
      <c r="BA17" s="29">
        <v>0</v>
      </c>
      <c r="BB17" s="29">
        <v>130</v>
      </c>
      <c r="BC17" s="43">
        <v>150</v>
      </c>
      <c r="BD17" s="29">
        <v>130</v>
      </c>
      <c r="BE17" s="29">
        <v>45967</v>
      </c>
      <c r="BF17" s="29">
        <v>1300</v>
      </c>
      <c r="BG17" s="29">
        <f t="shared" si="1"/>
        <v>47267</v>
      </c>
      <c r="BH17" s="43">
        <v>44900</v>
      </c>
      <c r="BI17" s="177">
        <f t="shared" si="2"/>
        <v>-2367</v>
      </c>
      <c r="BK17" s="225">
        <v>20</v>
      </c>
      <c r="BL17" s="225">
        <v>346</v>
      </c>
      <c r="BM17">
        <f t="shared" si="3"/>
        <v>134.57798521975886</v>
      </c>
    </row>
    <row r="18" spans="2:92" ht="15.75">
      <c r="B18" s="14"/>
      <c r="E18" s="539" t="s">
        <v>541</v>
      </c>
      <c r="F18" s="540"/>
      <c r="G18" s="540"/>
      <c r="H18" s="540"/>
      <c r="I18" s="540"/>
      <c r="J18" s="540"/>
      <c r="K18" s="541"/>
      <c r="AX18" s="29">
        <v>32</v>
      </c>
      <c r="AY18" s="29">
        <v>0</v>
      </c>
      <c r="AZ18" s="29">
        <v>160</v>
      </c>
      <c r="BA18" s="29">
        <v>0</v>
      </c>
      <c r="BB18" s="29">
        <v>160</v>
      </c>
      <c r="BC18" s="43">
        <v>240</v>
      </c>
      <c r="BD18" s="29">
        <v>160</v>
      </c>
      <c r="BE18" s="29">
        <v>47482</v>
      </c>
      <c r="BF18" s="29">
        <v>1300</v>
      </c>
      <c r="BG18" s="29">
        <f t="shared" si="1"/>
        <v>48782</v>
      </c>
      <c r="BH18" s="43">
        <v>44900</v>
      </c>
      <c r="BI18" s="177">
        <f t="shared" si="2"/>
        <v>-3882</v>
      </c>
      <c r="BK18" s="225">
        <v>25</v>
      </c>
      <c r="BL18" s="225">
        <v>392</v>
      </c>
      <c r="BM18">
        <f t="shared" si="3"/>
        <v>152.46985608712563</v>
      </c>
    </row>
    <row r="19" spans="2:92" ht="15.75">
      <c r="B19" s="199" t="s">
        <v>542</v>
      </c>
      <c r="C19" s="200" t="s">
        <v>325</v>
      </c>
      <c r="D19" s="201" t="s">
        <v>330</v>
      </c>
      <c r="E19" s="203" t="s">
        <v>138</v>
      </c>
      <c r="F19" s="204" t="s">
        <v>224</v>
      </c>
      <c r="G19" s="204" t="s">
        <v>226</v>
      </c>
      <c r="H19" s="204" t="s">
        <v>361</v>
      </c>
      <c r="I19" s="204" t="s">
        <v>424</v>
      </c>
      <c r="J19" s="204" t="s">
        <v>425</v>
      </c>
      <c r="K19" s="205" t="s">
        <v>543</v>
      </c>
      <c r="AX19" s="245" t="s">
        <v>59</v>
      </c>
      <c r="AY19" s="245">
        <f>SUM(AY13:AY18)</f>
        <v>273</v>
      </c>
      <c r="AZ19" s="245">
        <f t="shared" ref="AZ19:BD19" si="4">SUM(AZ13:AZ18)</f>
        <v>290</v>
      </c>
      <c r="BA19" s="245">
        <f t="shared" si="4"/>
        <v>167</v>
      </c>
      <c r="BB19" s="245">
        <f t="shared" si="4"/>
        <v>730</v>
      </c>
      <c r="BC19" s="245">
        <f t="shared" si="4"/>
        <v>1020</v>
      </c>
      <c r="BD19" s="245">
        <f t="shared" si="4"/>
        <v>710</v>
      </c>
      <c r="BE19" s="43"/>
      <c r="BF19" s="43"/>
      <c r="BG19" s="129">
        <f>SUMPRODUCT(BG13:BG18,BD13:BD18)/BD19</f>
        <v>47631.20563380282</v>
      </c>
      <c r="BH19" s="184" t="s">
        <v>544</v>
      </c>
      <c r="BI19" s="189">
        <f>SUMPRODUCT(BI13:BI18,BD13:BD18)/BD19</f>
        <v>-2434.7267605633801</v>
      </c>
      <c r="BK19" s="225">
        <v>32</v>
      </c>
      <c r="BL19" s="225">
        <v>617</v>
      </c>
      <c r="BM19">
        <f t="shared" si="3"/>
        <v>239.98444185141969</v>
      </c>
    </row>
    <row r="20" spans="2:92">
      <c r="B20" s="206" t="e">
        <f>#REF!+1</f>
        <v>#REF!</v>
      </c>
      <c r="C20" s="207" t="s">
        <v>381</v>
      </c>
      <c r="D20" s="208" t="s">
        <v>96</v>
      </c>
      <c r="E20" s="209">
        <v>46550</v>
      </c>
      <c r="F20" s="14">
        <v>45600</v>
      </c>
      <c r="G20" s="14">
        <v>45000</v>
      </c>
      <c r="H20" s="14">
        <v>47900</v>
      </c>
      <c r="I20" s="14" t="s">
        <v>545</v>
      </c>
      <c r="J20" s="14">
        <v>44500</v>
      </c>
      <c r="K20" s="210">
        <v>44050</v>
      </c>
      <c r="AM20" s="66" t="s">
        <v>517</v>
      </c>
      <c r="AN20" s="66">
        <v>8</v>
      </c>
      <c r="AO20" s="66">
        <v>10</v>
      </c>
      <c r="AP20" s="66">
        <v>12</v>
      </c>
      <c r="AQ20" s="66">
        <v>16</v>
      </c>
      <c r="AR20" s="66">
        <v>20</v>
      </c>
      <c r="AS20" s="66">
        <v>25</v>
      </c>
      <c r="AT20" s="66">
        <v>32</v>
      </c>
      <c r="AU20" s="66" t="s">
        <v>59</v>
      </c>
      <c r="AX20" s="14"/>
      <c r="AY20" s="14"/>
      <c r="AZ20" s="14"/>
      <c r="BA20" s="14"/>
      <c r="BB20" s="14"/>
      <c r="BC20" s="14"/>
      <c r="BD20" s="14"/>
    </row>
    <row r="21" spans="2:92">
      <c r="B21" s="206" t="e">
        <f>B20+1</f>
        <v>#REF!</v>
      </c>
      <c r="C21" s="207" t="s">
        <v>385</v>
      </c>
      <c r="D21" s="208" t="s">
        <v>384</v>
      </c>
      <c r="E21" s="209">
        <v>46550</v>
      </c>
      <c r="F21" s="14">
        <v>45600</v>
      </c>
      <c r="G21" s="14">
        <v>46000</v>
      </c>
      <c r="H21" s="14">
        <v>47400</v>
      </c>
      <c r="I21" s="14" t="s">
        <v>545</v>
      </c>
      <c r="J21" s="14">
        <v>45500</v>
      </c>
      <c r="K21" s="210">
        <v>45250</v>
      </c>
      <c r="Q21" s="66" t="s">
        <v>546</v>
      </c>
      <c r="R21" s="66" t="s">
        <v>547</v>
      </c>
      <c r="S21" s="66"/>
      <c r="T21" s="66"/>
      <c r="U21" s="66"/>
      <c r="V21" s="66"/>
      <c r="W21" s="66"/>
      <c r="X21" s="66"/>
      <c r="Y21" s="66"/>
      <c r="AD21" s="215" t="s">
        <v>548</v>
      </c>
      <c r="AE21" s="215" t="s">
        <v>110</v>
      </c>
      <c r="AF21" s="11"/>
      <c r="AM21" s="67" t="s">
        <v>518</v>
      </c>
      <c r="AN21" s="65">
        <v>60</v>
      </c>
      <c r="AO21" s="65">
        <v>97</v>
      </c>
      <c r="AP21" s="65"/>
      <c r="AQ21" s="65"/>
      <c r="AR21" s="65"/>
      <c r="AS21" s="65"/>
      <c r="AT21" s="65"/>
      <c r="AU21" s="65">
        <v>157</v>
      </c>
      <c r="AX21" s="14"/>
      <c r="AY21" s="14"/>
      <c r="AZ21" s="14"/>
      <c r="BA21" s="14"/>
      <c r="BB21" s="14"/>
      <c r="BC21" s="14"/>
      <c r="BD21" s="14"/>
    </row>
    <row r="22" spans="2:92">
      <c r="B22" s="206" t="e">
        <f>B21+1</f>
        <v>#REF!</v>
      </c>
      <c r="C22" s="207" t="s">
        <v>549</v>
      </c>
      <c r="D22" s="208" t="s">
        <v>111</v>
      </c>
      <c r="E22" s="209">
        <v>46550</v>
      </c>
      <c r="F22" s="14">
        <v>45850</v>
      </c>
      <c r="G22" s="14">
        <v>45000</v>
      </c>
      <c r="H22" s="14">
        <v>47900</v>
      </c>
      <c r="I22" s="14" t="s">
        <v>545</v>
      </c>
      <c r="J22" s="14">
        <v>44500</v>
      </c>
      <c r="K22" s="210">
        <v>44350</v>
      </c>
      <c r="Q22" s="66" t="s">
        <v>517</v>
      </c>
      <c r="R22" s="66">
        <v>8</v>
      </c>
      <c r="S22" s="66">
        <v>10</v>
      </c>
      <c r="T22" s="66">
        <v>12</v>
      </c>
      <c r="U22" s="66">
        <v>16</v>
      </c>
      <c r="V22" s="66">
        <v>20</v>
      </c>
      <c r="W22" s="66">
        <v>25</v>
      </c>
      <c r="X22" s="66">
        <v>32</v>
      </c>
      <c r="Y22" s="66" t="s">
        <v>59</v>
      </c>
      <c r="AD22" s="217" t="s">
        <v>550</v>
      </c>
      <c r="AE22" s="217" t="s">
        <v>551</v>
      </c>
      <c r="AF22" s="130" t="s">
        <v>521</v>
      </c>
      <c r="AM22" s="67" t="s">
        <v>519</v>
      </c>
      <c r="AN22" s="65"/>
      <c r="AO22" s="65"/>
      <c r="AP22" s="65"/>
      <c r="AQ22" s="65"/>
      <c r="AR22" s="65">
        <v>9</v>
      </c>
      <c r="AS22" s="65"/>
      <c r="AT22" s="65">
        <v>16</v>
      </c>
      <c r="AU22" s="65">
        <v>25</v>
      </c>
      <c r="AX22" s="243" t="s">
        <v>24</v>
      </c>
      <c r="AY22" s="533" t="s">
        <v>510</v>
      </c>
      <c r="AZ22" s="533"/>
      <c r="BA22" s="533"/>
      <c r="BB22" s="533"/>
      <c r="BC22" s="14"/>
      <c r="BD22" s="14"/>
    </row>
    <row r="23" spans="2:92">
      <c r="Q23" s="67" t="s">
        <v>552</v>
      </c>
      <c r="R23" s="65"/>
      <c r="S23" s="65"/>
      <c r="T23" s="65"/>
      <c r="U23" s="65">
        <v>150</v>
      </c>
      <c r="V23" s="65"/>
      <c r="W23" s="65"/>
      <c r="X23" s="65"/>
      <c r="Y23" s="65">
        <v>150</v>
      </c>
      <c r="AD23" s="216">
        <v>12</v>
      </c>
      <c r="AE23" s="216">
        <v>40</v>
      </c>
      <c r="AF23" s="29">
        <v>39</v>
      </c>
      <c r="AM23" s="67" t="s">
        <v>540</v>
      </c>
      <c r="AN23" s="65"/>
      <c r="AO23" s="65"/>
      <c r="AP23" s="65">
        <v>56</v>
      </c>
      <c r="AQ23" s="65">
        <v>50</v>
      </c>
      <c r="AR23" s="65">
        <v>51</v>
      </c>
      <c r="AS23" s="65">
        <v>80</v>
      </c>
      <c r="AT23" s="65">
        <v>110</v>
      </c>
      <c r="AU23" s="65">
        <v>347</v>
      </c>
      <c r="AX23" s="29" t="s">
        <v>173</v>
      </c>
      <c r="AY23" s="29" t="s">
        <v>518</v>
      </c>
      <c r="AZ23" s="29" t="s">
        <v>519</v>
      </c>
      <c r="BA23" s="29" t="s">
        <v>540</v>
      </c>
      <c r="BB23" s="29" t="s">
        <v>59</v>
      </c>
      <c r="BC23" s="182" t="s">
        <v>553</v>
      </c>
      <c r="BD23" s="241" t="s">
        <v>521</v>
      </c>
    </row>
    <row r="24" spans="2:92">
      <c r="E24" s="537" t="s">
        <v>554</v>
      </c>
      <c r="F24" s="538"/>
      <c r="G24" s="538"/>
      <c r="H24" s="538"/>
      <c r="I24" s="538"/>
      <c r="J24" s="538"/>
      <c r="K24" s="538"/>
      <c r="Q24" s="67" t="s">
        <v>518</v>
      </c>
      <c r="R24" s="65">
        <v>150</v>
      </c>
      <c r="S24" s="65"/>
      <c r="T24" s="65"/>
      <c r="U24" s="65"/>
      <c r="V24" s="65">
        <v>200</v>
      </c>
      <c r="W24" s="65">
        <v>141</v>
      </c>
      <c r="X24" s="65">
        <v>190</v>
      </c>
      <c r="Y24" s="65">
        <v>681</v>
      </c>
      <c r="AD24" s="216">
        <v>16</v>
      </c>
      <c r="AE24" s="216">
        <v>60</v>
      </c>
      <c r="AF24" s="29">
        <v>45</v>
      </c>
      <c r="AM24" s="66" t="s">
        <v>59</v>
      </c>
      <c r="AN24" s="68">
        <v>60</v>
      </c>
      <c r="AO24" s="68">
        <v>97</v>
      </c>
      <c r="AP24" s="68">
        <v>56</v>
      </c>
      <c r="AQ24" s="68">
        <v>50</v>
      </c>
      <c r="AR24" s="68">
        <v>60</v>
      </c>
      <c r="AS24" s="68">
        <v>80</v>
      </c>
      <c r="AT24" s="68">
        <v>126</v>
      </c>
      <c r="AU24" s="68">
        <v>529</v>
      </c>
      <c r="AX24" s="29">
        <v>10</v>
      </c>
      <c r="AY24" s="29">
        <v>97</v>
      </c>
      <c r="AZ24" s="29">
        <v>0</v>
      </c>
      <c r="BA24" s="29">
        <v>0</v>
      </c>
      <c r="BB24" s="29">
        <f>SUM(AY24:BA24)</f>
        <v>97</v>
      </c>
      <c r="BC24" s="29">
        <f>BC13-BD13</f>
        <v>165</v>
      </c>
      <c r="BD24" s="43">
        <v>97</v>
      </c>
      <c r="BE24">
        <f>BC24-BD24</f>
        <v>68</v>
      </c>
    </row>
    <row r="25" spans="2:92">
      <c r="C25" s="211"/>
      <c r="D25" s="199" t="s">
        <v>555</v>
      </c>
      <c r="E25" s="202" t="s">
        <v>138</v>
      </c>
      <c r="F25" s="202" t="s">
        <v>224</v>
      </c>
      <c r="G25" s="202" t="s">
        <v>226</v>
      </c>
      <c r="H25" s="202" t="s">
        <v>361</v>
      </c>
      <c r="I25" s="202" t="s">
        <v>424</v>
      </c>
      <c r="J25" s="202" t="s">
        <v>425</v>
      </c>
      <c r="K25" s="202" t="s">
        <v>543</v>
      </c>
      <c r="Q25" s="67" t="s">
        <v>520</v>
      </c>
      <c r="R25" s="65"/>
      <c r="S25" s="65">
        <v>59</v>
      </c>
      <c r="T25" s="65">
        <v>183</v>
      </c>
      <c r="U25" s="65">
        <v>38</v>
      </c>
      <c r="V25" s="65">
        <v>9</v>
      </c>
      <c r="W25" s="65"/>
      <c r="X25" s="65"/>
      <c r="Y25" s="65">
        <v>289</v>
      </c>
      <c r="AD25" s="216">
        <v>20</v>
      </c>
      <c r="AE25" s="216">
        <v>50</v>
      </c>
      <c r="AF25" s="29">
        <v>18</v>
      </c>
      <c r="AX25" s="29">
        <v>12</v>
      </c>
      <c r="AY25" s="29">
        <v>0</v>
      </c>
      <c r="AZ25" s="29">
        <v>0</v>
      </c>
      <c r="BA25" s="29">
        <v>56</v>
      </c>
      <c r="BB25" s="29">
        <f t="shared" ref="BB25:BB29" si="5">SUM(AY25:BA25)</f>
        <v>56</v>
      </c>
      <c r="BC25" s="29">
        <f t="shared" ref="BC25:BC29" si="6">BC14-BD14</f>
        <v>27</v>
      </c>
      <c r="BD25" s="43">
        <v>27</v>
      </c>
    </row>
    <row r="26" spans="2:92">
      <c r="C26" s="212"/>
      <c r="D26" s="11" t="s">
        <v>556</v>
      </c>
      <c r="E26" s="43">
        <v>47550</v>
      </c>
      <c r="F26" s="43">
        <v>47550</v>
      </c>
      <c r="G26" s="43">
        <v>47000</v>
      </c>
      <c r="H26" s="43">
        <v>48900</v>
      </c>
      <c r="I26" s="43" t="s">
        <v>426</v>
      </c>
      <c r="J26" s="43">
        <v>43300</v>
      </c>
      <c r="K26" s="43">
        <v>47200</v>
      </c>
      <c r="Q26" s="67" t="s">
        <v>540</v>
      </c>
      <c r="R26" s="65">
        <v>12</v>
      </c>
      <c r="S26" s="65"/>
      <c r="T26" s="65"/>
      <c r="U26" s="65"/>
      <c r="V26" s="65"/>
      <c r="W26" s="65"/>
      <c r="X26" s="65"/>
      <c r="Y26" s="65">
        <v>12</v>
      </c>
      <c r="AD26" s="216">
        <v>32</v>
      </c>
      <c r="AE26" s="216">
        <v>30</v>
      </c>
      <c r="AF26" s="29">
        <v>18</v>
      </c>
      <c r="AX26" s="29">
        <v>16</v>
      </c>
      <c r="AY26" s="29">
        <v>0</v>
      </c>
      <c r="AZ26" s="29">
        <v>0</v>
      </c>
      <c r="BA26" s="29">
        <v>50</v>
      </c>
      <c r="BB26" s="29">
        <f t="shared" si="5"/>
        <v>50</v>
      </c>
      <c r="BC26" s="29">
        <f t="shared" si="6"/>
        <v>18</v>
      </c>
      <c r="BD26" s="43">
        <v>18</v>
      </c>
    </row>
    <row r="27" spans="2:92">
      <c r="C27" s="212"/>
      <c r="D27" s="11" t="s">
        <v>554</v>
      </c>
      <c r="E27" s="43">
        <v>50250</v>
      </c>
      <c r="F27" s="43">
        <v>50050</v>
      </c>
      <c r="G27" s="43">
        <v>48600</v>
      </c>
      <c r="H27" s="43">
        <v>52300</v>
      </c>
      <c r="I27" s="43" t="s">
        <v>426</v>
      </c>
      <c r="J27" s="43">
        <v>44300</v>
      </c>
      <c r="K27" s="43">
        <v>48500</v>
      </c>
      <c r="Q27" s="66" t="s">
        <v>59</v>
      </c>
      <c r="R27" s="68">
        <v>162</v>
      </c>
      <c r="S27" s="68">
        <v>59</v>
      </c>
      <c r="T27" s="68">
        <v>183</v>
      </c>
      <c r="U27" s="68">
        <v>188</v>
      </c>
      <c r="V27" s="68">
        <v>209</v>
      </c>
      <c r="W27" s="68">
        <v>141</v>
      </c>
      <c r="X27" s="68">
        <v>190</v>
      </c>
      <c r="Y27" s="68">
        <v>1132</v>
      </c>
      <c r="AD27" s="144" t="s">
        <v>180</v>
      </c>
      <c r="AE27" s="144">
        <f>SUM(AE23:AE26)</f>
        <v>180</v>
      </c>
      <c r="AF27" s="144">
        <f>SUM(AF23:AF26)</f>
        <v>120</v>
      </c>
      <c r="AM27" s="66" t="s">
        <v>517</v>
      </c>
      <c r="AN27" s="66">
        <v>8</v>
      </c>
      <c r="AO27" s="66">
        <v>10</v>
      </c>
      <c r="AP27" s="66">
        <v>12</v>
      </c>
      <c r="AQ27" s="66">
        <v>16</v>
      </c>
      <c r="AR27" s="66">
        <v>20</v>
      </c>
      <c r="AS27" s="66">
        <v>25</v>
      </c>
      <c r="AT27" s="66">
        <v>32</v>
      </c>
      <c r="AU27" s="66" t="s">
        <v>59</v>
      </c>
      <c r="AX27" s="29">
        <v>20</v>
      </c>
      <c r="AY27" s="29">
        <v>0</v>
      </c>
      <c r="AZ27" s="29">
        <v>9</v>
      </c>
      <c r="BA27" s="29">
        <v>51</v>
      </c>
      <c r="BB27" s="29">
        <f t="shared" si="5"/>
        <v>60</v>
      </c>
      <c r="BC27" s="29">
        <f t="shared" si="6"/>
        <v>0</v>
      </c>
      <c r="BD27" s="43">
        <v>0</v>
      </c>
    </row>
    <row r="28" spans="2:92">
      <c r="C28" s="207"/>
      <c r="D28" s="213"/>
      <c r="E28" s="209"/>
      <c r="F28" s="14"/>
      <c r="G28" s="14"/>
      <c r="H28" s="14"/>
      <c r="I28" s="14"/>
      <c r="J28" s="14"/>
      <c r="K28" s="14"/>
      <c r="AM28" s="67" t="s">
        <v>518</v>
      </c>
      <c r="AN28" s="65"/>
      <c r="AO28" s="65"/>
      <c r="AP28" s="65"/>
      <c r="AQ28" s="65"/>
      <c r="AR28" s="65"/>
      <c r="AS28" s="65"/>
      <c r="AT28" s="65">
        <v>194</v>
      </c>
      <c r="AU28" s="65">
        <v>194</v>
      </c>
      <c r="AX28" s="29">
        <v>25</v>
      </c>
      <c r="AY28" s="29">
        <v>0</v>
      </c>
      <c r="AZ28" s="29">
        <v>0</v>
      </c>
      <c r="BA28" s="29">
        <v>80</v>
      </c>
      <c r="BB28" s="29">
        <f t="shared" si="5"/>
        <v>80</v>
      </c>
      <c r="BC28" s="29">
        <f t="shared" si="6"/>
        <v>20</v>
      </c>
      <c r="BD28" s="43">
        <v>20</v>
      </c>
    </row>
    <row r="29" spans="2:92">
      <c r="AM29" s="67" t="s">
        <v>519</v>
      </c>
      <c r="AN29" s="65"/>
      <c r="AO29" s="65">
        <v>192</v>
      </c>
      <c r="AP29" s="65"/>
      <c r="AQ29" s="65"/>
      <c r="AR29" s="65">
        <v>188</v>
      </c>
      <c r="AS29" s="65"/>
      <c r="AT29" s="65"/>
      <c r="AU29" s="65">
        <v>380</v>
      </c>
      <c r="AX29" s="29">
        <v>32</v>
      </c>
      <c r="AY29" s="29">
        <v>0</v>
      </c>
      <c r="AZ29" s="29">
        <v>16</v>
      </c>
      <c r="BA29" s="29">
        <v>110</v>
      </c>
      <c r="BB29" s="29">
        <f t="shared" si="5"/>
        <v>126</v>
      </c>
      <c r="BC29" s="29">
        <f t="shared" si="6"/>
        <v>80</v>
      </c>
      <c r="BD29" s="43">
        <v>80</v>
      </c>
    </row>
    <row r="30" spans="2:92">
      <c r="AM30" s="67" t="s">
        <v>557</v>
      </c>
      <c r="AN30" s="65">
        <v>93</v>
      </c>
      <c r="AO30" s="65"/>
      <c r="AP30" s="65"/>
      <c r="AQ30" s="65"/>
      <c r="AR30" s="65"/>
      <c r="AS30" s="65"/>
      <c r="AT30" s="65"/>
      <c r="AU30" s="65">
        <v>93</v>
      </c>
      <c r="AX30" s="245" t="s">
        <v>59</v>
      </c>
      <c r="AY30" s="245">
        <f>SUM(AY24:AY29)</f>
        <v>97</v>
      </c>
      <c r="AZ30" s="245">
        <f t="shared" ref="AZ30:BD30" si="7">SUM(AZ24:AZ29)</f>
        <v>25</v>
      </c>
      <c r="BA30" s="245">
        <f t="shared" si="7"/>
        <v>347</v>
      </c>
      <c r="BB30" s="245">
        <f t="shared" si="7"/>
        <v>469</v>
      </c>
      <c r="BC30" s="245">
        <f t="shared" si="7"/>
        <v>310</v>
      </c>
      <c r="BD30" s="245">
        <f t="shared" si="7"/>
        <v>242</v>
      </c>
    </row>
    <row r="31" spans="2:92">
      <c r="AM31" s="67" t="s">
        <v>520</v>
      </c>
      <c r="AN31" s="65"/>
      <c r="AO31" s="65"/>
      <c r="AP31" s="65"/>
      <c r="AQ31" s="65"/>
      <c r="AR31" s="65"/>
      <c r="AS31" s="65">
        <v>12</v>
      </c>
      <c r="AT31" s="65"/>
      <c r="AU31" s="65">
        <v>12</v>
      </c>
      <c r="AX31" s="27"/>
      <c r="AY31" s="27"/>
      <c r="AZ31" s="27"/>
      <c r="BA31" s="27"/>
      <c r="BB31" s="27"/>
      <c r="BC31" s="27"/>
      <c r="BD31" s="27"/>
      <c r="BJ31" s="29"/>
    </row>
    <row r="32" spans="2:92">
      <c r="AM32" s="67" t="s">
        <v>540</v>
      </c>
      <c r="AN32" s="65"/>
      <c r="AO32" s="65"/>
      <c r="AP32" s="65">
        <v>77</v>
      </c>
      <c r="AQ32" s="65">
        <v>22</v>
      </c>
      <c r="AR32" s="65"/>
      <c r="AS32" s="65"/>
      <c r="AT32" s="65"/>
      <c r="AU32" s="65">
        <v>99</v>
      </c>
      <c r="AX32" s="246" t="s">
        <v>47</v>
      </c>
      <c r="AY32" s="532" t="s">
        <v>510</v>
      </c>
      <c r="AZ32" s="532"/>
      <c r="BA32" s="532"/>
      <c r="BB32" s="532"/>
      <c r="BC32" s="532"/>
      <c r="BD32" s="29"/>
      <c r="BE32" s="29"/>
      <c r="BF32" s="29"/>
      <c r="BG32" s="29"/>
      <c r="BH32" s="29"/>
      <c r="BI32" s="29"/>
      <c r="BJ32" s="184" t="s">
        <v>72</v>
      </c>
      <c r="BS32">
        <v>8</v>
      </c>
      <c r="BT32">
        <v>10</v>
      </c>
      <c r="BU32">
        <v>12</v>
      </c>
      <c r="BV32">
        <v>16</v>
      </c>
      <c r="BW32">
        <v>20</v>
      </c>
      <c r="BX32">
        <v>25</v>
      </c>
      <c r="BY32">
        <v>32</v>
      </c>
      <c r="CD32" s="250" t="s">
        <v>173</v>
      </c>
      <c r="CE32" s="250" t="s">
        <v>47</v>
      </c>
      <c r="CF32" s="250" t="s">
        <v>558</v>
      </c>
      <c r="CG32" s="250" t="s">
        <v>24</v>
      </c>
      <c r="CH32" s="250" t="s">
        <v>559</v>
      </c>
      <c r="CI32" s="250" t="s">
        <v>560</v>
      </c>
      <c r="CJ32" s="250" t="s">
        <v>47</v>
      </c>
      <c r="CK32" s="250" t="s">
        <v>558</v>
      </c>
      <c r="CL32" s="250" t="s">
        <v>24</v>
      </c>
      <c r="CM32" s="250" t="s">
        <v>559</v>
      </c>
      <c r="CN32" s="250" t="s">
        <v>560</v>
      </c>
    </row>
    <row r="33" spans="10:93">
      <c r="AM33" s="66" t="s">
        <v>59</v>
      </c>
      <c r="AN33" s="68">
        <v>93</v>
      </c>
      <c r="AO33" s="68">
        <v>192</v>
      </c>
      <c r="AP33" s="68">
        <v>77</v>
      </c>
      <c r="AQ33" s="68">
        <v>22</v>
      </c>
      <c r="AR33" s="68">
        <v>188</v>
      </c>
      <c r="AS33" s="68">
        <v>12</v>
      </c>
      <c r="AT33" s="68">
        <v>194</v>
      </c>
      <c r="AU33" s="68">
        <v>778</v>
      </c>
      <c r="AX33" s="29" t="s">
        <v>173</v>
      </c>
      <c r="AY33" s="29" t="s">
        <v>518</v>
      </c>
      <c r="AZ33" s="29" t="s">
        <v>519</v>
      </c>
      <c r="BA33" s="29" t="s">
        <v>520</v>
      </c>
      <c r="BB33" s="29" t="s">
        <v>540</v>
      </c>
      <c r="BC33" s="29" t="s">
        <v>59</v>
      </c>
      <c r="BD33" s="244" t="s">
        <v>174</v>
      </c>
      <c r="BE33" s="241" t="s">
        <v>521</v>
      </c>
      <c r="BF33" s="247" t="s">
        <v>522</v>
      </c>
      <c r="BG33" s="247" t="s">
        <v>71</v>
      </c>
      <c r="BH33" s="247" t="s">
        <v>155</v>
      </c>
      <c r="BI33" s="184" t="s">
        <v>523</v>
      </c>
      <c r="BJ33" s="177">
        <f>BI34-BH34</f>
        <v>-860</v>
      </c>
      <c r="BS33">
        <v>93</v>
      </c>
      <c r="BT33">
        <v>192</v>
      </c>
      <c r="BU33">
        <v>77</v>
      </c>
      <c r="BV33">
        <v>22</v>
      </c>
      <c r="BW33">
        <v>188</v>
      </c>
      <c r="BX33">
        <v>12</v>
      </c>
      <c r="BY33">
        <v>194</v>
      </c>
      <c r="CD33" s="29">
        <v>8</v>
      </c>
      <c r="CE33" s="29" cm="1">
        <f t="array" ref="CE33:CE39">TRANSPOSE(BS33:BY33)</f>
        <v>93</v>
      </c>
      <c r="CF33" s="29" cm="1">
        <f t="array" ref="CF33:CF39">TRANSPOSE(BS36:BY36)</f>
        <v>28</v>
      </c>
      <c r="CG33" s="29" cm="1">
        <f t="array" ref="CG33:CG39">TRANSPOSE(BS39:BY39)</f>
        <v>60</v>
      </c>
      <c r="CH33" s="29" cm="1">
        <f t="array" ref="CH33:CH39">TRANSPOSE(BS42:BY42)</f>
        <v>107</v>
      </c>
      <c r="CI33" s="29" cm="1">
        <f t="array" ref="CI33:CI39">TRANSPOSE(BS45:BY45)</f>
        <v>166</v>
      </c>
      <c r="CJ33" s="43">
        <f>CJ34+1500</f>
        <v>45232</v>
      </c>
      <c r="CK33" s="43">
        <f t="shared" ref="CK33:CN33" si="8">CK34+1500</f>
        <v>47417</v>
      </c>
      <c r="CL33" s="43">
        <f t="shared" si="8"/>
        <v>44642</v>
      </c>
      <c r="CM33" s="43">
        <f t="shared" si="8"/>
        <v>45750</v>
      </c>
      <c r="CN33" s="43">
        <f t="shared" si="8"/>
        <v>46550</v>
      </c>
    </row>
    <row r="34" spans="10:93">
      <c r="J34">
        <v>47550</v>
      </c>
      <c r="K34">
        <v>47550</v>
      </c>
      <c r="L34">
        <v>47000</v>
      </c>
      <c r="M34">
        <v>48900</v>
      </c>
      <c r="N34" t="s">
        <v>426</v>
      </c>
      <c r="O34">
        <v>43300</v>
      </c>
      <c r="P34">
        <v>47200</v>
      </c>
      <c r="AX34" s="29">
        <v>10</v>
      </c>
      <c r="AY34" s="29">
        <v>0</v>
      </c>
      <c r="AZ34" s="29">
        <v>192</v>
      </c>
      <c r="BA34" s="29">
        <v>0</v>
      </c>
      <c r="BB34" s="29">
        <v>0</v>
      </c>
      <c r="BC34" s="29">
        <f>SUM(AY34:BB34)</f>
        <v>192</v>
      </c>
      <c r="BD34" s="29">
        <f>BC13-BD13</f>
        <v>165</v>
      </c>
      <c r="BE34" s="29">
        <v>165</v>
      </c>
      <c r="BF34" s="43">
        <v>45010</v>
      </c>
      <c r="BG34" s="43">
        <v>3250</v>
      </c>
      <c r="BH34" s="43">
        <f>BF34+BG34</f>
        <v>48260</v>
      </c>
      <c r="BI34" s="43">
        <f>BI36+2500</f>
        <v>47400</v>
      </c>
      <c r="BJ34" s="177">
        <f t="shared" ref="BJ34:BJ38" si="9">BI35-BH35</f>
        <v>-5107</v>
      </c>
      <c r="CD34" s="29">
        <v>10</v>
      </c>
      <c r="CE34" s="29">
        <v>192</v>
      </c>
      <c r="CF34" s="29">
        <v>7</v>
      </c>
      <c r="CG34" s="29">
        <v>97</v>
      </c>
      <c r="CH34" s="29">
        <v>35</v>
      </c>
      <c r="CI34" s="29">
        <v>135</v>
      </c>
      <c r="CJ34" s="43">
        <f>CJ35+500</f>
        <v>43732</v>
      </c>
      <c r="CK34" s="43">
        <f t="shared" ref="CK34:CN34" si="10">CK35+500</f>
        <v>45917</v>
      </c>
      <c r="CL34" s="43">
        <f t="shared" si="10"/>
        <v>43142</v>
      </c>
      <c r="CM34" s="43">
        <f t="shared" si="10"/>
        <v>44250</v>
      </c>
      <c r="CN34" s="43">
        <f t="shared" si="10"/>
        <v>45050</v>
      </c>
    </row>
    <row r="35" spans="10:93">
      <c r="J35">
        <v>50250</v>
      </c>
      <c r="K35">
        <v>50050</v>
      </c>
      <c r="L35">
        <v>48600</v>
      </c>
      <c r="M35">
        <v>52300</v>
      </c>
      <c r="N35" t="s">
        <v>426</v>
      </c>
      <c r="O35">
        <v>44300</v>
      </c>
      <c r="P35">
        <v>48500</v>
      </c>
      <c r="AX35" s="29">
        <v>12</v>
      </c>
      <c r="AY35" s="29">
        <v>0</v>
      </c>
      <c r="AZ35" s="29">
        <v>0</v>
      </c>
      <c r="BA35" s="29">
        <v>0</v>
      </c>
      <c r="BB35" s="29">
        <v>77</v>
      </c>
      <c r="BC35" s="29">
        <f t="shared" ref="BC35:BC39" si="11">SUM(AY35:BB35)</f>
        <v>77</v>
      </c>
      <c r="BD35" s="29">
        <f t="shared" ref="BD35:BD39" si="12">BC14-BD14</f>
        <v>27</v>
      </c>
      <c r="BE35" s="29">
        <v>27</v>
      </c>
      <c r="BF35" s="43">
        <v>47757</v>
      </c>
      <c r="BG35" s="43">
        <v>3250</v>
      </c>
      <c r="BH35" s="43">
        <f t="shared" ref="BH35:BH39" si="13">BF35+BG35</f>
        <v>51007</v>
      </c>
      <c r="BI35" s="43">
        <f>BI36+1000</f>
        <v>45900</v>
      </c>
      <c r="BJ35" s="177">
        <f t="shared" si="9"/>
        <v>-6107</v>
      </c>
      <c r="CD35" s="29">
        <v>12</v>
      </c>
      <c r="CE35" s="29">
        <v>77</v>
      </c>
      <c r="CF35" s="29">
        <v>42</v>
      </c>
      <c r="CG35" s="29">
        <v>56</v>
      </c>
      <c r="CH35" s="29">
        <v>123</v>
      </c>
      <c r="CI35" s="29">
        <v>249</v>
      </c>
      <c r="CJ35" s="43">
        <f>41982+1250</f>
        <v>43232</v>
      </c>
      <c r="CK35" s="43">
        <f>44617+800</f>
        <v>45417</v>
      </c>
      <c r="CL35" s="43">
        <f>41642+1000</f>
        <v>42642</v>
      </c>
      <c r="CM35" s="43">
        <f>42750+1000</f>
        <v>43750</v>
      </c>
      <c r="CN35" s="43">
        <f>43550+1000</f>
        <v>44550</v>
      </c>
    </row>
    <row r="36" spans="10:93">
      <c r="AX36" s="29">
        <v>16</v>
      </c>
      <c r="AY36" s="29">
        <v>0</v>
      </c>
      <c r="AZ36" s="29">
        <v>0</v>
      </c>
      <c r="BA36" s="29">
        <v>0</v>
      </c>
      <c r="BB36" s="29">
        <v>22</v>
      </c>
      <c r="BC36" s="29">
        <f t="shared" si="11"/>
        <v>22</v>
      </c>
      <c r="BD36" s="29">
        <f t="shared" si="12"/>
        <v>18</v>
      </c>
      <c r="BE36" s="29">
        <v>18</v>
      </c>
      <c r="BF36" s="43">
        <v>47757</v>
      </c>
      <c r="BG36" s="43">
        <v>3250</v>
      </c>
      <c r="BH36" s="43">
        <f t="shared" si="13"/>
        <v>51007</v>
      </c>
      <c r="BI36" s="43">
        <v>44900</v>
      </c>
      <c r="BJ36" s="177">
        <f t="shared" si="9"/>
        <v>-1815</v>
      </c>
      <c r="BS36">
        <v>28</v>
      </c>
      <c r="BT36">
        <v>7</v>
      </c>
      <c r="BU36">
        <v>42</v>
      </c>
      <c r="BV36">
        <v>11</v>
      </c>
      <c r="BW36">
        <v>47</v>
      </c>
      <c r="BX36">
        <v>97</v>
      </c>
      <c r="BY36">
        <v>0</v>
      </c>
      <c r="CD36" s="29">
        <v>16</v>
      </c>
      <c r="CE36" s="29">
        <v>22</v>
      </c>
      <c r="CF36" s="29">
        <v>11</v>
      </c>
      <c r="CG36" s="29">
        <v>50</v>
      </c>
      <c r="CH36" s="29">
        <v>122</v>
      </c>
      <c r="CI36" s="29">
        <v>163</v>
      </c>
      <c r="CJ36" s="43">
        <f t="shared" ref="CJ36:CN39" si="14">41982+1250</f>
        <v>43232</v>
      </c>
      <c r="CK36" s="43">
        <f t="shared" si="14"/>
        <v>43232</v>
      </c>
      <c r="CL36" s="43">
        <f t="shared" si="14"/>
        <v>43232</v>
      </c>
      <c r="CM36" s="43">
        <f t="shared" si="14"/>
        <v>43232</v>
      </c>
      <c r="CN36" s="43">
        <f t="shared" si="14"/>
        <v>43232</v>
      </c>
    </row>
    <row r="37" spans="10:93">
      <c r="AX37" s="29">
        <v>20</v>
      </c>
      <c r="AY37" s="29">
        <v>0</v>
      </c>
      <c r="AZ37" s="29">
        <v>188</v>
      </c>
      <c r="BA37" s="29">
        <v>0</v>
      </c>
      <c r="BB37" s="29">
        <v>0</v>
      </c>
      <c r="BC37" s="29">
        <f t="shared" si="11"/>
        <v>188</v>
      </c>
      <c r="BD37" s="29">
        <f t="shared" si="12"/>
        <v>0</v>
      </c>
      <c r="BE37" s="29">
        <v>0</v>
      </c>
      <c r="BF37" s="43">
        <v>43465</v>
      </c>
      <c r="BG37" s="43">
        <v>3250</v>
      </c>
      <c r="BH37" s="43">
        <f t="shared" si="13"/>
        <v>46715</v>
      </c>
      <c r="BI37" s="43">
        <v>44900</v>
      </c>
      <c r="BJ37" s="177">
        <f t="shared" si="9"/>
        <v>-1829</v>
      </c>
      <c r="CD37" s="29">
        <v>20</v>
      </c>
      <c r="CE37" s="29">
        <v>188</v>
      </c>
      <c r="CF37" s="29">
        <v>47</v>
      </c>
      <c r="CG37" s="29">
        <v>60</v>
      </c>
      <c r="CH37" s="29">
        <v>160</v>
      </c>
      <c r="CI37" s="29">
        <v>256</v>
      </c>
      <c r="CJ37" s="43">
        <f t="shared" si="14"/>
        <v>43232</v>
      </c>
      <c r="CK37" s="43">
        <f t="shared" si="14"/>
        <v>43232</v>
      </c>
      <c r="CL37" s="43">
        <f t="shared" si="14"/>
        <v>43232</v>
      </c>
      <c r="CM37" s="43">
        <f t="shared" si="14"/>
        <v>43232</v>
      </c>
      <c r="CN37" s="43">
        <f t="shared" si="14"/>
        <v>43232</v>
      </c>
    </row>
    <row r="38" spans="10:93">
      <c r="AX38" s="29">
        <v>25</v>
      </c>
      <c r="AY38" s="29">
        <v>0</v>
      </c>
      <c r="AZ38" s="29">
        <v>0</v>
      </c>
      <c r="BA38" s="29">
        <v>12</v>
      </c>
      <c r="BB38" s="29">
        <v>0</v>
      </c>
      <c r="BC38" s="29">
        <f t="shared" si="11"/>
        <v>12</v>
      </c>
      <c r="BD38" s="29">
        <f t="shared" si="12"/>
        <v>20</v>
      </c>
      <c r="BE38" s="29">
        <v>12</v>
      </c>
      <c r="BF38" s="43">
        <v>43479</v>
      </c>
      <c r="BG38" s="43">
        <v>3250</v>
      </c>
      <c r="BH38" s="43">
        <f t="shared" si="13"/>
        <v>46729</v>
      </c>
      <c r="BI38" s="43">
        <v>44900</v>
      </c>
      <c r="BJ38" s="177">
        <f t="shared" si="9"/>
        <v>-1815</v>
      </c>
      <c r="CD38" s="29">
        <v>25</v>
      </c>
      <c r="CE38" s="29">
        <v>12</v>
      </c>
      <c r="CF38" s="29">
        <v>97</v>
      </c>
      <c r="CG38" s="29">
        <v>80</v>
      </c>
      <c r="CH38" s="29">
        <v>130</v>
      </c>
      <c r="CI38" s="29">
        <v>82</v>
      </c>
      <c r="CJ38" s="43">
        <f t="shared" si="14"/>
        <v>43232</v>
      </c>
      <c r="CK38" s="43">
        <f t="shared" si="14"/>
        <v>43232</v>
      </c>
      <c r="CL38" s="43">
        <f t="shared" si="14"/>
        <v>43232</v>
      </c>
      <c r="CM38" s="43">
        <f t="shared" si="14"/>
        <v>43232</v>
      </c>
      <c r="CN38" s="43">
        <f t="shared" si="14"/>
        <v>43232</v>
      </c>
    </row>
    <row r="39" spans="10:93">
      <c r="AX39" s="29">
        <v>32</v>
      </c>
      <c r="AY39" s="29">
        <v>194</v>
      </c>
      <c r="AZ39" s="29">
        <v>0</v>
      </c>
      <c r="BA39" s="29">
        <v>0</v>
      </c>
      <c r="BB39" s="29">
        <v>0</v>
      </c>
      <c r="BC39" s="29">
        <f t="shared" si="11"/>
        <v>194</v>
      </c>
      <c r="BD39" s="29">
        <f t="shared" si="12"/>
        <v>80</v>
      </c>
      <c r="BE39" s="29">
        <v>80</v>
      </c>
      <c r="BF39" s="43">
        <v>43465</v>
      </c>
      <c r="BG39" s="43">
        <v>3250</v>
      </c>
      <c r="BH39" s="43">
        <f t="shared" si="13"/>
        <v>46715</v>
      </c>
      <c r="BI39" s="43">
        <v>44900</v>
      </c>
      <c r="BJ39" s="189">
        <f>SUMPRODUCT(BJ33:BJ38,BE34:BE39)/BE40</f>
        <v>-1843.9172185430464</v>
      </c>
      <c r="BS39">
        <v>60</v>
      </c>
      <c r="BT39">
        <v>97</v>
      </c>
      <c r="BU39">
        <v>56</v>
      </c>
      <c r="BV39">
        <v>50</v>
      </c>
      <c r="BW39">
        <v>60</v>
      </c>
      <c r="BX39">
        <v>80</v>
      </c>
      <c r="BY39">
        <v>126</v>
      </c>
      <c r="CD39" s="29">
        <v>32</v>
      </c>
      <c r="CE39" s="29">
        <v>194</v>
      </c>
      <c r="CF39" s="29">
        <v>0</v>
      </c>
      <c r="CG39" s="29">
        <v>126</v>
      </c>
      <c r="CH39" s="29">
        <v>160</v>
      </c>
      <c r="CI39" s="29">
        <v>102</v>
      </c>
      <c r="CJ39" s="43">
        <f>CJ35+1500</f>
        <v>44732</v>
      </c>
      <c r="CK39" s="43">
        <f t="shared" ref="CK39:CN39" si="15">CK35+1500</f>
        <v>46917</v>
      </c>
      <c r="CL39" s="43">
        <f t="shared" si="15"/>
        <v>44142</v>
      </c>
      <c r="CM39" s="43">
        <f t="shared" si="15"/>
        <v>45250</v>
      </c>
      <c r="CN39" s="43">
        <f t="shared" si="15"/>
        <v>46050</v>
      </c>
    </row>
    <row r="40" spans="10:93">
      <c r="AX40" s="245" t="s">
        <v>59</v>
      </c>
      <c r="AY40" s="245">
        <f>SUM(AY34:AY39)</f>
        <v>194</v>
      </c>
      <c r="AZ40" s="245">
        <f t="shared" ref="AZ40:BE40" si="16">SUM(AZ34:AZ39)</f>
        <v>380</v>
      </c>
      <c r="BA40" s="245">
        <f t="shared" si="16"/>
        <v>12</v>
      </c>
      <c r="BB40" s="245">
        <f t="shared" si="16"/>
        <v>99</v>
      </c>
      <c r="BC40" s="245">
        <f t="shared" si="16"/>
        <v>685</v>
      </c>
      <c r="BD40" s="245">
        <f t="shared" si="16"/>
        <v>310</v>
      </c>
      <c r="BE40" s="245">
        <f t="shared" si="16"/>
        <v>302</v>
      </c>
      <c r="BF40" s="43"/>
      <c r="BG40" s="43"/>
      <c r="BH40" s="177">
        <f>SUMPRODUCT(BH34:BH39,BE34:BE39)/BE40</f>
        <v>48199.215231788083</v>
      </c>
      <c r="BI40" s="184" t="s">
        <v>561</v>
      </c>
      <c r="CD40" s="242" t="s">
        <v>180</v>
      </c>
      <c r="CE40" s="242">
        <f>SUM(CE33:CE39)</f>
        <v>778</v>
      </c>
      <c r="CF40" s="242">
        <f t="shared" ref="CF40:CI40" si="17">SUM(CF33:CF39)</f>
        <v>232</v>
      </c>
      <c r="CG40" s="242">
        <f t="shared" si="17"/>
        <v>529</v>
      </c>
      <c r="CH40" s="242">
        <f t="shared" si="17"/>
        <v>837</v>
      </c>
      <c r="CI40" s="242">
        <f t="shared" si="17"/>
        <v>1153</v>
      </c>
      <c r="CJ40" s="178">
        <f>SUMPRODUCT(CJ33:CJ39,CE33:CE39)/CE40</f>
        <v>43968.503856041134</v>
      </c>
      <c r="CK40" s="178">
        <f t="shared" ref="CK40:CN40" si="18">SUMPRODUCT(CK33:CK39,CF33:CF39)/CF40</f>
        <v>44213.659482758623</v>
      </c>
      <c r="CL40" s="178">
        <f t="shared" si="18"/>
        <v>43529.712665406427</v>
      </c>
      <c r="CM40" s="178">
        <f t="shared" si="18"/>
        <v>44058.344086021505</v>
      </c>
      <c r="CN40" s="178">
        <f>SUMPRODUCT(CN33:CN39,CI33:CI39)/CI40</f>
        <v>44456.489158716395</v>
      </c>
    </row>
    <row r="41" spans="10:93">
      <c r="CO41">
        <f>SUMPRODUCT(CJ40:CN40,CE40:CI40)/SUM(CE40:CI40)</f>
        <v>44099.588835364128</v>
      </c>
    </row>
    <row r="42" spans="10:93">
      <c r="AY42">
        <f>45/2</f>
        <v>22.5</v>
      </c>
      <c r="AZ42">
        <f>75/2</f>
        <v>37.5</v>
      </c>
      <c r="BA42">
        <v>75</v>
      </c>
      <c r="BB42">
        <v>110</v>
      </c>
      <c r="BS42">
        <v>107</v>
      </c>
      <c r="BT42">
        <v>35</v>
      </c>
      <c r="BU42">
        <v>123</v>
      </c>
      <c r="BV42">
        <v>122</v>
      </c>
      <c r="BW42">
        <v>160</v>
      </c>
      <c r="BX42">
        <v>130</v>
      </c>
      <c r="BY42">
        <v>160</v>
      </c>
    </row>
    <row r="43" spans="10:93">
      <c r="BB43">
        <f>SUMPRODUCT(AY42:BB42,AY40:BB40)/BC40</f>
        <v>44.386861313868614</v>
      </c>
      <c r="CM43">
        <f>16.23*10^7/3529</f>
        <v>45990.365542646643</v>
      </c>
      <c r="CO43">
        <f>CM43-CO41</f>
        <v>1890.7767072825154</v>
      </c>
    </row>
    <row r="44" spans="10:93">
      <c r="V44" t="s">
        <v>140</v>
      </c>
    </row>
    <row r="45" spans="10:93" ht="16.5">
      <c r="R45" s="230" t="s">
        <v>71</v>
      </c>
      <c r="S45" s="231" t="s">
        <v>58</v>
      </c>
      <c r="T45" s="231">
        <v>8</v>
      </c>
      <c r="U45" s="231">
        <v>10</v>
      </c>
      <c r="V45" s="231">
        <v>12</v>
      </c>
      <c r="W45" s="231">
        <v>16</v>
      </c>
      <c r="X45" s="231">
        <v>20</v>
      </c>
      <c r="Y45" s="231">
        <v>25</v>
      </c>
      <c r="Z45" s="231">
        <v>32</v>
      </c>
      <c r="AA45" s="231" t="s">
        <v>59</v>
      </c>
      <c r="BD45" s="130" t="s">
        <v>40</v>
      </c>
      <c r="BE45" s="130" t="s">
        <v>136</v>
      </c>
      <c r="BF45" s="130" t="s">
        <v>562</v>
      </c>
      <c r="BG45" s="130" t="s">
        <v>563</v>
      </c>
      <c r="BH45" s="130" t="s">
        <v>564</v>
      </c>
      <c r="BS45">
        <v>166</v>
      </c>
      <c r="BT45">
        <v>135</v>
      </c>
      <c r="BU45">
        <v>249</v>
      </c>
      <c r="BV45">
        <v>163</v>
      </c>
      <c r="BW45">
        <v>256</v>
      </c>
      <c r="BX45">
        <v>82</v>
      </c>
      <c r="BY45">
        <v>102</v>
      </c>
    </row>
    <row r="46" spans="10:93" ht="16.5">
      <c r="R46" s="232">
        <v>1300</v>
      </c>
      <c r="S46" s="233" t="s">
        <v>63</v>
      </c>
      <c r="T46" s="233">
        <v>107</v>
      </c>
      <c r="U46" s="236">
        <v>35</v>
      </c>
      <c r="V46" s="236">
        <v>138</v>
      </c>
      <c r="W46" s="236">
        <v>144</v>
      </c>
      <c r="X46" s="236">
        <v>160</v>
      </c>
      <c r="Y46" s="236">
        <v>130</v>
      </c>
      <c r="Z46" s="236">
        <v>160</v>
      </c>
      <c r="AA46" s="233">
        <v>874</v>
      </c>
      <c r="BD46" s="29" t="s">
        <v>37</v>
      </c>
      <c r="BE46" s="29">
        <v>710</v>
      </c>
      <c r="BF46" s="29">
        <v>47631</v>
      </c>
      <c r="BG46" s="29">
        <v>-2435</v>
      </c>
      <c r="BH46" s="29">
        <v>-150</v>
      </c>
      <c r="BI46">
        <v>41</v>
      </c>
    </row>
    <row r="47" spans="10:93" ht="16.5">
      <c r="R47" s="227">
        <v>3250</v>
      </c>
      <c r="S47" s="233" t="s">
        <v>60</v>
      </c>
      <c r="T47" s="233">
        <v>93</v>
      </c>
      <c r="U47" s="237">
        <v>192</v>
      </c>
      <c r="V47" s="237">
        <v>77</v>
      </c>
      <c r="W47" s="237">
        <v>22</v>
      </c>
      <c r="X47" s="238">
        <v>188</v>
      </c>
      <c r="Y47" s="237">
        <v>12</v>
      </c>
      <c r="Z47" s="237">
        <v>194</v>
      </c>
      <c r="AA47" s="233">
        <v>778</v>
      </c>
      <c r="BD47" s="29" t="s">
        <v>47</v>
      </c>
      <c r="BE47" s="29">
        <v>302</v>
      </c>
      <c r="BF47" s="29">
        <v>48199</v>
      </c>
      <c r="BG47" s="29">
        <v>-1844</v>
      </c>
      <c r="BH47" s="29">
        <v>-1582</v>
      </c>
      <c r="BI47">
        <v>45</v>
      </c>
    </row>
    <row r="48" spans="10:93" ht="16.5">
      <c r="R48" s="227">
        <v>3250</v>
      </c>
      <c r="S48" s="233" t="s">
        <v>61</v>
      </c>
      <c r="T48" s="233">
        <v>60</v>
      </c>
      <c r="U48" s="237">
        <v>97</v>
      </c>
      <c r="V48" s="237">
        <v>56</v>
      </c>
      <c r="W48" s="237">
        <v>50</v>
      </c>
      <c r="X48" s="237">
        <v>60</v>
      </c>
      <c r="Y48" s="237">
        <v>80</v>
      </c>
      <c r="Z48" s="237">
        <v>126</v>
      </c>
      <c r="AA48" s="233">
        <v>529</v>
      </c>
      <c r="BD48" s="248" t="s">
        <v>565</v>
      </c>
      <c r="BE48" s="248">
        <f>BE46+BE47</f>
        <v>1012</v>
      </c>
      <c r="BF48" s="249">
        <f>SUMPRODUCT(BF46:BF47,$BE$46:$BE$47)/$BE$48</f>
        <v>47800.501976284584</v>
      </c>
      <c r="BG48" s="249">
        <f>SUMPRODUCT(BG46:BG47,$BE$46:$BE$47)/$BE$48</f>
        <v>-2258.6343873517785</v>
      </c>
      <c r="BH48" s="249">
        <f>SUMPRODUCT(BH46:BH47,$BE$46:$BE$47)/$BE$48</f>
        <v>-577.33596837944663</v>
      </c>
      <c r="BI48">
        <f>SUMPRODUCT(BE46:BE47,BI46:BI47)/BE48</f>
        <v>42.193675889328063</v>
      </c>
    </row>
    <row r="49" spans="18:61" ht="32.25">
      <c r="R49" s="232">
        <v>1400</v>
      </c>
      <c r="S49" s="233" t="s">
        <v>62</v>
      </c>
      <c r="T49" s="233">
        <v>28</v>
      </c>
      <c r="U49" s="233">
        <v>7</v>
      </c>
      <c r="V49" s="233">
        <v>42</v>
      </c>
      <c r="W49" s="233">
        <v>11</v>
      </c>
      <c r="X49" s="233">
        <v>47</v>
      </c>
      <c r="Y49" s="233">
        <v>97</v>
      </c>
      <c r="Z49" s="233" t="s">
        <v>110</v>
      </c>
      <c r="AA49" s="233">
        <v>232</v>
      </c>
    </row>
    <row r="50" spans="18:61" ht="32.25">
      <c r="R50" s="227" t="s">
        <v>110</v>
      </c>
      <c r="S50" s="234" t="s">
        <v>253</v>
      </c>
      <c r="T50" s="234">
        <v>288</v>
      </c>
      <c r="U50" s="234">
        <v>331</v>
      </c>
      <c r="V50" s="234">
        <v>313</v>
      </c>
      <c r="W50" s="234">
        <v>227</v>
      </c>
      <c r="X50" s="234">
        <v>455</v>
      </c>
      <c r="Y50" s="234">
        <v>319</v>
      </c>
      <c r="Z50" s="234">
        <v>480</v>
      </c>
      <c r="AA50" s="234">
        <v>2413</v>
      </c>
      <c r="BG50" s="49">
        <f>BG48+1900</f>
        <v>-358.63438735177851</v>
      </c>
    </row>
    <row r="51" spans="18:61">
      <c r="R51" s="227" t="s">
        <v>110</v>
      </c>
      <c r="S51" s="235" t="s">
        <v>566</v>
      </c>
      <c r="T51" s="235" t="s">
        <v>110</v>
      </c>
      <c r="U51" s="235">
        <v>501</v>
      </c>
      <c r="V51" s="235">
        <v>367</v>
      </c>
      <c r="W51" s="235">
        <v>348</v>
      </c>
      <c r="X51" s="235">
        <v>346</v>
      </c>
      <c r="Y51" s="235">
        <v>392</v>
      </c>
      <c r="Z51" s="235">
        <v>617</v>
      </c>
      <c r="AA51" s="235">
        <v>2571</v>
      </c>
      <c r="BI51" t="s">
        <v>567</v>
      </c>
    </row>
    <row r="52" spans="18:61" ht="15.75">
      <c r="R52" s="227" t="s">
        <v>110</v>
      </c>
      <c r="S52" s="225"/>
      <c r="T52" s="226"/>
      <c r="U52" s="226"/>
      <c r="V52" s="226"/>
      <c r="W52" s="226"/>
      <c r="X52" s="226"/>
      <c r="Y52" s="226"/>
      <c r="Z52" s="226"/>
      <c r="AA52" s="226"/>
    </row>
    <row r="78" spans="20:28" ht="137.25">
      <c r="T78" s="221" t="s">
        <v>568</v>
      </c>
      <c r="U78" s="222" t="s">
        <v>569</v>
      </c>
      <c r="V78" s="222" t="s">
        <v>570</v>
      </c>
      <c r="W78" s="222" t="s">
        <v>571</v>
      </c>
      <c r="X78" s="223" t="s">
        <v>572</v>
      </c>
      <c r="Y78" s="223" t="s">
        <v>573</v>
      </c>
      <c r="Z78" s="223" t="s">
        <v>574</v>
      </c>
      <c r="AA78" s="223" t="s">
        <v>575</v>
      </c>
      <c r="AB78" s="223" t="s">
        <v>576</v>
      </c>
    </row>
    <row r="79" spans="20:28" ht="15.75">
      <c r="T79" s="224">
        <v>1</v>
      </c>
      <c r="U79" s="225">
        <v>10</v>
      </c>
      <c r="V79" s="225">
        <v>501</v>
      </c>
      <c r="W79" s="225">
        <v>35</v>
      </c>
      <c r="X79" s="226">
        <f>V79-W79</f>
        <v>466</v>
      </c>
      <c r="Y79" s="226">
        <v>97</v>
      </c>
      <c r="Z79" s="226">
        <f>X79-Y79</f>
        <v>369</v>
      </c>
      <c r="AA79" s="226">
        <v>192</v>
      </c>
      <c r="AB79" s="226">
        <f>Z79-AA79</f>
        <v>177</v>
      </c>
    </row>
    <row r="80" spans="20:28" ht="15.75">
      <c r="T80" s="224">
        <v>2</v>
      </c>
      <c r="U80" s="225">
        <v>12</v>
      </c>
      <c r="V80" s="225">
        <v>367</v>
      </c>
      <c r="W80" s="225">
        <v>138</v>
      </c>
      <c r="X80" s="226">
        <f t="shared" ref="X80:X84" si="19">V80-W80</f>
        <v>229</v>
      </c>
      <c r="Y80" s="226">
        <v>56</v>
      </c>
      <c r="Z80" s="226">
        <f t="shared" ref="Z80:Z84" si="20">X80-Y80</f>
        <v>173</v>
      </c>
      <c r="AA80" s="226">
        <v>77</v>
      </c>
      <c r="AB80" s="226">
        <f t="shared" ref="AB80:AB84" si="21">Z80-AA80</f>
        <v>96</v>
      </c>
    </row>
    <row r="81" spans="20:28" ht="15.75">
      <c r="T81" s="224">
        <v>3</v>
      </c>
      <c r="U81" s="225">
        <v>16</v>
      </c>
      <c r="V81" s="225">
        <v>348</v>
      </c>
      <c r="W81" s="225">
        <v>144</v>
      </c>
      <c r="X81" s="226">
        <f t="shared" si="19"/>
        <v>204</v>
      </c>
      <c r="Y81" s="225">
        <v>50</v>
      </c>
      <c r="Z81" s="226">
        <f t="shared" si="20"/>
        <v>154</v>
      </c>
      <c r="AA81" s="225">
        <v>22</v>
      </c>
      <c r="AB81" s="226">
        <f t="shared" si="21"/>
        <v>132</v>
      </c>
    </row>
    <row r="82" spans="20:28" ht="15.75">
      <c r="T82" s="224">
        <v>4</v>
      </c>
      <c r="U82" s="225">
        <v>20</v>
      </c>
      <c r="V82" s="225">
        <v>346</v>
      </c>
      <c r="W82" s="225">
        <v>160</v>
      </c>
      <c r="X82" s="226">
        <f t="shared" si="19"/>
        <v>186</v>
      </c>
      <c r="Y82" s="225">
        <v>60</v>
      </c>
      <c r="Z82" s="226">
        <f t="shared" si="20"/>
        <v>126</v>
      </c>
      <c r="AA82" s="225">
        <v>126</v>
      </c>
      <c r="AB82" s="226">
        <f t="shared" si="21"/>
        <v>0</v>
      </c>
    </row>
    <row r="83" spans="20:28" ht="15.75">
      <c r="T83" s="224">
        <v>5</v>
      </c>
      <c r="U83" s="225">
        <v>25</v>
      </c>
      <c r="V83" s="225">
        <v>392</v>
      </c>
      <c r="W83" s="225">
        <v>130</v>
      </c>
      <c r="X83" s="226">
        <f t="shared" si="19"/>
        <v>262</v>
      </c>
      <c r="Y83" s="226">
        <v>80</v>
      </c>
      <c r="Z83" s="226">
        <f t="shared" si="20"/>
        <v>182</v>
      </c>
      <c r="AA83" s="226">
        <v>12</v>
      </c>
      <c r="AB83" s="226">
        <f t="shared" si="21"/>
        <v>170</v>
      </c>
    </row>
    <row r="84" spans="20:28" ht="15.75">
      <c r="T84" s="224">
        <v>6</v>
      </c>
      <c r="U84" s="225">
        <v>32</v>
      </c>
      <c r="V84" s="225">
        <v>617</v>
      </c>
      <c r="W84" s="225">
        <v>160</v>
      </c>
      <c r="X84" s="226">
        <f t="shared" si="19"/>
        <v>457</v>
      </c>
      <c r="Y84" s="226">
        <v>126</v>
      </c>
      <c r="Z84" s="226">
        <f t="shared" si="20"/>
        <v>331</v>
      </c>
      <c r="AA84" s="226">
        <v>194</v>
      </c>
      <c r="AB84" s="226">
        <f t="shared" si="21"/>
        <v>137</v>
      </c>
    </row>
    <row r="85" spans="20:28" ht="16.5">
      <c r="T85" s="227" t="s">
        <v>110</v>
      </c>
      <c r="U85" s="228" t="s">
        <v>180</v>
      </c>
      <c r="V85" s="229">
        <f>SUM(V79:V84)</f>
        <v>2571</v>
      </c>
      <c r="W85" s="229">
        <f t="shared" ref="W85:AB85" si="22">SUM(W79:W84)</f>
        <v>767</v>
      </c>
      <c r="X85" s="229">
        <f t="shared" si="22"/>
        <v>1804</v>
      </c>
      <c r="Y85" s="229">
        <f t="shared" si="22"/>
        <v>469</v>
      </c>
      <c r="Z85" s="229">
        <f t="shared" si="22"/>
        <v>1335</v>
      </c>
      <c r="AA85" s="229">
        <f>SUM(AA79:AA84)</f>
        <v>623</v>
      </c>
      <c r="AB85" s="229">
        <f t="shared" si="22"/>
        <v>712</v>
      </c>
    </row>
    <row r="86" spans="20:28">
      <c r="U86" s="239" t="s">
        <v>253</v>
      </c>
      <c r="V86" s="239"/>
      <c r="W86" s="239">
        <v>874</v>
      </c>
      <c r="X86" s="239"/>
      <c r="Y86" s="239">
        <v>529</v>
      </c>
      <c r="Z86" s="239"/>
      <c r="AA86" s="239">
        <v>778</v>
      </c>
      <c r="AB86" s="239"/>
    </row>
  </sheetData>
  <mergeCells count="8">
    <mergeCell ref="AY32:BC32"/>
    <mergeCell ref="AY11:BC11"/>
    <mergeCell ref="AY22:BB22"/>
    <mergeCell ref="C3:E3"/>
    <mergeCell ref="G3:H3"/>
    <mergeCell ref="D4:E4"/>
    <mergeCell ref="E24:K24"/>
    <mergeCell ref="E18:K18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61446-41A2-46D6-ACC9-FF1AF108B0EA}">
  <dimension ref="A1:M12"/>
  <sheetViews>
    <sheetView workbookViewId="0">
      <selection activeCell="M22" sqref="M22"/>
    </sheetView>
  </sheetViews>
  <sheetFormatPr defaultRowHeight="15"/>
  <cols>
    <col min="1" max="1" width="25.85546875" customWidth="1"/>
    <col min="12" max="12" width="15.5703125" customWidth="1"/>
  </cols>
  <sheetData>
    <row r="1" spans="1:13">
      <c r="A1" s="147" t="s">
        <v>546</v>
      </c>
      <c r="B1" s="148" t="s">
        <v>547</v>
      </c>
      <c r="C1" s="148" t="s">
        <v>110</v>
      </c>
      <c r="D1" s="148" t="s">
        <v>110</v>
      </c>
      <c r="E1" s="148" t="s">
        <v>110</v>
      </c>
      <c r="F1" s="148" t="s">
        <v>110</v>
      </c>
      <c r="G1" s="148" t="s">
        <v>110</v>
      </c>
      <c r="H1" s="148" t="s">
        <v>110</v>
      </c>
      <c r="I1" s="148" t="s">
        <v>110</v>
      </c>
      <c r="J1" s="149" t="s">
        <v>110</v>
      </c>
    </row>
    <row r="2" spans="1:13">
      <c r="A2" s="150" t="s">
        <v>517</v>
      </c>
      <c r="B2" s="151">
        <v>8</v>
      </c>
      <c r="C2" s="151">
        <v>10</v>
      </c>
      <c r="D2" s="151">
        <v>12</v>
      </c>
      <c r="E2" s="151">
        <v>16</v>
      </c>
      <c r="F2" s="151">
        <v>20</v>
      </c>
      <c r="G2" s="151">
        <v>25</v>
      </c>
      <c r="H2" s="151">
        <v>32</v>
      </c>
      <c r="I2" s="151" t="s">
        <v>59</v>
      </c>
      <c r="J2" s="152" t="s">
        <v>110</v>
      </c>
    </row>
    <row r="3" spans="1:13">
      <c r="A3" s="153" t="s">
        <v>552</v>
      </c>
      <c r="B3" s="154" t="s">
        <v>110</v>
      </c>
      <c r="C3" s="154" t="s">
        <v>110</v>
      </c>
      <c r="D3" s="154" t="s">
        <v>110</v>
      </c>
      <c r="E3" s="154" t="s">
        <v>110</v>
      </c>
      <c r="F3" s="154" t="s">
        <v>110</v>
      </c>
      <c r="G3" s="154">
        <v>135</v>
      </c>
      <c r="H3" s="154" t="s">
        <v>110</v>
      </c>
      <c r="I3" s="154">
        <v>135</v>
      </c>
      <c r="J3" s="152" t="s">
        <v>110</v>
      </c>
    </row>
    <row r="4" spans="1:13">
      <c r="A4" s="153" t="s">
        <v>518</v>
      </c>
      <c r="B4" s="154" t="s">
        <v>110</v>
      </c>
      <c r="C4" s="154" t="s">
        <v>110</v>
      </c>
      <c r="D4" s="154" t="s">
        <v>110</v>
      </c>
      <c r="E4" s="154" t="s">
        <v>110</v>
      </c>
      <c r="F4" s="154">
        <v>75</v>
      </c>
      <c r="G4" s="154" t="s">
        <v>110</v>
      </c>
      <c r="H4" s="154" t="s">
        <v>110</v>
      </c>
      <c r="I4" s="154">
        <v>75</v>
      </c>
      <c r="J4" s="152" t="s">
        <v>110</v>
      </c>
    </row>
    <row r="5" spans="1:13">
      <c r="A5" s="153" t="s">
        <v>557</v>
      </c>
      <c r="B5" s="154" t="s">
        <v>110</v>
      </c>
      <c r="C5" s="154">
        <v>51</v>
      </c>
      <c r="D5" s="154" t="s">
        <v>110</v>
      </c>
      <c r="E5" s="154">
        <v>50</v>
      </c>
      <c r="F5" s="154" t="s">
        <v>110</v>
      </c>
      <c r="G5" s="154" t="s">
        <v>110</v>
      </c>
      <c r="H5" s="154" t="s">
        <v>110</v>
      </c>
      <c r="I5" s="154">
        <v>101</v>
      </c>
      <c r="J5" s="152" t="s">
        <v>110</v>
      </c>
    </row>
    <row r="6" spans="1:13">
      <c r="A6" s="153" t="s">
        <v>520</v>
      </c>
      <c r="B6" s="154" t="s">
        <v>110</v>
      </c>
      <c r="C6" s="154" t="s">
        <v>110</v>
      </c>
      <c r="D6" s="163">
        <v>88</v>
      </c>
      <c r="E6" s="154">
        <v>34</v>
      </c>
      <c r="F6" s="154">
        <v>12</v>
      </c>
      <c r="G6" s="154" t="s">
        <v>110</v>
      </c>
      <c r="H6" s="154" t="s">
        <v>110</v>
      </c>
      <c r="I6" s="154">
        <v>134</v>
      </c>
      <c r="J6" s="152" t="s">
        <v>110</v>
      </c>
      <c r="L6" t="s">
        <v>577</v>
      </c>
      <c r="M6">
        <f>I6+I7</f>
        <v>224</v>
      </c>
    </row>
    <row r="7" spans="1:13">
      <c r="A7" s="153" t="s">
        <v>540</v>
      </c>
      <c r="B7" s="163">
        <v>28</v>
      </c>
      <c r="C7" s="154">
        <v>0</v>
      </c>
      <c r="D7" s="154">
        <v>62</v>
      </c>
      <c r="E7" s="154">
        <v>0</v>
      </c>
      <c r="F7" s="154" t="s">
        <v>110</v>
      </c>
      <c r="G7" s="154" t="s">
        <v>110</v>
      </c>
      <c r="H7" s="154">
        <v>0</v>
      </c>
      <c r="I7" s="154">
        <v>90</v>
      </c>
      <c r="J7" s="152" t="s">
        <v>110</v>
      </c>
      <c r="L7" t="s">
        <v>578</v>
      </c>
      <c r="M7" s="164">
        <f>B7+D11</f>
        <v>70</v>
      </c>
    </row>
    <row r="8" spans="1:13">
      <c r="A8" s="150" t="s">
        <v>59</v>
      </c>
      <c r="B8" s="151">
        <v>28</v>
      </c>
      <c r="C8" s="151">
        <v>51</v>
      </c>
      <c r="D8" s="151">
        <v>150</v>
      </c>
      <c r="E8" s="151">
        <v>84</v>
      </c>
      <c r="F8" s="151">
        <v>87</v>
      </c>
      <c r="G8" s="151">
        <v>135</v>
      </c>
      <c r="H8" s="151">
        <v>0</v>
      </c>
      <c r="I8" s="151">
        <v>535</v>
      </c>
      <c r="J8" s="152" t="s">
        <v>110</v>
      </c>
    </row>
    <row r="9" spans="1:13">
      <c r="A9" s="155" t="s">
        <v>579</v>
      </c>
      <c r="B9" s="156" t="s">
        <v>110</v>
      </c>
      <c r="C9" s="155">
        <v>84</v>
      </c>
      <c r="D9" s="157">
        <v>108</v>
      </c>
      <c r="E9" s="157">
        <v>78</v>
      </c>
      <c r="F9" s="157">
        <v>39</v>
      </c>
      <c r="G9" s="157">
        <v>42</v>
      </c>
      <c r="H9" s="158">
        <v>27</v>
      </c>
      <c r="I9" s="156">
        <v>378</v>
      </c>
      <c r="J9" s="159" t="s">
        <v>110</v>
      </c>
      <c r="M9" s="35">
        <f>M7/M6</f>
        <v>0.3125</v>
      </c>
    </row>
    <row r="10" spans="1:13">
      <c r="A10" s="160"/>
      <c r="B10" s="160"/>
      <c r="C10" s="161">
        <v>51</v>
      </c>
      <c r="D10" s="162">
        <v>108</v>
      </c>
      <c r="E10" s="160"/>
      <c r="F10" s="160"/>
      <c r="G10" s="160"/>
      <c r="H10" s="160"/>
      <c r="I10" s="160"/>
      <c r="J10" s="160"/>
    </row>
    <row r="11" spans="1:13">
      <c r="A11" s="160" t="s">
        <v>580</v>
      </c>
      <c r="B11" s="160"/>
      <c r="C11" s="160">
        <v>-33</v>
      </c>
      <c r="D11" s="160">
        <v>42</v>
      </c>
      <c r="E11" s="160">
        <v>6</v>
      </c>
      <c r="F11" s="160">
        <v>48</v>
      </c>
      <c r="G11" s="160">
        <v>93</v>
      </c>
      <c r="H11" s="160">
        <v>-27</v>
      </c>
      <c r="I11" s="160">
        <v>157</v>
      </c>
      <c r="J11" s="160"/>
    </row>
    <row r="12" spans="1:13">
      <c r="D12">
        <f>108+28</f>
        <v>136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F542-BAED-4AC8-897A-546018162A6E}">
  <dimension ref="A1:B1608"/>
  <sheetViews>
    <sheetView workbookViewId="0"/>
  </sheetViews>
  <sheetFormatPr defaultRowHeight="15"/>
  <cols>
    <col min="1" max="1" width="27.5703125" style="14" customWidth="1"/>
    <col min="2" max="2" width="8.140625" style="14" customWidth="1"/>
  </cols>
  <sheetData>
    <row r="1" spans="1:2">
      <c r="A1" s="136"/>
    </row>
    <row r="2" spans="1:2">
      <c r="A2" s="136"/>
    </row>
    <row r="3" spans="1:2">
      <c r="A3" s="136"/>
    </row>
    <row r="4" spans="1:2">
      <c r="A4" s="136"/>
    </row>
    <row r="5" spans="1:2">
      <c r="A5" s="137"/>
    </row>
    <row r="7" spans="1:2">
      <c r="A7" s="136"/>
    </row>
    <row r="8" spans="1:2">
      <c r="A8" s="136"/>
    </row>
    <row r="9" spans="1:2">
      <c r="A9" s="136"/>
    </row>
    <row r="11" spans="1:2" ht="29.25">
      <c r="A11" s="137" t="s">
        <v>581</v>
      </c>
    </row>
    <row r="12" spans="1:2" ht="29.25">
      <c r="A12" s="137" t="s">
        <v>581</v>
      </c>
      <c r="B12" s="48">
        <f>(B1481-$P$1481)</f>
        <v>45200</v>
      </c>
    </row>
    <row r="13" spans="1:2" ht="30.75">
      <c r="A13" s="138" t="s">
        <v>582</v>
      </c>
      <c r="B13" s="48">
        <f>(B1360-$P$1360)</f>
        <v>41600</v>
      </c>
    </row>
    <row r="14" spans="1:2">
      <c r="A14" s="136"/>
    </row>
    <row r="15" spans="1:2">
      <c r="A15" s="136" t="s">
        <v>583</v>
      </c>
    </row>
    <row r="16" spans="1:2">
      <c r="A16" s="136" t="s">
        <v>584</v>
      </c>
      <c r="B16" s="14">
        <f>MROUND(B17,500)</f>
        <v>42500</v>
      </c>
    </row>
    <row r="17" spans="1:2">
      <c r="A17" s="136"/>
      <c r="B17" s="48">
        <f>B18-$P18</f>
        <v>42529.605263157893</v>
      </c>
    </row>
    <row r="18" spans="1:2">
      <c r="B18" s="48">
        <f>AVERAGE(B1243:B1608)</f>
        <v>42529.605263157893</v>
      </c>
    </row>
    <row r="19" spans="1:2">
      <c r="A19" s="139" t="s">
        <v>323</v>
      </c>
      <c r="B19"/>
    </row>
    <row r="20" spans="1:2">
      <c r="A20" s="139"/>
      <c r="B20" s="132" t="s">
        <v>154</v>
      </c>
    </row>
    <row r="21" spans="1:2">
      <c r="A21" s="140">
        <v>44287</v>
      </c>
      <c r="B21" s="133">
        <v>44800</v>
      </c>
    </row>
    <row r="22" spans="1:2">
      <c r="A22" s="140">
        <v>44288</v>
      </c>
      <c r="B22" s="133">
        <v>45100</v>
      </c>
    </row>
    <row r="23" spans="1:2">
      <c r="A23" s="140">
        <v>44289</v>
      </c>
      <c r="B23" s="133">
        <v>44900</v>
      </c>
    </row>
    <row r="24" spans="1:2">
      <c r="A24" s="140">
        <v>44290</v>
      </c>
      <c r="B24" s="133" t="s">
        <v>585</v>
      </c>
    </row>
    <row r="25" spans="1:2">
      <c r="A25" s="140">
        <v>44291</v>
      </c>
      <c r="B25" s="133">
        <v>44900</v>
      </c>
    </row>
    <row r="26" spans="1:2">
      <c r="A26" s="140">
        <v>44292</v>
      </c>
      <c r="B26" s="133">
        <v>45100</v>
      </c>
    </row>
    <row r="27" spans="1:2">
      <c r="A27" s="140">
        <v>44293</v>
      </c>
      <c r="B27" s="133">
        <v>44900</v>
      </c>
    </row>
    <row r="28" spans="1:2">
      <c r="A28" s="140">
        <v>44294</v>
      </c>
      <c r="B28" s="133">
        <v>44700</v>
      </c>
    </row>
    <row r="29" spans="1:2">
      <c r="A29" s="140">
        <v>44295</v>
      </c>
      <c r="B29" s="133">
        <v>44300</v>
      </c>
    </row>
    <row r="30" spans="1:2">
      <c r="A30" s="140">
        <v>44296</v>
      </c>
      <c r="B30" s="133">
        <v>44300</v>
      </c>
    </row>
    <row r="31" spans="1:2">
      <c r="A31" s="140">
        <v>44297</v>
      </c>
      <c r="B31" s="133" t="s">
        <v>585</v>
      </c>
    </row>
    <row r="32" spans="1:2">
      <c r="A32" s="140">
        <v>44298</v>
      </c>
      <c r="B32" s="133">
        <v>44900</v>
      </c>
    </row>
    <row r="33" spans="1:2">
      <c r="A33" s="140">
        <v>44299</v>
      </c>
      <c r="B33" s="133">
        <v>44900</v>
      </c>
    </row>
    <row r="34" spans="1:2">
      <c r="A34" s="140">
        <v>44300</v>
      </c>
      <c r="B34" s="133">
        <v>44900</v>
      </c>
    </row>
    <row r="35" spans="1:2">
      <c r="A35" s="140">
        <v>44301</v>
      </c>
      <c r="B35" s="133">
        <v>46400</v>
      </c>
    </row>
    <row r="36" spans="1:2">
      <c r="A36" s="140">
        <v>44302</v>
      </c>
      <c r="B36" s="133">
        <v>47300</v>
      </c>
    </row>
    <row r="37" spans="1:2">
      <c r="A37" s="140">
        <v>44303</v>
      </c>
      <c r="B37" s="133">
        <v>47300</v>
      </c>
    </row>
    <row r="38" spans="1:2">
      <c r="A38" s="140">
        <v>44304</v>
      </c>
      <c r="B38" s="133" t="s">
        <v>585</v>
      </c>
    </row>
    <row r="39" spans="1:2">
      <c r="A39" s="140">
        <v>44305</v>
      </c>
      <c r="B39" s="133">
        <v>47000</v>
      </c>
    </row>
    <row r="40" spans="1:2">
      <c r="A40" s="140">
        <v>44306</v>
      </c>
      <c r="B40" s="133">
        <v>46000</v>
      </c>
    </row>
    <row r="41" spans="1:2">
      <c r="A41" s="140">
        <v>44307</v>
      </c>
      <c r="B41" s="133">
        <v>45900</v>
      </c>
    </row>
    <row r="42" spans="1:2">
      <c r="A42" s="140">
        <v>44308</v>
      </c>
      <c r="B42" s="133">
        <v>46000</v>
      </c>
    </row>
    <row r="43" spans="1:2">
      <c r="A43" s="140">
        <v>44309</v>
      </c>
      <c r="B43" s="133">
        <v>46200</v>
      </c>
    </row>
    <row r="44" spans="1:2">
      <c r="A44" s="140">
        <v>44310</v>
      </c>
      <c r="B44" s="133">
        <v>46100</v>
      </c>
    </row>
    <row r="45" spans="1:2">
      <c r="A45" s="140">
        <v>44311</v>
      </c>
      <c r="B45" s="133" t="s">
        <v>585</v>
      </c>
    </row>
    <row r="46" spans="1:2">
      <c r="A46" s="140">
        <v>44312</v>
      </c>
      <c r="B46" s="133">
        <v>45800</v>
      </c>
    </row>
    <row r="47" spans="1:2">
      <c r="A47" s="140">
        <v>44313</v>
      </c>
      <c r="B47" s="133">
        <v>45600</v>
      </c>
    </row>
    <row r="48" spans="1:2">
      <c r="A48" s="140">
        <v>44314</v>
      </c>
      <c r="B48" s="133">
        <v>45600</v>
      </c>
    </row>
    <row r="49" spans="1:2">
      <c r="A49" s="140">
        <v>44315</v>
      </c>
      <c r="B49" s="133">
        <v>45800</v>
      </c>
    </row>
    <row r="50" spans="1:2">
      <c r="A50" s="140">
        <v>44316</v>
      </c>
      <c r="B50" s="133">
        <v>45700</v>
      </c>
    </row>
    <row r="51" spans="1:2">
      <c r="A51" s="140">
        <v>44317</v>
      </c>
      <c r="B51" s="133">
        <v>46100</v>
      </c>
    </row>
    <row r="52" spans="1:2">
      <c r="A52" s="140">
        <v>44318</v>
      </c>
      <c r="B52" s="133" t="s">
        <v>585</v>
      </c>
    </row>
    <row r="53" spans="1:2">
      <c r="A53" s="140">
        <v>44319</v>
      </c>
      <c r="B53" s="133">
        <v>46600</v>
      </c>
    </row>
    <row r="54" spans="1:2">
      <c r="A54" s="140">
        <v>44320</v>
      </c>
      <c r="B54" s="133">
        <v>46600</v>
      </c>
    </row>
    <row r="55" spans="1:2">
      <c r="A55" s="140">
        <v>44321</v>
      </c>
      <c r="B55" s="133">
        <v>46300</v>
      </c>
    </row>
    <row r="56" spans="1:2">
      <c r="A56" s="140">
        <v>44322</v>
      </c>
      <c r="B56" s="133">
        <v>45800</v>
      </c>
    </row>
    <row r="57" spans="1:2">
      <c r="A57" s="140">
        <v>44323</v>
      </c>
      <c r="B57" s="133">
        <v>45800</v>
      </c>
    </row>
    <row r="58" spans="1:2">
      <c r="A58" s="140">
        <v>44324</v>
      </c>
      <c r="B58" s="133">
        <v>46300</v>
      </c>
    </row>
    <row r="59" spans="1:2">
      <c r="A59" s="140">
        <v>44325</v>
      </c>
      <c r="B59" s="133" t="s">
        <v>585</v>
      </c>
    </row>
    <row r="60" spans="1:2">
      <c r="A60" s="140">
        <v>44326</v>
      </c>
      <c r="B60" s="133">
        <v>46400</v>
      </c>
    </row>
    <row r="61" spans="1:2">
      <c r="A61" s="140">
        <v>44327</v>
      </c>
      <c r="B61" s="133">
        <v>47400</v>
      </c>
    </row>
    <row r="62" spans="1:2">
      <c r="A62" s="140">
        <v>44328</v>
      </c>
      <c r="B62" s="133">
        <v>47600</v>
      </c>
    </row>
    <row r="63" spans="1:2">
      <c r="A63" s="140">
        <v>44329</v>
      </c>
      <c r="B63" s="133">
        <v>48000</v>
      </c>
    </row>
    <row r="64" spans="1:2">
      <c r="A64" s="140">
        <v>44330</v>
      </c>
      <c r="B64" s="133">
        <v>47600</v>
      </c>
    </row>
    <row r="65" spans="1:2">
      <c r="A65" s="140">
        <v>44331</v>
      </c>
      <c r="B65" s="133">
        <v>47600</v>
      </c>
    </row>
    <row r="66" spans="1:2">
      <c r="A66" s="140">
        <v>44332</v>
      </c>
      <c r="B66" s="133" t="s">
        <v>585</v>
      </c>
    </row>
    <row r="67" spans="1:2">
      <c r="A67" s="140">
        <v>44333</v>
      </c>
      <c r="B67" s="133">
        <v>47600</v>
      </c>
    </row>
    <row r="68" spans="1:2">
      <c r="A68" s="140">
        <v>44334</v>
      </c>
      <c r="B68" s="133">
        <v>47000</v>
      </c>
    </row>
    <row r="69" spans="1:2">
      <c r="A69" s="140">
        <v>44335</v>
      </c>
      <c r="B69" s="133">
        <v>46200</v>
      </c>
    </row>
    <row r="70" spans="1:2">
      <c r="A70" s="140">
        <v>44336</v>
      </c>
      <c r="B70" s="133">
        <v>46300</v>
      </c>
    </row>
    <row r="71" spans="1:2">
      <c r="A71" s="140">
        <v>44337</v>
      </c>
      <c r="B71" s="133">
        <v>45500</v>
      </c>
    </row>
    <row r="72" spans="1:2">
      <c r="A72" s="140">
        <v>44338</v>
      </c>
      <c r="B72" s="133">
        <v>45600</v>
      </c>
    </row>
    <row r="73" spans="1:2">
      <c r="A73" s="140">
        <v>44339</v>
      </c>
      <c r="B73" s="133" t="s">
        <v>585</v>
      </c>
    </row>
    <row r="74" spans="1:2">
      <c r="A74" s="140">
        <v>44340</v>
      </c>
      <c r="B74" s="133">
        <v>45400</v>
      </c>
    </row>
    <row r="75" spans="1:2">
      <c r="A75" s="140">
        <v>44341</v>
      </c>
      <c r="B75" s="133">
        <v>45200</v>
      </c>
    </row>
    <row r="76" spans="1:2">
      <c r="A76" s="140">
        <v>44342</v>
      </c>
      <c r="B76" s="133">
        <v>44900</v>
      </c>
    </row>
    <row r="77" spans="1:2">
      <c r="A77" s="140">
        <v>44343</v>
      </c>
      <c r="B77" s="133">
        <v>44300</v>
      </c>
    </row>
    <row r="78" spans="1:2">
      <c r="A78" s="140">
        <v>44344</v>
      </c>
      <c r="B78" s="133">
        <v>44700</v>
      </c>
    </row>
    <row r="79" spans="1:2">
      <c r="A79" s="140">
        <v>44345</v>
      </c>
      <c r="B79" s="133">
        <v>44700</v>
      </c>
    </row>
    <row r="80" spans="1:2">
      <c r="A80" s="140">
        <v>44346</v>
      </c>
      <c r="B80" s="133" t="s">
        <v>585</v>
      </c>
    </row>
    <row r="81" spans="1:2">
      <c r="A81" s="140">
        <v>44347</v>
      </c>
      <c r="B81" s="133">
        <v>44900</v>
      </c>
    </row>
    <row r="82" spans="1:2">
      <c r="A82" s="140">
        <v>44348</v>
      </c>
      <c r="B82" s="133">
        <v>45300</v>
      </c>
    </row>
    <row r="83" spans="1:2">
      <c r="A83" s="140">
        <v>44349</v>
      </c>
      <c r="B83" s="133">
        <v>46200</v>
      </c>
    </row>
    <row r="84" spans="1:2">
      <c r="A84" s="140">
        <v>44350</v>
      </c>
      <c r="B84" s="133">
        <v>46600</v>
      </c>
    </row>
    <row r="85" spans="1:2">
      <c r="A85" s="140">
        <v>44351</v>
      </c>
      <c r="B85" s="133">
        <v>46700</v>
      </c>
    </row>
    <row r="86" spans="1:2">
      <c r="A86" s="140">
        <v>44352</v>
      </c>
      <c r="B86" s="133">
        <v>46800</v>
      </c>
    </row>
    <row r="87" spans="1:2">
      <c r="A87" s="140">
        <v>44353</v>
      </c>
      <c r="B87" s="133" t="s">
        <v>585</v>
      </c>
    </row>
    <row r="88" spans="1:2">
      <c r="A88" s="140">
        <v>44354</v>
      </c>
      <c r="B88" s="133">
        <v>46600</v>
      </c>
    </row>
    <row r="89" spans="1:2">
      <c r="A89" s="140">
        <v>44355</v>
      </c>
      <c r="B89" s="133">
        <v>46000</v>
      </c>
    </row>
    <row r="90" spans="1:2">
      <c r="A90" s="140">
        <v>44356</v>
      </c>
      <c r="B90" s="133">
        <v>46000</v>
      </c>
    </row>
    <row r="91" spans="1:2">
      <c r="A91" s="140">
        <v>44357</v>
      </c>
      <c r="B91" s="133">
        <v>46100</v>
      </c>
    </row>
    <row r="92" spans="1:2">
      <c r="A92" s="140">
        <v>44358</v>
      </c>
      <c r="B92" s="133">
        <v>46600</v>
      </c>
    </row>
    <row r="93" spans="1:2">
      <c r="A93" s="140">
        <v>44359</v>
      </c>
      <c r="B93" s="133">
        <v>46600</v>
      </c>
    </row>
    <row r="94" spans="1:2">
      <c r="A94" s="140">
        <v>44360</v>
      </c>
      <c r="B94" s="133" t="s">
        <v>585</v>
      </c>
    </row>
    <row r="95" spans="1:2">
      <c r="A95" s="140">
        <v>44361</v>
      </c>
      <c r="B95" s="133">
        <v>46200</v>
      </c>
    </row>
    <row r="96" spans="1:2">
      <c r="A96" s="140">
        <v>44362</v>
      </c>
      <c r="B96" s="133">
        <v>46200</v>
      </c>
    </row>
    <row r="97" spans="1:2">
      <c r="A97" s="140">
        <v>44363</v>
      </c>
      <c r="B97" s="133">
        <v>46000</v>
      </c>
    </row>
    <row r="98" spans="1:2">
      <c r="A98" s="140">
        <v>44364</v>
      </c>
      <c r="B98" s="133">
        <v>45600</v>
      </c>
    </row>
    <row r="99" spans="1:2">
      <c r="A99" s="140">
        <v>44365</v>
      </c>
      <c r="B99" s="133">
        <v>45600</v>
      </c>
    </row>
    <row r="100" spans="1:2">
      <c r="A100" s="140">
        <v>44366</v>
      </c>
      <c r="B100" s="133">
        <v>45700</v>
      </c>
    </row>
    <row r="101" spans="1:2">
      <c r="A101" s="140">
        <v>44367</v>
      </c>
      <c r="B101" s="133" t="s">
        <v>585</v>
      </c>
    </row>
    <row r="102" spans="1:2">
      <c r="A102" s="140">
        <v>44368</v>
      </c>
      <c r="B102" s="133">
        <v>45300</v>
      </c>
    </row>
    <row r="103" spans="1:2">
      <c r="A103" s="140">
        <v>44369</v>
      </c>
      <c r="B103" s="133">
        <v>45000</v>
      </c>
    </row>
    <row r="104" spans="1:2">
      <c r="A104" s="140">
        <v>44370</v>
      </c>
      <c r="B104" s="133">
        <v>44600</v>
      </c>
    </row>
    <row r="105" spans="1:2">
      <c r="A105" s="140">
        <v>44371</v>
      </c>
      <c r="B105" s="133">
        <v>44500</v>
      </c>
    </row>
    <row r="106" spans="1:2">
      <c r="A106" s="140">
        <v>44372</v>
      </c>
      <c r="B106" s="133">
        <v>44300</v>
      </c>
    </row>
    <row r="107" spans="1:2">
      <c r="A107" s="140">
        <v>44373</v>
      </c>
      <c r="B107" s="133">
        <v>44100</v>
      </c>
    </row>
    <row r="108" spans="1:2">
      <c r="A108" s="140">
        <v>44374</v>
      </c>
      <c r="B108" s="133" t="s">
        <v>585</v>
      </c>
    </row>
    <row r="109" spans="1:2">
      <c r="A109" s="140">
        <v>44375</v>
      </c>
      <c r="B109" s="133">
        <v>43800</v>
      </c>
    </row>
    <row r="110" spans="1:2">
      <c r="A110" s="140">
        <v>44376</v>
      </c>
      <c r="B110" s="133">
        <v>43500</v>
      </c>
    </row>
    <row r="111" spans="1:2">
      <c r="A111" s="140">
        <v>44377</v>
      </c>
      <c r="B111" s="133">
        <v>43600</v>
      </c>
    </row>
    <row r="112" spans="1:2">
      <c r="A112" s="140">
        <v>44378</v>
      </c>
      <c r="B112" s="133">
        <v>43300</v>
      </c>
    </row>
    <row r="113" spans="1:2">
      <c r="A113" s="140">
        <v>44379</v>
      </c>
      <c r="B113" s="133">
        <v>43200</v>
      </c>
    </row>
    <row r="114" spans="1:2">
      <c r="A114" s="140">
        <v>44380</v>
      </c>
      <c r="B114" s="133">
        <v>43200</v>
      </c>
    </row>
    <row r="115" spans="1:2">
      <c r="A115" s="140">
        <v>44381</v>
      </c>
      <c r="B115" s="133" t="s">
        <v>585</v>
      </c>
    </row>
    <row r="116" spans="1:2">
      <c r="A116" s="140">
        <v>44382</v>
      </c>
      <c r="B116" s="133">
        <v>43300</v>
      </c>
    </row>
    <row r="117" spans="1:2">
      <c r="A117" s="140">
        <v>44383</v>
      </c>
      <c r="B117" s="133">
        <v>43200</v>
      </c>
    </row>
    <row r="118" spans="1:2">
      <c r="A118" s="140">
        <v>44384</v>
      </c>
      <c r="B118" s="133">
        <v>43100</v>
      </c>
    </row>
    <row r="119" spans="1:2">
      <c r="A119" s="140">
        <v>44385</v>
      </c>
      <c r="B119" s="133">
        <v>43000</v>
      </c>
    </row>
    <row r="120" spans="1:2">
      <c r="A120" s="140">
        <v>44386</v>
      </c>
      <c r="B120" s="133">
        <v>43000</v>
      </c>
    </row>
    <row r="121" spans="1:2">
      <c r="A121" s="140">
        <v>44387</v>
      </c>
      <c r="B121" s="133">
        <v>43500</v>
      </c>
    </row>
    <row r="122" spans="1:2">
      <c r="A122" s="140">
        <v>44388</v>
      </c>
      <c r="B122" s="133" t="s">
        <v>585</v>
      </c>
    </row>
    <row r="123" spans="1:2">
      <c r="A123" s="140">
        <v>44389</v>
      </c>
      <c r="B123" s="133">
        <v>44100</v>
      </c>
    </row>
    <row r="124" spans="1:2">
      <c r="A124" s="140">
        <v>44390</v>
      </c>
      <c r="B124" s="133">
        <v>43900</v>
      </c>
    </row>
    <row r="125" spans="1:2">
      <c r="A125" s="140">
        <v>44391</v>
      </c>
      <c r="B125" s="133">
        <v>43500</v>
      </c>
    </row>
    <row r="126" spans="1:2">
      <c r="A126" s="140">
        <v>44392</v>
      </c>
      <c r="B126" s="133">
        <v>43800</v>
      </c>
    </row>
    <row r="127" spans="1:2">
      <c r="A127" s="140">
        <v>44393</v>
      </c>
      <c r="B127" s="133">
        <v>43800</v>
      </c>
    </row>
    <row r="128" spans="1:2">
      <c r="A128" s="140">
        <v>44394</v>
      </c>
      <c r="B128" s="133">
        <v>44100</v>
      </c>
    </row>
    <row r="129" spans="1:2">
      <c r="A129" s="140">
        <v>44395</v>
      </c>
      <c r="B129" s="133" t="s">
        <v>585</v>
      </c>
    </row>
    <row r="130" spans="1:2">
      <c r="A130" s="140">
        <v>44396</v>
      </c>
      <c r="B130" s="133">
        <v>44300</v>
      </c>
    </row>
    <row r="131" spans="1:2">
      <c r="A131" s="140">
        <v>44397</v>
      </c>
      <c r="B131" s="133">
        <v>44700</v>
      </c>
    </row>
    <row r="132" spans="1:2">
      <c r="A132" s="140">
        <v>44398</v>
      </c>
      <c r="B132" s="133">
        <v>45000</v>
      </c>
    </row>
    <row r="133" spans="1:2">
      <c r="A133" s="140">
        <v>44399</v>
      </c>
      <c r="B133" s="133">
        <v>44700</v>
      </c>
    </row>
    <row r="134" spans="1:2">
      <c r="A134" s="140">
        <v>44400</v>
      </c>
      <c r="B134" s="133">
        <v>44700</v>
      </c>
    </row>
    <row r="135" spans="1:2">
      <c r="A135" s="140">
        <v>44401</v>
      </c>
      <c r="B135" s="133">
        <v>44700</v>
      </c>
    </row>
    <row r="136" spans="1:2">
      <c r="A136" s="140">
        <v>44402</v>
      </c>
      <c r="B136" s="133" t="s">
        <v>585</v>
      </c>
    </row>
    <row r="137" spans="1:2">
      <c r="A137" s="140">
        <v>44403</v>
      </c>
      <c r="B137" s="133">
        <v>44600</v>
      </c>
    </row>
    <row r="138" spans="1:2">
      <c r="A138" s="140">
        <v>44404</v>
      </c>
      <c r="B138" s="133">
        <v>44500</v>
      </c>
    </row>
    <row r="139" spans="1:2">
      <c r="A139" s="140">
        <v>44405</v>
      </c>
      <c r="B139" s="133">
        <v>44500</v>
      </c>
    </row>
    <row r="140" spans="1:2">
      <c r="A140" s="140">
        <v>44406</v>
      </c>
      <c r="B140" s="133">
        <v>45100</v>
      </c>
    </row>
    <row r="141" spans="1:2">
      <c r="A141" s="140">
        <v>44407</v>
      </c>
      <c r="B141" s="133">
        <v>45000</v>
      </c>
    </row>
    <row r="142" spans="1:2">
      <c r="A142" s="140">
        <v>44408</v>
      </c>
      <c r="B142" s="133">
        <v>45200</v>
      </c>
    </row>
    <row r="143" spans="1:2">
      <c r="A143" s="140">
        <v>44409</v>
      </c>
      <c r="B143" s="133" t="s">
        <v>585</v>
      </c>
    </row>
    <row r="144" spans="1:2">
      <c r="A144" s="140">
        <v>44410</v>
      </c>
      <c r="B144" s="133">
        <v>45400</v>
      </c>
    </row>
    <row r="145" spans="1:2">
      <c r="A145" s="140">
        <v>44411</v>
      </c>
      <c r="B145" s="133">
        <v>45400</v>
      </c>
    </row>
    <row r="146" spans="1:2">
      <c r="A146" s="140">
        <v>44412</v>
      </c>
      <c r="B146" s="133">
        <v>45500</v>
      </c>
    </row>
    <row r="147" spans="1:2">
      <c r="A147" s="140">
        <v>44413</v>
      </c>
      <c r="B147" s="133">
        <v>45400</v>
      </c>
    </row>
    <row r="148" spans="1:2">
      <c r="A148" s="140">
        <v>44414</v>
      </c>
      <c r="B148" s="133">
        <v>45100</v>
      </c>
    </row>
    <row r="149" spans="1:2">
      <c r="A149" s="140">
        <v>44415</v>
      </c>
      <c r="B149" s="133">
        <v>44900</v>
      </c>
    </row>
    <row r="150" spans="1:2">
      <c r="A150" s="140">
        <v>44416</v>
      </c>
      <c r="B150" s="133" t="s">
        <v>585</v>
      </c>
    </row>
    <row r="151" spans="1:2">
      <c r="A151" s="140">
        <v>44417</v>
      </c>
      <c r="B151" s="133">
        <v>44700</v>
      </c>
    </row>
    <row r="152" spans="1:2">
      <c r="A152" s="140">
        <v>44418</v>
      </c>
      <c r="B152" s="133">
        <v>44600</v>
      </c>
    </row>
    <row r="153" spans="1:2">
      <c r="A153" s="140">
        <v>44419</v>
      </c>
      <c r="B153" s="133">
        <v>45200</v>
      </c>
    </row>
    <row r="154" spans="1:2">
      <c r="A154" s="140">
        <v>44420</v>
      </c>
      <c r="B154" s="133">
        <v>45400</v>
      </c>
    </row>
    <row r="155" spans="1:2">
      <c r="A155" s="140">
        <v>44421</v>
      </c>
      <c r="B155" s="133">
        <v>45600</v>
      </c>
    </row>
    <row r="156" spans="1:2">
      <c r="A156" s="140">
        <v>44422</v>
      </c>
      <c r="B156" s="133">
        <v>45600</v>
      </c>
    </row>
    <row r="157" spans="1:2">
      <c r="A157" s="140">
        <v>44423</v>
      </c>
      <c r="B157" s="133" t="s">
        <v>585</v>
      </c>
    </row>
    <row r="158" spans="1:2">
      <c r="A158" s="140">
        <v>44424</v>
      </c>
      <c r="B158" s="133">
        <v>45700</v>
      </c>
    </row>
    <row r="159" spans="1:2">
      <c r="A159" s="140">
        <v>44425</v>
      </c>
      <c r="B159" s="133">
        <v>45800</v>
      </c>
    </row>
    <row r="160" spans="1:2">
      <c r="A160" s="140">
        <v>44426</v>
      </c>
      <c r="B160" s="133">
        <v>45700</v>
      </c>
    </row>
    <row r="161" spans="1:2">
      <c r="A161" s="140">
        <v>44427</v>
      </c>
      <c r="B161" s="133">
        <v>45700</v>
      </c>
    </row>
    <row r="162" spans="1:2">
      <c r="A162" s="140">
        <v>44428</v>
      </c>
      <c r="B162" s="133">
        <v>45600</v>
      </c>
    </row>
    <row r="163" spans="1:2">
      <c r="A163" s="140">
        <v>44429</v>
      </c>
      <c r="B163" s="133">
        <v>45500</v>
      </c>
    </row>
    <row r="164" spans="1:2">
      <c r="A164" s="140">
        <v>44430</v>
      </c>
      <c r="B164" s="133" t="s">
        <v>585</v>
      </c>
    </row>
    <row r="165" spans="1:2">
      <c r="A165" s="140">
        <v>44431</v>
      </c>
      <c r="B165" s="133">
        <v>45300</v>
      </c>
    </row>
    <row r="166" spans="1:2">
      <c r="A166" s="140">
        <v>44432</v>
      </c>
      <c r="B166" s="133">
        <v>44800</v>
      </c>
    </row>
    <row r="167" spans="1:2">
      <c r="A167" s="140">
        <v>44433</v>
      </c>
      <c r="B167" s="133">
        <v>44800</v>
      </c>
    </row>
    <row r="168" spans="1:2">
      <c r="A168" s="140">
        <v>44434</v>
      </c>
      <c r="B168" s="133">
        <v>44400</v>
      </c>
    </row>
    <row r="169" spans="1:2">
      <c r="A169" s="140">
        <v>44435</v>
      </c>
      <c r="B169" s="133">
        <v>44200</v>
      </c>
    </row>
    <row r="170" spans="1:2">
      <c r="A170" s="140">
        <v>44436</v>
      </c>
      <c r="B170" s="133">
        <v>44300</v>
      </c>
    </row>
    <row r="171" spans="1:2">
      <c r="A171" s="140">
        <v>44437</v>
      </c>
      <c r="B171" s="133" t="s">
        <v>585</v>
      </c>
    </row>
    <row r="172" spans="1:2">
      <c r="A172" s="140">
        <v>44438</v>
      </c>
      <c r="B172" s="133">
        <v>44200</v>
      </c>
    </row>
    <row r="173" spans="1:2">
      <c r="A173" s="140">
        <v>44439</v>
      </c>
      <c r="B173" s="133">
        <v>44400</v>
      </c>
    </row>
    <row r="174" spans="1:2">
      <c r="A174" s="140">
        <v>44440</v>
      </c>
      <c r="B174" s="133">
        <v>44700</v>
      </c>
    </row>
    <row r="175" spans="1:2">
      <c r="A175" s="140">
        <v>44441</v>
      </c>
      <c r="B175" s="133">
        <v>44700</v>
      </c>
    </row>
    <row r="176" spans="1:2">
      <c r="A176" s="140">
        <v>44442</v>
      </c>
      <c r="B176" s="133">
        <v>44700</v>
      </c>
    </row>
    <row r="177" spans="1:2">
      <c r="A177" s="140">
        <v>44443</v>
      </c>
      <c r="B177" s="133">
        <v>44400</v>
      </c>
    </row>
    <row r="178" spans="1:2">
      <c r="A178" s="140">
        <v>44444</v>
      </c>
      <c r="B178" s="133" t="s">
        <v>585</v>
      </c>
    </row>
    <row r="179" spans="1:2">
      <c r="A179" s="140">
        <v>44445</v>
      </c>
      <c r="B179" s="133">
        <v>44200</v>
      </c>
    </row>
    <row r="180" spans="1:2">
      <c r="A180" s="140">
        <v>44446</v>
      </c>
      <c r="B180" s="133">
        <v>44100</v>
      </c>
    </row>
    <row r="181" spans="1:2">
      <c r="A181" s="140">
        <v>44447</v>
      </c>
      <c r="B181" s="133">
        <v>43900</v>
      </c>
    </row>
    <row r="182" spans="1:2">
      <c r="A182" s="140">
        <v>44448</v>
      </c>
      <c r="B182" s="133">
        <v>44100</v>
      </c>
    </row>
    <row r="183" spans="1:2">
      <c r="A183" s="140">
        <v>44449</v>
      </c>
      <c r="B183" s="133">
        <v>44500</v>
      </c>
    </row>
    <row r="184" spans="1:2">
      <c r="A184" s="140">
        <v>44450</v>
      </c>
      <c r="B184" s="133">
        <v>44500</v>
      </c>
    </row>
    <row r="185" spans="1:2">
      <c r="A185" s="140">
        <v>44451</v>
      </c>
      <c r="B185" s="133" t="s">
        <v>585</v>
      </c>
    </row>
    <row r="186" spans="1:2">
      <c r="A186" s="140">
        <v>44452</v>
      </c>
      <c r="B186" s="133">
        <v>44200</v>
      </c>
    </row>
    <row r="187" spans="1:2">
      <c r="A187" s="140">
        <v>44453</v>
      </c>
      <c r="B187" s="133">
        <v>44400</v>
      </c>
    </row>
    <row r="188" spans="1:2">
      <c r="A188" s="140">
        <v>44454</v>
      </c>
      <c r="B188" s="133">
        <v>44400</v>
      </c>
    </row>
    <row r="189" spans="1:2">
      <c r="A189" s="140">
        <v>44455</v>
      </c>
      <c r="B189" s="133">
        <v>44100</v>
      </c>
    </row>
    <row r="190" spans="1:2">
      <c r="A190" s="140">
        <v>44456</v>
      </c>
      <c r="B190" s="133">
        <v>44300</v>
      </c>
    </row>
    <row r="191" spans="1:2">
      <c r="A191" s="140">
        <v>44457</v>
      </c>
      <c r="B191" s="133">
        <v>44400</v>
      </c>
    </row>
    <row r="192" spans="1:2">
      <c r="A192" s="140">
        <v>44458</v>
      </c>
      <c r="B192" s="133" t="s">
        <v>585</v>
      </c>
    </row>
    <row r="193" spans="1:2">
      <c r="A193" s="140">
        <v>44459</v>
      </c>
      <c r="B193" s="133">
        <v>45000</v>
      </c>
    </row>
    <row r="194" spans="1:2">
      <c r="A194" s="140">
        <v>44460</v>
      </c>
      <c r="B194" s="133">
        <v>45100</v>
      </c>
    </row>
    <row r="195" spans="1:2">
      <c r="A195" s="140">
        <v>44461</v>
      </c>
      <c r="B195" s="133">
        <v>45000</v>
      </c>
    </row>
    <row r="196" spans="1:2">
      <c r="A196" s="140">
        <v>44462</v>
      </c>
      <c r="B196" s="133">
        <v>44500</v>
      </c>
    </row>
    <row r="197" spans="1:2">
      <c r="A197" s="140">
        <v>44463</v>
      </c>
      <c r="B197" s="133">
        <v>44700</v>
      </c>
    </row>
    <row r="198" spans="1:2">
      <c r="A198" s="140">
        <v>44464</v>
      </c>
      <c r="B198" s="133">
        <v>44700</v>
      </c>
    </row>
    <row r="199" spans="1:2">
      <c r="A199" s="140">
        <v>44465</v>
      </c>
      <c r="B199" s="133" t="s">
        <v>585</v>
      </c>
    </row>
    <row r="200" spans="1:2">
      <c r="A200" s="140">
        <v>44466</v>
      </c>
      <c r="B200" s="133">
        <v>44700</v>
      </c>
    </row>
    <row r="201" spans="1:2">
      <c r="A201" s="140">
        <v>44467</v>
      </c>
      <c r="B201" s="133">
        <v>45200</v>
      </c>
    </row>
    <row r="202" spans="1:2">
      <c r="A202" s="140">
        <v>44468</v>
      </c>
      <c r="B202" s="133">
        <v>45700</v>
      </c>
    </row>
    <row r="203" spans="1:2">
      <c r="A203" s="140">
        <v>44469</v>
      </c>
      <c r="B203" s="133">
        <v>47700</v>
      </c>
    </row>
    <row r="204" spans="1:2">
      <c r="A204" s="140">
        <v>44470</v>
      </c>
      <c r="B204" s="133">
        <v>49800</v>
      </c>
    </row>
    <row r="205" spans="1:2">
      <c r="A205" s="140">
        <v>44471</v>
      </c>
      <c r="B205" s="133" t="s">
        <v>585</v>
      </c>
    </row>
    <row r="206" spans="1:2">
      <c r="A206" s="140">
        <v>44472</v>
      </c>
      <c r="B206" s="133" t="s">
        <v>585</v>
      </c>
    </row>
    <row r="207" spans="1:2">
      <c r="A207" s="140">
        <v>44473</v>
      </c>
      <c r="B207" s="133">
        <v>49800</v>
      </c>
    </row>
    <row r="208" spans="1:2">
      <c r="A208" s="140">
        <v>44474</v>
      </c>
      <c r="B208" s="133">
        <v>49700</v>
      </c>
    </row>
    <row r="209" spans="1:2">
      <c r="A209" s="140">
        <v>44475</v>
      </c>
      <c r="B209" s="133">
        <v>49800</v>
      </c>
    </row>
    <row r="210" spans="1:2">
      <c r="A210" s="140">
        <v>44476</v>
      </c>
      <c r="B210" s="133">
        <v>49200</v>
      </c>
    </row>
    <row r="211" spans="1:2">
      <c r="A211" s="140">
        <v>44477</v>
      </c>
      <c r="B211" s="133">
        <v>48500</v>
      </c>
    </row>
    <row r="212" spans="1:2">
      <c r="A212" s="140">
        <v>44478</v>
      </c>
      <c r="B212" s="133">
        <v>48800</v>
      </c>
    </row>
    <row r="213" spans="1:2">
      <c r="A213" s="140">
        <v>44479</v>
      </c>
      <c r="B213" s="133" t="s">
        <v>585</v>
      </c>
    </row>
    <row r="214" spans="1:2">
      <c r="A214" s="140">
        <v>44480</v>
      </c>
      <c r="B214" s="133">
        <v>51800</v>
      </c>
    </row>
    <row r="215" spans="1:2">
      <c r="A215" s="140">
        <v>44481</v>
      </c>
      <c r="B215" s="133">
        <v>52200</v>
      </c>
    </row>
    <row r="216" spans="1:2">
      <c r="A216" s="140">
        <v>44482</v>
      </c>
      <c r="B216" s="133">
        <v>52100</v>
      </c>
    </row>
    <row r="217" spans="1:2">
      <c r="A217" s="140">
        <v>44483</v>
      </c>
      <c r="B217" s="133">
        <v>51900</v>
      </c>
    </row>
    <row r="218" spans="1:2">
      <c r="A218" s="140">
        <v>44484</v>
      </c>
      <c r="B218" s="133" t="s">
        <v>585</v>
      </c>
    </row>
    <row r="219" spans="1:2">
      <c r="A219" s="140">
        <v>44485</v>
      </c>
      <c r="B219" s="133">
        <v>52500</v>
      </c>
    </row>
    <row r="220" spans="1:2">
      <c r="A220" s="140">
        <v>44486</v>
      </c>
      <c r="B220" s="133" t="s">
        <v>585</v>
      </c>
    </row>
    <row r="221" spans="1:2">
      <c r="A221" s="140">
        <v>44487</v>
      </c>
      <c r="B221" s="133">
        <v>52500</v>
      </c>
    </row>
    <row r="222" spans="1:2">
      <c r="A222" s="140">
        <v>44488</v>
      </c>
      <c r="B222" s="133">
        <v>51900</v>
      </c>
    </row>
    <row r="223" spans="1:2">
      <c r="A223" s="140">
        <v>44489</v>
      </c>
      <c r="B223" s="133">
        <v>51400</v>
      </c>
    </row>
    <row r="224" spans="1:2">
      <c r="A224" s="140">
        <v>44490</v>
      </c>
      <c r="B224" s="133">
        <v>50800</v>
      </c>
    </row>
    <row r="225" spans="1:2">
      <c r="A225" s="140">
        <v>44491</v>
      </c>
      <c r="B225" s="133">
        <v>50800</v>
      </c>
    </row>
    <row r="226" spans="1:2">
      <c r="A226" s="140">
        <v>44492</v>
      </c>
      <c r="B226" s="133">
        <v>50000</v>
      </c>
    </row>
    <row r="227" spans="1:2">
      <c r="A227" s="140">
        <v>44493</v>
      </c>
      <c r="B227" s="133" t="s">
        <v>585</v>
      </c>
    </row>
    <row r="228" spans="1:2">
      <c r="A228" s="140">
        <v>44494</v>
      </c>
      <c r="B228" s="133">
        <v>50000</v>
      </c>
    </row>
    <row r="229" spans="1:2">
      <c r="A229" s="140">
        <v>44495</v>
      </c>
      <c r="B229" s="133">
        <v>49500</v>
      </c>
    </row>
    <row r="230" spans="1:2">
      <c r="A230" s="140">
        <v>44496</v>
      </c>
      <c r="B230" s="133">
        <v>49800</v>
      </c>
    </row>
    <row r="231" spans="1:2">
      <c r="A231" s="140">
        <v>44497</v>
      </c>
      <c r="B231" s="133">
        <v>50000</v>
      </c>
    </row>
    <row r="232" spans="1:2">
      <c r="A232" s="140">
        <v>44498</v>
      </c>
      <c r="B232" s="133">
        <v>50100</v>
      </c>
    </row>
    <row r="233" spans="1:2">
      <c r="A233" s="140">
        <v>44499</v>
      </c>
      <c r="B233" s="133">
        <v>50000</v>
      </c>
    </row>
    <row r="234" spans="1:2">
      <c r="A234" s="140">
        <v>44500</v>
      </c>
      <c r="B234" s="133" t="s">
        <v>585</v>
      </c>
    </row>
    <row r="235" spans="1:2">
      <c r="A235" s="140">
        <v>44501</v>
      </c>
      <c r="B235" s="133">
        <v>50000</v>
      </c>
    </row>
    <row r="236" spans="1:2">
      <c r="A236" s="140">
        <v>44502</v>
      </c>
      <c r="B236" s="133">
        <v>50000</v>
      </c>
    </row>
    <row r="237" spans="1:2">
      <c r="A237" s="140">
        <v>44503</v>
      </c>
      <c r="B237" s="133">
        <v>49900</v>
      </c>
    </row>
    <row r="238" spans="1:2">
      <c r="A238" s="140">
        <v>44504</v>
      </c>
      <c r="B238" s="133" t="s">
        <v>585</v>
      </c>
    </row>
    <row r="239" spans="1:2">
      <c r="A239" s="140">
        <v>44505</v>
      </c>
      <c r="B239" s="133" t="s">
        <v>585</v>
      </c>
    </row>
    <row r="240" spans="1:2">
      <c r="A240" s="140">
        <v>44506</v>
      </c>
      <c r="B240" s="133">
        <v>49900</v>
      </c>
    </row>
    <row r="241" spans="1:2">
      <c r="A241" s="140">
        <v>44507</v>
      </c>
      <c r="B241" s="133" t="s">
        <v>585</v>
      </c>
    </row>
    <row r="242" spans="1:2">
      <c r="A242" s="140">
        <v>44508</v>
      </c>
      <c r="B242" s="133">
        <v>49500</v>
      </c>
    </row>
    <row r="243" spans="1:2">
      <c r="A243" s="140">
        <v>44509</v>
      </c>
      <c r="B243" s="133">
        <v>48700</v>
      </c>
    </row>
    <row r="244" spans="1:2">
      <c r="A244" s="140">
        <v>44510</v>
      </c>
      <c r="B244" s="133">
        <v>47800</v>
      </c>
    </row>
    <row r="245" spans="1:2">
      <c r="A245" s="140">
        <v>44511</v>
      </c>
      <c r="B245" s="133">
        <v>47800</v>
      </c>
    </row>
    <row r="246" spans="1:2">
      <c r="A246" s="140">
        <v>44512</v>
      </c>
      <c r="B246" s="133">
        <v>47400</v>
      </c>
    </row>
    <row r="247" spans="1:2">
      <c r="A247" s="140">
        <v>44513</v>
      </c>
      <c r="B247" s="133">
        <v>47200</v>
      </c>
    </row>
    <row r="248" spans="1:2">
      <c r="A248" s="140">
        <v>44514</v>
      </c>
      <c r="B248" s="133" t="s">
        <v>585</v>
      </c>
    </row>
    <row r="249" spans="1:2">
      <c r="A249" s="140">
        <v>44515</v>
      </c>
      <c r="B249" s="133">
        <v>46200</v>
      </c>
    </row>
    <row r="250" spans="1:2">
      <c r="A250" s="140">
        <v>44516</v>
      </c>
      <c r="B250" s="133">
        <v>45700</v>
      </c>
    </row>
    <row r="251" spans="1:2">
      <c r="A251" s="140">
        <v>44517</v>
      </c>
      <c r="B251" s="133">
        <v>45700</v>
      </c>
    </row>
    <row r="252" spans="1:2">
      <c r="A252" s="140">
        <v>44518</v>
      </c>
      <c r="B252" s="133">
        <v>45700</v>
      </c>
    </row>
    <row r="253" spans="1:2">
      <c r="A253" s="140">
        <v>44519</v>
      </c>
      <c r="B253" s="133">
        <v>45800</v>
      </c>
    </row>
    <row r="254" spans="1:2">
      <c r="A254" s="140">
        <v>44520</v>
      </c>
      <c r="B254" s="133">
        <v>46000</v>
      </c>
    </row>
    <row r="255" spans="1:2">
      <c r="A255" s="140">
        <v>44521</v>
      </c>
      <c r="B255" s="133" t="s">
        <v>585</v>
      </c>
    </row>
    <row r="256" spans="1:2">
      <c r="A256" s="140">
        <v>44522</v>
      </c>
      <c r="B256" s="133">
        <v>45500</v>
      </c>
    </row>
    <row r="257" spans="1:2">
      <c r="A257" s="140">
        <v>44523</v>
      </c>
      <c r="B257" s="133">
        <v>44900</v>
      </c>
    </row>
    <row r="258" spans="1:2">
      <c r="A258" s="140">
        <v>44524</v>
      </c>
      <c r="B258" s="133">
        <v>44900</v>
      </c>
    </row>
    <row r="259" spans="1:2">
      <c r="A259" s="140">
        <v>44525</v>
      </c>
      <c r="B259" s="133">
        <v>44500</v>
      </c>
    </row>
    <row r="260" spans="1:2">
      <c r="A260" s="140">
        <v>44526</v>
      </c>
      <c r="B260" s="133">
        <v>45000</v>
      </c>
    </row>
    <row r="261" spans="1:2">
      <c r="A261" s="140">
        <v>44527</v>
      </c>
      <c r="B261" s="133">
        <v>45000</v>
      </c>
    </row>
    <row r="262" spans="1:2">
      <c r="A262" s="140">
        <v>44528</v>
      </c>
      <c r="B262" s="133" t="s">
        <v>585</v>
      </c>
    </row>
    <row r="263" spans="1:2">
      <c r="A263" s="140">
        <v>44529</v>
      </c>
      <c r="B263" s="133">
        <v>45000</v>
      </c>
    </row>
    <row r="264" spans="1:2">
      <c r="A264" s="140">
        <v>44530</v>
      </c>
      <c r="B264" s="133">
        <v>45400</v>
      </c>
    </row>
    <row r="265" spans="1:2">
      <c r="A265" s="140">
        <v>44531</v>
      </c>
      <c r="B265" s="133">
        <v>45200</v>
      </c>
    </row>
    <row r="266" spans="1:2">
      <c r="A266" s="140">
        <v>44532</v>
      </c>
      <c r="B266" s="133">
        <v>45200</v>
      </c>
    </row>
    <row r="267" spans="1:2">
      <c r="A267" s="140">
        <v>44533</v>
      </c>
      <c r="B267" s="133">
        <v>44500</v>
      </c>
    </row>
    <row r="268" spans="1:2">
      <c r="A268" s="140">
        <v>44534</v>
      </c>
      <c r="B268" s="133">
        <v>44000</v>
      </c>
    </row>
    <row r="269" spans="1:2">
      <c r="A269" s="140">
        <v>44535</v>
      </c>
      <c r="B269" s="133" t="s">
        <v>585</v>
      </c>
    </row>
    <row r="270" spans="1:2">
      <c r="A270" s="140">
        <v>44536</v>
      </c>
      <c r="B270" s="133">
        <v>43400</v>
      </c>
    </row>
    <row r="271" spans="1:2">
      <c r="A271" s="140">
        <v>44537</v>
      </c>
      <c r="B271" s="133">
        <v>43700</v>
      </c>
    </row>
    <row r="272" spans="1:2">
      <c r="A272" s="140">
        <v>44538</v>
      </c>
      <c r="B272" s="133">
        <v>44800</v>
      </c>
    </row>
    <row r="273" spans="1:2">
      <c r="A273" s="140">
        <v>44539</v>
      </c>
      <c r="B273" s="133">
        <v>45300</v>
      </c>
    </row>
    <row r="274" spans="1:2">
      <c r="A274" s="140">
        <v>44540</v>
      </c>
      <c r="B274" s="133">
        <v>45300</v>
      </c>
    </row>
    <row r="275" spans="1:2">
      <c r="A275" s="140">
        <v>44541</v>
      </c>
      <c r="B275" s="133">
        <v>45100</v>
      </c>
    </row>
    <row r="276" spans="1:2">
      <c r="A276" s="140">
        <v>44542</v>
      </c>
      <c r="B276" s="133" t="s">
        <v>585</v>
      </c>
    </row>
    <row r="277" spans="1:2">
      <c r="A277" s="140">
        <v>44543</v>
      </c>
      <c r="B277" s="133">
        <v>46000</v>
      </c>
    </row>
    <row r="278" spans="1:2">
      <c r="A278" s="140">
        <v>44544</v>
      </c>
      <c r="B278" s="133">
        <v>46000</v>
      </c>
    </row>
    <row r="279" spans="1:2">
      <c r="A279" s="140">
        <v>44545</v>
      </c>
      <c r="B279" s="133">
        <v>45700</v>
      </c>
    </row>
    <row r="280" spans="1:2">
      <c r="A280" s="140">
        <v>44546</v>
      </c>
      <c r="B280" s="133">
        <v>45600</v>
      </c>
    </row>
    <row r="281" spans="1:2">
      <c r="A281" s="140">
        <v>44547</v>
      </c>
      <c r="B281" s="133">
        <v>45400</v>
      </c>
    </row>
    <row r="282" spans="1:2">
      <c r="A282" s="140">
        <v>44548</v>
      </c>
      <c r="B282" s="133">
        <v>45000</v>
      </c>
    </row>
    <row r="283" spans="1:2">
      <c r="A283" s="140">
        <v>44549</v>
      </c>
      <c r="B283" s="133" t="s">
        <v>585</v>
      </c>
    </row>
    <row r="284" spans="1:2">
      <c r="A284" s="140">
        <v>44550</v>
      </c>
      <c r="B284" s="133">
        <v>44800</v>
      </c>
    </row>
    <row r="285" spans="1:2">
      <c r="A285" s="140">
        <v>44551</v>
      </c>
      <c r="B285" s="133">
        <v>44300</v>
      </c>
    </row>
    <row r="286" spans="1:2">
      <c r="A286" s="140">
        <v>44552</v>
      </c>
      <c r="B286" s="133">
        <v>44700</v>
      </c>
    </row>
    <row r="287" spans="1:2">
      <c r="A287" s="140">
        <v>44553</v>
      </c>
      <c r="B287" s="133">
        <v>44700</v>
      </c>
    </row>
    <row r="288" spans="1:2">
      <c r="A288" s="140">
        <v>44554</v>
      </c>
      <c r="B288" s="133">
        <v>45300</v>
      </c>
    </row>
    <row r="289" spans="1:2">
      <c r="A289" s="140">
        <v>44555</v>
      </c>
      <c r="B289" s="133" t="s">
        <v>585</v>
      </c>
    </row>
    <row r="290" spans="1:2">
      <c r="A290" s="140">
        <v>44556</v>
      </c>
      <c r="B290" s="133" t="s">
        <v>585</v>
      </c>
    </row>
    <row r="291" spans="1:2">
      <c r="A291" s="140">
        <v>44557</v>
      </c>
      <c r="B291" s="133">
        <v>46800</v>
      </c>
    </row>
    <row r="292" spans="1:2">
      <c r="A292" s="140">
        <v>44558</v>
      </c>
      <c r="B292" s="133">
        <v>46200</v>
      </c>
    </row>
    <row r="293" spans="1:2">
      <c r="A293" s="140">
        <v>44559</v>
      </c>
      <c r="B293" s="133">
        <v>46000</v>
      </c>
    </row>
    <row r="294" spans="1:2">
      <c r="A294" s="140">
        <v>44560</v>
      </c>
      <c r="B294" s="133">
        <v>46000</v>
      </c>
    </row>
    <row r="295" spans="1:2">
      <c r="A295" s="140">
        <v>44561</v>
      </c>
      <c r="B295" s="133">
        <v>46500</v>
      </c>
    </row>
    <row r="296" spans="1:2">
      <c r="A296" s="140">
        <v>44562</v>
      </c>
      <c r="B296" s="133">
        <v>46400</v>
      </c>
    </row>
    <row r="297" spans="1:2">
      <c r="A297" s="140">
        <v>44563</v>
      </c>
      <c r="B297" s="133" t="s">
        <v>585</v>
      </c>
    </row>
    <row r="298" spans="1:2">
      <c r="A298" s="140">
        <v>44564</v>
      </c>
      <c r="B298" s="133">
        <v>46600</v>
      </c>
    </row>
    <row r="299" spans="1:2">
      <c r="A299" s="140">
        <v>44565</v>
      </c>
      <c r="B299" s="133">
        <v>46600</v>
      </c>
    </row>
    <row r="300" spans="1:2">
      <c r="A300" s="140">
        <v>44566</v>
      </c>
      <c r="B300" s="133">
        <v>45800</v>
      </c>
    </row>
    <row r="301" spans="1:2">
      <c r="A301" s="140">
        <v>44567</v>
      </c>
      <c r="B301" s="133">
        <v>46000</v>
      </c>
    </row>
    <row r="302" spans="1:2">
      <c r="A302" s="140">
        <v>44568</v>
      </c>
      <c r="B302" s="133">
        <v>46800</v>
      </c>
    </row>
    <row r="303" spans="1:2">
      <c r="A303" s="140">
        <v>44569</v>
      </c>
      <c r="B303" s="133">
        <v>46900</v>
      </c>
    </row>
    <row r="304" spans="1:2">
      <c r="A304" s="140">
        <v>44570</v>
      </c>
      <c r="B304" s="133" t="s">
        <v>585</v>
      </c>
    </row>
    <row r="305" spans="1:2">
      <c r="A305" s="140">
        <v>44571</v>
      </c>
      <c r="B305" s="133">
        <v>47100</v>
      </c>
    </row>
    <row r="306" spans="1:2">
      <c r="A306" s="140">
        <v>44572</v>
      </c>
      <c r="B306" s="133">
        <v>47600</v>
      </c>
    </row>
    <row r="307" spans="1:2">
      <c r="A307" s="140">
        <v>44573</v>
      </c>
      <c r="B307" s="133">
        <v>47700</v>
      </c>
    </row>
    <row r="308" spans="1:2">
      <c r="A308" s="140">
        <v>44574</v>
      </c>
      <c r="B308" s="133">
        <v>48300</v>
      </c>
    </row>
    <row r="309" spans="1:2">
      <c r="A309" s="140">
        <v>44575</v>
      </c>
      <c r="B309" s="133">
        <v>48300</v>
      </c>
    </row>
    <row r="310" spans="1:2">
      <c r="A310" s="140">
        <v>44576</v>
      </c>
      <c r="B310" s="133">
        <v>48200</v>
      </c>
    </row>
    <row r="311" spans="1:2">
      <c r="A311" s="140">
        <v>44577</v>
      </c>
      <c r="B311" s="133" t="s">
        <v>585</v>
      </c>
    </row>
    <row r="312" spans="1:2">
      <c r="A312" s="140">
        <v>44578</v>
      </c>
      <c r="B312" s="133">
        <v>48600</v>
      </c>
    </row>
    <row r="313" spans="1:2">
      <c r="A313" s="140">
        <v>44579</v>
      </c>
      <c r="B313" s="133">
        <v>48500</v>
      </c>
    </row>
    <row r="314" spans="1:2">
      <c r="A314" s="140">
        <v>44580</v>
      </c>
      <c r="B314" s="133">
        <v>48200</v>
      </c>
    </row>
    <row r="315" spans="1:2">
      <c r="A315" s="140">
        <v>44581</v>
      </c>
      <c r="B315" s="133">
        <v>48800</v>
      </c>
    </row>
    <row r="316" spans="1:2">
      <c r="A316" s="140">
        <v>44582</v>
      </c>
      <c r="B316" s="133">
        <v>48800</v>
      </c>
    </row>
    <row r="317" spans="1:2">
      <c r="A317" s="140">
        <v>44583</v>
      </c>
      <c r="B317" s="133">
        <v>48600</v>
      </c>
    </row>
    <row r="318" spans="1:2">
      <c r="A318" s="140">
        <v>44584</v>
      </c>
      <c r="B318" s="133" t="s">
        <v>585</v>
      </c>
    </row>
    <row r="319" spans="1:2">
      <c r="A319" s="140">
        <v>44585</v>
      </c>
      <c r="B319" s="133">
        <v>49500</v>
      </c>
    </row>
    <row r="320" spans="1:2">
      <c r="A320" s="140">
        <v>44586</v>
      </c>
      <c r="B320" s="133">
        <v>49800</v>
      </c>
    </row>
    <row r="321" spans="1:2">
      <c r="A321" s="140">
        <v>44587</v>
      </c>
      <c r="B321" s="133" t="s">
        <v>585</v>
      </c>
    </row>
    <row r="322" spans="1:2">
      <c r="A322" s="140">
        <v>44588</v>
      </c>
      <c r="B322" s="133">
        <v>50800</v>
      </c>
    </row>
    <row r="323" spans="1:2">
      <c r="A323" s="140">
        <v>44589</v>
      </c>
      <c r="B323" s="133">
        <v>50800</v>
      </c>
    </row>
    <row r="324" spans="1:2">
      <c r="A324" s="140">
        <v>44590</v>
      </c>
      <c r="B324" s="133">
        <v>51900</v>
      </c>
    </row>
    <row r="325" spans="1:2">
      <c r="A325" s="140">
        <v>44591</v>
      </c>
      <c r="B325" s="133" t="s">
        <v>585</v>
      </c>
    </row>
    <row r="326" spans="1:2">
      <c r="A326" s="140">
        <v>44592</v>
      </c>
      <c r="B326" s="133">
        <v>51800</v>
      </c>
    </row>
    <row r="327" spans="1:2">
      <c r="A327" s="140">
        <v>44593</v>
      </c>
      <c r="B327" s="133">
        <v>51200</v>
      </c>
    </row>
    <row r="328" spans="1:2">
      <c r="A328" s="140">
        <v>44594</v>
      </c>
      <c r="B328" s="133">
        <v>51500</v>
      </c>
    </row>
    <row r="329" spans="1:2">
      <c r="A329" s="140">
        <v>44595</v>
      </c>
      <c r="B329" s="133">
        <v>51300</v>
      </c>
    </row>
    <row r="330" spans="1:2">
      <c r="A330" s="140">
        <v>44596</v>
      </c>
      <c r="B330" s="133">
        <v>51800</v>
      </c>
    </row>
    <row r="331" spans="1:2">
      <c r="A331" s="140">
        <v>44597</v>
      </c>
      <c r="B331" s="133">
        <v>51800</v>
      </c>
    </row>
    <row r="332" spans="1:2">
      <c r="A332" s="140">
        <v>44598</v>
      </c>
      <c r="B332" s="133" t="s">
        <v>585</v>
      </c>
    </row>
    <row r="333" spans="1:2">
      <c r="A333" s="140">
        <v>44599</v>
      </c>
      <c r="B333" s="133">
        <v>51700</v>
      </c>
    </row>
    <row r="334" spans="1:2">
      <c r="A334" s="140">
        <v>44600</v>
      </c>
      <c r="B334" s="133">
        <v>52000</v>
      </c>
    </row>
    <row r="335" spans="1:2">
      <c r="A335" s="140">
        <v>44601</v>
      </c>
      <c r="B335" s="133">
        <v>51900</v>
      </c>
    </row>
    <row r="336" spans="1:2">
      <c r="A336" s="140">
        <v>44602</v>
      </c>
      <c r="B336" s="133">
        <v>51600</v>
      </c>
    </row>
    <row r="337" spans="1:2">
      <c r="A337" s="140">
        <v>44603</v>
      </c>
      <c r="B337" s="133">
        <v>51300</v>
      </c>
    </row>
    <row r="338" spans="1:2">
      <c r="A338" s="140">
        <v>44604</v>
      </c>
      <c r="B338" s="133">
        <v>51200</v>
      </c>
    </row>
    <row r="339" spans="1:2">
      <c r="A339" s="140">
        <v>44605</v>
      </c>
      <c r="B339" s="133" t="s">
        <v>585</v>
      </c>
    </row>
    <row r="340" spans="1:2">
      <c r="A340" s="140">
        <v>44606</v>
      </c>
      <c r="B340" s="133">
        <v>51300</v>
      </c>
    </row>
    <row r="341" spans="1:2">
      <c r="A341" s="140">
        <v>44607</v>
      </c>
      <c r="B341" s="133">
        <v>51400</v>
      </c>
    </row>
    <row r="342" spans="1:2">
      <c r="A342" s="140">
        <v>44608</v>
      </c>
      <c r="B342" s="133">
        <v>52500</v>
      </c>
    </row>
    <row r="343" spans="1:2">
      <c r="A343" s="140">
        <v>44609</v>
      </c>
      <c r="B343" s="133">
        <v>52800</v>
      </c>
    </row>
    <row r="344" spans="1:2">
      <c r="A344" s="140">
        <v>44610</v>
      </c>
      <c r="B344" s="133">
        <v>52800</v>
      </c>
    </row>
    <row r="345" spans="1:2">
      <c r="A345" s="140">
        <v>44611</v>
      </c>
      <c r="B345" s="133">
        <v>53100</v>
      </c>
    </row>
    <row r="346" spans="1:2">
      <c r="A346" s="140">
        <v>44612</v>
      </c>
      <c r="B346" s="133" t="s">
        <v>585</v>
      </c>
    </row>
    <row r="347" spans="1:2">
      <c r="A347" s="140">
        <v>44613</v>
      </c>
      <c r="B347" s="133">
        <v>53000</v>
      </c>
    </row>
    <row r="348" spans="1:2">
      <c r="A348" s="140">
        <v>44614</v>
      </c>
      <c r="B348" s="133">
        <v>52900</v>
      </c>
    </row>
    <row r="349" spans="1:2">
      <c r="A349" s="140">
        <v>44615</v>
      </c>
      <c r="B349" s="133">
        <v>53000</v>
      </c>
    </row>
    <row r="350" spans="1:2">
      <c r="A350" s="140">
        <v>44616</v>
      </c>
      <c r="B350" s="133">
        <v>53800</v>
      </c>
    </row>
    <row r="351" spans="1:2">
      <c r="A351" s="140">
        <v>44617</v>
      </c>
      <c r="B351" s="133">
        <v>54700</v>
      </c>
    </row>
    <row r="352" spans="1:2">
      <c r="A352" s="140">
        <v>44618</v>
      </c>
      <c r="B352" s="133">
        <v>54700</v>
      </c>
    </row>
    <row r="353" spans="1:2">
      <c r="A353" s="140">
        <v>44619</v>
      </c>
      <c r="B353" s="133" t="s">
        <v>585</v>
      </c>
    </row>
    <row r="354" spans="1:2">
      <c r="A354" s="140">
        <v>44620</v>
      </c>
      <c r="B354" s="133">
        <v>57300</v>
      </c>
    </row>
    <row r="355" spans="1:2">
      <c r="A355" s="140">
        <v>44621</v>
      </c>
      <c r="B355" s="133">
        <v>58000</v>
      </c>
    </row>
    <row r="356" spans="1:2">
      <c r="A356" s="140">
        <v>44622</v>
      </c>
      <c r="B356" s="133">
        <v>58700</v>
      </c>
    </row>
    <row r="357" spans="1:2">
      <c r="A357" s="140">
        <v>44623</v>
      </c>
      <c r="B357" s="133">
        <v>60000</v>
      </c>
    </row>
    <row r="358" spans="1:2">
      <c r="A358" s="140">
        <v>44624</v>
      </c>
      <c r="B358" s="133">
        <v>62000</v>
      </c>
    </row>
    <row r="359" spans="1:2">
      <c r="A359" s="140">
        <v>44625</v>
      </c>
      <c r="B359" s="133">
        <v>63000</v>
      </c>
    </row>
    <row r="360" spans="1:2">
      <c r="A360" s="140">
        <v>44626</v>
      </c>
      <c r="B360" s="133" t="s">
        <v>585</v>
      </c>
    </row>
    <row r="361" spans="1:2">
      <c r="A361" s="140">
        <v>44627</v>
      </c>
      <c r="B361" s="133">
        <v>65200</v>
      </c>
    </row>
    <row r="362" spans="1:2">
      <c r="A362" s="140">
        <v>44628</v>
      </c>
      <c r="B362" s="133">
        <v>65000</v>
      </c>
    </row>
    <row r="363" spans="1:2">
      <c r="A363" s="140">
        <v>44629</v>
      </c>
      <c r="B363" s="133">
        <v>65800</v>
      </c>
    </row>
    <row r="364" spans="1:2">
      <c r="A364" s="140">
        <v>44630</v>
      </c>
      <c r="B364" s="133">
        <v>66100</v>
      </c>
    </row>
    <row r="365" spans="1:2">
      <c r="A365" s="140">
        <v>44631</v>
      </c>
      <c r="B365" s="133">
        <v>66100</v>
      </c>
    </row>
    <row r="366" spans="1:2">
      <c r="A366" s="140">
        <v>44632</v>
      </c>
      <c r="B366" s="133">
        <v>65000</v>
      </c>
    </row>
    <row r="367" spans="1:2">
      <c r="A367" s="140">
        <v>44633</v>
      </c>
      <c r="B367" s="133" t="s">
        <v>585</v>
      </c>
    </row>
    <row r="368" spans="1:2">
      <c r="A368" s="140">
        <v>44634</v>
      </c>
      <c r="B368" s="133">
        <v>64000</v>
      </c>
    </row>
    <row r="369" spans="1:2">
      <c r="A369" s="140">
        <v>44635</v>
      </c>
      <c r="B369" s="133">
        <v>62000</v>
      </c>
    </row>
    <row r="370" spans="1:2">
      <c r="A370" s="140">
        <v>44636</v>
      </c>
      <c r="B370" s="133">
        <v>62500</v>
      </c>
    </row>
    <row r="371" spans="1:2">
      <c r="A371" s="140">
        <v>44637</v>
      </c>
      <c r="B371" s="133">
        <v>62800</v>
      </c>
    </row>
    <row r="372" spans="1:2">
      <c r="A372" s="140">
        <v>44638</v>
      </c>
      <c r="B372" s="133" t="s">
        <v>585</v>
      </c>
    </row>
    <row r="373" spans="1:2">
      <c r="A373" s="140">
        <v>44639</v>
      </c>
      <c r="B373" s="133" t="s">
        <v>585</v>
      </c>
    </row>
    <row r="374" spans="1:2">
      <c r="A374" s="140">
        <v>44640</v>
      </c>
      <c r="B374" s="133" t="s">
        <v>585</v>
      </c>
    </row>
    <row r="375" spans="1:2">
      <c r="A375" s="140">
        <v>44641</v>
      </c>
      <c r="B375" s="133">
        <v>64300</v>
      </c>
    </row>
    <row r="376" spans="1:2">
      <c r="A376" s="140">
        <v>44642</v>
      </c>
      <c r="B376" s="133">
        <v>64600</v>
      </c>
    </row>
    <row r="377" spans="1:2">
      <c r="A377" s="140">
        <v>44643</v>
      </c>
      <c r="B377" s="133">
        <v>64500</v>
      </c>
    </row>
    <row r="378" spans="1:2">
      <c r="A378" s="140">
        <v>44644</v>
      </c>
      <c r="B378" s="133">
        <v>64500</v>
      </c>
    </row>
    <row r="379" spans="1:2">
      <c r="A379" s="140">
        <v>44645</v>
      </c>
      <c r="B379" s="133">
        <v>63700</v>
      </c>
    </row>
    <row r="380" spans="1:2">
      <c r="A380" s="140">
        <v>44646</v>
      </c>
      <c r="B380" s="133">
        <v>62900</v>
      </c>
    </row>
    <row r="381" spans="1:2">
      <c r="A381" s="140">
        <v>44647</v>
      </c>
      <c r="B381" s="133" t="s">
        <v>585</v>
      </c>
    </row>
    <row r="382" spans="1:2">
      <c r="A382" s="140">
        <v>44648</v>
      </c>
      <c r="B382" s="133">
        <v>62000</v>
      </c>
    </row>
    <row r="383" spans="1:2">
      <c r="A383" s="140">
        <v>44649</v>
      </c>
      <c r="B383" s="133">
        <v>61800</v>
      </c>
    </row>
    <row r="384" spans="1:2">
      <c r="A384" s="140">
        <v>44650</v>
      </c>
      <c r="B384" s="133">
        <v>61700</v>
      </c>
    </row>
    <row r="385" spans="1:2">
      <c r="A385" s="140">
        <v>44651</v>
      </c>
      <c r="B385" s="133">
        <v>61000</v>
      </c>
    </row>
    <row r="386" spans="1:2">
      <c r="A386" s="140">
        <v>44652</v>
      </c>
      <c r="B386" s="133">
        <v>61200</v>
      </c>
    </row>
    <row r="387" spans="1:2">
      <c r="A387" s="140">
        <v>44653</v>
      </c>
      <c r="B387" s="133">
        <v>61300</v>
      </c>
    </row>
    <row r="388" spans="1:2">
      <c r="A388" s="140">
        <v>44654</v>
      </c>
      <c r="B388" s="133" t="s">
        <v>585</v>
      </c>
    </row>
    <row r="389" spans="1:2">
      <c r="A389" s="140">
        <v>44655</v>
      </c>
      <c r="B389" s="133">
        <v>61300</v>
      </c>
    </row>
    <row r="390" spans="1:2">
      <c r="A390" s="140">
        <v>44656</v>
      </c>
      <c r="B390" s="133">
        <v>60500</v>
      </c>
    </row>
    <row r="391" spans="1:2">
      <c r="A391" s="140">
        <v>44657</v>
      </c>
      <c r="B391" s="133">
        <v>59700</v>
      </c>
    </row>
    <row r="392" spans="1:2">
      <c r="A392" s="140">
        <v>44658</v>
      </c>
      <c r="B392" s="133">
        <v>59700</v>
      </c>
    </row>
    <row r="393" spans="1:2">
      <c r="A393" s="140">
        <v>44659</v>
      </c>
      <c r="B393" s="133">
        <v>59100</v>
      </c>
    </row>
    <row r="394" spans="1:2">
      <c r="A394" s="140">
        <v>44660</v>
      </c>
      <c r="B394" s="133">
        <v>59100</v>
      </c>
    </row>
    <row r="395" spans="1:2">
      <c r="A395" s="140">
        <v>44661</v>
      </c>
      <c r="B395" s="133" t="s">
        <v>585</v>
      </c>
    </row>
    <row r="396" spans="1:2">
      <c r="A396" s="140">
        <v>44662</v>
      </c>
      <c r="B396" s="133">
        <v>58000</v>
      </c>
    </row>
    <row r="397" spans="1:2">
      <c r="A397" s="140">
        <v>44663</v>
      </c>
      <c r="B397" s="133">
        <v>58400</v>
      </c>
    </row>
    <row r="398" spans="1:2">
      <c r="A398" s="140">
        <v>44664</v>
      </c>
      <c r="B398" s="133">
        <v>59100</v>
      </c>
    </row>
    <row r="399" spans="1:2">
      <c r="A399" s="140">
        <v>44665</v>
      </c>
      <c r="B399" s="133">
        <v>59500</v>
      </c>
    </row>
    <row r="400" spans="1:2">
      <c r="A400" s="140">
        <v>44666</v>
      </c>
      <c r="B400" s="133">
        <v>60600</v>
      </c>
    </row>
    <row r="401" spans="1:2">
      <c r="A401" s="140">
        <v>44667</v>
      </c>
      <c r="B401" s="133">
        <v>60800</v>
      </c>
    </row>
    <row r="402" spans="1:2">
      <c r="A402" s="140">
        <v>44668</v>
      </c>
      <c r="B402" s="133" t="s">
        <v>585</v>
      </c>
    </row>
    <row r="403" spans="1:2">
      <c r="A403" s="140">
        <v>44669</v>
      </c>
      <c r="B403" s="133">
        <v>63200</v>
      </c>
    </row>
    <row r="404" spans="1:2">
      <c r="A404" s="140">
        <v>44670</v>
      </c>
      <c r="B404" s="133">
        <v>63200</v>
      </c>
    </row>
    <row r="405" spans="1:2">
      <c r="A405" s="140">
        <v>44671</v>
      </c>
      <c r="B405" s="133">
        <v>63200</v>
      </c>
    </row>
    <row r="406" spans="1:2">
      <c r="A406" s="140">
        <v>44672</v>
      </c>
      <c r="B406" s="133">
        <v>63000</v>
      </c>
    </row>
    <row r="407" spans="1:2">
      <c r="A407" s="140">
        <v>44673</v>
      </c>
      <c r="B407" s="133">
        <v>62000</v>
      </c>
    </row>
    <row r="408" spans="1:2">
      <c r="A408" s="140">
        <v>44674</v>
      </c>
      <c r="B408" s="133">
        <v>61200</v>
      </c>
    </row>
    <row r="409" spans="1:2">
      <c r="A409" s="140">
        <v>44675</v>
      </c>
      <c r="B409" s="133" t="s">
        <v>585</v>
      </c>
    </row>
    <row r="410" spans="1:2">
      <c r="A410" s="140">
        <v>44676</v>
      </c>
      <c r="B410" s="133">
        <v>60000</v>
      </c>
    </row>
    <row r="411" spans="1:2">
      <c r="A411" s="140">
        <v>44677</v>
      </c>
      <c r="B411" s="133">
        <v>60000</v>
      </c>
    </row>
    <row r="412" spans="1:2">
      <c r="A412" s="140">
        <v>44678</v>
      </c>
      <c r="B412" s="133">
        <v>60200</v>
      </c>
    </row>
    <row r="413" spans="1:2">
      <c r="A413" s="140">
        <v>44679</v>
      </c>
      <c r="B413" s="133">
        <v>60400</v>
      </c>
    </row>
    <row r="414" spans="1:2">
      <c r="A414" s="140">
        <v>44680</v>
      </c>
      <c r="B414" s="133">
        <v>60900</v>
      </c>
    </row>
    <row r="415" spans="1:2">
      <c r="A415" s="140">
        <v>44681</v>
      </c>
      <c r="B415" s="133">
        <v>60700</v>
      </c>
    </row>
    <row r="416" spans="1:2">
      <c r="A416" s="140">
        <v>44682</v>
      </c>
      <c r="B416" s="133" t="s">
        <v>585</v>
      </c>
    </row>
    <row r="417" spans="1:2">
      <c r="A417" s="140">
        <v>44683</v>
      </c>
      <c r="B417" s="133">
        <v>60600</v>
      </c>
    </row>
    <row r="418" spans="1:2">
      <c r="A418" s="140">
        <v>44684</v>
      </c>
      <c r="B418" s="133">
        <v>60200</v>
      </c>
    </row>
    <row r="419" spans="1:2">
      <c r="A419" s="140">
        <v>44685</v>
      </c>
      <c r="B419" s="133">
        <v>59500</v>
      </c>
    </row>
    <row r="420" spans="1:2">
      <c r="A420" s="140">
        <v>44686</v>
      </c>
      <c r="B420" s="133">
        <v>59000</v>
      </c>
    </row>
    <row r="421" spans="1:2">
      <c r="A421" s="140">
        <v>44687</v>
      </c>
      <c r="B421" s="133">
        <v>59000</v>
      </c>
    </row>
    <row r="422" spans="1:2">
      <c r="A422" s="140">
        <v>44688</v>
      </c>
      <c r="B422" s="133">
        <v>59200</v>
      </c>
    </row>
    <row r="423" spans="1:2">
      <c r="A423" s="140">
        <v>44689</v>
      </c>
      <c r="B423" s="133" t="s">
        <v>585</v>
      </c>
    </row>
    <row r="424" spans="1:2">
      <c r="A424" s="140">
        <v>44690</v>
      </c>
      <c r="B424" s="133">
        <v>59000</v>
      </c>
    </row>
    <row r="425" spans="1:2">
      <c r="A425" s="140">
        <v>44691</v>
      </c>
      <c r="B425" s="133">
        <v>58500</v>
      </c>
    </row>
    <row r="426" spans="1:2">
      <c r="A426" s="140">
        <v>44692</v>
      </c>
      <c r="B426" s="133">
        <v>58200</v>
      </c>
    </row>
    <row r="427" spans="1:2">
      <c r="A427" s="140">
        <v>44693</v>
      </c>
      <c r="B427" s="133">
        <v>57700</v>
      </c>
    </row>
    <row r="428" spans="1:2">
      <c r="A428" s="140">
        <v>44694</v>
      </c>
      <c r="B428" s="133">
        <v>57700</v>
      </c>
    </row>
    <row r="429" spans="1:2">
      <c r="A429" s="140">
        <v>44695</v>
      </c>
      <c r="B429" s="133">
        <v>57700</v>
      </c>
    </row>
    <row r="430" spans="1:2">
      <c r="A430" s="140">
        <v>44696</v>
      </c>
      <c r="B430" s="133" t="s">
        <v>585</v>
      </c>
    </row>
    <row r="431" spans="1:2">
      <c r="A431" s="140">
        <v>44697</v>
      </c>
      <c r="B431" s="133">
        <v>57400</v>
      </c>
    </row>
    <row r="432" spans="1:2">
      <c r="A432" s="140">
        <v>44698</v>
      </c>
      <c r="B432" s="133">
        <v>56500</v>
      </c>
    </row>
    <row r="433" spans="1:2">
      <c r="A433" s="140">
        <v>44699</v>
      </c>
      <c r="B433" s="133">
        <v>56300</v>
      </c>
    </row>
    <row r="434" spans="1:2">
      <c r="A434" s="140">
        <v>44700</v>
      </c>
      <c r="B434" s="133">
        <v>56000</v>
      </c>
    </row>
    <row r="435" spans="1:2">
      <c r="A435" s="140">
        <v>44701</v>
      </c>
      <c r="B435" s="133">
        <v>56000</v>
      </c>
    </row>
    <row r="436" spans="1:2">
      <c r="A436" s="140">
        <v>44702</v>
      </c>
      <c r="B436" s="133">
        <v>55500</v>
      </c>
    </row>
    <row r="437" spans="1:2">
      <c r="A437" s="140">
        <v>44703</v>
      </c>
      <c r="B437" s="133" t="s">
        <v>585</v>
      </c>
    </row>
    <row r="438" spans="1:2">
      <c r="A438" s="140">
        <v>44704</v>
      </c>
      <c r="B438" s="133">
        <v>53500</v>
      </c>
    </row>
    <row r="439" spans="1:2">
      <c r="A439" s="140">
        <v>44705</v>
      </c>
      <c r="B439" s="133">
        <v>53000</v>
      </c>
    </row>
    <row r="440" spans="1:2">
      <c r="A440" s="140">
        <v>44706</v>
      </c>
      <c r="B440" s="133">
        <v>51800</v>
      </c>
    </row>
    <row r="441" spans="1:2">
      <c r="A441" s="140">
        <v>44707</v>
      </c>
      <c r="B441" s="133">
        <v>50800</v>
      </c>
    </row>
    <row r="442" spans="1:2">
      <c r="A442" s="140">
        <v>44708</v>
      </c>
      <c r="B442" s="133">
        <v>49500</v>
      </c>
    </row>
    <row r="443" spans="1:2">
      <c r="A443" s="140">
        <v>44709</v>
      </c>
      <c r="B443" s="133">
        <v>49700</v>
      </c>
    </row>
    <row r="444" spans="1:2">
      <c r="A444" s="140">
        <v>44710</v>
      </c>
      <c r="B444" s="133" t="s">
        <v>585</v>
      </c>
    </row>
    <row r="445" spans="1:2">
      <c r="A445" s="140">
        <v>44711</v>
      </c>
      <c r="B445" s="133">
        <v>50700</v>
      </c>
    </row>
    <row r="446" spans="1:2">
      <c r="A446" s="140">
        <v>44712</v>
      </c>
      <c r="B446" s="133">
        <v>50000</v>
      </c>
    </row>
    <row r="447" spans="1:2">
      <c r="A447" s="140">
        <v>44713</v>
      </c>
      <c r="B447" s="133">
        <v>49400</v>
      </c>
    </row>
    <row r="448" spans="1:2">
      <c r="A448" s="140">
        <v>44714</v>
      </c>
      <c r="B448" s="133">
        <v>49400</v>
      </c>
    </row>
    <row r="449" spans="1:2">
      <c r="A449" s="140">
        <v>44715</v>
      </c>
      <c r="B449" s="133">
        <v>49800</v>
      </c>
    </row>
    <row r="450" spans="1:2">
      <c r="A450" s="140">
        <v>44716</v>
      </c>
      <c r="B450" s="133">
        <v>50000</v>
      </c>
    </row>
    <row r="451" spans="1:2">
      <c r="A451" s="140">
        <v>44717</v>
      </c>
      <c r="B451" s="133" t="s">
        <v>585</v>
      </c>
    </row>
    <row r="452" spans="1:2">
      <c r="A452" s="140">
        <v>44718</v>
      </c>
      <c r="B452" s="133">
        <v>50000</v>
      </c>
    </row>
    <row r="453" spans="1:2">
      <c r="A453" s="140">
        <v>44719</v>
      </c>
      <c r="B453" s="133">
        <v>49900</v>
      </c>
    </row>
    <row r="454" spans="1:2">
      <c r="A454" s="140">
        <v>44720</v>
      </c>
      <c r="B454" s="133">
        <v>49900</v>
      </c>
    </row>
    <row r="455" spans="1:2">
      <c r="A455" s="140">
        <v>44721</v>
      </c>
      <c r="B455" s="133">
        <v>49500</v>
      </c>
    </row>
    <row r="456" spans="1:2">
      <c r="A456" s="140">
        <v>44722</v>
      </c>
      <c r="B456" s="133">
        <v>49600</v>
      </c>
    </row>
    <row r="457" spans="1:2">
      <c r="A457" s="140">
        <v>44723</v>
      </c>
      <c r="B457" s="133">
        <v>49900</v>
      </c>
    </row>
    <row r="458" spans="1:2">
      <c r="A458" s="140">
        <v>44724</v>
      </c>
      <c r="B458" s="133" t="s">
        <v>585</v>
      </c>
    </row>
    <row r="459" spans="1:2">
      <c r="A459" s="140">
        <v>44725</v>
      </c>
      <c r="B459" s="133">
        <v>50100</v>
      </c>
    </row>
    <row r="460" spans="1:2">
      <c r="A460" s="140">
        <v>44726</v>
      </c>
      <c r="B460" s="133">
        <v>50100</v>
      </c>
    </row>
    <row r="461" spans="1:2">
      <c r="A461" s="140">
        <v>44727</v>
      </c>
      <c r="B461" s="133">
        <v>50400</v>
      </c>
    </row>
    <row r="462" spans="1:2">
      <c r="A462" s="140">
        <v>44728</v>
      </c>
      <c r="B462" s="133">
        <v>51000</v>
      </c>
    </row>
    <row r="463" spans="1:2">
      <c r="A463" s="140">
        <v>44729</v>
      </c>
      <c r="B463" s="133">
        <v>51200</v>
      </c>
    </row>
    <row r="464" spans="1:2">
      <c r="A464" s="140">
        <v>44730</v>
      </c>
      <c r="B464" s="133">
        <v>51400</v>
      </c>
    </row>
    <row r="465" spans="1:2">
      <c r="A465" s="140">
        <v>44731</v>
      </c>
      <c r="B465" s="133" t="s">
        <v>585</v>
      </c>
    </row>
    <row r="466" spans="1:2">
      <c r="A466" s="140">
        <v>44732</v>
      </c>
      <c r="B466" s="133">
        <v>51000</v>
      </c>
    </row>
    <row r="467" spans="1:2">
      <c r="A467" s="140">
        <v>44733</v>
      </c>
      <c r="B467" s="133">
        <v>50900</v>
      </c>
    </row>
    <row r="468" spans="1:2">
      <c r="A468" s="140">
        <v>44734</v>
      </c>
      <c r="B468" s="133">
        <v>51100</v>
      </c>
    </row>
    <row r="469" spans="1:2">
      <c r="A469" s="140">
        <v>44735</v>
      </c>
      <c r="B469" s="133">
        <v>51400</v>
      </c>
    </row>
    <row r="470" spans="1:2">
      <c r="A470" s="140">
        <v>44736</v>
      </c>
      <c r="B470" s="133">
        <v>51600</v>
      </c>
    </row>
    <row r="471" spans="1:2">
      <c r="A471" s="140">
        <v>44737</v>
      </c>
      <c r="B471" s="133">
        <v>51500</v>
      </c>
    </row>
    <row r="472" spans="1:2">
      <c r="A472" s="140">
        <v>44738</v>
      </c>
      <c r="B472" s="133" t="s">
        <v>585</v>
      </c>
    </row>
    <row r="473" spans="1:2">
      <c r="A473" s="140">
        <v>44739</v>
      </c>
      <c r="B473" s="133">
        <v>52600</v>
      </c>
    </row>
    <row r="474" spans="1:2">
      <c r="A474" s="140">
        <v>44740</v>
      </c>
      <c r="B474" s="133">
        <v>52800</v>
      </c>
    </row>
    <row r="475" spans="1:2">
      <c r="A475" s="140">
        <v>44741</v>
      </c>
      <c r="B475" s="133">
        <v>52800</v>
      </c>
    </row>
    <row r="476" spans="1:2">
      <c r="A476" s="140">
        <v>44742</v>
      </c>
      <c r="B476" s="133">
        <v>52800</v>
      </c>
    </row>
    <row r="477" spans="1:2">
      <c r="A477" s="140">
        <v>44743</v>
      </c>
      <c r="B477" s="133">
        <v>52600</v>
      </c>
    </row>
    <row r="478" spans="1:2">
      <c r="A478" s="140">
        <v>44744</v>
      </c>
      <c r="B478" s="133">
        <v>52600</v>
      </c>
    </row>
    <row r="479" spans="1:2">
      <c r="A479" s="140">
        <v>44745</v>
      </c>
      <c r="B479" s="133" t="s">
        <v>585</v>
      </c>
    </row>
    <row r="480" spans="1:2">
      <c r="A480" s="140">
        <v>44746</v>
      </c>
      <c r="B480" s="133">
        <v>52300</v>
      </c>
    </row>
    <row r="481" spans="1:2">
      <c r="A481" s="140">
        <v>44747</v>
      </c>
      <c r="B481" s="133">
        <v>52400</v>
      </c>
    </row>
    <row r="482" spans="1:2">
      <c r="A482" s="140">
        <v>44748</v>
      </c>
      <c r="B482" s="133">
        <v>52600</v>
      </c>
    </row>
    <row r="483" spans="1:2">
      <c r="A483" s="140">
        <v>44749</v>
      </c>
      <c r="B483" s="133">
        <v>53300</v>
      </c>
    </row>
    <row r="484" spans="1:2">
      <c r="A484" s="140">
        <v>44750</v>
      </c>
      <c r="B484" s="133">
        <v>53900</v>
      </c>
    </row>
    <row r="485" spans="1:2">
      <c r="A485" s="140">
        <v>44751</v>
      </c>
      <c r="B485" s="133">
        <v>54100</v>
      </c>
    </row>
    <row r="486" spans="1:2">
      <c r="A486" s="140">
        <v>44752</v>
      </c>
      <c r="B486" s="133" t="s">
        <v>585</v>
      </c>
    </row>
    <row r="487" spans="1:2">
      <c r="A487" s="140">
        <v>44753</v>
      </c>
      <c r="B487" s="133">
        <v>54600</v>
      </c>
    </row>
    <row r="488" spans="1:2">
      <c r="A488" s="140">
        <v>44754</v>
      </c>
      <c r="B488" s="133">
        <v>55500</v>
      </c>
    </row>
    <row r="489" spans="1:2">
      <c r="A489" s="140">
        <v>44755</v>
      </c>
      <c r="B489" s="133">
        <v>55100</v>
      </c>
    </row>
    <row r="490" spans="1:2">
      <c r="A490" s="140">
        <v>44756</v>
      </c>
      <c r="B490" s="133">
        <v>54400</v>
      </c>
    </row>
    <row r="491" spans="1:2">
      <c r="A491" s="140">
        <v>44757</v>
      </c>
      <c r="B491" s="133">
        <v>53900</v>
      </c>
    </row>
    <row r="492" spans="1:2">
      <c r="A492" s="140">
        <v>44758</v>
      </c>
      <c r="B492" s="133">
        <v>53500</v>
      </c>
    </row>
    <row r="493" spans="1:2">
      <c r="A493" s="140">
        <v>44759</v>
      </c>
      <c r="B493" s="133" t="s">
        <v>585</v>
      </c>
    </row>
    <row r="494" spans="1:2">
      <c r="A494" s="140">
        <v>44760</v>
      </c>
      <c r="B494" s="133">
        <v>52700</v>
      </c>
    </row>
    <row r="495" spans="1:2">
      <c r="A495" s="140">
        <v>44761</v>
      </c>
      <c r="B495" s="133">
        <v>52100</v>
      </c>
    </row>
    <row r="496" spans="1:2">
      <c r="A496" s="140">
        <v>44762</v>
      </c>
      <c r="B496" s="133">
        <v>51900</v>
      </c>
    </row>
    <row r="497" spans="1:2">
      <c r="A497" s="140">
        <v>44763</v>
      </c>
      <c r="B497" s="133">
        <v>51300</v>
      </c>
    </row>
    <row r="498" spans="1:2">
      <c r="A498" s="140">
        <v>44764</v>
      </c>
      <c r="B498" s="133">
        <v>51200</v>
      </c>
    </row>
    <row r="499" spans="1:2">
      <c r="A499" s="140">
        <v>44765</v>
      </c>
      <c r="B499" s="133">
        <v>51000</v>
      </c>
    </row>
    <row r="500" spans="1:2">
      <c r="A500" s="140">
        <v>44766</v>
      </c>
      <c r="B500" s="133" t="s">
        <v>585</v>
      </c>
    </row>
    <row r="501" spans="1:2">
      <c r="A501" s="140">
        <v>44767</v>
      </c>
      <c r="B501" s="133">
        <v>50800</v>
      </c>
    </row>
    <row r="502" spans="1:2">
      <c r="A502" s="140">
        <v>44768</v>
      </c>
      <c r="B502" s="133">
        <v>51500</v>
      </c>
    </row>
    <row r="503" spans="1:2">
      <c r="A503" s="140">
        <v>44769</v>
      </c>
      <c r="B503" s="133">
        <v>51700</v>
      </c>
    </row>
    <row r="504" spans="1:2">
      <c r="A504" s="140">
        <v>44770</v>
      </c>
      <c r="B504" s="133">
        <v>52000</v>
      </c>
    </row>
    <row r="505" spans="1:2">
      <c r="A505" s="140">
        <v>44771</v>
      </c>
      <c r="B505" s="133">
        <v>52500</v>
      </c>
    </row>
    <row r="506" spans="1:2">
      <c r="A506" s="140">
        <v>44772</v>
      </c>
      <c r="B506" s="133">
        <v>52400</v>
      </c>
    </row>
    <row r="507" spans="1:2">
      <c r="A507" s="140">
        <v>44773</v>
      </c>
      <c r="B507" s="133" t="s">
        <v>585</v>
      </c>
    </row>
    <row r="508" spans="1:2">
      <c r="A508" s="140">
        <v>44774</v>
      </c>
      <c r="B508" s="133">
        <v>52900</v>
      </c>
    </row>
    <row r="509" spans="1:2">
      <c r="A509" s="140">
        <v>44775</v>
      </c>
      <c r="B509" s="133">
        <v>53000</v>
      </c>
    </row>
    <row r="510" spans="1:2">
      <c r="A510" s="140">
        <v>44776</v>
      </c>
      <c r="B510" s="133">
        <v>52700</v>
      </c>
    </row>
    <row r="511" spans="1:2">
      <c r="A511" s="140">
        <v>44777</v>
      </c>
      <c r="B511" s="133">
        <v>52300</v>
      </c>
    </row>
    <row r="512" spans="1:2">
      <c r="A512" s="140">
        <v>44778</v>
      </c>
      <c r="B512" s="133">
        <v>51500</v>
      </c>
    </row>
    <row r="513" spans="1:2">
      <c r="A513" s="140">
        <v>44779</v>
      </c>
      <c r="B513" s="133">
        <v>51400</v>
      </c>
    </row>
    <row r="514" spans="1:2">
      <c r="A514" s="140">
        <v>44780</v>
      </c>
      <c r="B514" s="133" t="s">
        <v>585</v>
      </c>
    </row>
    <row r="515" spans="1:2">
      <c r="A515" s="140">
        <v>44781</v>
      </c>
      <c r="B515" s="133">
        <v>51400</v>
      </c>
    </row>
    <row r="516" spans="1:2">
      <c r="A516" s="140">
        <v>44782</v>
      </c>
      <c r="B516" s="133">
        <v>51600</v>
      </c>
    </row>
    <row r="517" spans="1:2">
      <c r="A517" s="140">
        <v>44783</v>
      </c>
      <c r="B517" s="133">
        <v>52000</v>
      </c>
    </row>
    <row r="518" spans="1:2">
      <c r="A518" s="140">
        <v>44784</v>
      </c>
      <c r="B518" s="133" t="s">
        <v>585</v>
      </c>
    </row>
    <row r="519" spans="1:2">
      <c r="A519" s="140">
        <v>44785</v>
      </c>
      <c r="B519" s="133">
        <v>52700</v>
      </c>
    </row>
    <row r="520" spans="1:2">
      <c r="A520" s="140">
        <v>44786</v>
      </c>
      <c r="B520" s="133">
        <v>52400</v>
      </c>
    </row>
    <row r="521" spans="1:2">
      <c r="A521" s="140">
        <v>44787</v>
      </c>
      <c r="B521" s="133" t="s">
        <v>585</v>
      </c>
    </row>
    <row r="522" spans="1:2">
      <c r="A522" s="140">
        <v>44788</v>
      </c>
      <c r="B522" s="133" t="s">
        <v>585</v>
      </c>
    </row>
    <row r="523" spans="1:2">
      <c r="A523" s="140">
        <v>44789</v>
      </c>
      <c r="B523" s="133">
        <v>52700</v>
      </c>
    </row>
    <row r="524" spans="1:2">
      <c r="A524" s="140">
        <v>44790</v>
      </c>
      <c r="B524" s="133">
        <v>52600</v>
      </c>
    </row>
    <row r="525" spans="1:2">
      <c r="A525" s="140">
        <v>44791</v>
      </c>
      <c r="B525" s="133">
        <v>52000</v>
      </c>
    </row>
    <row r="526" spans="1:2">
      <c r="A526" s="140">
        <v>44792</v>
      </c>
      <c r="B526" s="133">
        <v>51900</v>
      </c>
    </row>
    <row r="527" spans="1:2">
      <c r="A527" s="140">
        <v>44793</v>
      </c>
      <c r="B527" s="133">
        <v>51700</v>
      </c>
    </row>
    <row r="528" spans="1:2">
      <c r="A528" s="140">
        <v>44794</v>
      </c>
      <c r="B528" s="133" t="s">
        <v>585</v>
      </c>
    </row>
    <row r="529" spans="1:2">
      <c r="A529" s="140">
        <v>44795</v>
      </c>
      <c r="B529" s="133">
        <v>51500</v>
      </c>
    </row>
    <row r="530" spans="1:2">
      <c r="A530" s="140">
        <v>44796</v>
      </c>
      <c r="B530" s="133">
        <v>51200</v>
      </c>
    </row>
    <row r="531" spans="1:2">
      <c r="A531" s="140">
        <v>44797</v>
      </c>
      <c r="B531" s="133">
        <v>51500</v>
      </c>
    </row>
    <row r="532" spans="1:2">
      <c r="A532" s="140">
        <v>44798</v>
      </c>
      <c r="B532" s="133">
        <v>51300</v>
      </c>
    </row>
    <row r="533" spans="1:2">
      <c r="A533" s="140">
        <v>44799</v>
      </c>
      <c r="B533" s="133">
        <v>50900</v>
      </c>
    </row>
    <row r="534" spans="1:2">
      <c r="A534" s="140">
        <v>44800</v>
      </c>
      <c r="B534" s="133">
        <v>50900</v>
      </c>
    </row>
    <row r="535" spans="1:2">
      <c r="A535" s="140">
        <v>44801</v>
      </c>
      <c r="B535" s="133" t="s">
        <v>585</v>
      </c>
    </row>
    <row r="536" spans="1:2">
      <c r="A536" s="140">
        <v>44802</v>
      </c>
      <c r="B536" s="133">
        <v>50500</v>
      </c>
    </row>
    <row r="537" spans="1:2">
      <c r="A537" s="140">
        <v>44803</v>
      </c>
      <c r="B537" s="133">
        <v>50400</v>
      </c>
    </row>
    <row r="538" spans="1:2">
      <c r="A538" s="140">
        <v>44804</v>
      </c>
      <c r="B538" s="133">
        <v>50600</v>
      </c>
    </row>
    <row r="539" spans="1:2">
      <c r="A539" s="140">
        <v>44805</v>
      </c>
      <c r="B539" s="133">
        <v>50800</v>
      </c>
    </row>
    <row r="540" spans="1:2">
      <c r="A540" s="140">
        <v>44806</v>
      </c>
      <c r="B540" s="133">
        <v>50800</v>
      </c>
    </row>
    <row r="541" spans="1:2">
      <c r="A541" s="140">
        <v>44807</v>
      </c>
      <c r="B541" s="133">
        <v>50900</v>
      </c>
    </row>
    <row r="542" spans="1:2">
      <c r="A542" s="140">
        <v>44808</v>
      </c>
      <c r="B542" s="133" t="s">
        <v>585</v>
      </c>
    </row>
    <row r="543" spans="1:2">
      <c r="A543" s="140">
        <v>44809</v>
      </c>
      <c r="B543" s="133">
        <v>50700</v>
      </c>
    </row>
    <row r="544" spans="1:2">
      <c r="A544" s="140">
        <v>44810</v>
      </c>
      <c r="B544" s="133">
        <v>50800</v>
      </c>
    </row>
    <row r="545" spans="1:2">
      <c r="A545" s="140">
        <v>44811</v>
      </c>
      <c r="B545" s="133">
        <v>50900</v>
      </c>
    </row>
    <row r="546" spans="1:2">
      <c r="A546" s="140">
        <v>44812</v>
      </c>
      <c r="B546" s="133">
        <v>51200</v>
      </c>
    </row>
    <row r="547" spans="1:2">
      <c r="A547" s="140">
        <v>44813</v>
      </c>
      <c r="B547" s="133">
        <v>51200</v>
      </c>
    </row>
    <row r="548" spans="1:2">
      <c r="A548" s="140">
        <v>44814</v>
      </c>
      <c r="B548" s="133">
        <v>51500</v>
      </c>
    </row>
    <row r="549" spans="1:2">
      <c r="A549" s="140">
        <v>44815</v>
      </c>
      <c r="B549" s="133" t="s">
        <v>585</v>
      </c>
    </row>
    <row r="550" spans="1:2">
      <c r="A550" s="140">
        <v>44816</v>
      </c>
      <c r="B550" s="133">
        <v>51400</v>
      </c>
    </row>
    <row r="551" spans="1:2">
      <c r="A551" s="140">
        <v>44817</v>
      </c>
      <c r="B551" s="133">
        <v>51800</v>
      </c>
    </row>
    <row r="552" spans="1:2">
      <c r="A552" s="140">
        <v>44818</v>
      </c>
      <c r="B552" s="133">
        <v>52000</v>
      </c>
    </row>
    <row r="553" spans="1:2">
      <c r="A553" s="140">
        <v>44819</v>
      </c>
      <c r="B553" s="133">
        <v>52000</v>
      </c>
    </row>
    <row r="554" spans="1:2">
      <c r="A554" s="140">
        <v>44820</v>
      </c>
      <c r="B554" s="133">
        <v>51800</v>
      </c>
    </row>
    <row r="555" spans="1:2">
      <c r="A555" s="140">
        <v>44821</v>
      </c>
      <c r="B555" s="133">
        <v>51800</v>
      </c>
    </row>
    <row r="556" spans="1:2">
      <c r="A556" s="140">
        <v>44822</v>
      </c>
      <c r="B556" s="133" t="s">
        <v>585</v>
      </c>
    </row>
    <row r="557" spans="1:2">
      <c r="A557" s="140">
        <v>44823</v>
      </c>
      <c r="B557" s="133">
        <v>51500</v>
      </c>
    </row>
    <row r="558" spans="1:2">
      <c r="A558" s="140">
        <v>44824</v>
      </c>
      <c r="B558" s="133">
        <v>51300</v>
      </c>
    </row>
    <row r="559" spans="1:2">
      <c r="A559" s="140">
        <v>44825</v>
      </c>
      <c r="B559" s="133">
        <v>51300</v>
      </c>
    </row>
    <row r="560" spans="1:2">
      <c r="A560" s="140">
        <v>44826</v>
      </c>
      <c r="B560" s="133">
        <v>51300</v>
      </c>
    </row>
    <row r="561" spans="1:2">
      <c r="A561" s="140">
        <v>44827</v>
      </c>
      <c r="B561" s="133">
        <v>51400</v>
      </c>
    </row>
    <row r="562" spans="1:2">
      <c r="A562" s="140">
        <v>44828</v>
      </c>
      <c r="B562" s="133">
        <v>51800</v>
      </c>
    </row>
    <row r="563" spans="1:2">
      <c r="A563" s="140">
        <v>44829</v>
      </c>
      <c r="B563" s="133" t="s">
        <v>585</v>
      </c>
    </row>
    <row r="564" spans="1:2">
      <c r="A564" s="140">
        <v>44830</v>
      </c>
      <c r="B564" s="133">
        <v>51800</v>
      </c>
    </row>
    <row r="565" spans="1:2">
      <c r="A565" s="140">
        <v>44831</v>
      </c>
      <c r="B565" s="133">
        <v>52000</v>
      </c>
    </row>
    <row r="566" spans="1:2">
      <c r="A566" s="140">
        <v>44832</v>
      </c>
      <c r="B566" s="133">
        <v>52000</v>
      </c>
    </row>
    <row r="567" spans="1:2">
      <c r="A567" s="140">
        <v>44833</v>
      </c>
      <c r="B567" s="133">
        <v>51900</v>
      </c>
    </row>
    <row r="568" spans="1:2">
      <c r="A568" s="140">
        <v>44834</v>
      </c>
      <c r="B568" s="133">
        <v>52000</v>
      </c>
    </row>
    <row r="569" spans="1:2">
      <c r="A569" s="140">
        <v>44835</v>
      </c>
      <c r="B569" s="133">
        <v>52100</v>
      </c>
    </row>
    <row r="570" spans="1:2">
      <c r="A570" s="140">
        <v>44836</v>
      </c>
      <c r="B570" s="133" t="s">
        <v>585</v>
      </c>
    </row>
    <row r="571" spans="1:2">
      <c r="A571" s="140">
        <v>44837</v>
      </c>
      <c r="B571" s="133">
        <v>51900</v>
      </c>
    </row>
    <row r="572" spans="1:2">
      <c r="A572" s="140">
        <v>44838</v>
      </c>
      <c r="B572" s="133">
        <v>52000</v>
      </c>
    </row>
    <row r="573" spans="1:2">
      <c r="A573" s="140">
        <v>44839</v>
      </c>
      <c r="B573" s="133" t="s">
        <v>585</v>
      </c>
    </row>
    <row r="574" spans="1:2">
      <c r="A574" s="140">
        <v>44840</v>
      </c>
      <c r="B574" s="133">
        <v>52200</v>
      </c>
    </row>
    <row r="575" spans="1:2">
      <c r="A575" s="140">
        <v>44841</v>
      </c>
      <c r="B575" s="133">
        <v>52200</v>
      </c>
    </row>
    <row r="576" spans="1:2">
      <c r="A576" s="140">
        <v>44842</v>
      </c>
      <c r="B576" s="133">
        <v>52200</v>
      </c>
    </row>
    <row r="577" spans="1:2">
      <c r="A577" s="140">
        <v>44843</v>
      </c>
      <c r="B577" s="133" t="s">
        <v>585</v>
      </c>
    </row>
    <row r="578" spans="1:2">
      <c r="A578" s="140">
        <v>44844</v>
      </c>
      <c r="B578" s="133">
        <v>52000</v>
      </c>
    </row>
    <row r="579" spans="1:2">
      <c r="A579" s="140">
        <v>44845</v>
      </c>
      <c r="B579" s="133">
        <v>51900</v>
      </c>
    </row>
    <row r="580" spans="1:2">
      <c r="A580" s="140">
        <v>44846</v>
      </c>
      <c r="B580" s="133">
        <v>51600</v>
      </c>
    </row>
    <row r="581" spans="1:2">
      <c r="A581" s="140">
        <v>44847</v>
      </c>
      <c r="B581" s="133">
        <v>51200</v>
      </c>
    </row>
    <row r="582" spans="1:2">
      <c r="A582" s="140">
        <v>44848</v>
      </c>
      <c r="B582" s="133">
        <v>51000</v>
      </c>
    </row>
    <row r="583" spans="1:2">
      <c r="A583" s="140">
        <v>44849</v>
      </c>
      <c r="B583" s="133">
        <v>50900</v>
      </c>
    </row>
    <row r="584" spans="1:2">
      <c r="A584" s="140">
        <v>44850</v>
      </c>
      <c r="B584" s="133" t="s">
        <v>585</v>
      </c>
    </row>
    <row r="585" spans="1:2">
      <c r="A585" s="140">
        <v>44851</v>
      </c>
      <c r="B585" s="133">
        <v>50500</v>
      </c>
    </row>
    <row r="586" spans="1:2">
      <c r="A586" s="140">
        <v>44852</v>
      </c>
      <c r="B586" s="133">
        <v>50300</v>
      </c>
    </row>
    <row r="587" spans="1:2">
      <c r="A587" s="140">
        <v>44853</v>
      </c>
      <c r="B587" s="133">
        <v>50000</v>
      </c>
    </row>
    <row r="588" spans="1:2">
      <c r="A588" s="140">
        <v>44854</v>
      </c>
      <c r="B588" s="133">
        <v>50000</v>
      </c>
    </row>
    <row r="589" spans="1:2">
      <c r="A589" s="140">
        <v>44855</v>
      </c>
      <c r="B589" s="133">
        <v>50400</v>
      </c>
    </row>
    <row r="590" spans="1:2">
      <c r="A590" s="140">
        <v>44856</v>
      </c>
      <c r="B590" s="133">
        <v>50900</v>
      </c>
    </row>
    <row r="591" spans="1:2">
      <c r="A591" s="140">
        <v>44857</v>
      </c>
      <c r="B591" s="133" t="s">
        <v>585</v>
      </c>
    </row>
    <row r="592" spans="1:2">
      <c r="A592" s="140">
        <v>44858</v>
      </c>
      <c r="B592" s="133" t="s">
        <v>585</v>
      </c>
    </row>
    <row r="593" spans="1:2">
      <c r="A593" s="140">
        <v>44859</v>
      </c>
      <c r="B593" s="133" t="s">
        <v>585</v>
      </c>
    </row>
    <row r="594" spans="1:2">
      <c r="A594" s="140">
        <v>44860</v>
      </c>
      <c r="B594" s="133">
        <v>50900</v>
      </c>
    </row>
    <row r="595" spans="1:2">
      <c r="A595" s="140">
        <v>44861</v>
      </c>
      <c r="B595" s="133">
        <v>50800</v>
      </c>
    </row>
    <row r="596" spans="1:2">
      <c r="A596" s="140">
        <v>44862</v>
      </c>
      <c r="B596" s="133">
        <v>50500</v>
      </c>
    </row>
    <row r="597" spans="1:2">
      <c r="A597" s="140">
        <v>44863</v>
      </c>
      <c r="B597" s="133">
        <v>50300</v>
      </c>
    </row>
    <row r="598" spans="1:2">
      <c r="A598" s="140">
        <v>44864</v>
      </c>
      <c r="B598" s="133" t="s">
        <v>585</v>
      </c>
    </row>
    <row r="599" spans="1:2">
      <c r="A599" s="140">
        <v>44865</v>
      </c>
      <c r="B599" s="133">
        <v>50000</v>
      </c>
    </row>
    <row r="600" spans="1:2">
      <c r="A600" s="140">
        <v>44866</v>
      </c>
      <c r="B600" s="133">
        <v>49900</v>
      </c>
    </row>
    <row r="601" spans="1:2">
      <c r="A601" s="140">
        <v>44867</v>
      </c>
      <c r="B601" s="133">
        <v>49600</v>
      </c>
    </row>
    <row r="602" spans="1:2">
      <c r="A602" s="140">
        <v>44868</v>
      </c>
      <c r="B602" s="133">
        <v>49400</v>
      </c>
    </row>
    <row r="603" spans="1:2">
      <c r="A603" s="140">
        <v>44869</v>
      </c>
      <c r="B603" s="133">
        <v>49000</v>
      </c>
    </row>
    <row r="604" spans="1:2">
      <c r="A604" s="140">
        <v>44870</v>
      </c>
      <c r="B604" s="133">
        <v>48900</v>
      </c>
    </row>
    <row r="605" spans="1:2">
      <c r="A605" s="140">
        <v>44871</v>
      </c>
      <c r="B605" s="133" t="s">
        <v>585</v>
      </c>
    </row>
    <row r="606" spans="1:2">
      <c r="A606" s="140">
        <v>44872</v>
      </c>
      <c r="B606" s="133">
        <v>48700</v>
      </c>
    </row>
    <row r="607" spans="1:2">
      <c r="A607" s="140">
        <v>44873</v>
      </c>
      <c r="B607" s="133">
        <v>48500</v>
      </c>
    </row>
    <row r="608" spans="1:2">
      <c r="A608" s="140">
        <v>44874</v>
      </c>
      <c r="B608" s="133">
        <v>48500</v>
      </c>
    </row>
    <row r="609" spans="1:2">
      <c r="A609" s="140">
        <v>44875</v>
      </c>
      <c r="B609" s="133">
        <v>48300</v>
      </c>
    </row>
    <row r="610" spans="1:2">
      <c r="A610" s="140">
        <v>44876</v>
      </c>
      <c r="B610" s="133">
        <v>48100</v>
      </c>
    </row>
    <row r="611" spans="1:2">
      <c r="A611" s="140">
        <v>44877</v>
      </c>
      <c r="B611" s="133">
        <v>48000</v>
      </c>
    </row>
    <row r="612" spans="1:2">
      <c r="A612" s="140">
        <v>44878</v>
      </c>
      <c r="B612" s="133" t="s">
        <v>585</v>
      </c>
    </row>
    <row r="613" spans="1:2">
      <c r="A613" s="140">
        <v>44879</v>
      </c>
      <c r="B613" s="133">
        <v>47000</v>
      </c>
    </row>
    <row r="614" spans="1:2">
      <c r="A614" s="140">
        <v>44880</v>
      </c>
      <c r="B614" s="133">
        <v>46400</v>
      </c>
    </row>
    <row r="615" spans="1:2">
      <c r="A615" s="140">
        <v>44881</v>
      </c>
      <c r="B615" s="133">
        <v>46000</v>
      </c>
    </row>
    <row r="616" spans="1:2">
      <c r="A616" s="140">
        <v>44882</v>
      </c>
      <c r="B616" s="133">
        <v>45000</v>
      </c>
    </row>
    <row r="617" spans="1:2">
      <c r="A617" s="140">
        <v>44883</v>
      </c>
      <c r="B617" s="133">
        <v>44600</v>
      </c>
    </row>
    <row r="618" spans="1:2">
      <c r="A618" s="140">
        <v>44884</v>
      </c>
      <c r="B618" s="133">
        <v>49200</v>
      </c>
    </row>
    <row r="619" spans="1:2">
      <c r="A619" s="140">
        <v>44885</v>
      </c>
      <c r="B619" s="133" t="s">
        <v>585</v>
      </c>
    </row>
    <row r="620" spans="1:2">
      <c r="A620" s="140">
        <v>44886</v>
      </c>
      <c r="B620" s="133">
        <v>48600</v>
      </c>
    </row>
    <row r="621" spans="1:2">
      <c r="A621" s="140">
        <v>44887</v>
      </c>
      <c r="B621" s="133">
        <v>47400</v>
      </c>
    </row>
    <row r="622" spans="1:2">
      <c r="A622" s="140">
        <v>44888</v>
      </c>
      <c r="B622" s="133">
        <v>46500</v>
      </c>
    </row>
    <row r="623" spans="1:2">
      <c r="A623" s="140">
        <v>44889</v>
      </c>
      <c r="B623" s="133">
        <v>44700</v>
      </c>
    </row>
    <row r="624" spans="1:2">
      <c r="A624" s="140">
        <v>44890</v>
      </c>
      <c r="B624" s="133">
        <v>44800</v>
      </c>
    </row>
    <row r="625" spans="1:2">
      <c r="A625" s="140">
        <v>44891</v>
      </c>
      <c r="B625" s="133">
        <v>45400</v>
      </c>
    </row>
    <row r="626" spans="1:2">
      <c r="A626" s="140">
        <v>44892</v>
      </c>
      <c r="B626" s="133" t="s">
        <v>585</v>
      </c>
    </row>
    <row r="627" spans="1:2">
      <c r="A627" s="140">
        <v>44893</v>
      </c>
      <c r="B627" s="133">
        <v>45400</v>
      </c>
    </row>
    <row r="628" spans="1:2">
      <c r="A628" s="140">
        <v>44894</v>
      </c>
      <c r="B628" s="133">
        <v>45900</v>
      </c>
    </row>
    <row r="629" spans="1:2">
      <c r="A629" s="140">
        <v>44895</v>
      </c>
      <c r="B629" s="133">
        <v>47300</v>
      </c>
    </row>
    <row r="630" spans="1:2">
      <c r="A630" s="140">
        <v>44896</v>
      </c>
      <c r="B630" s="133">
        <v>47300</v>
      </c>
    </row>
    <row r="631" spans="1:2">
      <c r="A631" s="140">
        <v>44897</v>
      </c>
      <c r="B631" s="133">
        <v>46900</v>
      </c>
    </row>
    <row r="632" spans="1:2">
      <c r="A632" s="140">
        <v>44898</v>
      </c>
      <c r="B632" s="133">
        <v>46800</v>
      </c>
    </row>
    <row r="633" spans="1:2">
      <c r="A633" s="140">
        <v>44899</v>
      </c>
      <c r="B633" s="133" t="s">
        <v>585</v>
      </c>
    </row>
    <row r="634" spans="1:2">
      <c r="A634" s="140">
        <v>44900</v>
      </c>
      <c r="B634" s="133">
        <v>47300</v>
      </c>
    </row>
    <row r="635" spans="1:2">
      <c r="A635" s="140">
        <v>44901</v>
      </c>
      <c r="B635" s="133">
        <v>47300</v>
      </c>
    </row>
    <row r="636" spans="1:2">
      <c r="A636" s="140">
        <v>44902</v>
      </c>
      <c r="B636" s="133">
        <v>47800</v>
      </c>
    </row>
    <row r="637" spans="1:2">
      <c r="A637" s="140">
        <v>44903</v>
      </c>
      <c r="B637" s="133">
        <v>48300</v>
      </c>
    </row>
    <row r="638" spans="1:2">
      <c r="A638" s="140">
        <v>44904</v>
      </c>
      <c r="B638" s="133">
        <v>48300</v>
      </c>
    </row>
    <row r="639" spans="1:2">
      <c r="A639" s="140">
        <v>44905</v>
      </c>
      <c r="B639" s="133">
        <v>48000</v>
      </c>
    </row>
    <row r="640" spans="1:2">
      <c r="A640" s="140">
        <v>44906</v>
      </c>
      <c r="B640" s="133" t="s">
        <v>585</v>
      </c>
    </row>
    <row r="641" spans="1:2">
      <c r="A641" s="140">
        <v>44907</v>
      </c>
      <c r="B641" s="133">
        <v>47800</v>
      </c>
    </row>
    <row r="642" spans="1:2">
      <c r="A642" s="140">
        <v>44908</v>
      </c>
      <c r="B642" s="133">
        <v>47600</v>
      </c>
    </row>
    <row r="643" spans="1:2">
      <c r="A643" s="140">
        <v>44909</v>
      </c>
      <c r="B643" s="133">
        <v>47400</v>
      </c>
    </row>
    <row r="644" spans="1:2">
      <c r="A644" s="140">
        <v>44910</v>
      </c>
      <c r="B644" s="133">
        <v>47300</v>
      </c>
    </row>
    <row r="645" spans="1:2">
      <c r="A645" s="140">
        <v>44911</v>
      </c>
      <c r="B645" s="133">
        <v>48100</v>
      </c>
    </row>
    <row r="646" spans="1:2">
      <c r="A646" s="140">
        <v>44912</v>
      </c>
      <c r="B646" s="133">
        <v>48200</v>
      </c>
    </row>
    <row r="647" spans="1:2">
      <c r="A647" s="140">
        <v>44913</v>
      </c>
      <c r="B647" s="133" t="s">
        <v>585</v>
      </c>
    </row>
    <row r="648" spans="1:2">
      <c r="A648" s="140">
        <v>44914</v>
      </c>
      <c r="B648" s="133">
        <v>48100</v>
      </c>
    </row>
    <row r="649" spans="1:2">
      <c r="A649" s="140">
        <v>44915</v>
      </c>
      <c r="B649" s="133">
        <v>48000</v>
      </c>
    </row>
    <row r="650" spans="1:2">
      <c r="A650" s="140">
        <v>44916</v>
      </c>
      <c r="B650" s="133">
        <v>47700</v>
      </c>
    </row>
    <row r="651" spans="1:2">
      <c r="A651" s="140">
        <v>44917</v>
      </c>
      <c r="B651" s="133">
        <v>47900</v>
      </c>
    </row>
    <row r="652" spans="1:2">
      <c r="A652" s="140">
        <v>44918</v>
      </c>
      <c r="B652" s="133">
        <v>48400</v>
      </c>
    </row>
    <row r="653" spans="1:2">
      <c r="A653" s="140">
        <v>44919</v>
      </c>
      <c r="B653" s="133">
        <v>49000</v>
      </c>
    </row>
    <row r="654" spans="1:2">
      <c r="A654" s="140">
        <v>44920</v>
      </c>
      <c r="B654" s="133" t="s">
        <v>585</v>
      </c>
    </row>
    <row r="655" spans="1:2">
      <c r="A655" s="140">
        <v>44921</v>
      </c>
      <c r="B655" s="133">
        <v>49500</v>
      </c>
    </row>
    <row r="656" spans="1:2">
      <c r="A656" s="140">
        <v>44922</v>
      </c>
      <c r="B656" s="133">
        <v>50000</v>
      </c>
    </row>
    <row r="657" spans="1:2">
      <c r="A657" s="140">
        <v>44923</v>
      </c>
      <c r="B657" s="133">
        <v>50300</v>
      </c>
    </row>
    <row r="658" spans="1:2">
      <c r="A658" s="140">
        <v>44924</v>
      </c>
      <c r="B658" s="133">
        <v>50700</v>
      </c>
    </row>
    <row r="659" spans="1:2">
      <c r="A659" s="140">
        <v>44925</v>
      </c>
      <c r="B659" s="133">
        <v>50600</v>
      </c>
    </row>
    <row r="660" spans="1:2">
      <c r="A660" s="140">
        <v>44926</v>
      </c>
      <c r="B660" s="133">
        <v>51200</v>
      </c>
    </row>
    <row r="661" spans="1:2">
      <c r="A661" s="140">
        <v>44927</v>
      </c>
      <c r="B661" s="133" t="s">
        <v>585</v>
      </c>
    </row>
    <row r="662" spans="1:2">
      <c r="A662" s="140">
        <v>44928</v>
      </c>
      <c r="B662" s="133">
        <v>51700</v>
      </c>
    </row>
    <row r="663" spans="1:2">
      <c r="A663" s="140">
        <v>44929</v>
      </c>
      <c r="B663" s="133">
        <v>51500</v>
      </c>
    </row>
    <row r="664" spans="1:2">
      <c r="A664" s="140">
        <v>44930</v>
      </c>
      <c r="B664" s="133">
        <v>51200</v>
      </c>
    </row>
    <row r="665" spans="1:2">
      <c r="A665" s="140">
        <v>44931</v>
      </c>
      <c r="B665" s="133">
        <v>51500</v>
      </c>
    </row>
    <row r="666" spans="1:2">
      <c r="A666" s="140">
        <v>44932</v>
      </c>
      <c r="B666" s="133">
        <v>51200</v>
      </c>
    </row>
    <row r="667" spans="1:2">
      <c r="A667" s="140">
        <v>44933</v>
      </c>
      <c r="B667" s="133">
        <v>51200</v>
      </c>
    </row>
    <row r="668" spans="1:2">
      <c r="A668" s="140">
        <v>44934</v>
      </c>
      <c r="B668" s="133" t="s">
        <v>585</v>
      </c>
    </row>
    <row r="669" spans="1:2">
      <c r="A669" s="140">
        <v>44935</v>
      </c>
      <c r="B669" s="133">
        <v>50900</v>
      </c>
    </row>
    <row r="670" spans="1:2">
      <c r="A670" s="140">
        <v>44936</v>
      </c>
      <c r="B670" s="133">
        <v>50800</v>
      </c>
    </row>
    <row r="671" spans="1:2">
      <c r="A671" s="140">
        <v>44937</v>
      </c>
      <c r="B671" s="133">
        <v>51600</v>
      </c>
    </row>
    <row r="672" spans="1:2">
      <c r="A672" s="140">
        <v>44938</v>
      </c>
      <c r="B672" s="133">
        <v>51800</v>
      </c>
    </row>
    <row r="673" spans="1:2">
      <c r="A673" s="140">
        <v>44939</v>
      </c>
      <c r="B673" s="133">
        <v>52300</v>
      </c>
    </row>
    <row r="674" spans="1:2">
      <c r="A674" s="140">
        <v>44940</v>
      </c>
      <c r="B674" s="133">
        <v>52500</v>
      </c>
    </row>
    <row r="675" spans="1:2">
      <c r="A675" s="140">
        <v>44941</v>
      </c>
      <c r="B675" s="133" t="s">
        <v>585</v>
      </c>
    </row>
    <row r="676" spans="1:2">
      <c r="A676" s="140">
        <v>44942</v>
      </c>
      <c r="B676" s="133">
        <v>52700</v>
      </c>
    </row>
    <row r="677" spans="1:2">
      <c r="A677" s="140">
        <v>44943</v>
      </c>
      <c r="B677" s="133">
        <v>52700</v>
      </c>
    </row>
    <row r="678" spans="1:2">
      <c r="A678" s="140">
        <v>44944</v>
      </c>
      <c r="B678" s="133">
        <v>52400</v>
      </c>
    </row>
    <row r="679" spans="1:2">
      <c r="A679" s="140">
        <v>44945</v>
      </c>
      <c r="B679" s="133">
        <v>52200</v>
      </c>
    </row>
    <row r="680" spans="1:2">
      <c r="A680" s="140">
        <v>44946</v>
      </c>
      <c r="B680" s="133">
        <v>52200</v>
      </c>
    </row>
    <row r="681" spans="1:2">
      <c r="A681" s="140">
        <v>44947</v>
      </c>
      <c r="B681" s="133">
        <v>51900</v>
      </c>
    </row>
    <row r="682" spans="1:2">
      <c r="A682" s="140">
        <v>44948</v>
      </c>
      <c r="B682" s="133" t="s">
        <v>585</v>
      </c>
    </row>
    <row r="683" spans="1:2">
      <c r="A683" s="140">
        <v>44949</v>
      </c>
      <c r="B683" s="133">
        <v>51900</v>
      </c>
    </row>
    <row r="684" spans="1:2">
      <c r="A684" s="140">
        <v>44950</v>
      </c>
      <c r="B684" s="133">
        <v>51700</v>
      </c>
    </row>
    <row r="685" spans="1:2">
      <c r="A685" s="140">
        <v>44951</v>
      </c>
      <c r="B685" s="133">
        <v>51600</v>
      </c>
    </row>
    <row r="686" spans="1:2">
      <c r="A686" s="140">
        <v>44952</v>
      </c>
      <c r="B686" s="133" t="s">
        <v>585</v>
      </c>
    </row>
    <row r="687" spans="1:2">
      <c r="A687" s="140">
        <v>44953</v>
      </c>
      <c r="B687" s="133">
        <v>51700</v>
      </c>
    </row>
    <row r="688" spans="1:2">
      <c r="A688" s="140">
        <v>44954</v>
      </c>
      <c r="B688" s="133">
        <v>51700</v>
      </c>
    </row>
    <row r="689" spans="1:2">
      <c r="A689" s="140">
        <v>44955</v>
      </c>
      <c r="B689" s="133" t="s">
        <v>585</v>
      </c>
    </row>
    <row r="690" spans="1:2">
      <c r="A690" s="140">
        <v>44956</v>
      </c>
      <c r="B690" s="133">
        <v>51700</v>
      </c>
    </row>
    <row r="691" spans="1:2">
      <c r="A691" s="140">
        <v>44957</v>
      </c>
      <c r="B691" s="133">
        <v>51500</v>
      </c>
    </row>
    <row r="692" spans="1:2">
      <c r="A692" s="140">
        <v>44958</v>
      </c>
      <c r="B692" s="133">
        <v>51600</v>
      </c>
    </row>
    <row r="693" spans="1:2">
      <c r="A693" s="140">
        <v>44959</v>
      </c>
      <c r="B693" s="133">
        <v>51400</v>
      </c>
    </row>
    <row r="694" spans="1:2">
      <c r="A694" s="140">
        <v>44960</v>
      </c>
      <c r="B694" s="133">
        <v>51200</v>
      </c>
    </row>
    <row r="695" spans="1:2">
      <c r="A695" s="140">
        <v>44961</v>
      </c>
      <c r="B695" s="133">
        <v>51000</v>
      </c>
    </row>
    <row r="696" spans="1:2">
      <c r="A696" s="140">
        <v>44962</v>
      </c>
      <c r="B696" s="133" t="s">
        <v>585</v>
      </c>
    </row>
    <row r="697" spans="1:2">
      <c r="A697" s="140">
        <v>44963</v>
      </c>
      <c r="B697" s="133">
        <v>51000</v>
      </c>
    </row>
    <row r="698" spans="1:2">
      <c r="A698" s="140">
        <v>44964</v>
      </c>
      <c r="B698" s="133">
        <v>50700</v>
      </c>
    </row>
    <row r="699" spans="1:2">
      <c r="A699" s="140">
        <v>44965</v>
      </c>
      <c r="B699" s="133">
        <v>50100</v>
      </c>
    </row>
    <row r="700" spans="1:2">
      <c r="A700" s="140">
        <v>44966</v>
      </c>
      <c r="B700" s="133">
        <v>49700</v>
      </c>
    </row>
    <row r="701" spans="1:2">
      <c r="A701" s="140">
        <v>44967</v>
      </c>
      <c r="B701" s="133">
        <v>49600</v>
      </c>
    </row>
    <row r="702" spans="1:2">
      <c r="A702" s="140">
        <v>44968</v>
      </c>
      <c r="B702" s="133">
        <v>49500</v>
      </c>
    </row>
    <row r="703" spans="1:2">
      <c r="A703" s="140">
        <v>44969</v>
      </c>
      <c r="B703" s="133" t="s">
        <v>585</v>
      </c>
    </row>
    <row r="704" spans="1:2">
      <c r="A704" s="140">
        <v>44970</v>
      </c>
      <c r="B704" s="133">
        <v>49500</v>
      </c>
    </row>
    <row r="705" spans="1:2">
      <c r="A705" s="140">
        <v>44971</v>
      </c>
      <c r="B705" s="133">
        <v>50500</v>
      </c>
    </row>
    <row r="706" spans="1:2">
      <c r="A706" s="140">
        <v>44972</v>
      </c>
      <c r="B706" s="133">
        <v>50500</v>
      </c>
    </row>
    <row r="707" spans="1:2">
      <c r="A707" s="140">
        <v>44973</v>
      </c>
      <c r="B707" s="133">
        <v>51100</v>
      </c>
    </row>
    <row r="708" spans="1:2">
      <c r="A708" s="140">
        <v>44974</v>
      </c>
      <c r="B708" s="133">
        <v>51200</v>
      </c>
    </row>
    <row r="709" spans="1:2">
      <c r="A709" s="140">
        <v>44975</v>
      </c>
      <c r="B709" s="133">
        <v>51400</v>
      </c>
    </row>
    <row r="710" spans="1:2">
      <c r="A710" s="140">
        <v>44976</v>
      </c>
      <c r="B710" s="133" t="s">
        <v>585</v>
      </c>
    </row>
    <row r="711" spans="1:2">
      <c r="A711" s="140">
        <v>44977</v>
      </c>
      <c r="B711" s="133">
        <v>51100</v>
      </c>
    </row>
    <row r="712" spans="1:2">
      <c r="A712" s="140">
        <v>44978</v>
      </c>
      <c r="B712" s="133">
        <v>51000</v>
      </c>
    </row>
    <row r="713" spans="1:2">
      <c r="A713" s="140">
        <v>44979</v>
      </c>
      <c r="B713" s="133">
        <v>50800</v>
      </c>
    </row>
    <row r="714" spans="1:2">
      <c r="A714" s="140">
        <v>44980</v>
      </c>
      <c r="B714" s="133">
        <v>50800</v>
      </c>
    </row>
    <row r="715" spans="1:2">
      <c r="A715" s="140">
        <v>44981</v>
      </c>
      <c r="B715" s="133">
        <v>50300</v>
      </c>
    </row>
    <row r="716" spans="1:2">
      <c r="A716" s="140">
        <v>44982</v>
      </c>
      <c r="B716" s="133">
        <v>50300</v>
      </c>
    </row>
    <row r="717" spans="1:2">
      <c r="A717" s="140">
        <v>44983</v>
      </c>
      <c r="B717" s="133" t="s">
        <v>585</v>
      </c>
    </row>
    <row r="718" spans="1:2">
      <c r="A718" s="140">
        <v>44984</v>
      </c>
      <c r="B718" s="133">
        <v>50300</v>
      </c>
    </row>
    <row r="719" spans="1:2">
      <c r="A719" s="140">
        <v>44985</v>
      </c>
      <c r="B719" s="133">
        <v>50300</v>
      </c>
    </row>
    <row r="720" spans="1:2">
      <c r="A720" s="140">
        <v>44986</v>
      </c>
      <c r="B720" s="133">
        <v>50300</v>
      </c>
    </row>
    <row r="721" spans="1:2">
      <c r="A721" s="140">
        <v>44987</v>
      </c>
      <c r="B721" s="133">
        <v>50200</v>
      </c>
    </row>
    <row r="722" spans="1:2">
      <c r="A722" s="140">
        <v>44988</v>
      </c>
      <c r="B722" s="133">
        <v>50200</v>
      </c>
    </row>
    <row r="723" spans="1:2">
      <c r="A723" s="140">
        <v>44989</v>
      </c>
      <c r="B723" s="133">
        <v>50200</v>
      </c>
    </row>
    <row r="724" spans="1:2">
      <c r="A724" s="140">
        <v>44990</v>
      </c>
      <c r="B724" s="133" t="s">
        <v>585</v>
      </c>
    </row>
    <row r="725" spans="1:2">
      <c r="A725" s="140">
        <v>44991</v>
      </c>
      <c r="B725" s="133">
        <v>50800</v>
      </c>
    </row>
    <row r="726" spans="1:2">
      <c r="A726" s="140">
        <v>44992</v>
      </c>
      <c r="B726" s="133">
        <v>50800</v>
      </c>
    </row>
    <row r="727" spans="1:2">
      <c r="A727" s="140">
        <v>44993</v>
      </c>
      <c r="B727" s="133" t="s">
        <v>585</v>
      </c>
    </row>
    <row r="728" spans="1:2">
      <c r="A728" s="140">
        <v>44994</v>
      </c>
      <c r="B728" s="133" t="s">
        <v>585</v>
      </c>
    </row>
    <row r="729" spans="1:2">
      <c r="A729" s="140">
        <v>44995</v>
      </c>
      <c r="B729" s="133">
        <v>50700</v>
      </c>
    </row>
    <row r="730" spans="1:2">
      <c r="A730" s="140">
        <v>44996</v>
      </c>
      <c r="B730" s="133">
        <v>50700</v>
      </c>
    </row>
    <row r="731" spans="1:2">
      <c r="A731" s="140">
        <v>44997</v>
      </c>
      <c r="B731" s="133" t="s">
        <v>585</v>
      </c>
    </row>
    <row r="732" spans="1:2">
      <c r="A732" s="140">
        <v>44998</v>
      </c>
      <c r="B732" s="133">
        <v>50600</v>
      </c>
    </row>
    <row r="733" spans="1:2">
      <c r="A733" s="140">
        <v>44999</v>
      </c>
      <c r="B733" s="133">
        <v>50500</v>
      </c>
    </row>
    <row r="734" spans="1:2">
      <c r="A734" s="140">
        <v>45000</v>
      </c>
      <c r="B734" s="133">
        <v>50300</v>
      </c>
    </row>
    <row r="735" spans="1:2">
      <c r="A735" s="140">
        <v>45001</v>
      </c>
      <c r="B735" s="133">
        <v>50000</v>
      </c>
    </row>
    <row r="736" spans="1:2">
      <c r="A736" s="140">
        <v>45002</v>
      </c>
      <c r="B736" s="133">
        <v>50200</v>
      </c>
    </row>
    <row r="737" spans="1:2">
      <c r="A737" s="140">
        <v>45003</v>
      </c>
      <c r="B737" s="133">
        <v>50000</v>
      </c>
    </row>
    <row r="738" spans="1:2">
      <c r="A738" s="140">
        <v>45004</v>
      </c>
      <c r="B738" s="133" t="s">
        <v>585</v>
      </c>
    </row>
    <row r="739" spans="1:2">
      <c r="A739" s="140">
        <v>45005</v>
      </c>
      <c r="B739" s="133">
        <v>50000</v>
      </c>
    </row>
    <row r="740" spans="1:2">
      <c r="A740" s="140">
        <v>45006</v>
      </c>
      <c r="B740" s="133">
        <v>50000</v>
      </c>
    </row>
    <row r="741" spans="1:2">
      <c r="A741" s="140">
        <v>45007</v>
      </c>
      <c r="B741" s="133">
        <v>50100</v>
      </c>
    </row>
    <row r="742" spans="1:2">
      <c r="A742" s="140">
        <v>45008</v>
      </c>
      <c r="B742" s="133">
        <v>50000</v>
      </c>
    </row>
    <row r="743" spans="1:2">
      <c r="A743" s="140">
        <v>45009</v>
      </c>
      <c r="B743" s="133">
        <v>50100</v>
      </c>
    </row>
    <row r="744" spans="1:2">
      <c r="A744" s="140">
        <v>45010</v>
      </c>
      <c r="B744" s="133">
        <v>50200</v>
      </c>
    </row>
    <row r="745" spans="1:2">
      <c r="A745" s="140">
        <v>45011</v>
      </c>
      <c r="B745" s="133" t="s">
        <v>585</v>
      </c>
    </row>
    <row r="746" spans="1:2">
      <c r="A746" s="140">
        <v>45012</v>
      </c>
      <c r="B746" s="133">
        <v>50200</v>
      </c>
    </row>
    <row r="747" spans="1:2">
      <c r="A747" s="140">
        <v>45013</v>
      </c>
      <c r="B747" s="133">
        <v>50200</v>
      </c>
    </row>
    <row r="748" spans="1:2">
      <c r="A748" s="140">
        <v>45014</v>
      </c>
      <c r="B748" s="133">
        <v>50200</v>
      </c>
    </row>
    <row r="749" spans="1:2">
      <c r="A749" s="140">
        <v>45015</v>
      </c>
      <c r="B749" s="133">
        <v>50200</v>
      </c>
    </row>
    <row r="750" spans="1:2">
      <c r="A750" s="140">
        <v>45016</v>
      </c>
      <c r="B750" s="133">
        <v>50300</v>
      </c>
    </row>
    <row r="751" spans="1:2">
      <c r="A751" s="140">
        <v>45017</v>
      </c>
      <c r="B751" s="133">
        <v>50400</v>
      </c>
    </row>
    <row r="752" spans="1:2">
      <c r="A752" s="140">
        <v>45018</v>
      </c>
      <c r="B752" s="133" t="s">
        <v>585</v>
      </c>
    </row>
    <row r="753" spans="1:2">
      <c r="A753" s="140">
        <v>45019</v>
      </c>
      <c r="B753" s="133">
        <v>50300</v>
      </c>
    </row>
    <row r="754" spans="1:2">
      <c r="A754" s="140">
        <v>45020</v>
      </c>
      <c r="B754" s="133">
        <v>50300</v>
      </c>
    </row>
    <row r="755" spans="1:2">
      <c r="A755" s="140">
        <v>45021</v>
      </c>
      <c r="B755" s="133">
        <v>50600</v>
      </c>
    </row>
    <row r="756" spans="1:2">
      <c r="A756" s="140">
        <v>45022</v>
      </c>
      <c r="B756" s="133">
        <v>50500</v>
      </c>
    </row>
    <row r="757" spans="1:2">
      <c r="A757" s="140">
        <v>45023</v>
      </c>
      <c r="B757" s="133">
        <v>50300</v>
      </c>
    </row>
    <row r="758" spans="1:2">
      <c r="A758" s="140">
        <v>45024</v>
      </c>
      <c r="B758" s="133">
        <v>50300</v>
      </c>
    </row>
    <row r="759" spans="1:2">
      <c r="A759" s="140">
        <v>45025</v>
      </c>
      <c r="B759" s="133" t="s">
        <v>585</v>
      </c>
    </row>
    <row r="760" spans="1:2">
      <c r="A760" s="140">
        <v>45026</v>
      </c>
      <c r="B760" s="133">
        <v>50100</v>
      </c>
    </row>
    <row r="761" spans="1:2">
      <c r="A761" s="140">
        <v>45027</v>
      </c>
      <c r="B761" s="133">
        <v>49900</v>
      </c>
    </row>
    <row r="762" spans="1:2">
      <c r="A762" s="140">
        <v>45028</v>
      </c>
      <c r="B762" s="133">
        <v>50100</v>
      </c>
    </row>
    <row r="763" spans="1:2">
      <c r="A763" s="140">
        <v>45029</v>
      </c>
      <c r="B763" s="133">
        <v>50200</v>
      </c>
    </row>
    <row r="764" spans="1:2">
      <c r="A764" s="140">
        <v>45030</v>
      </c>
      <c r="B764" s="133">
        <v>50900</v>
      </c>
    </row>
    <row r="765" spans="1:2">
      <c r="A765" s="140">
        <v>45031</v>
      </c>
      <c r="B765" s="133">
        <v>50900</v>
      </c>
    </row>
    <row r="766" spans="1:2">
      <c r="A766" s="140">
        <v>45032</v>
      </c>
      <c r="B766" s="133" t="s">
        <v>585</v>
      </c>
    </row>
    <row r="767" spans="1:2">
      <c r="A767" s="140">
        <v>45033</v>
      </c>
      <c r="B767" s="133">
        <v>50900</v>
      </c>
    </row>
    <row r="768" spans="1:2">
      <c r="A768" s="140">
        <v>45034</v>
      </c>
      <c r="B768" s="133">
        <v>50700</v>
      </c>
    </row>
    <row r="769" spans="1:2">
      <c r="A769" s="140">
        <v>45035</v>
      </c>
      <c r="B769" s="133">
        <v>50600</v>
      </c>
    </row>
    <row r="770" spans="1:2">
      <c r="A770" s="140">
        <v>45036</v>
      </c>
      <c r="B770" s="133">
        <v>50500</v>
      </c>
    </row>
    <row r="771" spans="1:2">
      <c r="A771" s="140">
        <v>45037</v>
      </c>
      <c r="B771" s="133">
        <v>50300</v>
      </c>
    </row>
    <row r="772" spans="1:2">
      <c r="A772" s="140">
        <v>45038</v>
      </c>
      <c r="B772" s="133">
        <v>50500</v>
      </c>
    </row>
    <row r="773" spans="1:2">
      <c r="A773" s="140">
        <v>45039</v>
      </c>
      <c r="B773" s="133" t="s">
        <v>585</v>
      </c>
    </row>
    <row r="774" spans="1:2">
      <c r="A774" s="140">
        <v>45040</v>
      </c>
      <c r="B774" s="133">
        <v>49900</v>
      </c>
    </row>
    <row r="775" spans="1:2">
      <c r="A775" s="140">
        <v>45041</v>
      </c>
      <c r="B775" s="133">
        <v>49800</v>
      </c>
    </row>
    <row r="776" spans="1:2">
      <c r="A776" s="140">
        <v>45042</v>
      </c>
      <c r="B776" s="133">
        <v>49800</v>
      </c>
    </row>
    <row r="777" spans="1:2">
      <c r="A777" s="140">
        <v>45043</v>
      </c>
      <c r="B777" s="133">
        <v>49700</v>
      </c>
    </row>
    <row r="778" spans="1:2">
      <c r="A778" s="140">
        <v>45044</v>
      </c>
      <c r="B778" s="133">
        <v>49600</v>
      </c>
    </row>
    <row r="779" spans="1:2">
      <c r="A779" s="140">
        <v>45045</v>
      </c>
      <c r="B779" s="133">
        <v>49500</v>
      </c>
    </row>
    <row r="780" spans="1:2">
      <c r="A780" s="140">
        <v>45046</v>
      </c>
      <c r="B780" s="133" t="s">
        <v>585</v>
      </c>
    </row>
    <row r="781" spans="1:2">
      <c r="A781" s="140">
        <v>45047</v>
      </c>
      <c r="B781" s="133">
        <v>49100</v>
      </c>
    </row>
    <row r="782" spans="1:2">
      <c r="A782" s="140">
        <v>45048</v>
      </c>
      <c r="B782" s="133">
        <v>48800</v>
      </c>
    </row>
    <row r="783" spans="1:2">
      <c r="A783" s="140">
        <v>45049</v>
      </c>
      <c r="B783" s="133">
        <v>48500</v>
      </c>
    </row>
    <row r="784" spans="1:2">
      <c r="A784" s="140">
        <v>45050</v>
      </c>
      <c r="B784" s="133">
        <v>48000</v>
      </c>
    </row>
    <row r="785" spans="1:2">
      <c r="A785" s="140">
        <v>45051</v>
      </c>
      <c r="B785" s="133">
        <v>47500</v>
      </c>
    </row>
    <row r="786" spans="1:2">
      <c r="A786" s="140">
        <v>45052</v>
      </c>
      <c r="B786" s="133">
        <v>47300</v>
      </c>
    </row>
    <row r="787" spans="1:2">
      <c r="A787" s="140">
        <v>45053</v>
      </c>
      <c r="B787" s="133" t="s">
        <v>585</v>
      </c>
    </row>
    <row r="788" spans="1:2">
      <c r="A788" s="140">
        <v>45054</v>
      </c>
      <c r="B788" s="133">
        <v>47500</v>
      </c>
    </row>
    <row r="789" spans="1:2">
      <c r="A789" s="140">
        <v>45055</v>
      </c>
      <c r="B789" s="133">
        <v>47800</v>
      </c>
    </row>
    <row r="790" spans="1:2">
      <c r="A790" s="140">
        <v>45056</v>
      </c>
      <c r="B790" s="133">
        <v>48200</v>
      </c>
    </row>
    <row r="791" spans="1:2">
      <c r="A791" s="140">
        <v>45057</v>
      </c>
      <c r="B791" s="133">
        <v>47800</v>
      </c>
    </row>
    <row r="792" spans="1:2">
      <c r="A792" s="140">
        <v>45058</v>
      </c>
      <c r="B792" s="133">
        <v>47700</v>
      </c>
    </row>
    <row r="793" spans="1:2">
      <c r="A793" s="140">
        <v>45059</v>
      </c>
      <c r="B793" s="133">
        <v>47500</v>
      </c>
    </row>
    <row r="794" spans="1:2">
      <c r="A794" s="140">
        <v>45060</v>
      </c>
      <c r="B794" s="133" t="s">
        <v>585</v>
      </c>
    </row>
    <row r="795" spans="1:2">
      <c r="A795" s="140">
        <v>45061</v>
      </c>
      <c r="B795" s="133">
        <v>48100</v>
      </c>
    </row>
    <row r="796" spans="1:2">
      <c r="A796" s="140">
        <v>45062</v>
      </c>
      <c r="B796" s="133">
        <v>48300</v>
      </c>
    </row>
    <row r="797" spans="1:2">
      <c r="A797" s="140">
        <v>45063</v>
      </c>
      <c r="B797" s="133">
        <v>48400</v>
      </c>
    </row>
    <row r="798" spans="1:2">
      <c r="A798" s="140">
        <v>45064</v>
      </c>
      <c r="B798" s="133">
        <v>48300</v>
      </c>
    </row>
    <row r="799" spans="1:2">
      <c r="A799" s="140">
        <v>45065</v>
      </c>
      <c r="B799" s="133">
        <v>48100</v>
      </c>
    </row>
    <row r="800" spans="1:2">
      <c r="A800" s="140">
        <v>45066</v>
      </c>
      <c r="B800" s="133">
        <v>48000</v>
      </c>
    </row>
    <row r="801" spans="1:2">
      <c r="A801" s="140">
        <v>45067</v>
      </c>
      <c r="B801" s="133" t="s">
        <v>585</v>
      </c>
    </row>
    <row r="802" spans="1:2">
      <c r="A802" s="140">
        <v>45068</v>
      </c>
      <c r="B802" s="133">
        <v>47700</v>
      </c>
    </row>
    <row r="803" spans="1:2">
      <c r="A803" s="140">
        <v>45069</v>
      </c>
      <c r="B803" s="133">
        <v>47500</v>
      </c>
    </row>
    <row r="804" spans="1:2">
      <c r="A804" s="140">
        <v>45070</v>
      </c>
      <c r="B804" s="133">
        <v>47400</v>
      </c>
    </row>
    <row r="805" spans="1:2">
      <c r="A805" s="140">
        <v>45071</v>
      </c>
      <c r="B805" s="133">
        <v>47500</v>
      </c>
    </row>
    <row r="806" spans="1:2">
      <c r="A806" s="140">
        <v>45072</v>
      </c>
      <c r="B806" s="133">
        <v>47400</v>
      </c>
    </row>
    <row r="807" spans="1:2">
      <c r="A807" s="140">
        <v>45073</v>
      </c>
      <c r="B807" s="133">
        <v>47200</v>
      </c>
    </row>
    <row r="808" spans="1:2">
      <c r="A808" s="140">
        <v>45074</v>
      </c>
      <c r="B808" s="133" t="s">
        <v>585</v>
      </c>
    </row>
    <row r="809" spans="1:2">
      <c r="A809" s="140">
        <v>45075</v>
      </c>
      <c r="B809" s="133">
        <v>47000</v>
      </c>
    </row>
    <row r="810" spans="1:2">
      <c r="A810" s="140">
        <v>45076</v>
      </c>
      <c r="B810" s="133">
        <v>47000</v>
      </c>
    </row>
    <row r="811" spans="1:2">
      <c r="A811" s="140">
        <v>45077</v>
      </c>
      <c r="B811" s="133">
        <v>46800</v>
      </c>
    </row>
    <row r="812" spans="1:2">
      <c r="A812" s="140">
        <v>45078</v>
      </c>
      <c r="B812" s="133">
        <v>47000</v>
      </c>
    </row>
    <row r="813" spans="1:2">
      <c r="A813" s="140">
        <v>45079</v>
      </c>
      <c r="B813" s="133">
        <v>46700</v>
      </c>
    </row>
    <row r="814" spans="1:2">
      <c r="A814" s="140">
        <v>45080</v>
      </c>
      <c r="B814" s="133">
        <v>46800</v>
      </c>
    </row>
    <row r="815" spans="1:2">
      <c r="A815" s="140">
        <v>45081</v>
      </c>
      <c r="B815" s="133" t="s">
        <v>585</v>
      </c>
    </row>
    <row r="816" spans="1:2">
      <c r="A816" s="140">
        <v>45082</v>
      </c>
      <c r="B816" s="133">
        <v>47200</v>
      </c>
    </row>
    <row r="817" spans="1:2">
      <c r="A817" s="140">
        <v>45083</v>
      </c>
      <c r="B817" s="133">
        <v>47500</v>
      </c>
    </row>
    <row r="818" spans="1:2">
      <c r="A818" s="140">
        <v>45084</v>
      </c>
      <c r="B818" s="133">
        <v>47700</v>
      </c>
    </row>
    <row r="819" spans="1:2">
      <c r="A819" s="140">
        <v>45085</v>
      </c>
      <c r="B819" s="133">
        <v>47600</v>
      </c>
    </row>
    <row r="820" spans="1:2">
      <c r="A820" s="140">
        <v>45086</v>
      </c>
      <c r="B820" s="133">
        <v>47600</v>
      </c>
    </row>
    <row r="821" spans="1:2">
      <c r="A821" s="140">
        <v>45087</v>
      </c>
      <c r="B821" s="133">
        <v>47500</v>
      </c>
    </row>
    <row r="822" spans="1:2">
      <c r="A822" s="140">
        <v>45088</v>
      </c>
      <c r="B822" s="133" t="s">
        <v>585</v>
      </c>
    </row>
    <row r="823" spans="1:2">
      <c r="A823" s="140">
        <v>45089</v>
      </c>
      <c r="B823" s="133">
        <v>47800</v>
      </c>
    </row>
    <row r="824" spans="1:2">
      <c r="A824" s="140">
        <v>45090</v>
      </c>
      <c r="B824" s="133">
        <v>47800</v>
      </c>
    </row>
    <row r="825" spans="1:2">
      <c r="A825" s="140">
        <v>45091</v>
      </c>
      <c r="B825" s="133">
        <v>47700</v>
      </c>
    </row>
    <row r="826" spans="1:2">
      <c r="A826" s="140">
        <v>45092</v>
      </c>
      <c r="B826" s="133">
        <v>47500</v>
      </c>
    </row>
    <row r="827" spans="1:2">
      <c r="A827" s="140">
        <v>45093</v>
      </c>
      <c r="B827" s="133">
        <v>47700</v>
      </c>
    </row>
    <row r="828" spans="1:2">
      <c r="A828" s="140">
        <v>45094</v>
      </c>
      <c r="B828" s="133">
        <v>47700</v>
      </c>
    </row>
    <row r="829" spans="1:2">
      <c r="A829" s="140">
        <v>45095</v>
      </c>
      <c r="B829" s="133" t="s">
        <v>585</v>
      </c>
    </row>
    <row r="830" spans="1:2">
      <c r="A830" s="140">
        <v>45096</v>
      </c>
      <c r="B830" s="133">
        <v>47600</v>
      </c>
    </row>
    <row r="831" spans="1:2">
      <c r="A831" s="140">
        <v>45097</v>
      </c>
      <c r="B831" s="133">
        <v>47200</v>
      </c>
    </row>
    <row r="832" spans="1:2">
      <c r="A832" s="140">
        <v>45098</v>
      </c>
      <c r="B832" s="133">
        <v>47100</v>
      </c>
    </row>
    <row r="833" spans="1:2">
      <c r="A833" s="140">
        <v>45099</v>
      </c>
      <c r="B833" s="133">
        <v>47000</v>
      </c>
    </row>
    <row r="834" spans="1:2">
      <c r="A834" s="140">
        <v>45100</v>
      </c>
      <c r="B834" s="133">
        <v>46900</v>
      </c>
    </row>
    <row r="835" spans="1:2">
      <c r="A835" s="140">
        <v>45101</v>
      </c>
      <c r="B835" s="133">
        <v>47100</v>
      </c>
    </row>
    <row r="836" spans="1:2">
      <c r="A836" s="140">
        <v>45102</v>
      </c>
      <c r="B836" s="133" t="s">
        <v>585</v>
      </c>
    </row>
    <row r="837" spans="1:2">
      <c r="A837" s="140">
        <v>45103</v>
      </c>
      <c r="B837" s="133">
        <v>46800</v>
      </c>
    </row>
    <row r="838" spans="1:2">
      <c r="A838" s="140">
        <v>45104</v>
      </c>
      <c r="B838" s="133">
        <v>46600</v>
      </c>
    </row>
    <row r="839" spans="1:2">
      <c r="A839" s="140">
        <v>45105</v>
      </c>
      <c r="B839" s="133">
        <v>46500</v>
      </c>
    </row>
    <row r="840" spans="1:2">
      <c r="A840" s="140">
        <v>45106</v>
      </c>
      <c r="B840" s="133">
        <v>46500</v>
      </c>
    </row>
    <row r="841" spans="1:2">
      <c r="A841" s="140">
        <v>45107</v>
      </c>
      <c r="B841" s="133">
        <v>46500</v>
      </c>
    </row>
    <row r="842" spans="1:2">
      <c r="A842" s="140">
        <v>45108</v>
      </c>
      <c r="B842" s="133">
        <v>46000</v>
      </c>
    </row>
    <row r="843" spans="1:2">
      <c r="A843" s="140">
        <v>45109</v>
      </c>
      <c r="B843" s="133" t="s">
        <v>585</v>
      </c>
    </row>
    <row r="844" spans="1:2">
      <c r="A844" s="140">
        <v>45110</v>
      </c>
      <c r="B844" s="133">
        <v>45900</v>
      </c>
    </row>
    <row r="845" spans="1:2">
      <c r="A845" s="140">
        <v>45111</v>
      </c>
      <c r="B845" s="133">
        <v>45700</v>
      </c>
    </row>
    <row r="846" spans="1:2">
      <c r="A846" s="140">
        <v>45112</v>
      </c>
      <c r="B846" s="133">
        <v>45300</v>
      </c>
    </row>
    <row r="847" spans="1:2">
      <c r="A847" s="140">
        <v>45113</v>
      </c>
      <c r="B847" s="133">
        <v>45500</v>
      </c>
    </row>
    <row r="848" spans="1:2">
      <c r="A848" s="140">
        <v>45114</v>
      </c>
      <c r="B848" s="133">
        <v>45200</v>
      </c>
    </row>
    <row r="849" spans="1:2">
      <c r="A849" s="140">
        <v>45115</v>
      </c>
      <c r="B849" s="133">
        <v>45000</v>
      </c>
    </row>
    <row r="850" spans="1:2">
      <c r="A850" s="140">
        <v>45116</v>
      </c>
      <c r="B850" s="133" t="s">
        <v>585</v>
      </c>
    </row>
    <row r="851" spans="1:2">
      <c r="A851" s="140">
        <v>45117</v>
      </c>
      <c r="B851" s="133">
        <v>44800</v>
      </c>
    </row>
    <row r="852" spans="1:2">
      <c r="A852" s="140">
        <v>45118</v>
      </c>
      <c r="B852" s="133">
        <v>44100</v>
      </c>
    </row>
    <row r="853" spans="1:2">
      <c r="A853" s="140">
        <v>45119</v>
      </c>
      <c r="B853" s="133">
        <v>44300</v>
      </c>
    </row>
    <row r="854" spans="1:2">
      <c r="A854" s="140">
        <v>45120</v>
      </c>
      <c r="B854" s="133">
        <v>44000</v>
      </c>
    </row>
    <row r="855" spans="1:2">
      <c r="A855" s="140">
        <v>45121</v>
      </c>
      <c r="B855" s="133">
        <v>43600</v>
      </c>
    </row>
    <row r="856" spans="1:2">
      <c r="A856" s="140">
        <v>45122</v>
      </c>
      <c r="B856" s="133">
        <v>43500</v>
      </c>
    </row>
    <row r="857" spans="1:2">
      <c r="A857" s="140">
        <v>45123</v>
      </c>
      <c r="B857" s="133" t="s">
        <v>585</v>
      </c>
    </row>
    <row r="858" spans="1:2">
      <c r="A858" s="140">
        <v>45124</v>
      </c>
      <c r="B858" s="133">
        <v>43200</v>
      </c>
    </row>
    <row r="859" spans="1:2">
      <c r="A859" s="140">
        <v>45125</v>
      </c>
      <c r="B859" s="133">
        <v>43500</v>
      </c>
    </row>
    <row r="860" spans="1:2">
      <c r="A860" s="140">
        <v>45126</v>
      </c>
      <c r="B860" s="133">
        <v>43100</v>
      </c>
    </row>
    <row r="861" spans="1:2">
      <c r="A861" s="140">
        <v>45127</v>
      </c>
      <c r="B861" s="133">
        <v>42800</v>
      </c>
    </row>
    <row r="862" spans="1:2">
      <c r="A862" s="140">
        <v>45128</v>
      </c>
      <c r="B862" s="133">
        <v>43000</v>
      </c>
    </row>
    <row r="863" spans="1:2">
      <c r="A863" s="140">
        <v>45129</v>
      </c>
      <c r="B863" s="133">
        <v>42800</v>
      </c>
    </row>
    <row r="864" spans="1:2">
      <c r="A864" s="140">
        <v>45130</v>
      </c>
      <c r="B864" s="133" t="s">
        <v>585</v>
      </c>
    </row>
    <row r="865" spans="1:2">
      <c r="A865" s="140">
        <v>45131</v>
      </c>
      <c r="B865" s="133">
        <v>42700</v>
      </c>
    </row>
    <row r="866" spans="1:2">
      <c r="A866" s="140">
        <v>45132</v>
      </c>
      <c r="B866" s="133">
        <v>42500</v>
      </c>
    </row>
    <row r="867" spans="1:2">
      <c r="A867" s="140">
        <v>45133</v>
      </c>
      <c r="B867" s="133">
        <v>42800</v>
      </c>
    </row>
    <row r="868" spans="1:2">
      <c r="A868" s="140">
        <v>45134</v>
      </c>
      <c r="B868" s="133">
        <v>42700</v>
      </c>
    </row>
    <row r="869" spans="1:2">
      <c r="A869" s="140">
        <v>45135</v>
      </c>
      <c r="B869" s="133">
        <v>43400</v>
      </c>
    </row>
    <row r="870" spans="1:2">
      <c r="A870" s="140">
        <v>45136</v>
      </c>
      <c r="B870" s="133">
        <v>43800</v>
      </c>
    </row>
    <row r="871" spans="1:2">
      <c r="A871" s="140">
        <v>45137</v>
      </c>
      <c r="B871" s="133" t="s">
        <v>585</v>
      </c>
    </row>
    <row r="872" spans="1:2">
      <c r="A872" s="140">
        <v>45138</v>
      </c>
      <c r="B872" s="133">
        <v>44000</v>
      </c>
    </row>
    <row r="873" spans="1:2">
      <c r="A873" s="140">
        <v>45139</v>
      </c>
      <c r="B873" s="133">
        <v>44700</v>
      </c>
    </row>
    <row r="874" spans="1:2">
      <c r="A874" s="140">
        <v>45140</v>
      </c>
      <c r="B874" s="133">
        <v>44700</v>
      </c>
    </row>
    <row r="875" spans="1:2">
      <c r="A875" s="140">
        <v>45141</v>
      </c>
      <c r="B875" s="133">
        <v>44900</v>
      </c>
    </row>
    <row r="876" spans="1:2">
      <c r="A876" s="140">
        <v>45142</v>
      </c>
      <c r="B876" s="133">
        <v>44700</v>
      </c>
    </row>
    <row r="877" spans="1:2">
      <c r="A877" s="140">
        <v>45143</v>
      </c>
      <c r="B877" s="133">
        <v>44600</v>
      </c>
    </row>
    <row r="878" spans="1:2">
      <c r="A878" s="140">
        <v>45144</v>
      </c>
      <c r="B878" s="133" t="s">
        <v>585</v>
      </c>
    </row>
    <row r="879" spans="1:2">
      <c r="A879" s="140">
        <v>45145</v>
      </c>
      <c r="B879" s="133">
        <v>44600</v>
      </c>
    </row>
    <row r="880" spans="1:2">
      <c r="A880" s="140">
        <v>45146</v>
      </c>
      <c r="B880" s="133">
        <v>44400</v>
      </c>
    </row>
    <row r="881" spans="1:2">
      <c r="A881" s="140">
        <v>45147</v>
      </c>
      <c r="B881" s="133">
        <v>44200</v>
      </c>
    </row>
    <row r="882" spans="1:2">
      <c r="A882" s="140">
        <v>45148</v>
      </c>
      <c r="B882" s="133">
        <v>44100</v>
      </c>
    </row>
    <row r="883" spans="1:2">
      <c r="A883" s="140">
        <v>45149</v>
      </c>
      <c r="B883" s="133">
        <v>44100</v>
      </c>
    </row>
    <row r="884" spans="1:2">
      <c r="A884" s="140">
        <v>45150</v>
      </c>
      <c r="B884" s="133">
        <v>44000</v>
      </c>
    </row>
    <row r="885" spans="1:2">
      <c r="A885" s="140">
        <v>45151</v>
      </c>
      <c r="B885" s="133" t="s">
        <v>585</v>
      </c>
    </row>
    <row r="886" spans="1:2">
      <c r="A886" s="140">
        <v>45152</v>
      </c>
      <c r="B886" s="133">
        <v>44200</v>
      </c>
    </row>
    <row r="887" spans="1:2">
      <c r="A887" s="140">
        <v>45153</v>
      </c>
      <c r="B887" s="133" t="s">
        <v>585</v>
      </c>
    </row>
    <row r="888" spans="1:2">
      <c r="A888" s="140">
        <v>45154</v>
      </c>
      <c r="B888" s="133">
        <v>44800</v>
      </c>
    </row>
    <row r="889" spans="1:2">
      <c r="A889" s="140">
        <v>45155</v>
      </c>
      <c r="B889" s="133">
        <v>45600</v>
      </c>
    </row>
    <row r="890" spans="1:2">
      <c r="A890" s="140">
        <v>45156</v>
      </c>
      <c r="B890" s="133">
        <v>46000</v>
      </c>
    </row>
    <row r="891" spans="1:2">
      <c r="A891" s="140">
        <v>45157</v>
      </c>
      <c r="B891" s="133">
        <v>46000</v>
      </c>
    </row>
    <row r="892" spans="1:2">
      <c r="A892" s="140">
        <v>45158</v>
      </c>
      <c r="B892" s="133" t="s">
        <v>585</v>
      </c>
    </row>
    <row r="893" spans="1:2">
      <c r="A893" s="140">
        <v>45159</v>
      </c>
      <c r="B893" s="133">
        <v>45900</v>
      </c>
    </row>
    <row r="894" spans="1:2">
      <c r="A894" s="140">
        <v>45160</v>
      </c>
      <c r="B894" s="133">
        <v>45800</v>
      </c>
    </row>
    <row r="895" spans="1:2">
      <c r="A895" s="140">
        <v>45161</v>
      </c>
      <c r="B895" s="133">
        <v>45800</v>
      </c>
    </row>
    <row r="896" spans="1:2">
      <c r="A896" s="140">
        <v>45162</v>
      </c>
      <c r="B896" s="133">
        <v>46900</v>
      </c>
    </row>
    <row r="897" spans="1:2">
      <c r="A897" s="140">
        <v>45163</v>
      </c>
      <c r="B897" s="133">
        <v>47600</v>
      </c>
    </row>
    <row r="898" spans="1:2">
      <c r="A898" s="140">
        <v>45164</v>
      </c>
      <c r="B898" s="133">
        <v>47600</v>
      </c>
    </row>
    <row r="899" spans="1:2">
      <c r="A899" s="140">
        <v>45165</v>
      </c>
      <c r="B899" s="133" t="s">
        <v>585</v>
      </c>
    </row>
    <row r="900" spans="1:2">
      <c r="A900" s="140">
        <v>45166</v>
      </c>
      <c r="B900" s="133">
        <v>48200</v>
      </c>
    </row>
    <row r="901" spans="1:2">
      <c r="A901" s="140">
        <v>45167</v>
      </c>
      <c r="B901" s="133">
        <v>48500</v>
      </c>
    </row>
    <row r="902" spans="1:2">
      <c r="A902" s="140">
        <v>45168</v>
      </c>
      <c r="B902" s="133" t="s">
        <v>585</v>
      </c>
    </row>
    <row r="903" spans="1:2">
      <c r="A903" s="140">
        <v>45169</v>
      </c>
      <c r="B903" s="133">
        <v>48500</v>
      </c>
    </row>
    <row r="904" spans="1:2">
      <c r="A904" s="140">
        <v>45170</v>
      </c>
      <c r="B904" s="133">
        <v>48300</v>
      </c>
    </row>
    <row r="905" spans="1:2">
      <c r="A905" s="140">
        <v>45171</v>
      </c>
      <c r="B905" s="133">
        <v>48400</v>
      </c>
    </row>
    <row r="906" spans="1:2">
      <c r="A906" s="140">
        <v>45172</v>
      </c>
      <c r="B906" s="133" t="s">
        <v>585</v>
      </c>
    </row>
    <row r="907" spans="1:2">
      <c r="A907" s="140">
        <v>45173</v>
      </c>
      <c r="B907" s="133">
        <v>48600</v>
      </c>
    </row>
    <row r="908" spans="1:2">
      <c r="A908" s="140">
        <v>45174</v>
      </c>
      <c r="B908" s="133">
        <v>48700</v>
      </c>
    </row>
    <row r="909" spans="1:2">
      <c r="A909" s="140">
        <v>45175</v>
      </c>
      <c r="B909" s="133">
        <v>48400</v>
      </c>
    </row>
    <row r="910" spans="1:2">
      <c r="A910" s="140">
        <v>45176</v>
      </c>
      <c r="B910" s="133">
        <v>48300</v>
      </c>
    </row>
    <row r="911" spans="1:2">
      <c r="A911" s="140">
        <v>45177</v>
      </c>
      <c r="B911" s="133">
        <v>48200</v>
      </c>
    </row>
    <row r="912" spans="1:2">
      <c r="A912" s="140">
        <v>45178</v>
      </c>
      <c r="B912" s="133">
        <v>47500</v>
      </c>
    </row>
    <row r="913" spans="1:2">
      <c r="A913" s="140">
        <v>45179</v>
      </c>
      <c r="B913" s="133" t="s">
        <v>585</v>
      </c>
    </row>
    <row r="914" spans="1:2">
      <c r="A914" s="140">
        <v>45180</v>
      </c>
      <c r="B914" s="133">
        <v>47500</v>
      </c>
    </row>
    <row r="915" spans="1:2">
      <c r="A915" s="140">
        <v>45181</v>
      </c>
      <c r="B915" s="133">
        <v>47000</v>
      </c>
    </row>
    <row r="916" spans="1:2">
      <c r="A916" s="140">
        <v>45182</v>
      </c>
      <c r="B916" s="133">
        <v>47400</v>
      </c>
    </row>
    <row r="917" spans="1:2">
      <c r="A917" s="140">
        <v>45183</v>
      </c>
      <c r="B917" s="133">
        <v>47400</v>
      </c>
    </row>
    <row r="918" spans="1:2">
      <c r="A918" s="140">
        <v>45184</v>
      </c>
      <c r="B918" s="133">
        <v>47700</v>
      </c>
    </row>
    <row r="919" spans="1:2">
      <c r="A919" s="140">
        <v>45185</v>
      </c>
      <c r="B919" s="133">
        <v>47700</v>
      </c>
    </row>
    <row r="920" spans="1:2">
      <c r="A920" s="140">
        <v>45186</v>
      </c>
      <c r="B920" s="133" t="s">
        <v>585</v>
      </c>
    </row>
    <row r="921" spans="1:2">
      <c r="A921" s="140">
        <v>45187</v>
      </c>
      <c r="B921" s="133">
        <v>47700</v>
      </c>
    </row>
    <row r="922" spans="1:2">
      <c r="A922" s="140">
        <v>45188</v>
      </c>
      <c r="B922" s="133">
        <v>47900</v>
      </c>
    </row>
    <row r="923" spans="1:2">
      <c r="A923" s="140">
        <v>45189</v>
      </c>
      <c r="B923" s="133">
        <v>47600</v>
      </c>
    </row>
    <row r="924" spans="1:2">
      <c r="A924" s="140">
        <v>45190</v>
      </c>
      <c r="B924" s="133">
        <v>47000</v>
      </c>
    </row>
    <row r="925" spans="1:2">
      <c r="A925" s="140">
        <v>45191</v>
      </c>
      <c r="B925" s="133">
        <v>46900</v>
      </c>
    </row>
    <row r="926" spans="1:2">
      <c r="A926" s="140">
        <v>45192</v>
      </c>
      <c r="B926" s="133">
        <v>46700</v>
      </c>
    </row>
    <row r="927" spans="1:2">
      <c r="A927" s="140">
        <v>45193</v>
      </c>
      <c r="B927" s="133" t="s">
        <v>585</v>
      </c>
    </row>
    <row r="928" spans="1:2">
      <c r="A928" s="140">
        <v>45194</v>
      </c>
      <c r="B928" s="133">
        <v>46600</v>
      </c>
    </row>
    <row r="929" spans="1:2">
      <c r="A929" s="140">
        <v>45195</v>
      </c>
      <c r="B929" s="133">
        <v>46200</v>
      </c>
    </row>
    <row r="930" spans="1:2">
      <c r="A930" s="140">
        <v>45196</v>
      </c>
      <c r="B930" s="133">
        <v>46000</v>
      </c>
    </row>
    <row r="931" spans="1:2">
      <c r="A931" s="140">
        <v>45197</v>
      </c>
      <c r="B931" s="133">
        <v>46000</v>
      </c>
    </row>
    <row r="932" spans="1:2">
      <c r="A932" s="140">
        <v>45198</v>
      </c>
      <c r="B932" s="133">
        <v>45900</v>
      </c>
    </row>
    <row r="933" spans="1:2">
      <c r="A933" s="140">
        <v>45199</v>
      </c>
      <c r="B933" s="133">
        <v>45900</v>
      </c>
    </row>
    <row r="934" spans="1:2">
      <c r="A934" s="140">
        <v>45200</v>
      </c>
      <c r="B934" s="133" t="s">
        <v>585</v>
      </c>
    </row>
    <row r="935" spans="1:2">
      <c r="A935" s="140">
        <v>45201</v>
      </c>
      <c r="B935" s="133" t="s">
        <v>585</v>
      </c>
    </row>
    <row r="936" spans="1:2">
      <c r="A936" s="140">
        <v>45202</v>
      </c>
      <c r="B936" s="133">
        <v>45700</v>
      </c>
    </row>
    <row r="937" spans="1:2">
      <c r="A937" s="140">
        <v>45203</v>
      </c>
      <c r="B937" s="133">
        <v>46300</v>
      </c>
    </row>
    <row r="938" spans="1:2">
      <c r="A938" s="140">
        <v>45204</v>
      </c>
      <c r="B938" s="133">
        <v>47200</v>
      </c>
    </row>
    <row r="939" spans="1:2">
      <c r="A939" s="140">
        <v>45205</v>
      </c>
      <c r="B939" s="133">
        <v>47300</v>
      </c>
    </row>
    <row r="940" spans="1:2">
      <c r="A940" s="140">
        <v>45206</v>
      </c>
      <c r="B940" s="133">
        <v>47200</v>
      </c>
    </row>
    <row r="941" spans="1:2">
      <c r="A941" s="140">
        <v>45207</v>
      </c>
      <c r="B941" s="133" t="s">
        <v>585</v>
      </c>
    </row>
    <row r="942" spans="1:2">
      <c r="A942" s="140">
        <v>45208</v>
      </c>
      <c r="B942" s="133">
        <v>46800</v>
      </c>
    </row>
    <row r="943" spans="1:2">
      <c r="A943" s="140">
        <v>45209</v>
      </c>
      <c r="B943" s="133">
        <v>46500</v>
      </c>
    </row>
    <row r="944" spans="1:2">
      <c r="A944" s="140">
        <v>45210</v>
      </c>
      <c r="B944" s="133">
        <v>46300</v>
      </c>
    </row>
    <row r="945" spans="1:2">
      <c r="A945" s="140">
        <v>45211</v>
      </c>
      <c r="B945" s="133">
        <v>45800</v>
      </c>
    </row>
    <row r="946" spans="1:2">
      <c r="A946" s="140">
        <v>45212</v>
      </c>
      <c r="B946" s="133">
        <v>45700</v>
      </c>
    </row>
    <row r="947" spans="1:2">
      <c r="A947" s="140">
        <v>45213</v>
      </c>
      <c r="B947" s="133">
        <v>46500</v>
      </c>
    </row>
    <row r="948" spans="1:2">
      <c r="A948" s="140">
        <v>45214</v>
      </c>
      <c r="B948" s="133" t="s">
        <v>585</v>
      </c>
    </row>
    <row r="949" spans="1:2">
      <c r="A949" s="140">
        <v>45215</v>
      </c>
      <c r="B949" s="133">
        <v>46200</v>
      </c>
    </row>
    <row r="950" spans="1:2">
      <c r="A950" s="140">
        <v>45216</v>
      </c>
      <c r="B950" s="133">
        <v>46000</v>
      </c>
    </row>
    <row r="951" spans="1:2">
      <c r="A951" s="140">
        <v>45217</v>
      </c>
      <c r="B951" s="133">
        <v>45700</v>
      </c>
    </row>
    <row r="952" spans="1:2">
      <c r="A952" s="140">
        <v>45218</v>
      </c>
      <c r="B952" s="133">
        <v>45500</v>
      </c>
    </row>
    <row r="953" spans="1:2">
      <c r="A953" s="140">
        <v>45219</v>
      </c>
      <c r="B953" s="133">
        <v>45300</v>
      </c>
    </row>
    <row r="954" spans="1:2">
      <c r="A954" s="140">
        <v>45220</v>
      </c>
      <c r="B954" s="133">
        <v>45500</v>
      </c>
    </row>
    <row r="955" spans="1:2">
      <c r="A955" s="140">
        <v>45221</v>
      </c>
      <c r="B955" s="133" t="s">
        <v>585</v>
      </c>
    </row>
    <row r="956" spans="1:2">
      <c r="A956" s="140">
        <v>45222</v>
      </c>
      <c r="B956" s="133">
        <v>44800</v>
      </c>
    </row>
    <row r="957" spans="1:2">
      <c r="A957" s="140">
        <v>45223</v>
      </c>
      <c r="B957" s="133" t="s">
        <v>585</v>
      </c>
    </row>
    <row r="958" spans="1:2">
      <c r="A958" s="140">
        <v>45224</v>
      </c>
      <c r="B958" s="133">
        <v>44800</v>
      </c>
    </row>
    <row r="959" spans="1:2">
      <c r="A959" s="140">
        <v>45225</v>
      </c>
      <c r="B959" s="133">
        <v>45000</v>
      </c>
    </row>
    <row r="960" spans="1:2">
      <c r="A960" s="140">
        <v>45226</v>
      </c>
      <c r="B960" s="133">
        <v>45500</v>
      </c>
    </row>
    <row r="961" spans="1:2">
      <c r="A961" s="140">
        <v>45227</v>
      </c>
      <c r="B961" s="133">
        <v>45500</v>
      </c>
    </row>
    <row r="962" spans="1:2">
      <c r="A962" s="140">
        <v>45228</v>
      </c>
      <c r="B962" s="133" t="s">
        <v>585</v>
      </c>
    </row>
    <row r="963" spans="1:2">
      <c r="A963" s="140">
        <v>45229</v>
      </c>
      <c r="B963" s="133">
        <v>45400</v>
      </c>
    </row>
    <row r="964" spans="1:2">
      <c r="A964" s="140">
        <v>45230</v>
      </c>
      <c r="B964" s="133">
        <v>45200</v>
      </c>
    </row>
    <row r="965" spans="1:2">
      <c r="A965" s="140">
        <v>45231</v>
      </c>
      <c r="B965" s="133">
        <v>44900</v>
      </c>
    </row>
    <row r="966" spans="1:2">
      <c r="A966" s="140">
        <v>45232</v>
      </c>
      <c r="B966" s="133">
        <v>44800</v>
      </c>
    </row>
    <row r="967" spans="1:2">
      <c r="A967" s="140">
        <v>45233</v>
      </c>
      <c r="B967" s="133">
        <v>44700</v>
      </c>
    </row>
    <row r="968" spans="1:2">
      <c r="A968" s="140">
        <v>45234</v>
      </c>
      <c r="B968" s="133">
        <v>44400</v>
      </c>
    </row>
    <row r="969" spans="1:2">
      <c r="A969" s="140">
        <v>45235</v>
      </c>
      <c r="B969" s="133" t="s">
        <v>585</v>
      </c>
    </row>
    <row r="970" spans="1:2">
      <c r="A970" s="140">
        <v>45236</v>
      </c>
      <c r="B970" s="133">
        <v>44100</v>
      </c>
    </row>
    <row r="971" spans="1:2">
      <c r="A971" s="140">
        <v>45237</v>
      </c>
      <c r="B971" s="133">
        <v>43900</v>
      </c>
    </row>
    <row r="972" spans="1:2">
      <c r="A972" s="140">
        <v>45238</v>
      </c>
      <c r="B972" s="133">
        <v>44300</v>
      </c>
    </row>
    <row r="973" spans="1:2">
      <c r="A973" s="140">
        <v>45239</v>
      </c>
      <c r="B973" s="133">
        <v>44400</v>
      </c>
    </row>
    <row r="974" spans="1:2">
      <c r="A974" s="140">
        <v>45240</v>
      </c>
      <c r="B974" s="133">
        <v>44600</v>
      </c>
    </row>
    <row r="975" spans="1:2">
      <c r="A975" s="140">
        <v>45241</v>
      </c>
      <c r="B975" s="133">
        <v>44500</v>
      </c>
    </row>
    <row r="976" spans="1:2">
      <c r="A976" s="140">
        <v>45242</v>
      </c>
      <c r="B976" s="133" t="s">
        <v>585</v>
      </c>
    </row>
    <row r="977" spans="1:2">
      <c r="A977" s="140">
        <v>45243</v>
      </c>
      <c r="B977" s="133" t="s">
        <v>585</v>
      </c>
    </row>
    <row r="978" spans="1:2">
      <c r="A978" s="140">
        <v>45244</v>
      </c>
      <c r="B978" s="133">
        <v>44500</v>
      </c>
    </row>
    <row r="979" spans="1:2">
      <c r="A979" s="140">
        <v>45245</v>
      </c>
      <c r="B979" s="133">
        <v>44600</v>
      </c>
    </row>
    <row r="980" spans="1:2">
      <c r="A980" s="140">
        <v>45246</v>
      </c>
      <c r="B980" s="133">
        <v>44700</v>
      </c>
    </row>
    <row r="981" spans="1:2">
      <c r="A981" s="140">
        <v>45247</v>
      </c>
      <c r="B981" s="133">
        <v>44800</v>
      </c>
    </row>
    <row r="982" spans="1:2">
      <c r="A982" s="140">
        <v>45248</v>
      </c>
      <c r="B982" s="133">
        <v>44600</v>
      </c>
    </row>
    <row r="983" spans="1:2">
      <c r="A983" s="140">
        <v>45249</v>
      </c>
      <c r="B983" s="133" t="s">
        <v>585</v>
      </c>
    </row>
    <row r="984" spans="1:2">
      <c r="A984" s="140">
        <v>45250</v>
      </c>
      <c r="B984" s="133">
        <v>44600</v>
      </c>
    </row>
    <row r="985" spans="1:2">
      <c r="A985" s="140">
        <v>45251</v>
      </c>
      <c r="B985" s="133">
        <v>44500</v>
      </c>
    </row>
    <row r="986" spans="1:2">
      <c r="A986" s="140">
        <v>45252</v>
      </c>
      <c r="B986" s="133">
        <v>44200</v>
      </c>
    </row>
    <row r="987" spans="1:2">
      <c r="A987" s="140">
        <v>45253</v>
      </c>
      <c r="B987" s="133">
        <v>44200</v>
      </c>
    </row>
    <row r="988" spans="1:2">
      <c r="A988" s="140">
        <v>45254</v>
      </c>
      <c r="B988" s="133">
        <v>44200</v>
      </c>
    </row>
    <row r="989" spans="1:2">
      <c r="A989" s="140">
        <v>45255</v>
      </c>
      <c r="B989" s="133">
        <v>44000</v>
      </c>
    </row>
    <row r="990" spans="1:2">
      <c r="A990" s="140">
        <v>45256</v>
      </c>
      <c r="B990" s="133" t="s">
        <v>585</v>
      </c>
    </row>
    <row r="991" spans="1:2">
      <c r="A991" s="140">
        <v>45257</v>
      </c>
      <c r="B991" s="133">
        <v>43400</v>
      </c>
    </row>
    <row r="992" spans="1:2">
      <c r="A992" s="140">
        <v>45258</v>
      </c>
      <c r="B992" s="133">
        <v>43200</v>
      </c>
    </row>
    <row r="993" spans="1:2">
      <c r="A993" s="140">
        <v>45259</v>
      </c>
      <c r="B993" s="133">
        <v>43500</v>
      </c>
    </row>
    <row r="994" spans="1:2">
      <c r="A994" s="140">
        <v>45260</v>
      </c>
      <c r="B994" s="133">
        <v>43300</v>
      </c>
    </row>
    <row r="995" spans="1:2">
      <c r="A995" s="140">
        <v>45261</v>
      </c>
      <c r="B995" s="133">
        <v>43100</v>
      </c>
    </row>
    <row r="996" spans="1:2">
      <c r="A996" s="140">
        <v>45262</v>
      </c>
      <c r="B996" s="133">
        <v>43000</v>
      </c>
    </row>
    <row r="997" spans="1:2">
      <c r="A997" s="140">
        <v>45263</v>
      </c>
      <c r="B997" s="133" t="s">
        <v>585</v>
      </c>
    </row>
    <row r="998" spans="1:2">
      <c r="A998" s="140">
        <v>45264</v>
      </c>
      <c r="B998" s="133">
        <v>43200</v>
      </c>
    </row>
    <row r="999" spans="1:2">
      <c r="A999" s="140">
        <v>45265</v>
      </c>
      <c r="B999" s="133">
        <v>43200</v>
      </c>
    </row>
    <row r="1000" spans="1:2">
      <c r="A1000" s="140">
        <v>45266</v>
      </c>
      <c r="B1000" s="133">
        <v>43400</v>
      </c>
    </row>
    <row r="1001" spans="1:2">
      <c r="A1001" s="140">
        <v>45267</v>
      </c>
      <c r="B1001" s="133">
        <v>43200</v>
      </c>
    </row>
    <row r="1002" spans="1:2">
      <c r="A1002" s="140">
        <v>45268</v>
      </c>
      <c r="B1002" s="133">
        <v>43900</v>
      </c>
    </row>
    <row r="1003" spans="1:2">
      <c r="A1003" s="140">
        <v>45269</v>
      </c>
      <c r="B1003" s="133">
        <v>44500</v>
      </c>
    </row>
    <row r="1004" spans="1:2">
      <c r="A1004" s="140">
        <v>45270</v>
      </c>
      <c r="B1004" s="133" t="s">
        <v>585</v>
      </c>
    </row>
    <row r="1005" spans="1:2">
      <c r="A1005" s="140">
        <v>45271</v>
      </c>
      <c r="B1005" s="133">
        <v>44200</v>
      </c>
    </row>
    <row r="1006" spans="1:2">
      <c r="A1006" s="140">
        <v>45272</v>
      </c>
      <c r="B1006" s="133">
        <v>44500</v>
      </c>
    </row>
    <row r="1007" spans="1:2">
      <c r="A1007" s="140">
        <v>45273</v>
      </c>
      <c r="B1007" s="133">
        <v>44300</v>
      </c>
    </row>
    <row r="1008" spans="1:2">
      <c r="A1008" s="140">
        <v>45274</v>
      </c>
      <c r="B1008" s="133">
        <v>44400</v>
      </c>
    </row>
    <row r="1009" spans="1:2">
      <c r="A1009" s="140">
        <v>45275</v>
      </c>
      <c r="B1009" s="133">
        <v>44200</v>
      </c>
    </row>
    <row r="1010" spans="1:2">
      <c r="A1010" s="140">
        <v>45276</v>
      </c>
      <c r="B1010" s="133">
        <v>43900</v>
      </c>
    </row>
    <row r="1011" spans="1:2">
      <c r="A1011" s="140">
        <v>45277</v>
      </c>
      <c r="B1011" s="133" t="s">
        <v>585</v>
      </c>
    </row>
    <row r="1012" spans="1:2">
      <c r="A1012" s="140">
        <v>45278</v>
      </c>
      <c r="B1012" s="133">
        <v>43800</v>
      </c>
    </row>
    <row r="1013" spans="1:2">
      <c r="A1013" s="140">
        <v>45279</v>
      </c>
      <c r="B1013" s="133">
        <v>43500</v>
      </c>
    </row>
    <row r="1014" spans="1:2">
      <c r="A1014" s="140">
        <v>45280</v>
      </c>
      <c r="B1014" s="133">
        <v>43100</v>
      </c>
    </row>
    <row r="1015" spans="1:2">
      <c r="A1015" s="140">
        <v>45281</v>
      </c>
      <c r="B1015" s="133">
        <v>43100</v>
      </c>
    </row>
    <row r="1016" spans="1:2">
      <c r="A1016" s="140">
        <v>45282</v>
      </c>
      <c r="B1016" s="133">
        <v>43200</v>
      </c>
    </row>
    <row r="1017" spans="1:2">
      <c r="A1017" s="140">
        <v>45283</v>
      </c>
      <c r="B1017" s="133">
        <v>43400</v>
      </c>
    </row>
    <row r="1018" spans="1:2">
      <c r="A1018" s="140">
        <v>45284</v>
      </c>
      <c r="B1018" s="133" t="s">
        <v>585</v>
      </c>
    </row>
    <row r="1019" spans="1:2">
      <c r="A1019" s="140">
        <v>45285</v>
      </c>
      <c r="B1019" s="133" t="s">
        <v>585</v>
      </c>
    </row>
    <row r="1020" spans="1:2">
      <c r="A1020" s="140">
        <v>45286</v>
      </c>
      <c r="B1020" s="133">
        <v>43100</v>
      </c>
    </row>
    <row r="1021" spans="1:2">
      <c r="A1021" s="140">
        <v>45287</v>
      </c>
      <c r="B1021" s="133">
        <v>43100</v>
      </c>
    </row>
    <row r="1022" spans="1:2">
      <c r="A1022" s="140">
        <v>45288</v>
      </c>
      <c r="B1022" s="133">
        <v>42900</v>
      </c>
    </row>
    <row r="1023" spans="1:2">
      <c r="A1023" s="140">
        <v>45289</v>
      </c>
      <c r="B1023" s="133">
        <v>42800</v>
      </c>
    </row>
    <row r="1024" spans="1:2">
      <c r="A1024" s="140">
        <v>45290</v>
      </c>
      <c r="B1024" s="133">
        <v>43000</v>
      </c>
    </row>
    <row r="1025" spans="1:2">
      <c r="A1025" s="140">
        <v>45291</v>
      </c>
      <c r="B1025" s="133" t="s">
        <v>585</v>
      </c>
    </row>
    <row r="1026" spans="1:2">
      <c r="A1026" s="140">
        <v>45292</v>
      </c>
      <c r="B1026" s="133">
        <v>43500</v>
      </c>
    </row>
    <row r="1027" spans="1:2">
      <c r="A1027" s="140">
        <v>45293</v>
      </c>
      <c r="B1027" s="133">
        <v>43500</v>
      </c>
    </row>
    <row r="1028" spans="1:2">
      <c r="A1028" s="140">
        <v>45294</v>
      </c>
      <c r="B1028" s="133">
        <v>43700</v>
      </c>
    </row>
    <row r="1029" spans="1:2">
      <c r="A1029" s="140">
        <v>45295</v>
      </c>
      <c r="B1029" s="133">
        <v>43800</v>
      </c>
    </row>
    <row r="1030" spans="1:2">
      <c r="A1030" s="140">
        <v>45296</v>
      </c>
      <c r="B1030" s="133">
        <v>43600</v>
      </c>
    </row>
    <row r="1031" spans="1:2">
      <c r="A1031" s="140">
        <v>45297</v>
      </c>
      <c r="B1031" s="133">
        <v>43500</v>
      </c>
    </row>
    <row r="1032" spans="1:2">
      <c r="A1032" s="140">
        <v>45298</v>
      </c>
      <c r="B1032" s="133" t="s">
        <v>585</v>
      </c>
    </row>
    <row r="1033" spans="1:2">
      <c r="A1033" s="140">
        <v>45299</v>
      </c>
      <c r="B1033" s="133">
        <v>43500</v>
      </c>
    </row>
    <row r="1034" spans="1:2">
      <c r="A1034" s="140">
        <v>45300</v>
      </c>
      <c r="B1034" s="133">
        <v>43100</v>
      </c>
    </row>
    <row r="1035" spans="1:2">
      <c r="A1035" s="140">
        <v>45301</v>
      </c>
      <c r="B1035" s="133">
        <v>43200</v>
      </c>
    </row>
    <row r="1036" spans="1:2">
      <c r="A1036" s="140">
        <v>45302</v>
      </c>
      <c r="B1036" s="133">
        <v>43100</v>
      </c>
    </row>
    <row r="1037" spans="1:2">
      <c r="A1037" s="140">
        <v>45303</v>
      </c>
      <c r="B1037" s="133">
        <v>43100</v>
      </c>
    </row>
    <row r="1038" spans="1:2">
      <c r="A1038" s="140">
        <v>45304</v>
      </c>
      <c r="B1038" s="133">
        <v>43100</v>
      </c>
    </row>
    <row r="1039" spans="1:2">
      <c r="A1039" s="140">
        <v>45305</v>
      </c>
      <c r="B1039" s="133" t="s">
        <v>585</v>
      </c>
    </row>
    <row r="1040" spans="1:2">
      <c r="A1040" s="140">
        <v>45306</v>
      </c>
      <c r="B1040" s="133">
        <v>43100</v>
      </c>
    </row>
    <row r="1041" spans="1:2">
      <c r="A1041" s="140">
        <v>45307</v>
      </c>
      <c r="B1041" s="133">
        <v>43000</v>
      </c>
    </row>
    <row r="1042" spans="1:2">
      <c r="A1042" s="140">
        <v>45308</v>
      </c>
      <c r="B1042" s="133">
        <v>43000</v>
      </c>
    </row>
    <row r="1043" spans="1:2">
      <c r="A1043" s="140">
        <v>45309</v>
      </c>
      <c r="B1043" s="133">
        <v>42900</v>
      </c>
    </row>
    <row r="1044" spans="1:2">
      <c r="A1044" s="140">
        <v>45310</v>
      </c>
      <c r="B1044" s="133">
        <v>43200</v>
      </c>
    </row>
    <row r="1045" spans="1:2">
      <c r="A1045" s="140">
        <v>45311</v>
      </c>
      <c r="B1045" s="133">
        <v>43200</v>
      </c>
    </row>
    <row r="1046" spans="1:2">
      <c r="A1046" s="140">
        <v>45312</v>
      </c>
      <c r="B1046" s="133" t="s">
        <v>585</v>
      </c>
    </row>
    <row r="1047" spans="1:2">
      <c r="A1047" s="140">
        <v>45313</v>
      </c>
      <c r="B1047" s="133">
        <v>43100</v>
      </c>
    </row>
    <row r="1048" spans="1:2">
      <c r="A1048" s="140">
        <v>45314</v>
      </c>
      <c r="B1048" s="133">
        <v>42900</v>
      </c>
    </row>
    <row r="1049" spans="1:2">
      <c r="A1049" s="140">
        <v>45315</v>
      </c>
      <c r="B1049" s="133">
        <v>42700</v>
      </c>
    </row>
    <row r="1050" spans="1:2">
      <c r="A1050" s="140">
        <v>45316</v>
      </c>
      <c r="B1050" s="133">
        <v>42700</v>
      </c>
    </row>
    <row r="1051" spans="1:2">
      <c r="A1051" s="140">
        <v>45317</v>
      </c>
      <c r="B1051" s="133" t="s">
        <v>585</v>
      </c>
    </row>
    <row r="1052" spans="1:2">
      <c r="A1052" s="140">
        <v>45318</v>
      </c>
      <c r="B1052" s="133">
        <v>42900</v>
      </c>
    </row>
    <row r="1053" spans="1:2">
      <c r="A1053" s="140">
        <v>45319</v>
      </c>
      <c r="B1053" s="133" t="s">
        <v>585</v>
      </c>
    </row>
    <row r="1054" spans="1:2">
      <c r="A1054" s="140">
        <v>45320</v>
      </c>
      <c r="B1054" s="133">
        <v>42800</v>
      </c>
    </row>
    <row r="1055" spans="1:2">
      <c r="A1055" s="140">
        <v>45321</v>
      </c>
      <c r="B1055" s="133">
        <v>43000</v>
      </c>
    </row>
    <row r="1056" spans="1:2">
      <c r="A1056" s="140">
        <v>45322</v>
      </c>
      <c r="B1056" s="133">
        <v>43000</v>
      </c>
    </row>
    <row r="1057" spans="1:2">
      <c r="A1057" s="140">
        <v>45323</v>
      </c>
      <c r="B1057" s="133">
        <v>42800</v>
      </c>
    </row>
    <row r="1058" spans="1:2">
      <c r="A1058" s="140">
        <v>45324</v>
      </c>
      <c r="B1058" s="133">
        <v>42700</v>
      </c>
    </row>
    <row r="1059" spans="1:2">
      <c r="A1059" s="140">
        <v>45325</v>
      </c>
      <c r="B1059" s="133">
        <v>42700</v>
      </c>
    </row>
    <row r="1060" spans="1:2">
      <c r="A1060" s="140">
        <v>45326</v>
      </c>
      <c r="B1060" s="133" t="s">
        <v>585</v>
      </c>
    </row>
    <row r="1061" spans="1:2">
      <c r="A1061" s="140">
        <v>45327</v>
      </c>
      <c r="B1061" s="133">
        <v>42700</v>
      </c>
    </row>
    <row r="1062" spans="1:2">
      <c r="A1062" s="140">
        <v>45328</v>
      </c>
      <c r="B1062" s="133">
        <v>42600</v>
      </c>
    </row>
    <row r="1063" spans="1:2">
      <c r="A1063" s="140">
        <v>45329</v>
      </c>
      <c r="B1063" s="133">
        <v>42600</v>
      </c>
    </row>
    <row r="1064" spans="1:2">
      <c r="A1064" s="140">
        <v>45330</v>
      </c>
      <c r="B1064" s="133">
        <v>42700</v>
      </c>
    </row>
    <row r="1065" spans="1:2">
      <c r="A1065" s="140">
        <v>45331</v>
      </c>
      <c r="B1065" s="133">
        <v>42700</v>
      </c>
    </row>
    <row r="1066" spans="1:2">
      <c r="A1066" s="140">
        <v>45332</v>
      </c>
      <c r="B1066" s="133">
        <v>42500</v>
      </c>
    </row>
    <row r="1067" spans="1:2">
      <c r="A1067" s="140">
        <v>45333</v>
      </c>
      <c r="B1067" s="133" t="s">
        <v>585</v>
      </c>
    </row>
    <row r="1068" spans="1:2">
      <c r="A1068" s="140">
        <v>45334</v>
      </c>
      <c r="B1068" s="133">
        <v>42500</v>
      </c>
    </row>
    <row r="1069" spans="1:2">
      <c r="A1069" s="140">
        <v>45335</v>
      </c>
      <c r="B1069" s="133">
        <v>42100</v>
      </c>
    </row>
    <row r="1070" spans="1:2">
      <c r="A1070" s="140">
        <v>45336</v>
      </c>
      <c r="B1070" s="133">
        <v>42100</v>
      </c>
    </row>
    <row r="1071" spans="1:2">
      <c r="A1071" s="140">
        <v>45337</v>
      </c>
      <c r="B1071" s="133">
        <v>42400</v>
      </c>
    </row>
    <row r="1072" spans="1:2">
      <c r="A1072" s="140">
        <v>45338</v>
      </c>
      <c r="B1072" s="133">
        <v>42400</v>
      </c>
    </row>
    <row r="1073" spans="1:2">
      <c r="A1073" s="140">
        <v>45339</v>
      </c>
      <c r="B1073" s="133">
        <v>42700</v>
      </c>
    </row>
    <row r="1074" spans="1:2">
      <c r="A1074" s="140">
        <v>45340</v>
      </c>
      <c r="B1074" s="133" t="s">
        <v>585</v>
      </c>
    </row>
    <row r="1075" spans="1:2">
      <c r="A1075" s="140">
        <v>45341</v>
      </c>
      <c r="B1075" s="133">
        <v>42800</v>
      </c>
    </row>
    <row r="1076" spans="1:2">
      <c r="A1076" s="140">
        <v>45342</v>
      </c>
      <c r="B1076" s="133">
        <v>43000</v>
      </c>
    </row>
    <row r="1077" spans="1:2">
      <c r="A1077" s="140">
        <v>45343</v>
      </c>
      <c r="B1077" s="133">
        <v>42800</v>
      </c>
    </row>
    <row r="1078" spans="1:2">
      <c r="A1078" s="140">
        <v>45344</v>
      </c>
      <c r="B1078" s="133">
        <v>42700</v>
      </c>
    </row>
    <row r="1079" spans="1:2">
      <c r="A1079" s="140">
        <v>45345</v>
      </c>
      <c r="B1079" s="133">
        <v>43100</v>
      </c>
    </row>
    <row r="1080" spans="1:2">
      <c r="A1080" s="140">
        <v>45346</v>
      </c>
      <c r="B1080" s="133">
        <v>42900</v>
      </c>
    </row>
    <row r="1081" spans="1:2">
      <c r="A1081" s="140">
        <v>45347</v>
      </c>
      <c r="B1081" s="133" t="s">
        <v>585</v>
      </c>
    </row>
    <row r="1082" spans="1:2">
      <c r="A1082" s="140">
        <v>45348</v>
      </c>
      <c r="B1082" s="133">
        <v>42900</v>
      </c>
    </row>
    <row r="1083" spans="1:2">
      <c r="A1083" s="140">
        <v>45349</v>
      </c>
      <c r="B1083" s="133">
        <v>42800</v>
      </c>
    </row>
    <row r="1084" spans="1:2">
      <c r="A1084" s="140">
        <v>45350</v>
      </c>
      <c r="B1084" s="133">
        <v>43000</v>
      </c>
    </row>
    <row r="1085" spans="1:2">
      <c r="A1085" s="140">
        <v>45351</v>
      </c>
      <c r="B1085" s="133">
        <v>43300</v>
      </c>
    </row>
    <row r="1086" spans="1:2">
      <c r="A1086" s="140">
        <v>45352</v>
      </c>
      <c r="B1086" s="133">
        <v>43300</v>
      </c>
    </row>
    <row r="1087" spans="1:2">
      <c r="A1087" s="140">
        <v>45353</v>
      </c>
      <c r="B1087" s="133">
        <v>43100</v>
      </c>
    </row>
    <row r="1088" spans="1:2">
      <c r="A1088" s="140">
        <v>45354</v>
      </c>
      <c r="B1088" s="133" t="s">
        <v>585</v>
      </c>
    </row>
    <row r="1089" spans="1:2">
      <c r="A1089" s="140">
        <v>45355</v>
      </c>
      <c r="B1089" s="133">
        <v>43600</v>
      </c>
    </row>
    <row r="1090" spans="1:2">
      <c r="A1090" s="140">
        <v>45356</v>
      </c>
      <c r="B1090" s="133">
        <v>44000</v>
      </c>
    </row>
    <row r="1091" spans="1:2">
      <c r="A1091" s="140">
        <v>45357</v>
      </c>
      <c r="B1091" s="133">
        <v>44000</v>
      </c>
    </row>
    <row r="1092" spans="1:2">
      <c r="A1092" s="140">
        <v>45358</v>
      </c>
      <c r="B1092" s="133">
        <v>44000</v>
      </c>
    </row>
    <row r="1093" spans="1:2">
      <c r="A1093" s="140">
        <v>45359</v>
      </c>
      <c r="B1093" s="133">
        <v>43900</v>
      </c>
    </row>
    <row r="1094" spans="1:2">
      <c r="A1094" s="140">
        <v>45360</v>
      </c>
      <c r="B1094" s="133">
        <v>43900</v>
      </c>
    </row>
    <row r="1095" spans="1:2">
      <c r="A1095" s="140">
        <v>45361</v>
      </c>
      <c r="B1095" s="133" t="s">
        <v>585</v>
      </c>
    </row>
    <row r="1096" spans="1:2">
      <c r="A1096" s="140">
        <v>45362</v>
      </c>
      <c r="B1096" s="133">
        <v>43800</v>
      </c>
    </row>
    <row r="1097" spans="1:2">
      <c r="A1097" s="140">
        <v>45363</v>
      </c>
      <c r="B1097" s="133">
        <v>43500</v>
      </c>
    </row>
    <row r="1098" spans="1:2">
      <c r="A1098" s="140">
        <v>45364</v>
      </c>
      <c r="B1098" s="133">
        <v>43500</v>
      </c>
    </row>
    <row r="1099" spans="1:2">
      <c r="A1099" s="140">
        <v>45365</v>
      </c>
      <c r="B1099" s="133">
        <v>43200</v>
      </c>
    </row>
    <row r="1100" spans="1:2">
      <c r="A1100" s="140">
        <v>45366</v>
      </c>
      <c r="B1100" s="133">
        <v>43000</v>
      </c>
    </row>
    <row r="1101" spans="1:2">
      <c r="A1101" s="140">
        <v>45367</v>
      </c>
      <c r="B1101" s="133">
        <v>43000</v>
      </c>
    </row>
    <row r="1102" spans="1:2">
      <c r="A1102" s="140">
        <v>45368</v>
      </c>
      <c r="B1102" s="133" t="s">
        <v>585</v>
      </c>
    </row>
    <row r="1103" spans="1:2">
      <c r="A1103" s="140">
        <v>45369</v>
      </c>
      <c r="B1103" s="133">
        <v>43000</v>
      </c>
    </row>
    <row r="1104" spans="1:2">
      <c r="A1104" s="140">
        <v>45370</v>
      </c>
      <c r="B1104" s="133">
        <v>42900</v>
      </c>
    </row>
    <row r="1105" spans="1:2">
      <c r="A1105" s="140">
        <v>45371</v>
      </c>
      <c r="B1105" s="133">
        <v>42700</v>
      </c>
    </row>
    <row r="1106" spans="1:2">
      <c r="A1106" s="140">
        <v>45372</v>
      </c>
      <c r="B1106" s="133">
        <v>42700</v>
      </c>
    </row>
    <row r="1107" spans="1:2">
      <c r="A1107" s="140">
        <v>45373</v>
      </c>
      <c r="B1107" s="133">
        <v>42700</v>
      </c>
    </row>
    <row r="1108" spans="1:2">
      <c r="A1108" s="140">
        <v>45374</v>
      </c>
      <c r="B1108" s="133">
        <v>42900</v>
      </c>
    </row>
    <row r="1109" spans="1:2">
      <c r="A1109" s="140">
        <v>45375</v>
      </c>
      <c r="B1109" s="133" t="s">
        <v>585</v>
      </c>
    </row>
    <row r="1110" spans="1:2">
      <c r="A1110" s="140">
        <v>45376</v>
      </c>
      <c r="B1110" s="133" t="s">
        <v>585</v>
      </c>
    </row>
    <row r="1111" spans="1:2">
      <c r="A1111" s="140">
        <v>45377</v>
      </c>
      <c r="B1111" s="133" t="s">
        <v>585</v>
      </c>
    </row>
    <row r="1112" spans="1:2">
      <c r="A1112" s="140">
        <v>45378</v>
      </c>
      <c r="B1112" s="133">
        <v>43300</v>
      </c>
    </row>
    <row r="1113" spans="1:2">
      <c r="A1113" s="140">
        <v>45379</v>
      </c>
      <c r="B1113" s="133">
        <v>43500</v>
      </c>
    </row>
    <row r="1114" spans="1:2">
      <c r="A1114" s="140">
        <v>45380</v>
      </c>
      <c r="B1114" s="133">
        <v>43400</v>
      </c>
    </row>
    <row r="1115" spans="1:2">
      <c r="A1115" s="140">
        <v>45381</v>
      </c>
      <c r="B1115" s="133">
        <v>43400</v>
      </c>
    </row>
    <row r="1116" spans="1:2">
      <c r="A1116" s="140">
        <v>45382</v>
      </c>
      <c r="B1116" s="133" t="s">
        <v>585</v>
      </c>
    </row>
    <row r="1117" spans="1:2">
      <c r="A1117" s="140">
        <v>45383</v>
      </c>
      <c r="B1117" s="133">
        <v>43600</v>
      </c>
    </row>
    <row r="1118" spans="1:2">
      <c r="A1118" s="140">
        <v>45384</v>
      </c>
      <c r="B1118" s="133">
        <v>44200</v>
      </c>
    </row>
    <row r="1119" spans="1:2">
      <c r="A1119" s="140">
        <v>45385</v>
      </c>
      <c r="B1119" s="133">
        <v>44900</v>
      </c>
    </row>
    <row r="1120" spans="1:2">
      <c r="A1120" s="140">
        <v>45386</v>
      </c>
      <c r="B1120" s="133">
        <v>45200</v>
      </c>
    </row>
    <row r="1121" spans="1:2">
      <c r="A1121" s="140">
        <v>45387</v>
      </c>
      <c r="B1121" s="133">
        <v>46800</v>
      </c>
    </row>
    <row r="1122" spans="1:2">
      <c r="A1122" s="140">
        <v>45388</v>
      </c>
      <c r="B1122" s="133">
        <v>46600</v>
      </c>
    </row>
    <row r="1123" spans="1:2">
      <c r="A1123" s="140">
        <v>45389</v>
      </c>
      <c r="B1123" s="133" t="s">
        <v>585</v>
      </c>
    </row>
    <row r="1124" spans="1:2">
      <c r="A1124" s="140">
        <v>45390</v>
      </c>
      <c r="B1124" s="133">
        <v>46300</v>
      </c>
    </row>
    <row r="1125" spans="1:2">
      <c r="A1125" s="140">
        <v>45391</v>
      </c>
      <c r="B1125" s="133">
        <v>46000</v>
      </c>
    </row>
    <row r="1126" spans="1:2">
      <c r="A1126" s="140">
        <v>45392</v>
      </c>
      <c r="B1126" s="133">
        <v>45700</v>
      </c>
    </row>
    <row r="1127" spans="1:2">
      <c r="A1127" s="140">
        <v>45393</v>
      </c>
      <c r="B1127" s="133">
        <v>46000</v>
      </c>
    </row>
    <row r="1128" spans="1:2">
      <c r="A1128" s="140">
        <v>45394</v>
      </c>
      <c r="B1128" s="133">
        <v>45900</v>
      </c>
    </row>
    <row r="1129" spans="1:2">
      <c r="A1129" s="140">
        <v>45395</v>
      </c>
      <c r="B1129" s="133">
        <v>45900</v>
      </c>
    </row>
    <row r="1130" spans="1:2">
      <c r="A1130" s="140">
        <v>45396</v>
      </c>
      <c r="B1130" s="133" t="s">
        <v>585</v>
      </c>
    </row>
    <row r="1131" spans="1:2">
      <c r="A1131" s="140">
        <v>45397</v>
      </c>
      <c r="B1131" s="133">
        <v>48200</v>
      </c>
    </row>
    <row r="1132" spans="1:2">
      <c r="A1132" s="140">
        <v>45398</v>
      </c>
      <c r="B1132" s="133">
        <v>47700</v>
      </c>
    </row>
    <row r="1133" spans="1:2">
      <c r="A1133" s="140">
        <v>45399</v>
      </c>
      <c r="B1133" s="133">
        <v>47700</v>
      </c>
    </row>
    <row r="1134" spans="1:2">
      <c r="A1134" s="140">
        <v>45400</v>
      </c>
      <c r="B1134" s="133">
        <v>47700</v>
      </c>
    </row>
    <row r="1135" spans="1:2">
      <c r="A1135" s="140">
        <v>45401</v>
      </c>
      <c r="B1135" s="133">
        <v>47500</v>
      </c>
    </row>
    <row r="1136" spans="1:2">
      <c r="A1136" s="140">
        <v>45402</v>
      </c>
      <c r="B1136" s="133">
        <v>47600</v>
      </c>
    </row>
    <row r="1137" spans="1:2">
      <c r="A1137" s="140">
        <v>45403</v>
      </c>
      <c r="B1137" s="133" t="s">
        <v>585</v>
      </c>
    </row>
    <row r="1138" spans="1:2">
      <c r="A1138" s="140">
        <v>45404</v>
      </c>
      <c r="B1138" s="133">
        <v>47000</v>
      </c>
    </row>
    <row r="1139" spans="1:2">
      <c r="A1139" s="140">
        <v>45405</v>
      </c>
      <c r="B1139" s="133">
        <v>46500</v>
      </c>
    </row>
    <row r="1140" spans="1:2">
      <c r="A1140" s="140">
        <v>45406</v>
      </c>
      <c r="B1140" s="133">
        <v>46200</v>
      </c>
    </row>
    <row r="1141" spans="1:2">
      <c r="A1141" s="140">
        <v>45407</v>
      </c>
      <c r="B1141" s="133">
        <v>46200</v>
      </c>
    </row>
    <row r="1142" spans="1:2">
      <c r="A1142" s="140">
        <v>45408</v>
      </c>
      <c r="B1142" s="133">
        <v>46100</v>
      </c>
    </row>
    <row r="1143" spans="1:2">
      <c r="A1143" s="140">
        <v>45409</v>
      </c>
      <c r="B1143" s="133">
        <v>46000</v>
      </c>
    </row>
    <row r="1144" spans="1:2">
      <c r="A1144" s="140">
        <v>45410</v>
      </c>
      <c r="B1144" s="133" t="s">
        <v>585</v>
      </c>
    </row>
    <row r="1145" spans="1:2">
      <c r="A1145" s="140">
        <v>45411</v>
      </c>
      <c r="B1145" s="133">
        <v>46000</v>
      </c>
    </row>
    <row r="1146" spans="1:2">
      <c r="A1146" s="140">
        <v>45412</v>
      </c>
      <c r="B1146" s="133">
        <v>46700</v>
      </c>
    </row>
    <row r="1147" spans="1:2">
      <c r="A1147" s="140">
        <v>45413</v>
      </c>
      <c r="B1147" s="133">
        <v>47500</v>
      </c>
    </row>
    <row r="1148" spans="1:2">
      <c r="A1148" s="140">
        <v>45414</v>
      </c>
      <c r="B1148" s="133">
        <v>47100</v>
      </c>
    </row>
    <row r="1149" spans="1:2">
      <c r="A1149" s="140">
        <v>45415</v>
      </c>
      <c r="B1149" s="133">
        <v>47600</v>
      </c>
    </row>
    <row r="1150" spans="1:2">
      <c r="A1150" s="140">
        <v>45416</v>
      </c>
      <c r="B1150" s="133">
        <v>47600</v>
      </c>
    </row>
    <row r="1151" spans="1:2">
      <c r="A1151" s="140">
        <v>45417</v>
      </c>
      <c r="B1151" s="133" t="s">
        <v>585</v>
      </c>
    </row>
    <row r="1152" spans="1:2">
      <c r="A1152" s="140">
        <v>45418</v>
      </c>
      <c r="B1152" s="133">
        <v>48700</v>
      </c>
    </row>
    <row r="1153" spans="1:2">
      <c r="A1153" s="140">
        <v>45419</v>
      </c>
      <c r="B1153" s="133">
        <v>48500</v>
      </c>
    </row>
    <row r="1154" spans="1:2">
      <c r="A1154" s="140">
        <v>45420</v>
      </c>
      <c r="B1154" s="133">
        <v>48300</v>
      </c>
    </row>
    <row r="1155" spans="1:2">
      <c r="A1155" s="140">
        <v>45421</v>
      </c>
      <c r="B1155" s="133">
        <v>48000</v>
      </c>
    </row>
    <row r="1156" spans="1:2">
      <c r="A1156" s="140">
        <v>45422</v>
      </c>
      <c r="B1156" s="133">
        <v>47600</v>
      </c>
    </row>
    <row r="1157" spans="1:2">
      <c r="A1157" s="140">
        <v>45423</v>
      </c>
      <c r="B1157" s="133">
        <v>47200</v>
      </c>
    </row>
    <row r="1158" spans="1:2">
      <c r="A1158" s="140">
        <v>45424</v>
      </c>
      <c r="B1158" s="133" t="s">
        <v>585</v>
      </c>
    </row>
    <row r="1159" spans="1:2">
      <c r="A1159" s="140">
        <v>45425</v>
      </c>
      <c r="B1159" s="133">
        <v>47000</v>
      </c>
    </row>
    <row r="1160" spans="1:2">
      <c r="A1160" s="140">
        <v>45426</v>
      </c>
      <c r="B1160" s="133">
        <v>47200</v>
      </c>
    </row>
    <row r="1161" spans="1:2">
      <c r="A1161" s="140">
        <v>45427</v>
      </c>
      <c r="B1161" s="133">
        <v>47200</v>
      </c>
    </row>
    <row r="1162" spans="1:2">
      <c r="A1162" s="140">
        <v>45428</v>
      </c>
      <c r="B1162" s="133">
        <v>47500</v>
      </c>
    </row>
    <row r="1163" spans="1:2">
      <c r="A1163" s="140">
        <v>45429</v>
      </c>
      <c r="B1163" s="133">
        <v>47800</v>
      </c>
    </row>
    <row r="1164" spans="1:2">
      <c r="A1164" s="140">
        <v>45430</v>
      </c>
      <c r="B1164" s="133">
        <v>47800</v>
      </c>
    </row>
    <row r="1165" spans="1:2">
      <c r="A1165" s="140">
        <v>45431</v>
      </c>
      <c r="B1165" s="133" t="s">
        <v>585</v>
      </c>
    </row>
    <row r="1166" spans="1:2">
      <c r="A1166" s="140">
        <v>45432</v>
      </c>
      <c r="B1166" s="133">
        <v>47800</v>
      </c>
    </row>
    <row r="1167" spans="1:2">
      <c r="A1167" s="140">
        <v>45433</v>
      </c>
      <c r="B1167" s="133">
        <v>47700</v>
      </c>
    </row>
    <row r="1168" spans="1:2">
      <c r="A1168" s="140">
        <v>45434</v>
      </c>
      <c r="B1168" s="133">
        <v>47900</v>
      </c>
    </row>
    <row r="1169" spans="1:2">
      <c r="A1169" s="140">
        <v>45435</v>
      </c>
      <c r="B1169" s="133">
        <v>47900</v>
      </c>
    </row>
    <row r="1170" spans="1:2">
      <c r="A1170" s="140">
        <v>45436</v>
      </c>
      <c r="B1170" s="133">
        <v>47900</v>
      </c>
    </row>
    <row r="1171" spans="1:2">
      <c r="A1171" s="140">
        <v>45437</v>
      </c>
      <c r="B1171" s="133">
        <v>47600</v>
      </c>
    </row>
    <row r="1172" spans="1:2">
      <c r="A1172" s="140">
        <v>45438</v>
      </c>
      <c r="B1172" s="133" t="s">
        <v>585</v>
      </c>
    </row>
    <row r="1173" spans="1:2">
      <c r="A1173" s="140">
        <v>45439</v>
      </c>
      <c r="B1173" s="133">
        <v>47600</v>
      </c>
    </row>
    <row r="1174" spans="1:2">
      <c r="A1174" s="140">
        <v>45440</v>
      </c>
      <c r="B1174" s="133">
        <v>47600</v>
      </c>
    </row>
    <row r="1175" spans="1:2">
      <c r="A1175" s="140">
        <v>45441</v>
      </c>
      <c r="B1175" s="133">
        <v>47900</v>
      </c>
    </row>
    <row r="1176" spans="1:2">
      <c r="A1176" s="140">
        <v>45442</v>
      </c>
      <c r="B1176" s="133">
        <v>48000</v>
      </c>
    </row>
    <row r="1177" spans="1:2">
      <c r="A1177" s="140">
        <v>45443</v>
      </c>
      <c r="B1177" s="133">
        <v>48100</v>
      </c>
    </row>
    <row r="1178" spans="1:2">
      <c r="A1178" s="140">
        <v>45444</v>
      </c>
      <c r="B1178" s="133">
        <v>48100</v>
      </c>
    </row>
    <row r="1179" spans="1:2">
      <c r="A1179" s="140">
        <v>45445</v>
      </c>
      <c r="B1179" s="133" t="s">
        <v>585</v>
      </c>
    </row>
    <row r="1180" spans="1:2">
      <c r="A1180" s="140">
        <v>45446</v>
      </c>
      <c r="B1180" s="133">
        <v>49100</v>
      </c>
    </row>
    <row r="1181" spans="1:2">
      <c r="A1181" s="140">
        <v>45447</v>
      </c>
      <c r="B1181" s="133">
        <v>48900</v>
      </c>
    </row>
    <row r="1182" spans="1:2">
      <c r="A1182" s="140">
        <v>45448</v>
      </c>
      <c r="B1182" s="133">
        <v>48400</v>
      </c>
    </row>
    <row r="1183" spans="1:2">
      <c r="A1183" s="140">
        <v>45449</v>
      </c>
      <c r="B1183" s="133">
        <v>48100</v>
      </c>
    </row>
    <row r="1184" spans="1:2">
      <c r="A1184" s="140">
        <v>45450</v>
      </c>
      <c r="B1184" s="133">
        <v>47800</v>
      </c>
    </row>
    <row r="1185" spans="1:2">
      <c r="A1185" s="140">
        <v>45451</v>
      </c>
      <c r="B1185" s="133">
        <v>48000</v>
      </c>
    </row>
    <row r="1186" spans="1:2">
      <c r="A1186" s="140">
        <v>45452</v>
      </c>
      <c r="B1186" s="133" t="s">
        <v>585</v>
      </c>
    </row>
    <row r="1187" spans="1:2">
      <c r="A1187" s="140">
        <v>45453</v>
      </c>
      <c r="B1187" s="133">
        <v>48000</v>
      </c>
    </row>
    <row r="1188" spans="1:2">
      <c r="A1188" s="140">
        <v>45454</v>
      </c>
      <c r="B1188" s="133">
        <v>47400</v>
      </c>
    </row>
    <row r="1189" spans="1:2">
      <c r="A1189" s="140">
        <v>45455</v>
      </c>
      <c r="B1189" s="133">
        <v>47300</v>
      </c>
    </row>
    <row r="1190" spans="1:2">
      <c r="A1190" s="140">
        <v>45456</v>
      </c>
      <c r="B1190" s="133">
        <v>47300</v>
      </c>
    </row>
    <row r="1191" spans="1:2">
      <c r="A1191" s="140">
        <v>45457</v>
      </c>
      <c r="B1191" s="133">
        <v>47000</v>
      </c>
    </row>
    <row r="1192" spans="1:2">
      <c r="A1192" s="140">
        <v>45458</v>
      </c>
      <c r="B1192" s="133">
        <v>46800</v>
      </c>
    </row>
    <row r="1193" spans="1:2">
      <c r="A1193" s="140">
        <v>45459</v>
      </c>
      <c r="B1193" s="133" t="s">
        <v>585</v>
      </c>
    </row>
    <row r="1194" spans="1:2">
      <c r="A1194" s="140">
        <v>45460</v>
      </c>
      <c r="B1194" s="133">
        <v>46300</v>
      </c>
    </row>
    <row r="1195" spans="1:2">
      <c r="A1195" s="140">
        <v>45461</v>
      </c>
      <c r="B1195" s="133">
        <v>46000</v>
      </c>
    </row>
    <row r="1196" spans="1:2">
      <c r="A1196" s="140">
        <v>45462</v>
      </c>
      <c r="B1196" s="133">
        <v>45600</v>
      </c>
    </row>
    <row r="1197" spans="1:2">
      <c r="A1197" s="140">
        <v>45463</v>
      </c>
      <c r="B1197" s="133">
        <v>45300</v>
      </c>
    </row>
    <row r="1198" spans="1:2">
      <c r="A1198" s="140">
        <v>45464</v>
      </c>
      <c r="B1198" s="133">
        <v>45100</v>
      </c>
    </row>
    <row r="1199" spans="1:2">
      <c r="A1199" s="140">
        <v>45465</v>
      </c>
      <c r="B1199" s="133">
        <v>44800</v>
      </c>
    </row>
    <row r="1200" spans="1:2">
      <c r="A1200" s="140">
        <v>45466</v>
      </c>
      <c r="B1200" s="133" t="s">
        <v>585</v>
      </c>
    </row>
    <row r="1201" spans="1:2">
      <c r="A1201" s="140">
        <v>45467</v>
      </c>
      <c r="B1201" s="133">
        <v>44300</v>
      </c>
    </row>
    <row r="1202" spans="1:2">
      <c r="A1202" s="140">
        <v>45468</v>
      </c>
      <c r="B1202" s="133">
        <v>43500</v>
      </c>
    </row>
    <row r="1203" spans="1:2">
      <c r="A1203" s="140">
        <v>45469</v>
      </c>
      <c r="B1203" s="133">
        <v>43300</v>
      </c>
    </row>
    <row r="1204" spans="1:2">
      <c r="A1204" s="140">
        <v>45470</v>
      </c>
      <c r="B1204" s="133">
        <v>43600</v>
      </c>
    </row>
    <row r="1205" spans="1:2">
      <c r="A1205" s="140">
        <v>45471</v>
      </c>
      <c r="B1205" s="133">
        <v>44000</v>
      </c>
    </row>
    <row r="1206" spans="1:2">
      <c r="A1206" s="140">
        <v>45472</v>
      </c>
      <c r="B1206" s="133">
        <v>44200</v>
      </c>
    </row>
    <row r="1207" spans="1:2">
      <c r="A1207" s="140">
        <v>45473</v>
      </c>
      <c r="B1207" s="133" t="s">
        <v>585</v>
      </c>
    </row>
    <row r="1208" spans="1:2">
      <c r="A1208" s="140">
        <v>45474</v>
      </c>
      <c r="B1208" s="133">
        <v>43800</v>
      </c>
    </row>
    <row r="1209" spans="1:2">
      <c r="A1209" s="140">
        <v>45475</v>
      </c>
      <c r="B1209" s="133">
        <v>43800</v>
      </c>
    </row>
    <row r="1210" spans="1:2">
      <c r="A1210" s="140">
        <v>45476</v>
      </c>
      <c r="B1210" s="133">
        <v>43500</v>
      </c>
    </row>
    <row r="1211" spans="1:2">
      <c r="A1211" s="140">
        <v>45477</v>
      </c>
      <c r="B1211" s="133">
        <v>43100</v>
      </c>
    </row>
    <row r="1212" spans="1:2">
      <c r="A1212" s="140">
        <v>45478</v>
      </c>
      <c r="B1212" s="133">
        <v>42700</v>
      </c>
    </row>
    <row r="1213" spans="1:2">
      <c r="A1213" s="140">
        <v>45479</v>
      </c>
      <c r="B1213" s="133">
        <v>42900</v>
      </c>
    </row>
    <row r="1214" spans="1:2">
      <c r="A1214" s="140">
        <v>45480</v>
      </c>
      <c r="B1214" s="133" t="s">
        <v>585</v>
      </c>
    </row>
    <row r="1215" spans="1:2">
      <c r="A1215" s="140">
        <v>45481</v>
      </c>
      <c r="B1215" s="133">
        <v>42800</v>
      </c>
    </row>
    <row r="1216" spans="1:2">
      <c r="A1216" s="140">
        <v>45482</v>
      </c>
      <c r="B1216" s="133">
        <v>42600</v>
      </c>
    </row>
    <row r="1217" spans="1:2">
      <c r="A1217" s="140">
        <v>45483</v>
      </c>
      <c r="B1217" s="133">
        <v>42500</v>
      </c>
    </row>
    <row r="1218" spans="1:2">
      <c r="A1218" s="140">
        <v>45484</v>
      </c>
      <c r="B1218" s="133">
        <v>42300</v>
      </c>
    </row>
    <row r="1219" spans="1:2">
      <c r="A1219" s="140">
        <v>45485</v>
      </c>
      <c r="B1219" s="133">
        <v>42400</v>
      </c>
    </row>
    <row r="1220" spans="1:2">
      <c r="A1220" s="140">
        <v>45486</v>
      </c>
      <c r="B1220" s="133">
        <v>42300</v>
      </c>
    </row>
    <row r="1221" spans="1:2">
      <c r="A1221" s="140">
        <v>45487</v>
      </c>
      <c r="B1221" s="133" t="s">
        <v>585</v>
      </c>
    </row>
    <row r="1222" spans="1:2">
      <c r="A1222" s="140">
        <v>45488</v>
      </c>
      <c r="B1222" s="133">
        <v>42700</v>
      </c>
    </row>
    <row r="1223" spans="1:2">
      <c r="A1223" s="140">
        <v>45489</v>
      </c>
      <c r="B1223" s="133">
        <v>42700</v>
      </c>
    </row>
    <row r="1224" spans="1:2">
      <c r="A1224" s="140">
        <v>45490</v>
      </c>
      <c r="B1224" s="133">
        <v>42300</v>
      </c>
    </row>
    <row r="1225" spans="1:2">
      <c r="A1225" s="140">
        <v>45491</v>
      </c>
      <c r="B1225" s="133">
        <v>42000</v>
      </c>
    </row>
    <row r="1226" spans="1:2">
      <c r="A1226" s="140">
        <v>45492</v>
      </c>
      <c r="B1226" s="133">
        <v>41900</v>
      </c>
    </row>
    <row r="1227" spans="1:2">
      <c r="A1227" s="140">
        <v>45493</v>
      </c>
      <c r="B1227" s="133">
        <v>41900</v>
      </c>
    </row>
    <row r="1228" spans="1:2">
      <c r="A1228" s="140">
        <v>45494</v>
      </c>
      <c r="B1228" s="133" t="s">
        <v>585</v>
      </c>
    </row>
    <row r="1229" spans="1:2">
      <c r="A1229" s="140">
        <v>45495</v>
      </c>
      <c r="B1229" s="133">
        <v>41700</v>
      </c>
    </row>
    <row r="1230" spans="1:2">
      <c r="A1230" s="140">
        <v>45496</v>
      </c>
      <c r="B1230" s="133">
        <v>41800</v>
      </c>
    </row>
    <row r="1231" spans="1:2">
      <c r="A1231" s="140">
        <v>45497</v>
      </c>
      <c r="B1231" s="133">
        <v>41700</v>
      </c>
    </row>
    <row r="1232" spans="1:2">
      <c r="A1232" s="140">
        <v>45498</v>
      </c>
      <c r="B1232" s="133">
        <v>41600</v>
      </c>
    </row>
    <row r="1233" spans="1:2">
      <c r="A1233" s="140">
        <v>45499</v>
      </c>
      <c r="B1233" s="133">
        <v>41500</v>
      </c>
    </row>
    <row r="1234" spans="1:2">
      <c r="A1234" s="140">
        <v>45500</v>
      </c>
      <c r="B1234" s="133">
        <v>41500</v>
      </c>
    </row>
    <row r="1235" spans="1:2">
      <c r="A1235" s="140">
        <v>45501</v>
      </c>
      <c r="B1235" s="133" t="s">
        <v>585</v>
      </c>
    </row>
    <row r="1236" spans="1:2">
      <c r="A1236" s="140">
        <v>45502</v>
      </c>
      <c r="B1236" s="133">
        <v>41700</v>
      </c>
    </row>
    <row r="1237" spans="1:2">
      <c r="A1237" s="140">
        <v>45503</v>
      </c>
      <c r="B1237" s="133">
        <v>42400</v>
      </c>
    </row>
    <row r="1238" spans="1:2">
      <c r="A1238" s="140">
        <v>45504</v>
      </c>
      <c r="B1238" s="133">
        <v>42300</v>
      </c>
    </row>
    <row r="1239" spans="1:2">
      <c r="A1239" s="140">
        <v>45505</v>
      </c>
      <c r="B1239" s="133">
        <v>42200</v>
      </c>
    </row>
    <row r="1240" spans="1:2">
      <c r="A1240" s="140">
        <v>45506</v>
      </c>
      <c r="B1240" s="133">
        <v>41900</v>
      </c>
    </row>
    <row r="1241" spans="1:2">
      <c r="A1241" s="140">
        <v>45507</v>
      </c>
      <c r="B1241" s="133">
        <v>41700</v>
      </c>
    </row>
    <row r="1242" spans="1:2">
      <c r="A1242" s="140">
        <v>45508</v>
      </c>
      <c r="B1242" s="133" t="s">
        <v>585</v>
      </c>
    </row>
    <row r="1243" spans="1:2">
      <c r="A1243" s="140">
        <v>45509</v>
      </c>
      <c r="B1243" s="133">
        <v>41700</v>
      </c>
    </row>
    <row r="1244" spans="1:2">
      <c r="A1244" s="140">
        <v>45510</v>
      </c>
      <c r="B1244" s="133">
        <v>41300</v>
      </c>
    </row>
    <row r="1245" spans="1:2">
      <c r="A1245" s="140">
        <v>45511</v>
      </c>
      <c r="B1245" s="133">
        <v>41300</v>
      </c>
    </row>
    <row r="1246" spans="1:2">
      <c r="A1246" s="140">
        <v>45512</v>
      </c>
      <c r="B1246" s="133">
        <v>41300</v>
      </c>
    </row>
    <row r="1247" spans="1:2">
      <c r="A1247" s="140">
        <v>45513</v>
      </c>
      <c r="B1247" s="133">
        <v>41100</v>
      </c>
    </row>
    <row r="1248" spans="1:2">
      <c r="A1248" s="140">
        <v>45514</v>
      </c>
      <c r="B1248" s="133">
        <v>41100</v>
      </c>
    </row>
    <row r="1249" spans="1:2">
      <c r="A1249" s="140">
        <v>45515</v>
      </c>
      <c r="B1249" s="133" t="s">
        <v>585</v>
      </c>
    </row>
    <row r="1250" spans="1:2">
      <c r="A1250" s="140">
        <v>45516</v>
      </c>
      <c r="B1250" s="133">
        <v>41200</v>
      </c>
    </row>
    <row r="1251" spans="1:2">
      <c r="A1251" s="140">
        <v>45517</v>
      </c>
      <c r="B1251" s="133">
        <v>41100</v>
      </c>
    </row>
    <row r="1252" spans="1:2">
      <c r="A1252" s="140">
        <v>45518</v>
      </c>
      <c r="B1252" s="133">
        <v>41200</v>
      </c>
    </row>
    <row r="1253" spans="1:2">
      <c r="A1253" s="140">
        <v>45519</v>
      </c>
      <c r="B1253" s="133" t="s">
        <v>585</v>
      </c>
    </row>
    <row r="1254" spans="1:2">
      <c r="A1254" s="140">
        <v>45520</v>
      </c>
      <c r="B1254" s="133">
        <v>41200</v>
      </c>
    </row>
    <row r="1255" spans="1:2">
      <c r="A1255" s="140">
        <v>45521</v>
      </c>
      <c r="B1255" s="133">
        <v>41300</v>
      </c>
    </row>
    <row r="1256" spans="1:2">
      <c r="A1256" s="140">
        <v>45522</v>
      </c>
      <c r="B1256" s="133" t="s">
        <v>585</v>
      </c>
    </row>
    <row r="1257" spans="1:2">
      <c r="A1257" s="140">
        <v>45523</v>
      </c>
      <c r="B1257" s="133" t="s">
        <v>585</v>
      </c>
    </row>
    <row r="1258" spans="1:2">
      <c r="A1258" s="140">
        <v>45524</v>
      </c>
      <c r="B1258" s="133">
        <v>41700</v>
      </c>
    </row>
    <row r="1259" spans="1:2">
      <c r="A1259" s="140">
        <v>45525</v>
      </c>
      <c r="B1259" s="133">
        <v>42000</v>
      </c>
    </row>
    <row r="1260" spans="1:2">
      <c r="A1260" s="140">
        <v>45526</v>
      </c>
      <c r="B1260" s="133">
        <v>41800</v>
      </c>
    </row>
    <row r="1261" spans="1:2">
      <c r="A1261" s="140">
        <v>45527</v>
      </c>
      <c r="B1261" s="133">
        <v>41600</v>
      </c>
    </row>
    <row r="1262" spans="1:2">
      <c r="A1262" s="140">
        <v>45528</v>
      </c>
      <c r="B1262" s="133">
        <v>41400</v>
      </c>
    </row>
    <row r="1263" spans="1:2">
      <c r="A1263" s="140">
        <v>45529</v>
      </c>
      <c r="B1263" s="133" t="s">
        <v>585</v>
      </c>
    </row>
    <row r="1264" spans="1:2">
      <c r="A1264" s="140">
        <v>45530</v>
      </c>
      <c r="B1264" s="133">
        <v>41600</v>
      </c>
    </row>
    <row r="1265" spans="1:2">
      <c r="A1265" s="140">
        <v>45531</v>
      </c>
      <c r="B1265" s="133">
        <v>41600</v>
      </c>
    </row>
    <row r="1266" spans="1:2">
      <c r="A1266" s="140">
        <v>45532</v>
      </c>
      <c r="B1266" s="133">
        <v>41600</v>
      </c>
    </row>
    <row r="1267" spans="1:2">
      <c r="A1267" s="140">
        <v>45533</v>
      </c>
      <c r="B1267" s="133">
        <v>41400</v>
      </c>
    </row>
    <row r="1268" spans="1:2">
      <c r="A1268" s="140">
        <v>45534</v>
      </c>
      <c r="B1268" s="133">
        <v>41500</v>
      </c>
    </row>
    <row r="1269" spans="1:2">
      <c r="A1269" s="140">
        <v>45535</v>
      </c>
      <c r="B1269" s="133">
        <v>41500</v>
      </c>
    </row>
    <row r="1270" spans="1:2">
      <c r="A1270" s="140">
        <v>45536</v>
      </c>
      <c r="B1270" s="133" t="s">
        <v>585</v>
      </c>
    </row>
    <row r="1271" spans="1:2">
      <c r="A1271" s="140">
        <v>45537</v>
      </c>
      <c r="B1271" s="133">
        <v>41300</v>
      </c>
    </row>
    <row r="1272" spans="1:2">
      <c r="A1272" s="140">
        <v>45538</v>
      </c>
      <c r="B1272" s="133">
        <v>41300</v>
      </c>
    </row>
    <row r="1273" spans="1:2">
      <c r="A1273" s="140">
        <v>45539</v>
      </c>
      <c r="B1273" s="133">
        <v>41300</v>
      </c>
    </row>
    <row r="1274" spans="1:2">
      <c r="A1274" s="140">
        <v>45540</v>
      </c>
      <c r="B1274" s="133">
        <v>41500</v>
      </c>
    </row>
    <row r="1275" spans="1:2">
      <c r="A1275" s="140">
        <v>45541</v>
      </c>
      <c r="B1275" s="133">
        <v>41300</v>
      </c>
    </row>
    <row r="1276" spans="1:2">
      <c r="A1276" s="140">
        <v>45542</v>
      </c>
      <c r="B1276" s="133">
        <v>41300</v>
      </c>
    </row>
    <row r="1277" spans="1:2">
      <c r="A1277" s="140">
        <v>45543</v>
      </c>
      <c r="B1277" s="133" t="s">
        <v>585</v>
      </c>
    </row>
    <row r="1278" spans="1:2">
      <c r="A1278" s="140">
        <v>45544</v>
      </c>
      <c r="B1278" s="133">
        <v>41000</v>
      </c>
    </row>
    <row r="1279" spans="1:2">
      <c r="A1279" s="140">
        <v>45545</v>
      </c>
      <c r="B1279" s="133">
        <v>41000</v>
      </c>
    </row>
    <row r="1280" spans="1:2">
      <c r="A1280" s="140">
        <v>45546</v>
      </c>
      <c r="B1280" s="133">
        <v>40900</v>
      </c>
    </row>
    <row r="1281" spans="1:2">
      <c r="A1281" s="140">
        <v>45547</v>
      </c>
      <c r="B1281" s="133">
        <v>40700</v>
      </c>
    </row>
    <row r="1282" spans="1:2">
      <c r="A1282" s="140">
        <v>45548</v>
      </c>
      <c r="B1282" s="133">
        <v>40800</v>
      </c>
    </row>
    <row r="1283" spans="1:2">
      <c r="A1283" s="140">
        <v>45549</v>
      </c>
      <c r="B1283" s="133">
        <v>40700</v>
      </c>
    </row>
    <row r="1284" spans="1:2">
      <c r="A1284" s="140">
        <v>45550</v>
      </c>
      <c r="B1284" s="133" t="s">
        <v>585</v>
      </c>
    </row>
    <row r="1285" spans="1:2">
      <c r="A1285" s="140">
        <v>45551</v>
      </c>
      <c r="B1285" s="133">
        <v>40700</v>
      </c>
    </row>
    <row r="1286" spans="1:2">
      <c r="A1286" s="140">
        <v>45552</v>
      </c>
      <c r="B1286" s="133">
        <v>40700</v>
      </c>
    </row>
    <row r="1287" spans="1:2">
      <c r="A1287" s="140">
        <v>45553</v>
      </c>
      <c r="B1287" s="133">
        <v>41000</v>
      </c>
    </row>
    <row r="1288" spans="1:2">
      <c r="A1288" s="140">
        <v>45554</v>
      </c>
      <c r="B1288" s="133">
        <v>41500</v>
      </c>
    </row>
    <row r="1289" spans="1:2">
      <c r="A1289" s="140">
        <v>45555</v>
      </c>
      <c r="B1289" s="133">
        <v>41700</v>
      </c>
    </row>
    <row r="1290" spans="1:2">
      <c r="A1290" s="140">
        <v>45556</v>
      </c>
      <c r="B1290" s="133">
        <v>42200</v>
      </c>
    </row>
    <row r="1291" spans="1:2">
      <c r="A1291" s="140">
        <v>45557</v>
      </c>
      <c r="B1291" s="133" t="s">
        <v>585</v>
      </c>
    </row>
    <row r="1292" spans="1:2">
      <c r="A1292" s="140">
        <v>45558</v>
      </c>
      <c r="B1292" s="133">
        <v>42900</v>
      </c>
    </row>
    <row r="1293" spans="1:2">
      <c r="A1293" s="140">
        <v>45559</v>
      </c>
      <c r="B1293" s="133">
        <v>43400</v>
      </c>
    </row>
    <row r="1294" spans="1:2">
      <c r="A1294" s="140">
        <v>45560</v>
      </c>
      <c r="B1294" s="133">
        <v>44000</v>
      </c>
    </row>
    <row r="1295" spans="1:2">
      <c r="A1295" s="140">
        <v>45561</v>
      </c>
      <c r="B1295" s="133">
        <v>44200</v>
      </c>
    </row>
    <row r="1296" spans="1:2">
      <c r="A1296" s="140">
        <v>45562</v>
      </c>
      <c r="B1296" s="133">
        <v>44000</v>
      </c>
    </row>
    <row r="1297" spans="1:2">
      <c r="A1297" s="140">
        <v>45563</v>
      </c>
      <c r="B1297" s="133">
        <v>44200</v>
      </c>
    </row>
    <row r="1298" spans="1:2">
      <c r="A1298" s="140">
        <v>45564</v>
      </c>
      <c r="B1298" s="133" t="s">
        <v>585</v>
      </c>
    </row>
    <row r="1299" spans="1:2">
      <c r="A1299" s="140">
        <v>45565</v>
      </c>
      <c r="B1299" s="133">
        <v>45000</v>
      </c>
    </row>
    <row r="1300" spans="1:2">
      <c r="A1300" s="140">
        <v>45566</v>
      </c>
      <c r="B1300" s="133">
        <v>45400</v>
      </c>
    </row>
    <row r="1301" spans="1:2">
      <c r="A1301" s="140">
        <v>45567</v>
      </c>
      <c r="B1301" s="133" t="s">
        <v>585</v>
      </c>
    </row>
    <row r="1302" spans="1:2">
      <c r="A1302" s="140">
        <v>45568</v>
      </c>
      <c r="B1302" s="133">
        <v>45700</v>
      </c>
    </row>
    <row r="1303" spans="1:2">
      <c r="A1303" s="140">
        <v>45569</v>
      </c>
      <c r="B1303" s="133">
        <v>46100</v>
      </c>
    </row>
    <row r="1304" spans="1:2">
      <c r="A1304" s="140">
        <v>45570</v>
      </c>
      <c r="B1304" s="133">
        <v>45800</v>
      </c>
    </row>
    <row r="1305" spans="1:2">
      <c r="A1305" s="140">
        <v>45571</v>
      </c>
      <c r="B1305" s="133" t="s">
        <v>585</v>
      </c>
    </row>
    <row r="1306" spans="1:2">
      <c r="A1306" s="140">
        <v>45572</v>
      </c>
      <c r="B1306" s="133">
        <v>46000</v>
      </c>
    </row>
    <row r="1307" spans="1:2">
      <c r="A1307" s="140">
        <v>45573</v>
      </c>
      <c r="B1307" s="133">
        <v>46300</v>
      </c>
    </row>
    <row r="1308" spans="1:2">
      <c r="A1308" s="140">
        <v>45574</v>
      </c>
      <c r="B1308" s="133">
        <v>45800</v>
      </c>
    </row>
    <row r="1309" spans="1:2">
      <c r="A1309" s="140">
        <v>45575</v>
      </c>
      <c r="B1309" s="133">
        <v>45300</v>
      </c>
    </row>
    <row r="1310" spans="1:2">
      <c r="A1310" s="140">
        <v>45576</v>
      </c>
      <c r="B1310" s="133">
        <v>44500</v>
      </c>
    </row>
    <row r="1311" spans="1:2">
      <c r="A1311" s="140">
        <v>45577</v>
      </c>
      <c r="B1311" s="133" t="s">
        <v>585</v>
      </c>
    </row>
    <row r="1312" spans="1:2">
      <c r="A1312" s="140">
        <v>45578</v>
      </c>
      <c r="B1312" s="133" t="s">
        <v>585</v>
      </c>
    </row>
    <row r="1313" spans="1:2">
      <c r="A1313" s="140">
        <v>45579</v>
      </c>
      <c r="B1313" s="133">
        <v>44900</v>
      </c>
    </row>
    <row r="1314" spans="1:2">
      <c r="A1314" s="140">
        <v>45580</v>
      </c>
      <c r="B1314" s="133">
        <v>44800</v>
      </c>
    </row>
    <row r="1315" spans="1:2">
      <c r="A1315" s="140">
        <v>45581</v>
      </c>
      <c r="B1315" s="133">
        <v>44700</v>
      </c>
    </row>
    <row r="1316" spans="1:2">
      <c r="A1316" s="140">
        <v>45582</v>
      </c>
      <c r="B1316" s="133">
        <v>44500</v>
      </c>
    </row>
    <row r="1317" spans="1:2">
      <c r="A1317" s="140">
        <v>45583</v>
      </c>
      <c r="B1317" s="133">
        <v>44500</v>
      </c>
    </row>
    <row r="1318" spans="1:2">
      <c r="A1318" s="140">
        <v>45584</v>
      </c>
      <c r="B1318" s="133">
        <v>44000</v>
      </c>
    </row>
    <row r="1319" spans="1:2">
      <c r="A1319" s="140">
        <v>45585</v>
      </c>
      <c r="B1319" s="133" t="s">
        <v>585</v>
      </c>
    </row>
    <row r="1320" spans="1:2">
      <c r="A1320" s="140">
        <v>45586</v>
      </c>
      <c r="B1320" s="133">
        <v>43400</v>
      </c>
    </row>
    <row r="1321" spans="1:2">
      <c r="A1321" s="140">
        <v>45587</v>
      </c>
      <c r="B1321" s="133">
        <v>42900</v>
      </c>
    </row>
    <row r="1322" spans="1:2">
      <c r="A1322" s="140">
        <v>45588</v>
      </c>
      <c r="B1322" s="133">
        <v>42700</v>
      </c>
    </row>
    <row r="1323" spans="1:2">
      <c r="A1323" s="140">
        <v>45589</v>
      </c>
      <c r="B1323" s="133">
        <v>42500</v>
      </c>
    </row>
    <row r="1324" spans="1:2">
      <c r="A1324" s="140">
        <v>45590</v>
      </c>
      <c r="B1324" s="133">
        <v>43000</v>
      </c>
    </row>
    <row r="1325" spans="1:2">
      <c r="A1325" s="140">
        <v>45591</v>
      </c>
      <c r="B1325" s="133">
        <v>42800</v>
      </c>
    </row>
    <row r="1326" spans="1:2">
      <c r="A1326" s="140">
        <v>45592</v>
      </c>
      <c r="B1326" s="133" t="s">
        <v>585</v>
      </c>
    </row>
    <row r="1327" spans="1:2">
      <c r="A1327" s="140">
        <v>45593</v>
      </c>
      <c r="B1327" s="133">
        <v>42700</v>
      </c>
    </row>
    <row r="1328" spans="1:2">
      <c r="A1328" s="140">
        <v>45594</v>
      </c>
      <c r="B1328" s="133">
        <v>42500</v>
      </c>
    </row>
    <row r="1329" spans="1:2">
      <c r="A1329" s="140">
        <v>45595</v>
      </c>
      <c r="B1329" s="133">
        <v>42500</v>
      </c>
    </row>
    <row r="1330" spans="1:2">
      <c r="A1330" s="140">
        <v>45596</v>
      </c>
      <c r="B1330" s="133" t="s">
        <v>585</v>
      </c>
    </row>
    <row r="1331" spans="1:2">
      <c r="A1331" s="140">
        <v>45597</v>
      </c>
      <c r="B1331" s="133" t="s">
        <v>585</v>
      </c>
    </row>
    <row r="1332" spans="1:2">
      <c r="A1332" s="140">
        <v>45598</v>
      </c>
      <c r="B1332" s="135" t="s">
        <v>586</v>
      </c>
    </row>
    <row r="1333" spans="1:2">
      <c r="A1333" s="140">
        <v>45599</v>
      </c>
      <c r="B1333" s="133" t="s">
        <v>585</v>
      </c>
    </row>
    <row r="1334" spans="1:2">
      <c r="A1334" s="140">
        <v>45600</v>
      </c>
      <c r="B1334" s="133">
        <v>42300</v>
      </c>
    </row>
    <row r="1335" spans="1:2">
      <c r="A1335" s="140">
        <v>45601</v>
      </c>
      <c r="B1335" s="133">
        <v>42600</v>
      </c>
    </row>
    <row r="1336" spans="1:2">
      <c r="A1336" s="140">
        <v>45602</v>
      </c>
      <c r="B1336" s="133">
        <v>43100</v>
      </c>
    </row>
    <row r="1337" spans="1:2">
      <c r="A1337" s="140">
        <v>45603</v>
      </c>
      <c r="B1337" s="133">
        <v>43100</v>
      </c>
    </row>
    <row r="1338" spans="1:2">
      <c r="A1338" s="140">
        <v>45604</v>
      </c>
      <c r="B1338" s="133">
        <v>44000</v>
      </c>
    </row>
    <row r="1339" spans="1:2">
      <c r="A1339" s="140">
        <v>45605</v>
      </c>
      <c r="B1339" s="133">
        <v>43800</v>
      </c>
    </row>
    <row r="1340" spans="1:2">
      <c r="A1340" s="140">
        <v>45606</v>
      </c>
      <c r="B1340" s="133" t="s">
        <v>585</v>
      </c>
    </row>
    <row r="1341" spans="1:2">
      <c r="A1341" s="140">
        <v>45607</v>
      </c>
      <c r="B1341" s="133">
        <v>43800</v>
      </c>
    </row>
    <row r="1342" spans="1:2">
      <c r="A1342" s="140">
        <v>45608</v>
      </c>
      <c r="B1342" s="133">
        <v>43600</v>
      </c>
    </row>
    <row r="1343" spans="1:2">
      <c r="A1343" s="140">
        <v>45609</v>
      </c>
      <c r="B1343" s="133">
        <v>43300</v>
      </c>
    </row>
    <row r="1344" spans="1:2">
      <c r="A1344" s="140">
        <v>45610</v>
      </c>
      <c r="B1344" s="133">
        <v>42800</v>
      </c>
    </row>
    <row r="1345" spans="1:2">
      <c r="A1345" s="140">
        <v>45611</v>
      </c>
      <c r="B1345" s="133">
        <v>42500</v>
      </c>
    </row>
    <row r="1346" spans="1:2">
      <c r="A1346" s="140">
        <v>45612</v>
      </c>
      <c r="B1346" s="133">
        <v>42300</v>
      </c>
    </row>
    <row r="1347" spans="1:2">
      <c r="A1347" s="140">
        <v>45613</v>
      </c>
      <c r="B1347" s="133" t="s">
        <v>585</v>
      </c>
    </row>
    <row r="1348" spans="1:2">
      <c r="A1348" s="140">
        <v>45614</v>
      </c>
      <c r="B1348" s="133">
        <v>42300</v>
      </c>
    </row>
    <row r="1349" spans="1:2">
      <c r="A1349" s="141">
        <v>45615</v>
      </c>
      <c r="B1349" s="134">
        <v>42200</v>
      </c>
    </row>
    <row r="1350" spans="1:2">
      <c r="A1350" s="140">
        <v>45616</v>
      </c>
      <c r="B1350" s="133">
        <v>42200</v>
      </c>
    </row>
    <row r="1351" spans="1:2">
      <c r="A1351" s="140">
        <v>45617</v>
      </c>
      <c r="B1351" s="133">
        <v>42500</v>
      </c>
    </row>
    <row r="1352" spans="1:2">
      <c r="A1352" s="140">
        <v>45618</v>
      </c>
      <c r="B1352" s="133">
        <v>42500</v>
      </c>
    </row>
    <row r="1353" spans="1:2">
      <c r="A1353" s="140">
        <v>45619</v>
      </c>
      <c r="B1353" s="133">
        <v>42400</v>
      </c>
    </row>
    <row r="1354" spans="1:2">
      <c r="A1354" s="140">
        <v>45620</v>
      </c>
      <c r="B1354" s="133" t="s">
        <v>585</v>
      </c>
    </row>
    <row r="1355" spans="1:2">
      <c r="A1355" s="140">
        <v>45621</v>
      </c>
      <c r="B1355" s="133">
        <v>42200</v>
      </c>
    </row>
    <row r="1356" spans="1:2">
      <c r="A1356" s="140">
        <v>45622</v>
      </c>
      <c r="B1356" s="133">
        <v>42000</v>
      </c>
    </row>
    <row r="1357" spans="1:2">
      <c r="A1357" s="140">
        <v>45623</v>
      </c>
      <c r="B1357" s="133">
        <v>41700</v>
      </c>
    </row>
    <row r="1358" spans="1:2">
      <c r="A1358" s="140">
        <v>45624</v>
      </c>
      <c r="B1358" s="133">
        <v>41800</v>
      </c>
    </row>
    <row r="1359" spans="1:2">
      <c r="A1359" s="140">
        <v>45625</v>
      </c>
      <c r="B1359" s="133">
        <v>41800</v>
      </c>
    </row>
    <row r="1360" spans="1:2">
      <c r="A1360" s="140">
        <v>45626</v>
      </c>
      <c r="B1360" s="133">
        <v>41600</v>
      </c>
    </row>
    <row r="1361" spans="1:2">
      <c r="A1361" s="140">
        <v>45627</v>
      </c>
      <c r="B1361" s="133" t="s">
        <v>585</v>
      </c>
    </row>
    <row r="1362" spans="1:2">
      <c r="A1362" s="140">
        <v>45628</v>
      </c>
      <c r="B1362" s="133">
        <v>41400</v>
      </c>
    </row>
    <row r="1363" spans="1:2">
      <c r="A1363" s="140">
        <v>45629</v>
      </c>
      <c r="B1363" s="133">
        <v>41600</v>
      </c>
    </row>
    <row r="1364" spans="1:2">
      <c r="A1364" s="140">
        <v>45630</v>
      </c>
      <c r="B1364" s="133">
        <v>42000</v>
      </c>
    </row>
    <row r="1365" spans="1:2">
      <c r="A1365" s="140">
        <v>45631</v>
      </c>
      <c r="B1365" s="133">
        <v>42600</v>
      </c>
    </row>
    <row r="1366" spans="1:2">
      <c r="A1366" s="140">
        <v>45632</v>
      </c>
      <c r="B1366" s="133">
        <v>42500</v>
      </c>
    </row>
    <row r="1367" spans="1:2">
      <c r="A1367" s="140">
        <v>45633</v>
      </c>
      <c r="B1367" s="133">
        <v>42200</v>
      </c>
    </row>
    <row r="1368" spans="1:2">
      <c r="A1368" s="140">
        <v>45634</v>
      </c>
      <c r="B1368" s="133" t="s">
        <v>585</v>
      </c>
    </row>
    <row r="1369" spans="1:2">
      <c r="A1369" s="140">
        <v>45635</v>
      </c>
      <c r="B1369" s="133">
        <v>42000</v>
      </c>
    </row>
    <row r="1370" spans="1:2">
      <c r="A1370" s="140">
        <v>45636</v>
      </c>
      <c r="B1370" s="133">
        <v>41600</v>
      </c>
    </row>
    <row r="1371" spans="1:2">
      <c r="A1371" s="140">
        <v>45637</v>
      </c>
      <c r="B1371" s="133">
        <v>41400</v>
      </c>
    </row>
    <row r="1372" spans="1:2">
      <c r="A1372" s="140">
        <v>45638</v>
      </c>
      <c r="B1372" s="133">
        <v>41600</v>
      </c>
    </row>
    <row r="1373" spans="1:2">
      <c r="A1373" s="140">
        <v>45639</v>
      </c>
      <c r="B1373" s="133">
        <v>41600</v>
      </c>
    </row>
    <row r="1374" spans="1:2">
      <c r="A1374" s="140">
        <v>45640</v>
      </c>
      <c r="B1374" s="133">
        <v>41600</v>
      </c>
    </row>
    <row r="1375" spans="1:2">
      <c r="A1375" s="140">
        <v>45641</v>
      </c>
      <c r="B1375" s="133" t="s">
        <v>585</v>
      </c>
    </row>
    <row r="1376" spans="1:2">
      <c r="A1376" s="140">
        <v>45642</v>
      </c>
      <c r="B1376" s="133">
        <v>42300</v>
      </c>
    </row>
    <row r="1377" spans="1:2">
      <c r="A1377" s="140">
        <v>45643</v>
      </c>
      <c r="B1377" s="133">
        <v>42300</v>
      </c>
    </row>
    <row r="1378" spans="1:2">
      <c r="A1378" s="140">
        <v>45644</v>
      </c>
      <c r="B1378" s="133">
        <v>42500</v>
      </c>
    </row>
    <row r="1379" spans="1:2">
      <c r="A1379" s="140">
        <v>45645</v>
      </c>
      <c r="B1379" s="133">
        <v>42500</v>
      </c>
    </row>
    <row r="1380" spans="1:2">
      <c r="A1380" s="140">
        <v>45646</v>
      </c>
      <c r="B1380" s="133">
        <v>42400</v>
      </c>
    </row>
    <row r="1381" spans="1:2">
      <c r="A1381" s="140">
        <v>45647</v>
      </c>
      <c r="B1381" s="133">
        <v>42300</v>
      </c>
    </row>
    <row r="1382" spans="1:2">
      <c r="A1382" s="140">
        <v>45648</v>
      </c>
      <c r="B1382" s="133" t="s">
        <v>585</v>
      </c>
    </row>
    <row r="1383" spans="1:2">
      <c r="A1383" s="140">
        <v>45649</v>
      </c>
      <c r="B1383" s="133">
        <v>42300</v>
      </c>
    </row>
    <row r="1384" spans="1:2">
      <c r="A1384" s="140">
        <v>45650</v>
      </c>
      <c r="B1384" s="133">
        <v>42000</v>
      </c>
    </row>
    <row r="1385" spans="1:2">
      <c r="A1385" s="140">
        <v>45651</v>
      </c>
      <c r="B1385" s="133" t="s">
        <v>585</v>
      </c>
    </row>
    <row r="1386" spans="1:2">
      <c r="A1386" s="140">
        <v>45652</v>
      </c>
      <c r="B1386" s="133">
        <v>41900</v>
      </c>
    </row>
    <row r="1387" spans="1:2">
      <c r="A1387" s="140">
        <v>45653</v>
      </c>
      <c r="B1387" s="133">
        <v>41600</v>
      </c>
    </row>
    <row r="1388" spans="1:2">
      <c r="A1388" s="140">
        <v>45654</v>
      </c>
      <c r="B1388" s="133">
        <v>41700</v>
      </c>
    </row>
    <row r="1389" spans="1:2">
      <c r="A1389" s="140">
        <v>45655</v>
      </c>
      <c r="B1389" s="133" t="s">
        <v>585</v>
      </c>
    </row>
    <row r="1390" spans="1:2">
      <c r="A1390" s="140">
        <v>45656</v>
      </c>
      <c r="B1390" s="133">
        <v>42200</v>
      </c>
    </row>
    <row r="1391" spans="1:2">
      <c r="A1391" s="140">
        <v>45657</v>
      </c>
      <c r="B1391" s="133">
        <v>42400</v>
      </c>
    </row>
    <row r="1392" spans="1:2">
      <c r="A1392" s="140">
        <v>45658</v>
      </c>
      <c r="B1392" s="133">
        <v>42400</v>
      </c>
    </row>
    <row r="1393" spans="1:2">
      <c r="A1393" s="140">
        <v>45659</v>
      </c>
      <c r="B1393" s="133">
        <v>42400</v>
      </c>
    </row>
    <row r="1394" spans="1:2">
      <c r="A1394" s="140">
        <v>45660</v>
      </c>
      <c r="B1394" s="133">
        <v>42300</v>
      </c>
    </row>
    <row r="1395" spans="1:2">
      <c r="A1395" s="140">
        <v>45661</v>
      </c>
      <c r="B1395" s="133">
        <v>42200</v>
      </c>
    </row>
    <row r="1396" spans="1:2">
      <c r="A1396" s="140">
        <v>45662</v>
      </c>
      <c r="B1396" s="133" t="s">
        <v>585</v>
      </c>
    </row>
    <row r="1397" spans="1:2">
      <c r="A1397" s="140">
        <v>45663</v>
      </c>
      <c r="B1397" s="133">
        <v>41800</v>
      </c>
    </row>
    <row r="1398" spans="1:2">
      <c r="A1398" s="140">
        <v>45664</v>
      </c>
      <c r="B1398" s="133">
        <v>41800</v>
      </c>
    </row>
    <row r="1399" spans="1:2">
      <c r="A1399" s="140">
        <v>45665</v>
      </c>
      <c r="B1399" s="133">
        <v>41600</v>
      </c>
    </row>
    <row r="1400" spans="1:2">
      <c r="A1400" s="140">
        <v>45666</v>
      </c>
      <c r="B1400" s="133">
        <v>41400</v>
      </c>
    </row>
    <row r="1401" spans="1:2">
      <c r="A1401" s="140">
        <v>45667</v>
      </c>
      <c r="B1401" s="133">
        <v>41600</v>
      </c>
    </row>
    <row r="1402" spans="1:2">
      <c r="A1402" s="140">
        <v>45668</v>
      </c>
      <c r="B1402" s="133">
        <v>41500</v>
      </c>
    </row>
    <row r="1403" spans="1:2">
      <c r="A1403" s="140">
        <v>45669</v>
      </c>
      <c r="B1403" s="133" t="s">
        <v>585</v>
      </c>
    </row>
    <row r="1404" spans="1:2">
      <c r="A1404" s="140">
        <v>45670</v>
      </c>
      <c r="B1404" s="133">
        <v>41600</v>
      </c>
    </row>
    <row r="1405" spans="1:2">
      <c r="A1405" s="140">
        <v>45671</v>
      </c>
      <c r="B1405" s="133">
        <v>41700</v>
      </c>
    </row>
    <row r="1406" spans="1:2">
      <c r="A1406" s="140">
        <v>45672</v>
      </c>
      <c r="B1406" s="133">
        <v>41700</v>
      </c>
    </row>
    <row r="1407" spans="1:2">
      <c r="A1407" s="140">
        <v>45673</v>
      </c>
      <c r="B1407" s="133">
        <v>41500</v>
      </c>
    </row>
    <row r="1408" spans="1:2">
      <c r="A1408" s="140">
        <v>45674</v>
      </c>
      <c r="B1408" s="133">
        <v>41400</v>
      </c>
    </row>
    <row r="1409" spans="1:2">
      <c r="A1409" s="140">
        <v>45675</v>
      </c>
      <c r="B1409" s="133">
        <v>41300</v>
      </c>
    </row>
    <row r="1410" spans="1:2">
      <c r="A1410" s="140">
        <v>45676</v>
      </c>
      <c r="B1410" s="133" t="s">
        <v>585</v>
      </c>
    </row>
    <row r="1411" spans="1:2">
      <c r="A1411" s="140">
        <v>45677</v>
      </c>
      <c r="B1411" s="133">
        <v>41300</v>
      </c>
    </row>
    <row r="1412" spans="1:2">
      <c r="A1412" s="140">
        <v>45678</v>
      </c>
      <c r="B1412" s="133">
        <v>41200</v>
      </c>
    </row>
    <row r="1413" spans="1:2">
      <c r="A1413" s="140">
        <v>45679</v>
      </c>
      <c r="B1413" s="133">
        <v>41200</v>
      </c>
    </row>
    <row r="1414" spans="1:2">
      <c r="A1414" s="140">
        <v>45680</v>
      </c>
      <c r="B1414" s="133">
        <v>41500</v>
      </c>
    </row>
    <row r="1415" spans="1:2">
      <c r="A1415" s="140">
        <v>45681</v>
      </c>
      <c r="B1415" s="133">
        <v>41500</v>
      </c>
    </row>
    <row r="1416" spans="1:2">
      <c r="A1416" s="140">
        <v>45682</v>
      </c>
      <c r="B1416" s="133">
        <v>41500</v>
      </c>
    </row>
    <row r="1417" spans="1:2">
      <c r="A1417" s="140">
        <v>45683</v>
      </c>
      <c r="B1417" s="133" t="s">
        <v>585</v>
      </c>
    </row>
    <row r="1418" spans="1:2">
      <c r="A1418" s="140">
        <v>45684</v>
      </c>
      <c r="B1418" s="133">
        <v>42100</v>
      </c>
    </row>
    <row r="1419" spans="1:2">
      <c r="A1419" s="140">
        <v>45685</v>
      </c>
      <c r="B1419" s="133">
        <v>42300</v>
      </c>
    </row>
    <row r="1420" spans="1:2">
      <c r="A1420" s="140">
        <v>45686</v>
      </c>
      <c r="B1420" s="133">
        <v>42200</v>
      </c>
    </row>
    <row r="1421" spans="1:2">
      <c r="A1421" s="140">
        <v>45687</v>
      </c>
      <c r="B1421" s="133">
        <v>42200</v>
      </c>
    </row>
    <row r="1422" spans="1:2">
      <c r="A1422" s="140">
        <v>45688</v>
      </c>
      <c r="B1422" s="133">
        <v>42200</v>
      </c>
    </row>
    <row r="1423" spans="1:2">
      <c r="A1423" s="140">
        <v>45689</v>
      </c>
      <c r="B1423" s="133">
        <v>42100</v>
      </c>
    </row>
    <row r="1424" spans="1:2">
      <c r="A1424" s="140">
        <v>45690</v>
      </c>
      <c r="B1424" s="133" t="s">
        <v>585</v>
      </c>
    </row>
    <row r="1425" spans="1:2">
      <c r="A1425" s="140">
        <v>45691</v>
      </c>
      <c r="B1425" s="133">
        <v>42000</v>
      </c>
    </row>
    <row r="1426" spans="1:2">
      <c r="A1426" s="140">
        <v>45692</v>
      </c>
      <c r="B1426" s="133">
        <v>42000</v>
      </c>
    </row>
    <row r="1427" spans="1:2">
      <c r="A1427" s="140">
        <v>45693</v>
      </c>
      <c r="B1427" s="133">
        <v>41800</v>
      </c>
    </row>
    <row r="1428" spans="1:2">
      <c r="A1428" s="140">
        <v>45694</v>
      </c>
      <c r="B1428" s="133">
        <v>42000</v>
      </c>
    </row>
    <row r="1429" spans="1:2">
      <c r="A1429" s="140">
        <v>45695</v>
      </c>
      <c r="B1429" s="133">
        <v>41900</v>
      </c>
    </row>
    <row r="1430" spans="1:2">
      <c r="A1430" s="140">
        <v>45696</v>
      </c>
      <c r="B1430" s="133">
        <v>42100</v>
      </c>
    </row>
    <row r="1431" spans="1:2">
      <c r="A1431" s="140">
        <v>45697</v>
      </c>
      <c r="B1431" s="133" t="s">
        <v>585</v>
      </c>
    </row>
    <row r="1432" spans="1:2">
      <c r="A1432" s="140">
        <v>45698</v>
      </c>
      <c r="B1432" s="133">
        <v>42700</v>
      </c>
    </row>
    <row r="1433" spans="1:2">
      <c r="A1433" s="140">
        <v>45699</v>
      </c>
      <c r="B1433" s="133">
        <v>42600</v>
      </c>
    </row>
    <row r="1434" spans="1:2">
      <c r="A1434" s="140">
        <v>45700</v>
      </c>
      <c r="B1434" s="133">
        <v>42600</v>
      </c>
    </row>
    <row r="1435" spans="1:2">
      <c r="A1435" s="140">
        <v>45701</v>
      </c>
      <c r="B1435" s="133">
        <v>42800</v>
      </c>
    </row>
    <row r="1436" spans="1:2">
      <c r="A1436" s="140">
        <v>45702</v>
      </c>
      <c r="B1436" s="133">
        <v>42600</v>
      </c>
    </row>
    <row r="1437" spans="1:2">
      <c r="A1437" s="140">
        <v>45703</v>
      </c>
      <c r="B1437" s="133">
        <v>42600</v>
      </c>
    </row>
    <row r="1438" spans="1:2">
      <c r="A1438" s="140">
        <v>45704</v>
      </c>
      <c r="B1438" s="133" t="s">
        <v>585</v>
      </c>
    </row>
    <row r="1439" spans="1:2">
      <c r="A1439" s="140">
        <v>45705</v>
      </c>
      <c r="B1439" s="133">
        <v>42400</v>
      </c>
    </row>
    <row r="1440" spans="1:2">
      <c r="A1440" s="142">
        <v>45706</v>
      </c>
      <c r="B1440" s="14">
        <v>42600</v>
      </c>
    </row>
    <row r="1441" spans="1:2">
      <c r="A1441" s="142">
        <v>45707</v>
      </c>
      <c r="B1441" s="14">
        <v>42400</v>
      </c>
    </row>
    <row r="1442" spans="1:2">
      <c r="A1442" s="140">
        <v>45708</v>
      </c>
      <c r="B1442" s="133">
        <v>42700</v>
      </c>
    </row>
    <row r="1443" spans="1:2">
      <c r="A1443" s="140">
        <v>45709</v>
      </c>
      <c r="B1443" s="133">
        <v>42700</v>
      </c>
    </row>
    <row r="1444" spans="1:2">
      <c r="A1444" s="140">
        <v>45710</v>
      </c>
      <c r="B1444" s="133">
        <v>42700</v>
      </c>
    </row>
    <row r="1445" spans="1:2">
      <c r="A1445" s="140">
        <v>45711</v>
      </c>
      <c r="B1445" s="133" t="s">
        <v>585</v>
      </c>
    </row>
    <row r="1446" spans="1:2">
      <c r="A1446" s="140">
        <v>45712</v>
      </c>
      <c r="B1446" s="133">
        <v>43000</v>
      </c>
    </row>
    <row r="1447" spans="1:2">
      <c r="A1447" s="142">
        <v>45713</v>
      </c>
      <c r="B1447" s="14">
        <v>43000</v>
      </c>
    </row>
    <row r="1448" spans="1:2">
      <c r="A1448" s="142">
        <v>45714</v>
      </c>
      <c r="B1448" s="14">
        <v>43300</v>
      </c>
    </row>
    <row r="1449" spans="1:2">
      <c r="A1449" s="142">
        <v>45715</v>
      </c>
      <c r="B1449" s="14">
        <v>43800</v>
      </c>
    </row>
    <row r="1450" spans="1:2">
      <c r="A1450" s="142">
        <v>45716</v>
      </c>
      <c r="B1450" s="14">
        <v>43700</v>
      </c>
    </row>
    <row r="1451" spans="1:2">
      <c r="A1451" s="142">
        <v>45717</v>
      </c>
      <c r="B1451" s="14">
        <v>43700</v>
      </c>
    </row>
    <row r="1452" spans="1:2">
      <c r="A1452" s="142">
        <v>45718</v>
      </c>
      <c r="B1452" s="14" t="s">
        <v>585</v>
      </c>
    </row>
    <row r="1453" spans="1:2">
      <c r="A1453" s="142">
        <v>45719</v>
      </c>
      <c r="B1453" s="14">
        <v>43500</v>
      </c>
    </row>
    <row r="1454" spans="1:2">
      <c r="A1454" s="140">
        <v>45720</v>
      </c>
      <c r="B1454" s="133">
        <v>43500</v>
      </c>
    </row>
    <row r="1455" spans="1:2">
      <c r="A1455" s="140">
        <v>45721</v>
      </c>
      <c r="B1455" s="133">
        <v>43800</v>
      </c>
    </row>
    <row r="1456" spans="1:2">
      <c r="A1456" s="142">
        <v>45722</v>
      </c>
      <c r="B1456" s="14">
        <v>43800</v>
      </c>
    </row>
    <row r="1457" spans="1:2">
      <c r="A1457" s="142">
        <v>45723</v>
      </c>
      <c r="B1457" s="14">
        <v>43800</v>
      </c>
    </row>
    <row r="1458" spans="1:2">
      <c r="A1458" s="142">
        <v>45724</v>
      </c>
      <c r="B1458" s="14">
        <v>43700</v>
      </c>
    </row>
    <row r="1459" spans="1:2">
      <c r="A1459" s="142">
        <v>45725</v>
      </c>
      <c r="B1459" s="14" t="s">
        <v>585</v>
      </c>
    </row>
    <row r="1460" spans="1:2">
      <c r="A1460" s="142">
        <v>45726</v>
      </c>
      <c r="B1460" s="14">
        <v>43600</v>
      </c>
    </row>
    <row r="1461" spans="1:2">
      <c r="A1461" s="140">
        <v>45727</v>
      </c>
      <c r="B1461" s="133">
        <v>43500</v>
      </c>
    </row>
    <row r="1462" spans="1:2">
      <c r="A1462" s="142">
        <v>45728</v>
      </c>
      <c r="B1462" s="14">
        <v>43500</v>
      </c>
    </row>
    <row r="1463" spans="1:2">
      <c r="A1463" s="142">
        <v>45729</v>
      </c>
      <c r="B1463" s="14">
        <v>43500</v>
      </c>
    </row>
    <row r="1464" spans="1:2">
      <c r="A1464" s="142">
        <v>45730</v>
      </c>
      <c r="B1464" s="14" t="s">
        <v>585</v>
      </c>
    </row>
    <row r="1465" spans="1:2">
      <c r="A1465" s="142">
        <v>45731</v>
      </c>
      <c r="B1465" s="14" t="s">
        <v>585</v>
      </c>
    </row>
    <row r="1466" spans="1:2">
      <c r="A1466" s="142">
        <v>45732</v>
      </c>
      <c r="B1466" s="14" t="s">
        <v>585</v>
      </c>
    </row>
    <row r="1467" spans="1:2">
      <c r="A1467" s="142">
        <v>45733</v>
      </c>
      <c r="B1467" s="14">
        <v>43600</v>
      </c>
    </row>
    <row r="1468" spans="1:2">
      <c r="A1468" s="143">
        <v>45734</v>
      </c>
      <c r="B1468" s="20">
        <v>44000</v>
      </c>
    </row>
    <row r="1469" spans="1:2">
      <c r="A1469" s="142">
        <v>45735</v>
      </c>
      <c r="B1469" s="14">
        <v>44700</v>
      </c>
    </row>
    <row r="1470" spans="1:2">
      <c r="A1470" s="140">
        <v>45736</v>
      </c>
      <c r="B1470" s="133">
        <v>45100</v>
      </c>
    </row>
    <row r="1471" spans="1:2">
      <c r="A1471" s="142">
        <v>45737</v>
      </c>
      <c r="B1471" s="14">
        <v>45200</v>
      </c>
    </row>
    <row r="1472" spans="1:2">
      <c r="A1472" s="142">
        <v>45738</v>
      </c>
      <c r="B1472" s="14">
        <v>45000</v>
      </c>
    </row>
    <row r="1473" spans="1:2">
      <c r="A1473" s="142">
        <v>45739</v>
      </c>
      <c r="B1473" s="14" t="s">
        <v>585</v>
      </c>
    </row>
    <row r="1474" spans="1:2">
      <c r="A1474" s="142">
        <v>45740</v>
      </c>
      <c r="B1474" s="14">
        <v>45300</v>
      </c>
    </row>
    <row r="1475" spans="1:2">
      <c r="A1475" s="140">
        <v>45741</v>
      </c>
      <c r="B1475" s="133">
        <v>45300</v>
      </c>
    </row>
    <row r="1476" spans="1:2">
      <c r="A1476" s="142">
        <v>45742</v>
      </c>
      <c r="B1476" s="14">
        <v>45200</v>
      </c>
    </row>
    <row r="1477" spans="1:2">
      <c r="A1477" s="142">
        <v>45743</v>
      </c>
      <c r="B1477" s="14">
        <v>45200</v>
      </c>
    </row>
    <row r="1478" spans="1:2">
      <c r="A1478" s="140">
        <v>45744</v>
      </c>
      <c r="B1478" s="133">
        <v>44800</v>
      </c>
    </row>
    <row r="1479" spans="1:2">
      <c r="A1479" s="142">
        <v>45745</v>
      </c>
      <c r="B1479" s="14">
        <v>44800</v>
      </c>
    </row>
    <row r="1480" spans="1:2">
      <c r="A1480" s="140">
        <v>45746</v>
      </c>
      <c r="B1480" s="133" t="s">
        <v>585</v>
      </c>
    </row>
    <row r="1481" spans="1:2">
      <c r="A1481" s="141">
        <v>45747</v>
      </c>
      <c r="B1481" s="134">
        <v>45200</v>
      </c>
    </row>
    <row r="1482" spans="1:2">
      <c r="A1482" s="140">
        <v>45748</v>
      </c>
      <c r="B1482" s="133">
        <v>45700</v>
      </c>
    </row>
    <row r="1483" spans="1:2">
      <c r="A1483" s="140">
        <v>45749</v>
      </c>
      <c r="B1483" s="133">
        <v>45800</v>
      </c>
    </row>
    <row r="1484" spans="1:2">
      <c r="A1484" s="142">
        <v>45750</v>
      </c>
      <c r="B1484" s="14">
        <v>46400</v>
      </c>
    </row>
    <row r="1485" spans="1:2">
      <c r="A1485" s="142">
        <v>45751</v>
      </c>
      <c r="B1485" s="14">
        <v>46500</v>
      </c>
    </row>
    <row r="1486" spans="1:2">
      <c r="A1486" s="142">
        <v>45752</v>
      </c>
      <c r="B1486" s="14">
        <v>46200</v>
      </c>
    </row>
    <row r="1487" spans="1:2">
      <c r="A1487" s="142">
        <v>45753</v>
      </c>
      <c r="B1487" s="14" t="s">
        <v>585</v>
      </c>
    </row>
    <row r="1488" spans="1:2">
      <c r="A1488" s="142">
        <v>45754</v>
      </c>
      <c r="B1488" s="14">
        <v>45700</v>
      </c>
    </row>
    <row r="1489" spans="1:2">
      <c r="A1489" s="140">
        <v>45755</v>
      </c>
      <c r="B1489" s="133">
        <v>45600</v>
      </c>
    </row>
    <row r="1490" spans="1:2">
      <c r="A1490" s="142">
        <v>45756</v>
      </c>
      <c r="B1490" s="14">
        <v>45800</v>
      </c>
    </row>
    <row r="1491" spans="1:2">
      <c r="A1491" s="142">
        <v>45757</v>
      </c>
      <c r="B1491" s="14">
        <v>45900</v>
      </c>
    </row>
    <row r="1492" spans="1:2">
      <c r="A1492" s="142">
        <v>45758</v>
      </c>
      <c r="B1492" s="14">
        <v>46100</v>
      </c>
    </row>
    <row r="1493" spans="1:2">
      <c r="A1493" s="142">
        <v>45759</v>
      </c>
      <c r="B1493" s="14">
        <v>46000</v>
      </c>
    </row>
    <row r="1494" spans="1:2">
      <c r="A1494" s="142">
        <v>45760</v>
      </c>
      <c r="B1494" s="14" t="s">
        <v>585</v>
      </c>
    </row>
    <row r="1495" spans="1:2">
      <c r="A1495" s="142">
        <v>45761</v>
      </c>
      <c r="B1495" s="14">
        <v>45600</v>
      </c>
    </row>
    <row r="1496" spans="1:2">
      <c r="A1496" s="142">
        <v>45762</v>
      </c>
      <c r="B1496" s="14">
        <v>45400</v>
      </c>
    </row>
    <row r="1497" spans="1:2">
      <c r="A1497" s="142">
        <v>45763</v>
      </c>
      <c r="B1497" s="14">
        <v>45800</v>
      </c>
    </row>
    <row r="1498" spans="1:2">
      <c r="A1498" s="142">
        <v>45764</v>
      </c>
      <c r="B1498" s="14">
        <v>45400</v>
      </c>
    </row>
    <row r="1499" spans="1:2">
      <c r="A1499" s="142">
        <v>45765</v>
      </c>
      <c r="B1499" s="14">
        <v>45200</v>
      </c>
    </row>
    <row r="1500" spans="1:2">
      <c r="A1500" s="142">
        <v>45766</v>
      </c>
      <c r="B1500" s="14">
        <v>44800</v>
      </c>
    </row>
    <row r="1501" spans="1:2">
      <c r="A1501" s="142">
        <v>45767</v>
      </c>
      <c r="B1501" s="14" t="s">
        <v>585</v>
      </c>
    </row>
    <row r="1502" spans="1:2">
      <c r="A1502" s="142">
        <v>45768</v>
      </c>
      <c r="B1502" s="14">
        <v>44700</v>
      </c>
    </row>
    <row r="1503" spans="1:2">
      <c r="A1503" s="142">
        <v>45769</v>
      </c>
      <c r="B1503" s="14">
        <v>45600</v>
      </c>
    </row>
    <row r="1504" spans="1:2">
      <c r="A1504" s="140">
        <v>45770</v>
      </c>
      <c r="B1504" s="133">
        <v>45200</v>
      </c>
    </row>
    <row r="1505" spans="1:2">
      <c r="A1505" s="142">
        <v>45771</v>
      </c>
      <c r="B1505" s="14">
        <v>45200</v>
      </c>
    </row>
    <row r="1506" spans="1:2">
      <c r="A1506" s="142">
        <v>45772</v>
      </c>
      <c r="B1506" s="14">
        <v>45000</v>
      </c>
    </row>
    <row r="1507" spans="1:2">
      <c r="A1507" s="142">
        <v>45773</v>
      </c>
      <c r="B1507" s="14">
        <v>45000</v>
      </c>
    </row>
    <row r="1508" spans="1:2">
      <c r="A1508" s="142">
        <v>45774</v>
      </c>
      <c r="B1508" s="14" t="s">
        <v>585</v>
      </c>
    </row>
    <row r="1509" spans="1:2">
      <c r="A1509" s="142">
        <v>45775</v>
      </c>
      <c r="B1509" s="14">
        <v>45000</v>
      </c>
    </row>
    <row r="1510" spans="1:2">
      <c r="A1510" s="142">
        <v>45776</v>
      </c>
      <c r="B1510" s="14">
        <v>44800</v>
      </c>
    </row>
    <row r="1511" spans="1:2">
      <c r="A1511" s="142">
        <v>45777</v>
      </c>
      <c r="B1511" s="14">
        <v>44500</v>
      </c>
    </row>
    <row r="1512" spans="1:2">
      <c r="A1512" s="142">
        <v>45778</v>
      </c>
      <c r="B1512" s="14">
        <v>44500</v>
      </c>
    </row>
    <row r="1513" spans="1:2">
      <c r="A1513" s="140">
        <v>45779</v>
      </c>
      <c r="B1513" s="133">
        <v>44500</v>
      </c>
    </row>
    <row r="1514" spans="1:2">
      <c r="A1514" s="140">
        <v>45780</v>
      </c>
      <c r="B1514" s="133">
        <v>44300</v>
      </c>
    </row>
    <row r="1515" spans="1:2">
      <c r="A1515" s="140">
        <v>45781</v>
      </c>
      <c r="B1515" s="133" t="s">
        <v>585</v>
      </c>
    </row>
    <row r="1516" spans="1:2">
      <c r="A1516" s="140">
        <v>45782</v>
      </c>
      <c r="B1516" s="133">
        <v>44400</v>
      </c>
    </row>
    <row r="1517" spans="1:2">
      <c r="A1517" s="140">
        <v>45783</v>
      </c>
      <c r="B1517" s="133">
        <v>44300</v>
      </c>
    </row>
    <row r="1518" spans="1:2">
      <c r="A1518" s="140">
        <v>45784</v>
      </c>
      <c r="B1518" s="133">
        <v>44200</v>
      </c>
    </row>
    <row r="1519" spans="1:2">
      <c r="A1519" s="140">
        <v>45785</v>
      </c>
      <c r="B1519" s="133">
        <v>44100</v>
      </c>
    </row>
    <row r="1520" spans="1:2">
      <c r="A1520" s="140">
        <v>45786</v>
      </c>
      <c r="B1520" s="133">
        <v>43900</v>
      </c>
    </row>
    <row r="1521" spans="1:2">
      <c r="A1521" s="140">
        <v>45787</v>
      </c>
      <c r="B1521" s="133">
        <v>43800</v>
      </c>
    </row>
    <row r="1522" spans="1:2">
      <c r="A1522" s="140">
        <v>45788</v>
      </c>
      <c r="B1522" s="133" t="s">
        <v>585</v>
      </c>
    </row>
    <row r="1523" spans="1:2">
      <c r="A1523" s="140">
        <v>45789</v>
      </c>
      <c r="B1523" s="133">
        <v>44100</v>
      </c>
    </row>
    <row r="1524" spans="1:2">
      <c r="A1524" s="140">
        <v>45790</v>
      </c>
      <c r="B1524" s="133">
        <v>43900</v>
      </c>
    </row>
    <row r="1525" spans="1:2">
      <c r="A1525" s="140">
        <v>45791</v>
      </c>
      <c r="B1525" s="133">
        <v>43700</v>
      </c>
    </row>
    <row r="1526" spans="1:2">
      <c r="A1526" s="140">
        <v>45792</v>
      </c>
      <c r="B1526" s="133">
        <v>43500</v>
      </c>
    </row>
    <row r="1527" spans="1:2">
      <c r="A1527" s="142">
        <v>45793</v>
      </c>
      <c r="B1527" s="14">
        <v>43500</v>
      </c>
    </row>
    <row r="1528" spans="1:2">
      <c r="A1528" s="142">
        <v>45794</v>
      </c>
      <c r="B1528" s="14">
        <v>43600</v>
      </c>
    </row>
    <row r="1529" spans="1:2">
      <c r="A1529" s="142">
        <v>45795</v>
      </c>
      <c r="B1529" s="14" t="s">
        <v>585</v>
      </c>
    </row>
    <row r="1530" spans="1:2">
      <c r="A1530" s="142">
        <v>45796</v>
      </c>
      <c r="B1530" s="14">
        <v>43500</v>
      </c>
    </row>
    <row r="1531" spans="1:2">
      <c r="A1531" s="142">
        <v>45797</v>
      </c>
      <c r="B1531" s="14">
        <v>43500</v>
      </c>
    </row>
    <row r="1532" spans="1:2">
      <c r="A1532" s="142">
        <v>45798</v>
      </c>
      <c r="B1532" s="14">
        <v>43500</v>
      </c>
    </row>
    <row r="1533" spans="1:2">
      <c r="A1533" s="142">
        <v>45799</v>
      </c>
      <c r="B1533" s="14">
        <v>43400</v>
      </c>
    </row>
    <row r="1534" spans="1:2">
      <c r="A1534" s="142">
        <v>45800</v>
      </c>
      <c r="B1534" s="14">
        <v>43300</v>
      </c>
    </row>
    <row r="1535" spans="1:2">
      <c r="A1535" s="142">
        <v>45801</v>
      </c>
      <c r="B1535" s="14">
        <v>43200</v>
      </c>
    </row>
    <row r="1536" spans="1:2">
      <c r="A1536" s="142">
        <v>45802</v>
      </c>
      <c r="B1536" s="14" t="s">
        <v>585</v>
      </c>
    </row>
    <row r="1537" spans="1:2">
      <c r="A1537" s="142">
        <v>45803</v>
      </c>
      <c r="B1537" s="14">
        <v>43100</v>
      </c>
    </row>
    <row r="1538" spans="1:2">
      <c r="A1538" s="142">
        <v>45804</v>
      </c>
      <c r="B1538" s="14">
        <v>42900</v>
      </c>
    </row>
    <row r="1539" spans="1:2">
      <c r="A1539" s="142">
        <v>45805</v>
      </c>
      <c r="B1539" s="14">
        <v>42800</v>
      </c>
    </row>
    <row r="1540" spans="1:2">
      <c r="A1540" s="142">
        <v>45806</v>
      </c>
      <c r="B1540" s="14">
        <v>42500</v>
      </c>
    </row>
    <row r="1541" spans="1:2">
      <c r="A1541" s="142">
        <v>45807</v>
      </c>
      <c r="B1541" s="14">
        <v>42400</v>
      </c>
    </row>
    <row r="1542" spans="1:2">
      <c r="A1542" s="142">
        <v>45808</v>
      </c>
      <c r="B1542" s="14">
        <v>42400</v>
      </c>
    </row>
    <row r="1543" spans="1:2">
      <c r="A1543" s="142">
        <v>45809</v>
      </c>
      <c r="B1543" s="14" t="s">
        <v>585</v>
      </c>
    </row>
    <row r="1544" spans="1:2">
      <c r="A1544" s="142">
        <v>45810</v>
      </c>
      <c r="B1544" s="14">
        <v>42500</v>
      </c>
    </row>
    <row r="1545" spans="1:2">
      <c r="A1545" s="140">
        <v>45811</v>
      </c>
      <c r="B1545" s="133">
        <v>42200</v>
      </c>
    </row>
    <row r="1546" spans="1:2">
      <c r="A1546" s="142">
        <v>45812</v>
      </c>
      <c r="B1546" s="14">
        <v>42000</v>
      </c>
    </row>
    <row r="1547" spans="1:2">
      <c r="A1547" s="142">
        <v>45813</v>
      </c>
      <c r="B1547" s="14">
        <v>42000</v>
      </c>
    </row>
    <row r="1548" spans="1:2">
      <c r="A1548" s="142">
        <v>45814</v>
      </c>
      <c r="B1548" s="14">
        <v>41900</v>
      </c>
    </row>
    <row r="1549" spans="1:2">
      <c r="A1549" s="142">
        <v>45815</v>
      </c>
      <c r="B1549" s="14">
        <v>41700</v>
      </c>
    </row>
    <row r="1550" spans="1:2">
      <c r="A1550" s="142">
        <v>45816</v>
      </c>
      <c r="B1550" s="14" t="s">
        <v>585</v>
      </c>
    </row>
    <row r="1551" spans="1:2">
      <c r="A1551" s="142">
        <v>45817</v>
      </c>
      <c r="B1551" s="14">
        <v>41500</v>
      </c>
    </row>
    <row r="1552" spans="1:2">
      <c r="A1552" s="142">
        <v>45818</v>
      </c>
      <c r="B1552" s="14">
        <v>41400</v>
      </c>
    </row>
    <row r="1553" spans="1:2">
      <c r="A1553" s="142">
        <v>45819</v>
      </c>
      <c r="B1553" s="14">
        <v>41400</v>
      </c>
    </row>
    <row r="1554" spans="1:2">
      <c r="A1554" s="142">
        <v>45820</v>
      </c>
      <c r="B1554" s="14">
        <v>41400</v>
      </c>
    </row>
    <row r="1555" spans="1:2">
      <c r="A1555" s="142">
        <v>45821</v>
      </c>
      <c r="B1555" s="14">
        <v>41300</v>
      </c>
    </row>
    <row r="1556" spans="1:2">
      <c r="A1556" s="142">
        <v>45822</v>
      </c>
      <c r="B1556" s="14">
        <v>41200</v>
      </c>
    </row>
    <row r="1557" spans="1:2">
      <c r="A1557" s="142">
        <v>45823</v>
      </c>
      <c r="B1557" s="14" t="s">
        <v>585</v>
      </c>
    </row>
    <row r="1558" spans="1:2">
      <c r="A1558" s="142">
        <v>45824</v>
      </c>
      <c r="B1558" s="14">
        <v>41200</v>
      </c>
    </row>
    <row r="1559" spans="1:2">
      <c r="A1559" s="142">
        <v>45825</v>
      </c>
      <c r="B1559" s="14">
        <v>41200</v>
      </c>
    </row>
    <row r="1560" spans="1:2">
      <c r="A1560" s="142">
        <v>45826</v>
      </c>
      <c r="B1560" s="14">
        <v>41000</v>
      </c>
    </row>
    <row r="1561" spans="1:2">
      <c r="A1561" s="142">
        <v>45827</v>
      </c>
      <c r="B1561" s="14">
        <v>41000</v>
      </c>
    </row>
    <row r="1562" spans="1:2">
      <c r="A1562" s="142">
        <v>45828</v>
      </c>
      <c r="B1562" s="14">
        <v>41000</v>
      </c>
    </row>
    <row r="1563" spans="1:2">
      <c r="A1563" s="142">
        <v>45829</v>
      </c>
      <c r="B1563" s="14">
        <v>41000</v>
      </c>
    </row>
    <row r="1564" spans="1:2">
      <c r="A1564" s="142">
        <v>45830</v>
      </c>
      <c r="B1564" s="14" t="s">
        <v>585</v>
      </c>
    </row>
    <row r="1565" spans="1:2">
      <c r="A1565" s="142">
        <v>45831</v>
      </c>
      <c r="B1565" s="14">
        <v>40800</v>
      </c>
    </row>
    <row r="1566" spans="1:2">
      <c r="A1566" s="142">
        <v>45832</v>
      </c>
      <c r="B1566" s="14">
        <v>40400</v>
      </c>
    </row>
    <row r="1567" spans="1:2">
      <c r="A1567" s="142">
        <v>45833</v>
      </c>
      <c r="B1567" s="14">
        <v>40500</v>
      </c>
    </row>
    <row r="1568" spans="1:2">
      <c r="A1568" s="142">
        <v>45834</v>
      </c>
      <c r="B1568" s="14">
        <v>40500</v>
      </c>
    </row>
    <row r="1569" spans="1:2">
      <c r="A1569" s="142">
        <v>45835</v>
      </c>
      <c r="B1569" s="14">
        <v>40400</v>
      </c>
    </row>
    <row r="1570" spans="1:2">
      <c r="A1570" s="142">
        <v>45836</v>
      </c>
      <c r="B1570" s="14">
        <v>40200</v>
      </c>
    </row>
    <row r="1571" spans="1:2">
      <c r="A1571" s="142">
        <v>45837</v>
      </c>
      <c r="B1571" s="14" t="s">
        <v>585</v>
      </c>
    </row>
    <row r="1572" spans="1:2">
      <c r="A1572" s="142">
        <v>45838</v>
      </c>
      <c r="B1572" s="14">
        <v>39900</v>
      </c>
    </row>
    <row r="1573" spans="1:2">
      <c r="A1573" s="142">
        <v>45839</v>
      </c>
      <c r="B1573" s="14">
        <v>39800</v>
      </c>
    </row>
    <row r="1574" spans="1:2">
      <c r="A1574" s="142">
        <v>45840</v>
      </c>
      <c r="B1574" s="14">
        <v>39900</v>
      </c>
    </row>
    <row r="1575" spans="1:2">
      <c r="A1575" s="142">
        <v>45841</v>
      </c>
      <c r="B1575" s="14">
        <v>39700</v>
      </c>
    </row>
    <row r="1576" spans="1:2">
      <c r="A1576" s="142">
        <v>45842</v>
      </c>
      <c r="B1576" s="14">
        <v>39400</v>
      </c>
    </row>
    <row r="1577" spans="1:2">
      <c r="A1577" s="142">
        <v>45843</v>
      </c>
      <c r="B1577" s="14">
        <v>39400</v>
      </c>
    </row>
    <row r="1578" spans="1:2">
      <c r="A1578" s="142">
        <v>45844</v>
      </c>
      <c r="B1578" s="14" t="s">
        <v>585</v>
      </c>
    </row>
    <row r="1579" spans="1:2">
      <c r="A1579" s="142">
        <v>45845</v>
      </c>
      <c r="B1579" s="14">
        <v>39400</v>
      </c>
    </row>
    <row r="1580" spans="1:2">
      <c r="A1580" s="142">
        <v>45846</v>
      </c>
      <c r="B1580" s="14">
        <v>39500</v>
      </c>
    </row>
    <row r="1581" spans="1:2">
      <c r="A1581" s="142">
        <v>45847</v>
      </c>
      <c r="B1581" s="14">
        <v>39700</v>
      </c>
    </row>
    <row r="1582" spans="1:2">
      <c r="A1582" s="142">
        <v>45848</v>
      </c>
      <c r="B1582" s="14">
        <v>39700</v>
      </c>
    </row>
    <row r="1583" spans="1:2">
      <c r="A1583" s="142">
        <v>45849</v>
      </c>
      <c r="B1583" s="14">
        <v>39500</v>
      </c>
    </row>
    <row r="1584" spans="1:2">
      <c r="A1584" s="142">
        <v>45850</v>
      </c>
      <c r="B1584" s="14">
        <v>39300</v>
      </c>
    </row>
    <row r="1585" spans="1:2">
      <c r="A1585" s="142">
        <v>45851</v>
      </c>
      <c r="B1585" s="14" t="s">
        <v>585</v>
      </c>
    </row>
    <row r="1586" spans="1:2">
      <c r="A1586" s="142">
        <v>45852</v>
      </c>
      <c r="B1586" s="14">
        <v>39200</v>
      </c>
    </row>
    <row r="1587" spans="1:2">
      <c r="A1587" s="142">
        <v>45853</v>
      </c>
      <c r="B1587" s="14">
        <v>39000</v>
      </c>
    </row>
    <row r="1588" spans="1:2">
      <c r="A1588" s="142">
        <v>45854</v>
      </c>
      <c r="B1588" s="14">
        <v>39000</v>
      </c>
    </row>
    <row r="1589" spans="1:2">
      <c r="A1589" s="142">
        <v>45855</v>
      </c>
      <c r="B1589" s="14">
        <v>39000</v>
      </c>
    </row>
    <row r="1590" spans="1:2">
      <c r="A1590" s="142">
        <v>45856</v>
      </c>
      <c r="B1590" s="14">
        <v>39100</v>
      </c>
    </row>
    <row r="1591" spans="1:2">
      <c r="A1591" s="142">
        <v>45857</v>
      </c>
      <c r="B1591" s="14">
        <v>39000</v>
      </c>
    </row>
    <row r="1592" spans="1:2">
      <c r="A1592" s="142">
        <v>45858</v>
      </c>
      <c r="B1592" s="14" t="s">
        <v>585</v>
      </c>
    </row>
    <row r="1593" spans="1:2">
      <c r="A1593" s="142">
        <v>45859</v>
      </c>
      <c r="B1593" s="14">
        <v>39000</v>
      </c>
    </row>
    <row r="1594" spans="1:2">
      <c r="A1594" s="142">
        <v>45860</v>
      </c>
      <c r="B1594" s="14">
        <v>39100</v>
      </c>
    </row>
    <row r="1595" spans="1:2">
      <c r="A1595" s="142">
        <v>45861</v>
      </c>
      <c r="B1595" s="14">
        <v>39500</v>
      </c>
    </row>
    <row r="1596" spans="1:2">
      <c r="A1596" s="142">
        <v>45862</v>
      </c>
      <c r="B1596" s="14">
        <v>40200</v>
      </c>
    </row>
    <row r="1597" spans="1:2">
      <c r="A1597" s="142">
        <v>45863</v>
      </c>
      <c r="B1597" s="14">
        <v>41200</v>
      </c>
    </row>
    <row r="1598" spans="1:2">
      <c r="A1598" s="142">
        <v>45864</v>
      </c>
      <c r="B1598" s="14">
        <v>41000</v>
      </c>
    </row>
    <row r="1599" spans="1:2">
      <c r="A1599" s="142">
        <v>45865</v>
      </c>
      <c r="B1599" s="14" t="s">
        <v>585</v>
      </c>
    </row>
    <row r="1600" spans="1:2">
      <c r="A1600" s="142">
        <v>45866</v>
      </c>
      <c r="B1600" s="14">
        <v>40700</v>
      </c>
    </row>
    <row r="1601" spans="1:2">
      <c r="A1601" s="142">
        <v>45867</v>
      </c>
      <c r="B1601" s="14">
        <v>40400</v>
      </c>
    </row>
    <row r="1602" spans="1:2">
      <c r="A1602" s="142">
        <v>45868</v>
      </c>
      <c r="B1602" s="14">
        <v>40200</v>
      </c>
    </row>
    <row r="1603" spans="1:2">
      <c r="A1603" s="142">
        <v>45869</v>
      </c>
      <c r="B1603" s="14">
        <v>40000</v>
      </c>
    </row>
    <row r="1604" spans="1:2">
      <c r="A1604" s="142">
        <v>45870</v>
      </c>
      <c r="B1604" s="14">
        <v>39600</v>
      </c>
    </row>
    <row r="1605" spans="1:2">
      <c r="A1605" s="142">
        <v>45871</v>
      </c>
      <c r="B1605" s="14">
        <v>39700</v>
      </c>
    </row>
    <row r="1606" spans="1:2">
      <c r="A1606" s="142">
        <v>45872</v>
      </c>
      <c r="B1606" s="14" t="s">
        <v>585</v>
      </c>
    </row>
    <row r="1607" spans="1:2">
      <c r="A1607" s="142">
        <v>45873</v>
      </c>
      <c r="B1607" s="14">
        <v>40300</v>
      </c>
    </row>
    <row r="1608" spans="1:2">
      <c r="A1608" s="142">
        <v>45874</v>
      </c>
      <c r="B1608" s="14">
        <v>40100</v>
      </c>
    </row>
  </sheetData>
  <conditionalFormatting sqref="B12:B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AEED4-C6C3-4BA4-BE21-44423E711966}">
  <dimension ref="A1:R15"/>
  <sheetViews>
    <sheetView workbookViewId="0">
      <selection activeCell="K11" sqref="K11:N14"/>
    </sheetView>
  </sheetViews>
  <sheetFormatPr defaultRowHeight="15"/>
  <cols>
    <col min="1" max="1" width="12.7109375" bestFit="1" customWidth="1"/>
    <col min="2" max="2" width="15.7109375" bestFit="1" customWidth="1"/>
    <col min="3" max="3" width="14.42578125" bestFit="1" customWidth="1"/>
    <col min="4" max="4" width="10.28515625" bestFit="1" customWidth="1"/>
    <col min="5" max="5" width="21.85546875" bestFit="1" customWidth="1"/>
    <col min="6" max="6" width="10.5703125" bestFit="1" customWidth="1"/>
    <col min="7" max="7" width="12.85546875" bestFit="1" customWidth="1"/>
  </cols>
  <sheetData>
    <row r="1" spans="1:18">
      <c r="A1" s="82" t="s">
        <v>1</v>
      </c>
      <c r="B1" s="3" t="s">
        <v>2</v>
      </c>
      <c r="C1" s="3" t="s">
        <v>5</v>
      </c>
      <c r="D1" s="3" t="s">
        <v>9</v>
      </c>
      <c r="E1" s="3" t="s">
        <v>11</v>
      </c>
      <c r="F1" s="3" t="s">
        <v>16</v>
      </c>
      <c r="G1" s="4" t="s">
        <v>17</v>
      </c>
    </row>
    <row r="2" spans="1:18">
      <c r="A2" s="83">
        <v>45854</v>
      </c>
      <c r="B2" s="36">
        <v>42500</v>
      </c>
      <c r="C2" s="36">
        <v>43900</v>
      </c>
      <c r="D2" s="36">
        <v>42400</v>
      </c>
      <c r="E2" s="36">
        <v>44900</v>
      </c>
      <c r="F2" s="37">
        <v>39000</v>
      </c>
      <c r="G2" s="36">
        <v>40100</v>
      </c>
    </row>
    <row r="3" spans="1:18">
      <c r="A3" s="83">
        <v>45855</v>
      </c>
      <c r="B3" s="36">
        <v>43000</v>
      </c>
      <c r="C3" s="36">
        <v>43900</v>
      </c>
      <c r="D3" s="36">
        <v>42600</v>
      </c>
      <c r="E3" s="36">
        <v>45100</v>
      </c>
      <c r="F3" s="37">
        <v>39000</v>
      </c>
      <c r="G3" s="36">
        <v>40200</v>
      </c>
    </row>
    <row r="4" spans="1:18">
      <c r="A4" s="83">
        <v>45856</v>
      </c>
      <c r="B4" s="36">
        <v>43200</v>
      </c>
      <c r="C4" s="36">
        <v>44000</v>
      </c>
      <c r="D4" s="36">
        <v>42600</v>
      </c>
      <c r="E4" s="36">
        <v>45100</v>
      </c>
      <c r="F4" s="37">
        <v>39100</v>
      </c>
      <c r="G4" s="36">
        <v>40400</v>
      </c>
    </row>
    <row r="5" spans="1:18">
      <c r="A5" s="83">
        <v>45857</v>
      </c>
      <c r="B5" s="36">
        <v>43200</v>
      </c>
      <c r="C5" s="36">
        <v>44000</v>
      </c>
      <c r="D5" s="36">
        <v>42600</v>
      </c>
      <c r="E5" s="36">
        <v>45100</v>
      </c>
      <c r="F5" s="37">
        <v>39000</v>
      </c>
      <c r="G5" s="36">
        <v>40400</v>
      </c>
    </row>
    <row r="6" spans="1:18">
      <c r="A6" s="83">
        <v>45858</v>
      </c>
      <c r="B6" s="36" t="s">
        <v>585</v>
      </c>
      <c r="C6" s="36" t="s">
        <v>585</v>
      </c>
      <c r="D6" s="36" t="s">
        <v>585</v>
      </c>
      <c r="E6" s="36" t="s">
        <v>585</v>
      </c>
      <c r="F6" s="37" t="s">
        <v>585</v>
      </c>
      <c r="G6" s="36" t="s">
        <v>585</v>
      </c>
    </row>
    <row r="7" spans="1:18">
      <c r="A7" s="83">
        <v>45859</v>
      </c>
      <c r="B7" s="36">
        <v>43200</v>
      </c>
      <c r="C7" s="36">
        <v>43800</v>
      </c>
      <c r="D7" s="36">
        <v>42500</v>
      </c>
      <c r="E7" s="36">
        <v>45000</v>
      </c>
      <c r="F7" s="37">
        <v>39000</v>
      </c>
      <c r="G7" s="36">
        <v>40300</v>
      </c>
    </row>
    <row r="8" spans="1:18">
      <c r="A8" s="83">
        <v>45860</v>
      </c>
      <c r="B8" s="36">
        <v>43200</v>
      </c>
      <c r="C8" s="36">
        <v>43600</v>
      </c>
      <c r="D8" s="36">
        <v>42500</v>
      </c>
      <c r="E8" s="36">
        <v>44900</v>
      </c>
      <c r="F8" s="37">
        <v>39100</v>
      </c>
      <c r="G8" s="36">
        <v>40200</v>
      </c>
    </row>
    <row r="9" spans="1:18">
      <c r="A9" s="83">
        <v>45861</v>
      </c>
      <c r="B9" s="36">
        <v>43400</v>
      </c>
      <c r="C9" s="36">
        <v>43800</v>
      </c>
      <c r="D9" s="36">
        <v>42800</v>
      </c>
      <c r="E9" s="36">
        <v>45100</v>
      </c>
      <c r="F9" s="37">
        <v>39500</v>
      </c>
      <c r="G9" s="36">
        <v>40400</v>
      </c>
    </row>
    <row r="10" spans="1:18">
      <c r="A10" s="83">
        <v>45862</v>
      </c>
      <c r="B10" s="36">
        <v>43800</v>
      </c>
      <c r="C10" s="36">
        <v>44000</v>
      </c>
      <c r="D10" s="36">
        <v>43300</v>
      </c>
      <c r="E10" s="36">
        <v>45200</v>
      </c>
      <c r="F10" s="37">
        <v>40200</v>
      </c>
      <c r="G10" s="36">
        <v>40400</v>
      </c>
    </row>
    <row r="11" spans="1:18">
      <c r="A11" s="83">
        <v>45863</v>
      </c>
      <c r="B11" s="36">
        <v>44500</v>
      </c>
      <c r="C11" s="36">
        <v>44800</v>
      </c>
      <c r="D11" s="36">
        <v>43700</v>
      </c>
      <c r="E11" s="36">
        <v>45500</v>
      </c>
      <c r="F11" s="37">
        <v>41200</v>
      </c>
      <c r="G11" s="36">
        <v>41000</v>
      </c>
      <c r="K11" s="144" t="s">
        <v>587</v>
      </c>
      <c r="L11" s="144" t="s">
        <v>325</v>
      </c>
      <c r="M11" s="144" t="s">
        <v>588</v>
      </c>
      <c r="N11" s="144" t="s">
        <v>155</v>
      </c>
      <c r="R11" t="s">
        <v>589</v>
      </c>
    </row>
    <row r="12" spans="1:18">
      <c r="K12" s="43" t="s">
        <v>590</v>
      </c>
      <c r="L12" s="43" t="s">
        <v>383</v>
      </c>
      <c r="M12" s="43">
        <v>2000</v>
      </c>
      <c r="N12" s="43">
        <v>45500</v>
      </c>
    </row>
    <row r="13" spans="1:18">
      <c r="K13" s="43" t="s">
        <v>131</v>
      </c>
      <c r="L13" s="43" t="s">
        <v>591</v>
      </c>
      <c r="M13" s="43">
        <v>1500</v>
      </c>
      <c r="N13" s="43">
        <v>46500</v>
      </c>
      <c r="R13">
        <v>47500</v>
      </c>
    </row>
    <row r="14" spans="1:18">
      <c r="K14" s="43" t="s">
        <v>130</v>
      </c>
      <c r="L14" s="43" t="s">
        <v>357</v>
      </c>
      <c r="M14" s="43">
        <v>1500</v>
      </c>
      <c r="N14" s="43">
        <v>46500</v>
      </c>
      <c r="R14">
        <v>47000</v>
      </c>
    </row>
    <row r="15" spans="1:18">
      <c r="M15">
        <f>SUM(M12:M14)</f>
        <v>5000</v>
      </c>
      <c r="O15" t="s">
        <v>592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84C0B-5E28-4797-A92C-D7DED185E84B}">
  <dimension ref="B3:BE46"/>
  <sheetViews>
    <sheetView workbookViewId="0">
      <selection activeCell="BB12" sqref="BB12"/>
    </sheetView>
  </sheetViews>
  <sheetFormatPr defaultRowHeight="15"/>
  <cols>
    <col min="3" max="3" width="22" customWidth="1"/>
    <col min="8" max="8" width="12.140625" bestFit="1" customWidth="1"/>
    <col min="23" max="23" width="13.5703125" bestFit="1" customWidth="1"/>
    <col min="36" max="36" width="18.28515625" customWidth="1"/>
    <col min="37" max="37" width="21.42578125" customWidth="1"/>
    <col min="38" max="44" width="0" hidden="1" customWidth="1"/>
    <col min="45" max="45" width="17.5703125" customWidth="1"/>
    <col min="46" max="47" width="9.140625" style="14"/>
    <col min="51" max="51" width="18.42578125" customWidth="1"/>
    <col min="52" max="52" width="10" customWidth="1"/>
  </cols>
  <sheetData>
    <row r="3" spans="2:57" ht="30.75">
      <c r="B3" s="71" t="s">
        <v>587</v>
      </c>
      <c r="C3" s="71" t="s">
        <v>593</v>
      </c>
      <c r="E3" t="s">
        <v>594</v>
      </c>
    </row>
    <row r="4" spans="2:57">
      <c r="B4" s="70"/>
      <c r="C4" s="72" t="s">
        <v>595</v>
      </c>
      <c r="E4" t="s">
        <v>596</v>
      </c>
      <c r="F4" t="s">
        <v>597</v>
      </c>
      <c r="G4" t="s">
        <v>598</v>
      </c>
    </row>
    <row r="5" spans="2:57">
      <c r="B5" s="73" t="s">
        <v>599</v>
      </c>
      <c r="C5" s="74" t="s">
        <v>599</v>
      </c>
      <c r="E5">
        <v>17425</v>
      </c>
      <c r="F5">
        <v>4456</v>
      </c>
      <c r="G5">
        <v>12100</v>
      </c>
      <c r="H5">
        <v>4300</v>
      </c>
      <c r="I5">
        <v>354</v>
      </c>
      <c r="J5">
        <v>900</v>
      </c>
      <c r="L5">
        <f>G5+J5</f>
        <v>13000</v>
      </c>
      <c r="N5">
        <v>17425</v>
      </c>
      <c r="O5">
        <v>2315</v>
      </c>
      <c r="P5">
        <v>12900</v>
      </c>
      <c r="Q5">
        <v>4300</v>
      </c>
      <c r="R5">
        <v>173</v>
      </c>
      <c r="S5">
        <v>1100</v>
      </c>
      <c r="T5">
        <f>S5+P5</f>
        <v>14000</v>
      </c>
      <c r="U5">
        <f>T5-L5</f>
        <v>1000</v>
      </c>
      <c r="Z5" s="90" t="s">
        <v>267</v>
      </c>
      <c r="AA5" s="90" t="s">
        <v>60</v>
      </c>
      <c r="AB5" s="90" t="s">
        <v>62</v>
      </c>
      <c r="AJ5" s="542" t="s">
        <v>600</v>
      </c>
      <c r="AK5" s="542"/>
      <c r="AL5" s="542"/>
      <c r="AM5" s="542"/>
      <c r="AN5" s="542"/>
      <c r="AO5" s="542"/>
      <c r="AP5" s="542"/>
      <c r="AQ5" s="542"/>
      <c r="AR5" s="542"/>
      <c r="AS5" s="542"/>
      <c r="AY5" s="14"/>
      <c r="AZ5" s="543" t="s">
        <v>601</v>
      </c>
      <c r="BA5" s="543"/>
      <c r="BB5" s="544" t="s">
        <v>602</v>
      </c>
      <c r="BC5" s="544"/>
      <c r="BD5" s="545" t="s">
        <v>253</v>
      </c>
      <c r="BE5" s="545"/>
    </row>
    <row r="6" spans="2:57">
      <c r="B6" s="75" t="s">
        <v>340</v>
      </c>
      <c r="C6" s="76" t="s">
        <v>603</v>
      </c>
      <c r="E6">
        <v>350</v>
      </c>
      <c r="F6">
        <v>106</v>
      </c>
      <c r="G6">
        <v>400</v>
      </c>
      <c r="H6">
        <v>150</v>
      </c>
      <c r="I6">
        <v>0</v>
      </c>
      <c r="L6">
        <f t="shared" ref="L6:L22" si="0">G6+J6</f>
        <v>400</v>
      </c>
      <c r="N6">
        <v>350</v>
      </c>
      <c r="O6">
        <v>27</v>
      </c>
      <c r="P6">
        <v>400</v>
      </c>
      <c r="Q6">
        <v>150</v>
      </c>
      <c r="R6">
        <v>0</v>
      </c>
      <c r="T6">
        <f t="shared" ref="T6:T22" si="1">S6+P6</f>
        <v>400</v>
      </c>
      <c r="U6">
        <f t="shared" ref="U6:U22" si="2">T6-L6</f>
        <v>0</v>
      </c>
      <c r="Z6" s="92">
        <v>525.24999999999272</v>
      </c>
      <c r="AA6" s="92">
        <v>495.68500000000313</v>
      </c>
      <c r="AB6" s="92">
        <v>170.09000000000111</v>
      </c>
      <c r="AJ6" s="67" t="s">
        <v>546</v>
      </c>
      <c r="AK6" s="67"/>
      <c r="AL6" s="67" t="s">
        <v>547</v>
      </c>
      <c r="AM6" s="67"/>
      <c r="AN6" s="67"/>
      <c r="AO6" s="67"/>
      <c r="AP6" s="67"/>
      <c r="AQ6" s="67"/>
      <c r="AR6" s="67"/>
      <c r="AS6" s="67"/>
      <c r="AY6" s="183" t="s">
        <v>58</v>
      </c>
      <c r="AZ6" s="184" t="s">
        <v>141</v>
      </c>
      <c r="BA6" s="184" t="s">
        <v>48</v>
      </c>
      <c r="BB6" s="182" t="s">
        <v>141</v>
      </c>
      <c r="BC6" s="182" t="s">
        <v>48</v>
      </c>
      <c r="BD6" s="144" t="s">
        <v>141</v>
      </c>
      <c r="BE6" s="144" t="s">
        <v>48</v>
      </c>
    </row>
    <row r="7" spans="2:57">
      <c r="B7" s="75" t="s">
        <v>340</v>
      </c>
      <c r="C7" s="79" t="s">
        <v>604</v>
      </c>
      <c r="E7">
        <v>2900</v>
      </c>
      <c r="F7">
        <v>1569</v>
      </c>
      <c r="G7">
        <v>3500</v>
      </c>
      <c r="H7">
        <v>800</v>
      </c>
      <c r="I7">
        <v>64</v>
      </c>
      <c r="J7">
        <v>500</v>
      </c>
      <c r="L7">
        <f t="shared" si="0"/>
        <v>4000</v>
      </c>
      <c r="N7">
        <v>2900</v>
      </c>
      <c r="O7">
        <v>802</v>
      </c>
      <c r="P7">
        <v>3650</v>
      </c>
      <c r="Q7">
        <v>800</v>
      </c>
      <c r="R7">
        <v>33</v>
      </c>
      <c r="S7">
        <v>600</v>
      </c>
      <c r="T7">
        <f t="shared" si="1"/>
        <v>4250</v>
      </c>
      <c r="U7" s="28">
        <f t="shared" si="2"/>
        <v>250</v>
      </c>
      <c r="Z7" s="92">
        <v>1004.589999999941</v>
      </c>
      <c r="AA7" s="92">
        <v>596.6200000000008</v>
      </c>
      <c r="AB7" s="92">
        <v>145.3599999999997</v>
      </c>
      <c r="AJ7" s="67" t="s">
        <v>57</v>
      </c>
      <c r="AK7" s="67" t="s">
        <v>58</v>
      </c>
      <c r="AL7" s="67">
        <v>8</v>
      </c>
      <c r="AM7" s="67">
        <v>10</v>
      </c>
      <c r="AN7" s="67">
        <v>12</v>
      </c>
      <c r="AO7" s="67">
        <v>16</v>
      </c>
      <c r="AP7" s="67">
        <v>20</v>
      </c>
      <c r="AQ7" s="67">
        <v>25</v>
      </c>
      <c r="AR7" s="67">
        <v>32</v>
      </c>
      <c r="AS7" s="183" t="s">
        <v>59</v>
      </c>
      <c r="AT7" s="182" t="s">
        <v>605</v>
      </c>
      <c r="AU7" s="144" t="s">
        <v>180</v>
      </c>
      <c r="AY7" s="183" t="s">
        <v>267</v>
      </c>
      <c r="AZ7" s="187">
        <f>AS8</f>
        <v>3640</v>
      </c>
      <c r="BA7" s="188">
        <v>0</v>
      </c>
      <c r="BB7" s="181">
        <f>AT8</f>
        <v>0</v>
      </c>
      <c r="BC7" s="181">
        <v>0</v>
      </c>
      <c r="BD7" s="177">
        <f>AZ7+BB7</f>
        <v>3640</v>
      </c>
      <c r="BE7" s="177">
        <f>BA7+BC7</f>
        <v>0</v>
      </c>
    </row>
    <row r="8" spans="2:57">
      <c r="B8" s="75" t="s">
        <v>340</v>
      </c>
      <c r="C8" s="77" t="s">
        <v>39</v>
      </c>
      <c r="E8">
        <v>1750</v>
      </c>
      <c r="F8">
        <v>319</v>
      </c>
      <c r="G8">
        <v>1300</v>
      </c>
      <c r="H8">
        <v>600</v>
      </c>
      <c r="I8">
        <v>0</v>
      </c>
      <c r="L8">
        <f t="shared" si="0"/>
        <v>1300</v>
      </c>
      <c r="N8">
        <v>1750</v>
      </c>
      <c r="O8">
        <v>199</v>
      </c>
      <c r="P8">
        <v>1300</v>
      </c>
      <c r="Q8">
        <v>600</v>
      </c>
      <c r="R8">
        <v>0</v>
      </c>
      <c r="T8">
        <f t="shared" si="1"/>
        <v>1300</v>
      </c>
      <c r="U8">
        <f t="shared" si="2"/>
        <v>0</v>
      </c>
      <c r="Z8" s="92">
        <v>817.51500000005694</v>
      </c>
      <c r="AA8" s="92">
        <v>694.98999999999614</v>
      </c>
      <c r="AB8" s="92">
        <v>259.7299999999982</v>
      </c>
      <c r="AJ8" s="67" t="s">
        <v>141</v>
      </c>
      <c r="AK8" s="67" t="s">
        <v>267</v>
      </c>
      <c r="AL8" s="65">
        <v>0</v>
      </c>
      <c r="AM8" s="65">
        <v>789</v>
      </c>
      <c r="AN8" s="65">
        <v>845</v>
      </c>
      <c r="AO8" s="65">
        <v>870</v>
      </c>
      <c r="AP8" s="65">
        <v>711</v>
      </c>
      <c r="AQ8" s="65">
        <v>363</v>
      </c>
      <c r="AR8" s="65">
        <v>62</v>
      </c>
      <c r="AS8" s="179">
        <v>3640</v>
      </c>
      <c r="AT8" s="181">
        <v>0</v>
      </c>
      <c r="AU8" s="177">
        <f>AS8+AT8</f>
        <v>3640</v>
      </c>
      <c r="AY8" s="183" t="s">
        <v>60</v>
      </c>
      <c r="AZ8" s="187">
        <f>AS9</f>
        <v>2092</v>
      </c>
      <c r="BA8" s="186">
        <f>AS19</f>
        <v>967</v>
      </c>
      <c r="BB8" s="181">
        <f>AT9</f>
        <v>0</v>
      </c>
      <c r="BC8" s="181">
        <v>300</v>
      </c>
      <c r="BD8" s="177">
        <f>AZ8+BB8</f>
        <v>2092</v>
      </c>
      <c r="BE8" s="177">
        <f>BA8+BC8</f>
        <v>1267</v>
      </c>
    </row>
    <row r="9" spans="2:57">
      <c r="B9" s="75" t="s">
        <v>340</v>
      </c>
      <c r="C9" s="77" t="s">
        <v>55</v>
      </c>
      <c r="E9">
        <v>1350</v>
      </c>
      <c r="F9">
        <v>255</v>
      </c>
      <c r="G9">
        <v>1150</v>
      </c>
      <c r="H9">
        <v>100</v>
      </c>
      <c r="I9">
        <v>100</v>
      </c>
      <c r="J9">
        <v>100</v>
      </c>
      <c r="L9">
        <f t="shared" si="0"/>
        <v>1250</v>
      </c>
      <c r="N9">
        <v>1350</v>
      </c>
      <c r="O9">
        <v>160</v>
      </c>
      <c r="P9">
        <v>1100</v>
      </c>
      <c r="Q9">
        <v>100</v>
      </c>
      <c r="R9">
        <v>0</v>
      </c>
      <c r="S9">
        <v>100</v>
      </c>
      <c r="T9">
        <f t="shared" si="1"/>
        <v>1200</v>
      </c>
      <c r="U9">
        <f t="shared" si="2"/>
        <v>-50</v>
      </c>
      <c r="Z9" s="92">
        <v>456.95499999996167</v>
      </c>
      <c r="AA9" s="92">
        <v>558.34999999999854</v>
      </c>
      <c r="AB9" s="92">
        <v>271.63000000000329</v>
      </c>
      <c r="AJ9" s="67"/>
      <c r="AK9" s="67" t="s">
        <v>60</v>
      </c>
      <c r="AL9" s="65">
        <v>185</v>
      </c>
      <c r="AM9" s="65">
        <v>371</v>
      </c>
      <c r="AN9" s="65">
        <v>307</v>
      </c>
      <c r="AO9" s="65">
        <v>486</v>
      </c>
      <c r="AP9" s="65">
        <v>415</v>
      </c>
      <c r="AQ9" s="65">
        <v>328</v>
      </c>
      <c r="AR9" s="65"/>
      <c r="AS9" s="179">
        <v>2092</v>
      </c>
      <c r="AT9" s="181">
        <v>0</v>
      </c>
      <c r="AU9" s="177">
        <f>AS9+AT9</f>
        <v>2092</v>
      </c>
      <c r="AY9" s="183" t="s">
        <v>63</v>
      </c>
      <c r="AZ9" s="187">
        <f>AS10</f>
        <v>2033</v>
      </c>
      <c r="BA9" s="186">
        <f>AS16</f>
        <v>1405</v>
      </c>
      <c r="BB9" s="181">
        <f>AT10</f>
        <v>0</v>
      </c>
      <c r="BC9" s="181">
        <v>0</v>
      </c>
      <c r="BD9" s="177">
        <f>AZ9+BB9</f>
        <v>2033</v>
      </c>
      <c r="BE9" s="177">
        <f>BA9+BC9</f>
        <v>1405</v>
      </c>
    </row>
    <row r="10" spans="2:57">
      <c r="B10" s="75" t="s">
        <v>340</v>
      </c>
      <c r="C10" s="77" t="s">
        <v>365</v>
      </c>
      <c r="E10">
        <v>450</v>
      </c>
      <c r="F10">
        <v>30</v>
      </c>
      <c r="G10">
        <v>250</v>
      </c>
      <c r="H10">
        <v>200</v>
      </c>
      <c r="I10">
        <v>0</v>
      </c>
      <c r="L10">
        <f t="shared" si="0"/>
        <v>250</v>
      </c>
      <c r="N10">
        <v>450</v>
      </c>
      <c r="O10">
        <v>0</v>
      </c>
      <c r="P10">
        <v>350</v>
      </c>
      <c r="Q10">
        <v>200</v>
      </c>
      <c r="R10">
        <v>0</v>
      </c>
      <c r="T10">
        <f t="shared" si="1"/>
        <v>350</v>
      </c>
      <c r="U10">
        <f t="shared" si="2"/>
        <v>100</v>
      </c>
      <c r="Z10" s="92">
        <v>644.09799999999234</v>
      </c>
      <c r="AA10" s="92">
        <v>493.81000000000404</v>
      </c>
      <c r="AB10" s="92">
        <v>7.7100000000004911</v>
      </c>
      <c r="AJ10" s="67"/>
      <c r="AK10" s="67" t="s">
        <v>63</v>
      </c>
      <c r="AL10" s="65">
        <v>246</v>
      </c>
      <c r="AM10" s="65">
        <v>541</v>
      </c>
      <c r="AN10" s="65">
        <v>359</v>
      </c>
      <c r="AO10" s="65">
        <v>333</v>
      </c>
      <c r="AP10" s="65">
        <v>245</v>
      </c>
      <c r="AQ10" s="65">
        <v>118</v>
      </c>
      <c r="AR10" s="65">
        <v>191</v>
      </c>
      <c r="AS10" s="179">
        <v>2033</v>
      </c>
      <c r="AT10" s="181">
        <v>0</v>
      </c>
      <c r="AU10" s="177">
        <f>AS10+AT10</f>
        <v>2033</v>
      </c>
      <c r="AY10" s="183" t="s">
        <v>62</v>
      </c>
      <c r="AZ10" s="187">
        <f>AS11</f>
        <v>1539</v>
      </c>
      <c r="BA10" s="186">
        <f>AS20</f>
        <v>243</v>
      </c>
      <c r="BB10" s="181">
        <f>AT11</f>
        <v>0</v>
      </c>
      <c r="BC10" s="181">
        <v>200</v>
      </c>
      <c r="BD10" s="177">
        <f>AZ10+BB10</f>
        <v>1539</v>
      </c>
      <c r="BE10" s="177">
        <f>BA10+BC10</f>
        <v>443</v>
      </c>
    </row>
    <row r="11" spans="2:57">
      <c r="B11" s="75" t="s">
        <v>340</v>
      </c>
      <c r="C11" s="77" t="s">
        <v>606</v>
      </c>
      <c r="E11">
        <v>150</v>
      </c>
      <c r="F11">
        <v>0</v>
      </c>
      <c r="G11">
        <v>100</v>
      </c>
      <c r="H11">
        <v>0</v>
      </c>
      <c r="I11">
        <v>0</v>
      </c>
      <c r="L11">
        <f t="shared" si="0"/>
        <v>100</v>
      </c>
      <c r="N11">
        <v>150</v>
      </c>
      <c r="O11">
        <v>0</v>
      </c>
      <c r="P11">
        <v>100</v>
      </c>
      <c r="Q11">
        <v>0</v>
      </c>
      <c r="R11">
        <v>0</v>
      </c>
      <c r="T11">
        <f t="shared" si="1"/>
        <v>100</v>
      </c>
      <c r="U11">
        <f t="shared" si="2"/>
        <v>0</v>
      </c>
      <c r="Z11" s="92">
        <v>555.32500000001346</v>
      </c>
      <c r="AA11" s="92">
        <v>465.97499999999945</v>
      </c>
      <c r="AB11" s="92">
        <v>21.419999999998709</v>
      </c>
      <c r="AJ11" s="67"/>
      <c r="AK11" s="67" t="s">
        <v>62</v>
      </c>
      <c r="AL11" s="65">
        <v>171</v>
      </c>
      <c r="AM11" s="65">
        <v>194</v>
      </c>
      <c r="AN11" s="65">
        <v>440</v>
      </c>
      <c r="AO11" s="65">
        <v>248</v>
      </c>
      <c r="AP11" s="65">
        <v>200</v>
      </c>
      <c r="AQ11" s="65">
        <v>178</v>
      </c>
      <c r="AR11" s="65">
        <v>108</v>
      </c>
      <c r="AS11" s="179">
        <v>1539</v>
      </c>
      <c r="AT11" s="181">
        <v>0</v>
      </c>
      <c r="AU11" s="177">
        <f>AS11+AT11</f>
        <v>1539</v>
      </c>
      <c r="AY11" s="183" t="s">
        <v>61</v>
      </c>
      <c r="AZ11" s="187">
        <f>AS12</f>
        <v>953</v>
      </c>
      <c r="BA11" s="186">
        <f>AS18</f>
        <v>1042</v>
      </c>
      <c r="BB11" s="181">
        <v>300</v>
      </c>
      <c r="BC11" s="181">
        <v>300</v>
      </c>
      <c r="BD11" s="177">
        <f>AZ11+BB11</f>
        <v>1253</v>
      </c>
      <c r="BE11" s="177">
        <f>BA11+BC11</f>
        <v>1342</v>
      </c>
    </row>
    <row r="12" spans="2:57">
      <c r="B12" s="75" t="s">
        <v>340</v>
      </c>
      <c r="C12" s="77" t="s">
        <v>607</v>
      </c>
      <c r="E12">
        <v>3000</v>
      </c>
      <c r="F12">
        <v>1313</v>
      </c>
      <c r="G12">
        <v>2550</v>
      </c>
      <c r="H12">
        <v>450</v>
      </c>
      <c r="I12">
        <v>0</v>
      </c>
      <c r="L12">
        <f t="shared" si="0"/>
        <v>2550</v>
      </c>
      <c r="N12">
        <v>3000</v>
      </c>
      <c r="O12">
        <v>680</v>
      </c>
      <c r="P12">
        <v>2500</v>
      </c>
      <c r="Q12">
        <v>450</v>
      </c>
      <c r="R12">
        <v>0</v>
      </c>
      <c r="T12">
        <f t="shared" si="1"/>
        <v>2500</v>
      </c>
      <c r="U12">
        <f t="shared" si="2"/>
        <v>-50</v>
      </c>
      <c r="Z12" s="92">
        <v>118.2600000000004</v>
      </c>
      <c r="AA12" s="92">
        <v>196.69500000000005</v>
      </c>
      <c r="AB12" s="92">
        <v>174.77000000000069</v>
      </c>
      <c r="AJ12" s="67"/>
      <c r="AK12" s="67" t="s">
        <v>61</v>
      </c>
      <c r="AL12" s="65">
        <v>138</v>
      </c>
      <c r="AM12" s="65">
        <v>150</v>
      </c>
      <c r="AN12" s="65">
        <v>162</v>
      </c>
      <c r="AO12" s="65">
        <v>135</v>
      </c>
      <c r="AP12" s="65">
        <v>118</v>
      </c>
      <c r="AQ12" s="65">
        <v>200</v>
      </c>
      <c r="AR12" s="65">
        <v>50</v>
      </c>
      <c r="AS12" s="179">
        <v>953</v>
      </c>
      <c r="AT12" s="181">
        <v>500</v>
      </c>
      <c r="AU12" s="177">
        <f>AS12+AT12</f>
        <v>1453</v>
      </c>
      <c r="AY12" s="183" t="s">
        <v>272</v>
      </c>
      <c r="AZ12" s="187">
        <f>AS13</f>
        <v>195</v>
      </c>
      <c r="BA12" s="186">
        <v>0</v>
      </c>
      <c r="BB12" s="181">
        <f>AT13</f>
        <v>0</v>
      </c>
      <c r="BC12" s="181">
        <v>0</v>
      </c>
      <c r="BD12" s="177">
        <f>AZ12+BB12</f>
        <v>195</v>
      </c>
      <c r="BE12" s="177">
        <f>BA12+BC12</f>
        <v>0</v>
      </c>
    </row>
    <row r="13" spans="2:57">
      <c r="B13" s="75" t="s">
        <v>340</v>
      </c>
      <c r="C13" s="77" t="s">
        <v>608</v>
      </c>
      <c r="E13">
        <v>600</v>
      </c>
      <c r="F13">
        <v>246</v>
      </c>
      <c r="G13">
        <v>350</v>
      </c>
      <c r="H13">
        <v>150</v>
      </c>
      <c r="I13">
        <v>0</v>
      </c>
      <c r="L13">
        <f t="shared" si="0"/>
        <v>350</v>
      </c>
      <c r="N13">
        <v>600</v>
      </c>
      <c r="O13">
        <v>104</v>
      </c>
      <c r="P13">
        <v>250</v>
      </c>
      <c r="Q13">
        <v>150</v>
      </c>
      <c r="R13">
        <v>0</v>
      </c>
      <c r="T13">
        <f t="shared" si="1"/>
        <v>250</v>
      </c>
      <c r="U13">
        <f t="shared" si="2"/>
        <v>-100</v>
      </c>
      <c r="Z13" s="93">
        <v>4121.9929999999586</v>
      </c>
      <c r="AA13" s="93">
        <v>3502.1250000000023</v>
      </c>
      <c r="AB13" s="93">
        <v>1050.7100000000023</v>
      </c>
      <c r="AJ13" s="67"/>
      <c r="AK13" s="67" t="s">
        <v>272</v>
      </c>
      <c r="AL13" s="65"/>
      <c r="AM13" s="65">
        <v>91</v>
      </c>
      <c r="AN13" s="65">
        <v>20</v>
      </c>
      <c r="AO13" s="65">
        <v>52</v>
      </c>
      <c r="AP13" s="65">
        <v>32</v>
      </c>
      <c r="AQ13" s="65"/>
      <c r="AR13" s="65"/>
      <c r="AS13" s="179">
        <v>195</v>
      </c>
      <c r="AT13" s="181">
        <v>0</v>
      </c>
      <c r="AU13" s="177">
        <f>AS13+AT13</f>
        <v>195</v>
      </c>
      <c r="AY13" s="183" t="s">
        <v>275</v>
      </c>
      <c r="AZ13" s="187">
        <f>AS14</f>
        <v>152</v>
      </c>
      <c r="BA13" s="188">
        <v>0</v>
      </c>
      <c r="BB13" s="181">
        <f>AT14</f>
        <v>0</v>
      </c>
      <c r="BC13" s="181">
        <v>0</v>
      </c>
      <c r="BD13" s="177">
        <f>AZ13+BB13</f>
        <v>152</v>
      </c>
      <c r="BE13" s="177">
        <f>BA13+BC13</f>
        <v>0</v>
      </c>
    </row>
    <row r="14" spans="2:57">
      <c r="B14" s="75" t="s">
        <v>379</v>
      </c>
      <c r="C14" s="79" t="s">
        <v>549</v>
      </c>
      <c r="E14">
        <v>1449.9999999999998</v>
      </c>
      <c r="F14">
        <v>30</v>
      </c>
      <c r="G14">
        <v>350</v>
      </c>
      <c r="H14">
        <v>450</v>
      </c>
      <c r="I14">
        <v>0</v>
      </c>
      <c r="L14">
        <f t="shared" si="0"/>
        <v>350</v>
      </c>
      <c r="N14">
        <v>1449.9999999999998</v>
      </c>
      <c r="O14">
        <v>0</v>
      </c>
      <c r="P14">
        <v>450</v>
      </c>
      <c r="Q14">
        <v>450</v>
      </c>
      <c r="R14">
        <v>0</v>
      </c>
      <c r="S14">
        <v>100</v>
      </c>
      <c r="T14">
        <f t="shared" si="1"/>
        <v>550</v>
      </c>
      <c r="U14" s="28">
        <f t="shared" si="2"/>
        <v>200</v>
      </c>
      <c r="AJ14" s="67"/>
      <c r="AK14" s="67" t="s">
        <v>275</v>
      </c>
      <c r="AL14" s="65">
        <v>32</v>
      </c>
      <c r="AM14" s="65"/>
      <c r="AN14" s="65">
        <v>24</v>
      </c>
      <c r="AO14" s="65">
        <v>39</v>
      </c>
      <c r="AP14" s="65">
        <v>26</v>
      </c>
      <c r="AQ14" s="65">
        <v>31</v>
      </c>
      <c r="AR14" s="65"/>
      <c r="AS14" s="179">
        <v>152</v>
      </c>
      <c r="AT14" s="181">
        <v>0</v>
      </c>
      <c r="AU14" s="177">
        <f>AS14+AT14</f>
        <v>152</v>
      </c>
      <c r="AY14" s="183" t="s">
        <v>270</v>
      </c>
      <c r="AZ14" s="187"/>
      <c r="BA14" s="186">
        <f>AS17</f>
        <v>1180</v>
      </c>
      <c r="BB14" s="181">
        <v>0</v>
      </c>
      <c r="BC14" s="181">
        <v>0</v>
      </c>
      <c r="BD14" s="177">
        <f>AZ14+BB14</f>
        <v>0</v>
      </c>
      <c r="BE14" s="177">
        <f>BA14+BC14</f>
        <v>1180</v>
      </c>
    </row>
    <row r="15" spans="2:57">
      <c r="B15" s="75" t="s">
        <v>379</v>
      </c>
      <c r="C15" s="79" t="s">
        <v>609</v>
      </c>
      <c r="E15">
        <v>1450</v>
      </c>
      <c r="F15">
        <v>104</v>
      </c>
      <c r="G15">
        <v>550</v>
      </c>
      <c r="H15">
        <v>150</v>
      </c>
      <c r="I15">
        <v>0</v>
      </c>
      <c r="L15">
        <f t="shared" si="0"/>
        <v>550</v>
      </c>
      <c r="N15">
        <v>1450</v>
      </c>
      <c r="O15">
        <v>32</v>
      </c>
      <c r="P15">
        <v>650</v>
      </c>
      <c r="Q15">
        <v>150</v>
      </c>
      <c r="R15">
        <v>0</v>
      </c>
      <c r="T15">
        <f t="shared" si="1"/>
        <v>650</v>
      </c>
      <c r="U15" s="28">
        <f t="shared" si="2"/>
        <v>100</v>
      </c>
      <c r="AJ15" s="67" t="s">
        <v>610</v>
      </c>
      <c r="AK15" s="67"/>
      <c r="AL15" s="65">
        <v>772</v>
      </c>
      <c r="AM15" s="65">
        <v>2136</v>
      </c>
      <c r="AN15" s="65">
        <v>2157</v>
      </c>
      <c r="AO15" s="65">
        <v>2163</v>
      </c>
      <c r="AP15" s="65">
        <v>1747</v>
      </c>
      <c r="AQ15" s="65">
        <v>1218</v>
      </c>
      <c r="AR15" s="65">
        <v>411</v>
      </c>
      <c r="AS15" s="180">
        <v>10604</v>
      </c>
      <c r="AT15" s="182">
        <f>SUM(AT8:AT14)</f>
        <v>500</v>
      </c>
      <c r="AU15" s="178">
        <f>AS15+AT15</f>
        <v>11104</v>
      </c>
      <c r="AY15" s="183" t="s">
        <v>180</v>
      </c>
      <c r="AZ15" s="185">
        <f>SUM(AZ7:AZ14)</f>
        <v>10604</v>
      </c>
      <c r="BA15" s="189">
        <f>SUM(BA7:BA14)</f>
        <v>4837</v>
      </c>
      <c r="BB15" s="182">
        <f>SUM(BB7:BB14)</f>
        <v>300</v>
      </c>
      <c r="BC15" s="182">
        <f>SUM(BC7:BC14)</f>
        <v>800</v>
      </c>
      <c r="BD15" s="144">
        <f>SUM(BD7:BD14)</f>
        <v>10904</v>
      </c>
      <c r="BE15" s="144">
        <f>SUM(BE7:BE14)</f>
        <v>5637</v>
      </c>
    </row>
    <row r="16" spans="2:57">
      <c r="B16" s="75" t="s">
        <v>379</v>
      </c>
      <c r="C16" s="79" t="s">
        <v>381</v>
      </c>
      <c r="E16">
        <v>1100</v>
      </c>
      <c r="F16">
        <v>75</v>
      </c>
      <c r="G16">
        <v>300</v>
      </c>
      <c r="H16">
        <v>150.00000000000003</v>
      </c>
      <c r="I16">
        <v>0</v>
      </c>
      <c r="L16">
        <f t="shared" si="0"/>
        <v>300</v>
      </c>
      <c r="N16">
        <v>1100</v>
      </c>
      <c r="O16">
        <v>25</v>
      </c>
      <c r="P16">
        <v>450</v>
      </c>
      <c r="Q16">
        <v>150.00000000000003</v>
      </c>
      <c r="R16">
        <v>0</v>
      </c>
      <c r="T16">
        <f t="shared" si="1"/>
        <v>450</v>
      </c>
      <c r="U16" s="28">
        <f t="shared" si="2"/>
        <v>150</v>
      </c>
      <c r="AJ16" s="67" t="s">
        <v>48</v>
      </c>
      <c r="AK16" s="67" t="s">
        <v>63</v>
      </c>
      <c r="AL16" s="65">
        <v>218</v>
      </c>
      <c r="AM16" s="65">
        <v>80</v>
      </c>
      <c r="AN16" s="65">
        <v>234</v>
      </c>
      <c r="AO16" s="65">
        <v>253</v>
      </c>
      <c r="AP16" s="65">
        <v>247</v>
      </c>
      <c r="AQ16" s="65">
        <v>183</v>
      </c>
      <c r="AR16" s="65">
        <v>190</v>
      </c>
      <c r="AS16" s="179">
        <v>1405</v>
      </c>
      <c r="AT16" s="181">
        <v>0</v>
      </c>
      <c r="AU16" s="177">
        <f>AS16+AT16</f>
        <v>1405</v>
      </c>
    </row>
    <row r="17" spans="2:47">
      <c r="B17" s="75" t="s">
        <v>379</v>
      </c>
      <c r="C17" s="78" t="s">
        <v>385</v>
      </c>
      <c r="E17">
        <v>600</v>
      </c>
      <c r="F17">
        <v>162</v>
      </c>
      <c r="G17">
        <v>350</v>
      </c>
      <c r="H17">
        <v>300</v>
      </c>
      <c r="I17">
        <v>0</v>
      </c>
      <c r="L17">
        <f t="shared" si="0"/>
        <v>350</v>
      </c>
      <c r="N17">
        <v>600</v>
      </c>
      <c r="O17">
        <v>102</v>
      </c>
      <c r="P17">
        <v>400</v>
      </c>
      <c r="Q17">
        <v>300</v>
      </c>
      <c r="R17">
        <v>0</v>
      </c>
      <c r="S17">
        <v>0</v>
      </c>
      <c r="T17">
        <f t="shared" si="1"/>
        <v>400</v>
      </c>
      <c r="U17">
        <f t="shared" si="2"/>
        <v>50</v>
      </c>
      <c r="Y17" s="90" t="s">
        <v>173</v>
      </c>
      <c r="Z17" s="90" t="s">
        <v>272</v>
      </c>
      <c r="AJ17" s="67"/>
      <c r="AK17" s="67" t="s">
        <v>270</v>
      </c>
      <c r="AL17" s="65">
        <v>181</v>
      </c>
      <c r="AM17" s="65">
        <v>167</v>
      </c>
      <c r="AN17" s="65">
        <v>254</v>
      </c>
      <c r="AO17" s="65">
        <v>195</v>
      </c>
      <c r="AP17" s="65">
        <v>199</v>
      </c>
      <c r="AQ17" s="65">
        <v>82</v>
      </c>
      <c r="AR17" s="65">
        <v>102</v>
      </c>
      <c r="AS17" s="179">
        <v>1180</v>
      </c>
      <c r="AT17" s="181">
        <v>0</v>
      </c>
      <c r="AU17" s="177">
        <f>AS17+AT17</f>
        <v>1180</v>
      </c>
    </row>
    <row r="18" spans="2:47">
      <c r="B18" s="75" t="s">
        <v>394</v>
      </c>
      <c r="C18" s="78" t="s">
        <v>611</v>
      </c>
      <c r="E18">
        <v>75</v>
      </c>
      <c r="F18">
        <v>124</v>
      </c>
      <c r="G18">
        <v>100</v>
      </c>
      <c r="H18">
        <v>0</v>
      </c>
      <c r="I18">
        <v>148</v>
      </c>
      <c r="J18">
        <v>100</v>
      </c>
      <c r="L18">
        <f t="shared" si="0"/>
        <v>200</v>
      </c>
      <c r="N18">
        <v>75</v>
      </c>
      <c r="O18">
        <v>124</v>
      </c>
      <c r="P18">
        <v>100</v>
      </c>
      <c r="Q18">
        <v>0</v>
      </c>
      <c r="R18">
        <v>98</v>
      </c>
      <c r="S18">
        <v>100</v>
      </c>
      <c r="T18">
        <f t="shared" si="1"/>
        <v>200</v>
      </c>
      <c r="U18">
        <f t="shared" si="2"/>
        <v>0</v>
      </c>
      <c r="Y18" s="91" t="s">
        <v>612</v>
      </c>
      <c r="Z18" s="92">
        <v>-0.22800000000029286</v>
      </c>
      <c r="AJ18" s="67"/>
      <c r="AK18" s="67" t="s">
        <v>61</v>
      </c>
      <c r="AL18" s="65">
        <v>142</v>
      </c>
      <c r="AM18" s="65">
        <v>154</v>
      </c>
      <c r="AN18" s="65">
        <v>143</v>
      </c>
      <c r="AO18" s="65">
        <v>99</v>
      </c>
      <c r="AP18" s="65">
        <v>133</v>
      </c>
      <c r="AQ18" s="65">
        <v>235</v>
      </c>
      <c r="AR18" s="65">
        <v>136</v>
      </c>
      <c r="AS18" s="179">
        <v>1042</v>
      </c>
      <c r="AT18" s="181">
        <v>500</v>
      </c>
      <c r="AU18" s="177">
        <f>AS18+AT18</f>
        <v>1542</v>
      </c>
    </row>
    <row r="19" spans="2:47">
      <c r="B19" s="75" t="s">
        <v>394</v>
      </c>
      <c r="C19" s="80" t="s">
        <v>613</v>
      </c>
      <c r="E19">
        <v>1050</v>
      </c>
      <c r="F19">
        <v>123</v>
      </c>
      <c r="G19">
        <v>550</v>
      </c>
      <c r="H19">
        <v>300</v>
      </c>
      <c r="I19">
        <v>42</v>
      </c>
      <c r="J19">
        <v>200</v>
      </c>
      <c r="L19">
        <f t="shared" si="0"/>
        <v>750</v>
      </c>
      <c r="N19">
        <v>1050</v>
      </c>
      <c r="O19">
        <v>60</v>
      </c>
      <c r="P19">
        <v>900</v>
      </c>
      <c r="Q19">
        <v>300</v>
      </c>
      <c r="R19">
        <v>42</v>
      </c>
      <c r="S19">
        <v>200</v>
      </c>
      <c r="T19">
        <f t="shared" si="1"/>
        <v>1100</v>
      </c>
      <c r="U19" s="28">
        <f t="shared" si="2"/>
        <v>350</v>
      </c>
      <c r="Y19" s="91" t="s">
        <v>614</v>
      </c>
      <c r="Z19" s="92">
        <v>91.756000000000085</v>
      </c>
      <c r="AJ19" s="67"/>
      <c r="AK19" s="67" t="s">
        <v>60</v>
      </c>
      <c r="AL19" s="65">
        <v>131</v>
      </c>
      <c r="AM19" s="65">
        <v>241</v>
      </c>
      <c r="AN19" s="65">
        <v>97</v>
      </c>
      <c r="AO19" s="65">
        <v>42</v>
      </c>
      <c r="AP19" s="65">
        <v>198</v>
      </c>
      <c r="AQ19" s="65">
        <v>27</v>
      </c>
      <c r="AR19" s="65">
        <v>231</v>
      </c>
      <c r="AS19" s="179">
        <v>967</v>
      </c>
      <c r="AT19" s="181">
        <v>500</v>
      </c>
      <c r="AU19" s="177">
        <f>AS19+AT19</f>
        <v>1467</v>
      </c>
    </row>
    <row r="20" spans="2:47">
      <c r="B20" s="75" t="s">
        <v>394</v>
      </c>
      <c r="C20" s="77" t="s">
        <v>46</v>
      </c>
      <c r="E20">
        <v>650</v>
      </c>
      <c r="F20">
        <v>0</v>
      </c>
      <c r="G20">
        <v>200</v>
      </c>
      <c r="H20">
        <v>200</v>
      </c>
      <c r="I20">
        <v>0</v>
      </c>
      <c r="L20">
        <f t="shared" si="0"/>
        <v>200</v>
      </c>
      <c r="N20">
        <v>650</v>
      </c>
      <c r="O20">
        <v>0</v>
      </c>
      <c r="P20">
        <v>200</v>
      </c>
      <c r="Q20">
        <v>200</v>
      </c>
      <c r="R20">
        <v>0</v>
      </c>
      <c r="T20">
        <f t="shared" si="1"/>
        <v>200</v>
      </c>
      <c r="U20">
        <f t="shared" si="2"/>
        <v>0</v>
      </c>
      <c r="Y20" s="91" t="s">
        <v>615</v>
      </c>
      <c r="Z20" s="92">
        <v>177.07000000000039</v>
      </c>
      <c r="AJ20" s="67"/>
      <c r="AK20" s="67" t="s">
        <v>62</v>
      </c>
      <c r="AL20" s="65">
        <v>28</v>
      </c>
      <c r="AM20" s="65">
        <v>7</v>
      </c>
      <c r="AN20" s="65">
        <v>42</v>
      </c>
      <c r="AO20" s="65">
        <v>22</v>
      </c>
      <c r="AP20" s="65">
        <v>47</v>
      </c>
      <c r="AQ20" s="65">
        <v>97</v>
      </c>
      <c r="AR20" s="65">
        <v>0</v>
      </c>
      <c r="AS20" s="179">
        <v>243</v>
      </c>
      <c r="AT20" s="181">
        <v>200</v>
      </c>
      <c r="AU20" s="177">
        <f>AS20+AT20</f>
        <v>443</v>
      </c>
    </row>
    <row r="21" spans="2:47">
      <c r="B21" s="75" t="s">
        <v>394</v>
      </c>
      <c r="C21" s="77" t="s">
        <v>616</v>
      </c>
      <c r="E21">
        <v>300</v>
      </c>
      <c r="F21">
        <v>0</v>
      </c>
      <c r="G21">
        <v>100</v>
      </c>
      <c r="H21">
        <v>100</v>
      </c>
      <c r="I21">
        <v>0</v>
      </c>
      <c r="L21">
        <f t="shared" si="0"/>
        <v>100</v>
      </c>
      <c r="N21">
        <v>300</v>
      </c>
      <c r="O21">
        <v>0</v>
      </c>
      <c r="P21">
        <v>100</v>
      </c>
      <c r="Q21">
        <v>100</v>
      </c>
      <c r="R21">
        <v>0</v>
      </c>
      <c r="T21">
        <f t="shared" si="1"/>
        <v>100</v>
      </c>
      <c r="U21">
        <f t="shared" si="2"/>
        <v>0</v>
      </c>
      <c r="Y21" s="91" t="s">
        <v>617</v>
      </c>
      <c r="Z21" s="92">
        <v>51.548999999999978</v>
      </c>
      <c r="AJ21" s="67" t="s">
        <v>64</v>
      </c>
      <c r="AK21" s="67"/>
      <c r="AL21" s="65">
        <v>700</v>
      </c>
      <c r="AM21" s="65">
        <v>649</v>
      </c>
      <c r="AN21" s="65">
        <v>770</v>
      </c>
      <c r="AO21" s="65">
        <v>611</v>
      </c>
      <c r="AP21" s="65">
        <v>824</v>
      </c>
      <c r="AQ21" s="65">
        <v>624</v>
      </c>
      <c r="AR21" s="65">
        <v>659</v>
      </c>
      <c r="AS21" s="179">
        <v>4837</v>
      </c>
      <c r="AT21" s="181">
        <v>0</v>
      </c>
      <c r="AU21" s="177">
        <f>AS21+AT21</f>
        <v>4837</v>
      </c>
    </row>
    <row r="22" spans="2:47">
      <c r="B22" s="75" t="s">
        <v>409</v>
      </c>
      <c r="C22" s="77" t="s">
        <v>618</v>
      </c>
      <c r="E22">
        <v>200</v>
      </c>
      <c r="F22">
        <v>0</v>
      </c>
      <c r="H22">
        <v>200</v>
      </c>
      <c r="I22">
        <v>0</v>
      </c>
      <c r="L22">
        <f t="shared" si="0"/>
        <v>0</v>
      </c>
      <c r="N22">
        <v>200</v>
      </c>
      <c r="O22">
        <v>0</v>
      </c>
      <c r="Q22">
        <v>200</v>
      </c>
      <c r="R22">
        <v>0</v>
      </c>
      <c r="T22">
        <f t="shared" si="1"/>
        <v>0</v>
      </c>
      <c r="U22">
        <f t="shared" si="2"/>
        <v>0</v>
      </c>
      <c r="Y22" s="91" t="s">
        <v>619</v>
      </c>
      <c r="Z22" s="92">
        <v>32.639999999999986</v>
      </c>
      <c r="AJ22" s="67" t="s">
        <v>59</v>
      </c>
      <c r="AK22" s="67"/>
      <c r="AL22" s="65">
        <v>1472</v>
      </c>
      <c r="AM22" s="65">
        <v>2785</v>
      </c>
      <c r="AN22" s="65">
        <v>2927</v>
      </c>
      <c r="AO22" s="65">
        <v>2774</v>
      </c>
      <c r="AP22" s="65">
        <v>2571</v>
      </c>
      <c r="AQ22" s="65">
        <v>1842</v>
      </c>
      <c r="AR22" s="65">
        <v>1070</v>
      </c>
      <c r="AS22" s="180">
        <v>15441</v>
      </c>
      <c r="AT22" s="182">
        <f>SUM(AT16:AT21)</f>
        <v>1200</v>
      </c>
      <c r="AU22" s="178">
        <f>AS22+AT22</f>
        <v>16641</v>
      </c>
    </row>
    <row r="23" spans="2:47">
      <c r="Y23" s="91" t="s">
        <v>620</v>
      </c>
      <c r="Z23" s="92">
        <v>0.11399999999991905</v>
      </c>
    </row>
    <row r="24" spans="2:47">
      <c r="I24" t="s">
        <v>621</v>
      </c>
      <c r="J24" t="s">
        <v>622</v>
      </c>
      <c r="K24" t="s">
        <v>623</v>
      </c>
      <c r="Y24" s="91" t="s">
        <v>624</v>
      </c>
      <c r="Z24" s="92">
        <v>0</v>
      </c>
    </row>
    <row r="25" spans="2:47">
      <c r="H25" t="s">
        <v>625</v>
      </c>
      <c r="I25">
        <v>11.1</v>
      </c>
      <c r="J25">
        <v>11</v>
      </c>
      <c r="Y25" s="90" t="s">
        <v>180</v>
      </c>
      <c r="Z25" s="93">
        <v>352.90100000000007</v>
      </c>
    </row>
    <row r="28" spans="2:47">
      <c r="E28" t="s">
        <v>596</v>
      </c>
      <c r="F28" t="s">
        <v>597</v>
      </c>
      <c r="G28" t="s">
        <v>598</v>
      </c>
      <c r="K28" t="s">
        <v>596</v>
      </c>
      <c r="L28" t="s">
        <v>597</v>
      </c>
      <c r="M28" t="s">
        <v>598</v>
      </c>
      <c r="W28" t="s">
        <v>626</v>
      </c>
    </row>
    <row r="29" spans="2:47">
      <c r="B29" s="73" t="s">
        <v>599</v>
      </c>
      <c r="C29" s="74" t="s">
        <v>599</v>
      </c>
      <c r="E29">
        <v>5100</v>
      </c>
      <c r="F29">
        <v>579</v>
      </c>
      <c r="G29">
        <v>2500</v>
      </c>
      <c r="H29">
        <v>3186.37</v>
      </c>
      <c r="K29">
        <v>5100</v>
      </c>
      <c r="L29">
        <v>475</v>
      </c>
      <c r="M29">
        <v>3000</v>
      </c>
      <c r="O29">
        <f>M29-G29</f>
        <v>500</v>
      </c>
    </row>
    <row r="30" spans="2:47">
      <c r="B30" s="75" t="s">
        <v>340</v>
      </c>
      <c r="C30" s="76" t="s">
        <v>603</v>
      </c>
      <c r="E30">
        <v>100</v>
      </c>
      <c r="F30">
        <v>168</v>
      </c>
      <c r="G30">
        <v>0</v>
      </c>
      <c r="H30">
        <v>81.22</v>
      </c>
      <c r="K30">
        <v>100</v>
      </c>
      <c r="L30">
        <v>168</v>
      </c>
      <c r="M30">
        <v>0</v>
      </c>
      <c r="O30">
        <f t="shared" ref="O30:O46" si="3">M30-G30</f>
        <v>0</v>
      </c>
    </row>
    <row r="31" spans="2:47">
      <c r="B31" s="75" t="s">
        <v>340</v>
      </c>
      <c r="C31" s="79" t="s">
        <v>604</v>
      </c>
      <c r="D31" s="28"/>
      <c r="E31" s="28">
        <v>400</v>
      </c>
      <c r="F31" s="28">
        <v>121</v>
      </c>
      <c r="G31" s="28">
        <v>600</v>
      </c>
      <c r="H31" s="28">
        <v>1574.3300000000002</v>
      </c>
      <c r="I31" s="28"/>
      <c r="J31" s="28"/>
      <c r="K31" s="28">
        <v>400</v>
      </c>
      <c r="L31" s="28">
        <v>121</v>
      </c>
      <c r="M31" s="28">
        <v>700</v>
      </c>
      <c r="N31" s="28"/>
      <c r="O31" s="28">
        <f t="shared" si="3"/>
        <v>100</v>
      </c>
      <c r="W31">
        <v>17</v>
      </c>
    </row>
    <row r="32" spans="2:47">
      <c r="B32" s="75" t="s">
        <v>340</v>
      </c>
      <c r="C32" s="77" t="s">
        <v>39</v>
      </c>
      <c r="E32">
        <v>200</v>
      </c>
      <c r="F32">
        <v>105</v>
      </c>
      <c r="G32">
        <v>300</v>
      </c>
      <c r="H32">
        <v>64</v>
      </c>
      <c r="K32">
        <v>200</v>
      </c>
      <c r="L32">
        <v>84</v>
      </c>
      <c r="M32">
        <v>300</v>
      </c>
      <c r="O32">
        <f t="shared" si="3"/>
        <v>0</v>
      </c>
    </row>
    <row r="33" spans="2:23">
      <c r="B33" s="75" t="s">
        <v>340</v>
      </c>
      <c r="C33" s="79" t="s">
        <v>55</v>
      </c>
      <c r="D33" s="28"/>
      <c r="E33" s="28">
        <v>200</v>
      </c>
      <c r="F33" s="28">
        <v>0</v>
      </c>
      <c r="G33" s="28">
        <v>100</v>
      </c>
      <c r="H33" s="28">
        <v>115</v>
      </c>
      <c r="I33" s="28"/>
      <c r="J33" s="28"/>
      <c r="K33" s="28">
        <v>200</v>
      </c>
      <c r="L33" s="28">
        <v>0</v>
      </c>
      <c r="M33" s="28">
        <v>200</v>
      </c>
      <c r="N33" s="28"/>
      <c r="O33" s="28">
        <f t="shared" si="3"/>
        <v>100</v>
      </c>
      <c r="W33">
        <v>19</v>
      </c>
    </row>
    <row r="34" spans="2:23">
      <c r="B34" s="75" t="s">
        <v>340</v>
      </c>
      <c r="C34" s="77" t="s">
        <v>365</v>
      </c>
      <c r="E34">
        <v>100</v>
      </c>
      <c r="F34">
        <v>0</v>
      </c>
      <c r="G34">
        <v>0</v>
      </c>
      <c r="H34">
        <v>102.08</v>
      </c>
      <c r="K34">
        <v>100</v>
      </c>
      <c r="L34">
        <v>0</v>
      </c>
      <c r="M34">
        <v>0</v>
      </c>
      <c r="O34">
        <f t="shared" si="3"/>
        <v>0</v>
      </c>
    </row>
    <row r="35" spans="2:23">
      <c r="B35" s="75" t="s">
        <v>340</v>
      </c>
      <c r="C35" s="77" t="s">
        <v>606</v>
      </c>
      <c r="E35">
        <v>100</v>
      </c>
      <c r="F35">
        <v>0</v>
      </c>
      <c r="G35">
        <v>0</v>
      </c>
      <c r="H35">
        <v>0</v>
      </c>
      <c r="K35">
        <v>100</v>
      </c>
      <c r="L35">
        <v>0</v>
      </c>
      <c r="M35">
        <v>0</v>
      </c>
      <c r="O35">
        <f t="shared" si="3"/>
        <v>0</v>
      </c>
    </row>
    <row r="36" spans="2:23">
      <c r="B36" s="75" t="s">
        <v>340</v>
      </c>
      <c r="C36" s="79" t="s">
        <v>607</v>
      </c>
      <c r="D36" s="28"/>
      <c r="E36" s="28">
        <v>100</v>
      </c>
      <c r="F36" s="28">
        <v>39</v>
      </c>
      <c r="G36" s="28">
        <v>100</v>
      </c>
      <c r="H36" s="28">
        <v>275.83</v>
      </c>
      <c r="I36" s="28"/>
      <c r="J36" s="28"/>
      <c r="K36" s="28">
        <v>100</v>
      </c>
      <c r="L36" s="28">
        <v>40</v>
      </c>
      <c r="M36" s="28">
        <v>200</v>
      </c>
      <c r="N36" s="28"/>
      <c r="O36" s="28">
        <f t="shared" si="3"/>
        <v>100</v>
      </c>
    </row>
    <row r="37" spans="2:23">
      <c r="B37" s="75" t="s">
        <v>340</v>
      </c>
      <c r="C37" s="77" t="s">
        <v>608</v>
      </c>
      <c r="E37">
        <v>100</v>
      </c>
      <c r="F37">
        <v>0</v>
      </c>
      <c r="G37">
        <v>0</v>
      </c>
      <c r="H37">
        <v>201.32</v>
      </c>
      <c r="K37">
        <v>100</v>
      </c>
      <c r="L37">
        <v>0</v>
      </c>
      <c r="M37">
        <v>0</v>
      </c>
      <c r="O37">
        <f t="shared" si="3"/>
        <v>0</v>
      </c>
    </row>
    <row r="38" spans="2:23">
      <c r="B38" s="75" t="s">
        <v>379</v>
      </c>
      <c r="C38" s="79" t="s">
        <v>549</v>
      </c>
      <c r="E38">
        <v>400</v>
      </c>
      <c r="F38">
        <v>0</v>
      </c>
      <c r="G38">
        <v>250</v>
      </c>
      <c r="H38">
        <v>179</v>
      </c>
      <c r="K38">
        <v>400</v>
      </c>
      <c r="L38">
        <v>0</v>
      </c>
      <c r="M38">
        <v>300</v>
      </c>
      <c r="O38">
        <f t="shared" si="3"/>
        <v>50</v>
      </c>
    </row>
    <row r="39" spans="2:23">
      <c r="B39" s="75" t="s">
        <v>379</v>
      </c>
      <c r="C39" s="79" t="s">
        <v>609</v>
      </c>
      <c r="E39">
        <v>400</v>
      </c>
      <c r="F39">
        <v>32</v>
      </c>
      <c r="G39">
        <v>200</v>
      </c>
      <c r="H39">
        <v>311.72000000000003</v>
      </c>
      <c r="K39">
        <v>400</v>
      </c>
      <c r="L39">
        <v>32</v>
      </c>
      <c r="M39">
        <v>200</v>
      </c>
      <c r="O39">
        <f t="shared" si="3"/>
        <v>0</v>
      </c>
    </row>
    <row r="40" spans="2:23">
      <c r="B40" s="75" t="s">
        <v>379</v>
      </c>
      <c r="C40" s="79" t="s">
        <v>381</v>
      </c>
      <c r="E40">
        <v>150</v>
      </c>
      <c r="F40">
        <v>30</v>
      </c>
      <c r="G40">
        <v>100</v>
      </c>
      <c r="H40">
        <v>5.0599999999999996</v>
      </c>
      <c r="K40">
        <v>150</v>
      </c>
      <c r="L40">
        <v>30</v>
      </c>
      <c r="M40">
        <v>0</v>
      </c>
      <c r="O40">
        <f t="shared" si="3"/>
        <v>-100</v>
      </c>
    </row>
    <row r="41" spans="2:23">
      <c r="B41" s="75" t="s">
        <v>379</v>
      </c>
      <c r="C41" s="78" t="s">
        <v>385</v>
      </c>
      <c r="E41">
        <v>300</v>
      </c>
      <c r="F41">
        <v>0</v>
      </c>
      <c r="G41">
        <v>150</v>
      </c>
      <c r="H41">
        <v>131.63999999999999</v>
      </c>
      <c r="K41">
        <v>300</v>
      </c>
      <c r="L41">
        <v>0</v>
      </c>
      <c r="M41">
        <v>200</v>
      </c>
      <c r="O41">
        <f t="shared" si="3"/>
        <v>50</v>
      </c>
    </row>
    <row r="42" spans="2:23">
      <c r="B42" s="75" t="s">
        <v>394</v>
      </c>
      <c r="C42" s="78" t="s">
        <v>611</v>
      </c>
      <c r="E42">
        <v>0</v>
      </c>
      <c r="F42">
        <v>84</v>
      </c>
      <c r="G42">
        <v>400</v>
      </c>
      <c r="H42">
        <v>0</v>
      </c>
      <c r="K42">
        <v>0</v>
      </c>
      <c r="L42">
        <v>0</v>
      </c>
      <c r="M42">
        <v>400</v>
      </c>
      <c r="O42">
        <f t="shared" si="3"/>
        <v>0</v>
      </c>
    </row>
    <row r="43" spans="2:23">
      <c r="B43" s="75" t="s">
        <v>394</v>
      </c>
      <c r="C43" s="79" t="s">
        <v>613</v>
      </c>
      <c r="D43" s="28"/>
      <c r="E43" s="28">
        <v>400</v>
      </c>
      <c r="F43" s="28">
        <v>0</v>
      </c>
      <c r="G43" s="28">
        <v>300</v>
      </c>
      <c r="H43" s="28">
        <v>145.17000000000002</v>
      </c>
      <c r="I43" s="28"/>
      <c r="J43" s="28"/>
      <c r="K43" s="28">
        <v>400</v>
      </c>
      <c r="L43" s="28">
        <v>0</v>
      </c>
      <c r="M43" s="28">
        <v>500</v>
      </c>
      <c r="N43" s="28"/>
      <c r="O43" s="28">
        <f t="shared" si="3"/>
        <v>200</v>
      </c>
    </row>
    <row r="44" spans="2:23">
      <c r="B44" s="75" t="s">
        <v>394</v>
      </c>
      <c r="C44" s="77" t="s">
        <v>46</v>
      </c>
      <c r="E44">
        <v>1000</v>
      </c>
      <c r="F44">
        <v>0</v>
      </c>
      <c r="G44">
        <v>0</v>
      </c>
      <c r="H44">
        <v>0</v>
      </c>
      <c r="K44">
        <v>1000</v>
      </c>
      <c r="L44">
        <v>0</v>
      </c>
      <c r="M44">
        <v>0</v>
      </c>
      <c r="O44">
        <f t="shared" si="3"/>
        <v>0</v>
      </c>
    </row>
    <row r="45" spans="2:23">
      <c r="B45" s="75" t="s">
        <v>394</v>
      </c>
      <c r="C45" s="77" t="s">
        <v>616</v>
      </c>
      <c r="E45">
        <v>150</v>
      </c>
      <c r="F45">
        <v>0</v>
      </c>
      <c r="G45">
        <v>0</v>
      </c>
      <c r="H45">
        <v>0</v>
      </c>
      <c r="K45">
        <v>150</v>
      </c>
      <c r="L45">
        <v>0</v>
      </c>
      <c r="M45">
        <v>0</v>
      </c>
      <c r="O45">
        <f t="shared" si="3"/>
        <v>0</v>
      </c>
    </row>
    <row r="46" spans="2:23">
      <c r="B46" s="75" t="s">
        <v>409</v>
      </c>
      <c r="C46" s="77" t="s">
        <v>618</v>
      </c>
      <c r="E46">
        <v>1000</v>
      </c>
      <c r="F46">
        <v>0</v>
      </c>
      <c r="G46">
        <v>0</v>
      </c>
      <c r="H46">
        <v>0</v>
      </c>
      <c r="K46">
        <v>1000</v>
      </c>
      <c r="L46">
        <v>0</v>
      </c>
      <c r="M46">
        <v>0</v>
      </c>
      <c r="O46">
        <f t="shared" si="3"/>
        <v>0</v>
      </c>
    </row>
  </sheetData>
  <mergeCells count="4">
    <mergeCell ref="AJ5:AS5"/>
    <mergeCell ref="AZ5:BA5"/>
    <mergeCell ref="BB5:BC5"/>
    <mergeCell ref="BD5:BE5"/>
  </mergeCells>
  <conditionalFormatting sqref="Z6:AB12 Z18:Z24">
    <cfRule type="cellIs" dxfId="2" priority="3" operator="lessThan">
      <formula>50</formula>
    </cfRule>
  </conditionalFormatting>
  <conditionalFormatting sqref="Z6:AB12 Z18:Z24">
    <cfRule type="cellIs" dxfId="1" priority="2" operator="between">
      <formula>50</formula>
      <formula>100</formula>
    </cfRule>
  </conditionalFormatting>
  <conditionalFormatting sqref="Z6:AB12 Z18:Z24">
    <cfRule type="cellIs" dxfId="0" priority="1" operator="greaterThan">
      <formula>100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43C5-BA58-4CF4-BC62-B70E974A1013}">
  <dimension ref="F2:BK63"/>
  <sheetViews>
    <sheetView workbookViewId="0">
      <pane xSplit="48" ySplit="3" topLeftCell="BJ4" activePane="bottomRight" state="frozen"/>
      <selection pane="bottomRight" activeCell="BB22" sqref="BB22"/>
      <selection pane="bottomLeft"/>
      <selection pane="topRight"/>
    </sheetView>
  </sheetViews>
  <sheetFormatPr defaultRowHeight="15"/>
  <cols>
    <col min="2" max="5" width="0" hidden="1" customWidth="1"/>
    <col min="6" max="6" width="11.85546875" hidden="1" customWidth="1"/>
    <col min="7" max="15" width="15.85546875" hidden="1" customWidth="1"/>
    <col min="16" max="16" width="18.42578125" hidden="1" customWidth="1"/>
    <col min="17" max="17" width="16.7109375" hidden="1" customWidth="1"/>
    <col min="18" max="19" width="21.5703125" hidden="1" customWidth="1"/>
    <col min="20" max="27" width="0" hidden="1" customWidth="1"/>
    <col min="28" max="28" width="17.42578125" hidden="1" customWidth="1"/>
    <col min="29" max="44" width="0" hidden="1" customWidth="1"/>
    <col min="47" max="47" width="16.7109375" customWidth="1"/>
    <col min="48" max="48" width="20" customWidth="1"/>
    <col min="49" max="49" width="20.28515625" customWidth="1"/>
    <col min="50" max="53" width="18.42578125" customWidth="1"/>
    <col min="54" max="54" width="52.140625" customWidth="1"/>
    <col min="55" max="55" width="11.5703125" customWidth="1"/>
    <col min="56" max="59" width="11.7109375" customWidth="1"/>
    <col min="60" max="60" width="22.7109375" customWidth="1"/>
    <col min="61" max="64" width="11.7109375" customWidth="1"/>
  </cols>
  <sheetData>
    <row r="2" spans="6:63" ht="18" customHeight="1">
      <c r="F2" s="130" t="s">
        <v>24</v>
      </c>
      <c r="G2" s="532" t="s">
        <v>141</v>
      </c>
      <c r="H2" s="532"/>
      <c r="I2" s="532"/>
      <c r="J2" s="532"/>
      <c r="L2" s="130" t="s">
        <v>47</v>
      </c>
      <c r="M2" s="532" t="s">
        <v>141</v>
      </c>
      <c r="N2" s="532"/>
      <c r="O2" s="532"/>
      <c r="P2" s="532"/>
      <c r="Q2" s="532"/>
      <c r="R2" s="532"/>
      <c r="W2" t="s">
        <v>227</v>
      </c>
      <c r="X2" t="s">
        <v>627</v>
      </c>
      <c r="Y2" t="s">
        <v>628</v>
      </c>
      <c r="Z2" t="s">
        <v>474</v>
      </c>
      <c r="AA2" t="s">
        <v>629</v>
      </c>
      <c r="AW2" s="549" t="s">
        <v>630</v>
      </c>
      <c r="AX2" s="550"/>
      <c r="AY2" s="550"/>
      <c r="AZ2" s="550"/>
      <c r="BA2" s="550"/>
      <c r="BB2" s="551"/>
      <c r="BC2" s="546" t="s">
        <v>631</v>
      </c>
      <c r="BD2" s="547"/>
      <c r="BE2" s="547"/>
      <c r="BF2" s="547"/>
      <c r="BG2" s="547"/>
      <c r="BH2" s="547"/>
      <c r="BI2" s="547"/>
      <c r="BJ2" s="547"/>
      <c r="BK2" s="548"/>
    </row>
    <row r="3" spans="6:63" ht="36">
      <c r="F3" s="29" t="s">
        <v>173</v>
      </c>
      <c r="G3" s="29" t="s">
        <v>588</v>
      </c>
      <c r="H3" s="29" t="s">
        <v>332</v>
      </c>
      <c r="I3" s="29" t="s">
        <v>632</v>
      </c>
      <c r="J3" s="29" t="s">
        <v>633</v>
      </c>
      <c r="L3" s="242" t="s">
        <v>173</v>
      </c>
      <c r="M3" s="242" t="s">
        <v>588</v>
      </c>
      <c r="N3" s="242" t="s">
        <v>332</v>
      </c>
      <c r="O3" s="242" t="s">
        <v>632</v>
      </c>
      <c r="P3" s="242" t="s">
        <v>633</v>
      </c>
      <c r="Q3" s="242" t="s">
        <v>634</v>
      </c>
      <c r="R3" s="242" t="s">
        <v>635</v>
      </c>
      <c r="S3" s="27"/>
      <c r="V3" t="s">
        <v>432</v>
      </c>
      <c r="W3">
        <v>49000</v>
      </c>
      <c r="X3">
        <v>1200</v>
      </c>
      <c r="Y3">
        <v>2000</v>
      </c>
      <c r="Z3">
        <v>500</v>
      </c>
      <c r="AA3">
        <f>W3+X3+Y3-Z3</f>
        <v>51700</v>
      </c>
      <c r="AU3" s="477" t="s">
        <v>636</v>
      </c>
      <c r="AV3" s="477" t="s">
        <v>637</v>
      </c>
      <c r="AW3" s="477" t="s">
        <v>638</v>
      </c>
      <c r="AX3" s="477" t="s">
        <v>639</v>
      </c>
      <c r="AY3" s="477" t="s">
        <v>640</v>
      </c>
      <c r="AZ3" s="477" t="s">
        <v>641</v>
      </c>
      <c r="BA3" s="477" t="s">
        <v>642</v>
      </c>
      <c r="BB3" s="477" t="s">
        <v>643</v>
      </c>
      <c r="BC3" s="478" t="s">
        <v>644</v>
      </c>
      <c r="BD3" s="478" t="s">
        <v>645</v>
      </c>
      <c r="BE3" s="478" t="s">
        <v>646</v>
      </c>
      <c r="BF3" s="478" t="s">
        <v>647</v>
      </c>
      <c r="BG3" s="478" t="s">
        <v>648</v>
      </c>
      <c r="BH3" s="478" t="s">
        <v>649</v>
      </c>
      <c r="BI3" s="478" t="s">
        <v>650</v>
      </c>
      <c r="BJ3" s="478" t="s">
        <v>651</v>
      </c>
      <c r="BK3" s="478" t="s">
        <v>652</v>
      </c>
    </row>
    <row r="4" spans="6:63" ht="36">
      <c r="F4" s="29">
        <v>8</v>
      </c>
      <c r="G4" s="29">
        <f>678+151</f>
        <v>829</v>
      </c>
      <c r="H4" s="29"/>
      <c r="I4" s="29">
        <v>44576</v>
      </c>
      <c r="J4" s="29">
        <f>J6+1500</f>
        <v>47275</v>
      </c>
      <c r="L4" s="29">
        <v>8</v>
      </c>
      <c r="M4" s="389">
        <f>678+151</f>
        <v>829</v>
      </c>
      <c r="N4" s="389">
        <f>N5+1000</f>
        <v>52000</v>
      </c>
      <c r="O4" s="389">
        <v>43478</v>
      </c>
      <c r="P4" s="389">
        <f>P6+1500</f>
        <v>47615</v>
      </c>
      <c r="Q4" s="298">
        <f>N4-3500-O4</f>
        <v>5022</v>
      </c>
      <c r="R4" s="298">
        <f>N4-3500-P4</f>
        <v>885</v>
      </c>
      <c r="V4" t="s">
        <v>396</v>
      </c>
      <c r="W4">
        <v>48300</v>
      </c>
      <c r="X4">
        <v>1200</v>
      </c>
      <c r="Y4">
        <v>1000</v>
      </c>
      <c r="Z4">
        <v>500</v>
      </c>
      <c r="AA4">
        <f>W4+X4+Y4-Z4</f>
        <v>50000</v>
      </c>
      <c r="AU4" s="479" t="s">
        <v>653</v>
      </c>
      <c r="AV4" s="479" t="s">
        <v>654</v>
      </c>
      <c r="AW4" s="479" t="s">
        <v>655</v>
      </c>
      <c r="AX4" s="480">
        <v>7000</v>
      </c>
      <c r="AY4" s="481">
        <v>7500</v>
      </c>
      <c r="AZ4" s="482">
        <v>8000</v>
      </c>
      <c r="BA4" s="482">
        <v>90000</v>
      </c>
      <c r="BB4" s="486" t="s">
        <v>656</v>
      </c>
      <c r="BC4" s="484" t="s">
        <v>657</v>
      </c>
      <c r="BD4" s="485">
        <v>7000</v>
      </c>
      <c r="BE4" s="485">
        <v>7000</v>
      </c>
      <c r="BF4" s="485">
        <v>7500</v>
      </c>
      <c r="BG4" s="485">
        <v>8000</v>
      </c>
      <c r="BH4" s="487" t="s">
        <v>658</v>
      </c>
      <c r="BI4" s="485">
        <v>3400</v>
      </c>
      <c r="BJ4" s="485">
        <v>1524</v>
      </c>
      <c r="BK4" s="485">
        <v>-231</v>
      </c>
    </row>
    <row r="5" spans="6:63" ht="57.75">
      <c r="F5" s="29">
        <v>10</v>
      </c>
      <c r="G5" s="29">
        <f>415+46</f>
        <v>461</v>
      </c>
      <c r="H5" s="29"/>
      <c r="I5" s="29">
        <v>44526</v>
      </c>
      <c r="J5" s="29">
        <f>J6+500</f>
        <v>46275</v>
      </c>
      <c r="L5" s="29">
        <v>10</v>
      </c>
      <c r="M5" s="389">
        <f>415+46</f>
        <v>461</v>
      </c>
      <c r="N5" s="389">
        <v>51000</v>
      </c>
      <c r="O5" s="389">
        <v>45898</v>
      </c>
      <c r="P5" s="389">
        <f>P6+500</f>
        <v>46615</v>
      </c>
      <c r="Q5" s="298">
        <f t="shared" ref="Q5:Q10" si="0">N5-3500-O5</f>
        <v>1602</v>
      </c>
      <c r="R5" s="298">
        <f t="shared" ref="R5:R10" si="1">N5-3500-P5</f>
        <v>885</v>
      </c>
      <c r="AU5" s="479" t="s">
        <v>659</v>
      </c>
      <c r="AV5" s="479" t="s">
        <v>660</v>
      </c>
      <c r="AW5" s="479" t="s">
        <v>661</v>
      </c>
      <c r="AX5" s="480">
        <v>6000</v>
      </c>
      <c r="AY5" s="481">
        <v>6000</v>
      </c>
      <c r="AZ5" s="482">
        <v>6500</v>
      </c>
      <c r="BA5" s="482">
        <v>75000</v>
      </c>
      <c r="BB5" s="486" t="s">
        <v>656</v>
      </c>
      <c r="BC5" s="484" t="s">
        <v>657</v>
      </c>
      <c r="BD5" s="485">
        <v>6000</v>
      </c>
      <c r="BE5" s="485">
        <v>6000</v>
      </c>
      <c r="BF5" s="485">
        <v>6000</v>
      </c>
      <c r="BG5" s="485">
        <v>6500</v>
      </c>
      <c r="BH5" s="487" t="s">
        <v>662</v>
      </c>
      <c r="BI5" s="485">
        <v>4500</v>
      </c>
      <c r="BJ5" s="485">
        <v>2453</v>
      </c>
      <c r="BK5" s="485">
        <v>15</v>
      </c>
    </row>
    <row r="6" spans="6:63" ht="43.5">
      <c r="F6" s="29">
        <v>12</v>
      </c>
      <c r="G6" s="29"/>
      <c r="H6" s="29"/>
      <c r="I6" s="29">
        <v>44895</v>
      </c>
      <c r="J6" s="29">
        <v>45775</v>
      </c>
      <c r="L6" s="29">
        <v>12</v>
      </c>
      <c r="M6" s="389"/>
      <c r="N6" s="389">
        <v>51000</v>
      </c>
      <c r="O6" s="389">
        <v>45990</v>
      </c>
      <c r="P6" s="389">
        <v>46115</v>
      </c>
      <c r="Q6" s="298">
        <f t="shared" si="0"/>
        <v>1510</v>
      </c>
      <c r="R6" s="298">
        <f t="shared" si="1"/>
        <v>1385</v>
      </c>
      <c r="U6" t="s">
        <v>226</v>
      </c>
      <c r="V6">
        <f>49500+3500</f>
        <v>53000</v>
      </c>
      <c r="AU6" s="479" t="s">
        <v>663</v>
      </c>
      <c r="AV6" s="479" t="s">
        <v>664</v>
      </c>
      <c r="AW6" s="479" t="s">
        <v>665</v>
      </c>
      <c r="AX6" s="480">
        <v>2000</v>
      </c>
      <c r="AY6" s="481">
        <v>4000</v>
      </c>
      <c r="AZ6" s="482">
        <v>10000</v>
      </c>
      <c r="BA6" s="482">
        <v>100000</v>
      </c>
      <c r="BB6" s="486" t="s">
        <v>666</v>
      </c>
      <c r="BC6" s="484" t="s">
        <v>667</v>
      </c>
      <c r="BD6" s="485"/>
      <c r="BE6" s="485"/>
      <c r="BF6" s="485"/>
      <c r="BG6" s="485">
        <v>10000</v>
      </c>
      <c r="BH6" s="487" t="s">
        <v>668</v>
      </c>
      <c r="BI6" s="485">
        <v>3500</v>
      </c>
      <c r="BJ6" s="485">
        <v>1933</v>
      </c>
      <c r="BK6" s="485">
        <v>646</v>
      </c>
    </row>
    <row r="7" spans="6:63" ht="18.75">
      <c r="F7" s="43">
        <v>16</v>
      </c>
      <c r="G7" s="43"/>
      <c r="H7" s="43"/>
      <c r="I7" s="43">
        <v>44456</v>
      </c>
      <c r="J7" s="29">
        <v>45775</v>
      </c>
      <c r="L7" s="43">
        <v>16</v>
      </c>
      <c r="M7" s="298"/>
      <c r="N7" s="389">
        <v>51000</v>
      </c>
      <c r="O7" s="298">
        <v>45457</v>
      </c>
      <c r="P7" s="389">
        <v>46115</v>
      </c>
      <c r="Q7" s="298">
        <f t="shared" si="0"/>
        <v>2043</v>
      </c>
      <c r="R7" s="298">
        <f t="shared" si="1"/>
        <v>1385</v>
      </c>
      <c r="X7" t="s">
        <v>628</v>
      </c>
      <c r="Y7" t="s">
        <v>669</v>
      </c>
      <c r="AU7" s="479" t="s">
        <v>670</v>
      </c>
      <c r="AV7" s="479" t="s">
        <v>671</v>
      </c>
      <c r="AW7" s="479" t="s">
        <v>672</v>
      </c>
      <c r="AX7" s="480">
        <v>0</v>
      </c>
      <c r="AY7" s="481">
        <v>2500</v>
      </c>
      <c r="AZ7" s="482">
        <v>4500</v>
      </c>
      <c r="BA7" s="482">
        <v>40000</v>
      </c>
      <c r="BB7" s="486" t="s">
        <v>673</v>
      </c>
      <c r="BC7" s="484" t="s">
        <v>647</v>
      </c>
      <c r="BD7" s="485"/>
      <c r="BE7" s="485"/>
      <c r="BF7" s="485">
        <v>4500</v>
      </c>
      <c r="BG7" s="485">
        <v>4500</v>
      </c>
      <c r="BH7" s="485"/>
      <c r="BI7" s="485">
        <v>3400</v>
      </c>
      <c r="BJ7" s="485">
        <v>1379</v>
      </c>
      <c r="BK7" s="485">
        <v>-1775</v>
      </c>
    </row>
    <row r="8" spans="6:63" ht="36">
      <c r="F8" s="43">
        <v>20</v>
      </c>
      <c r="G8" s="43"/>
      <c r="H8" s="43"/>
      <c r="I8" s="43">
        <v>46191</v>
      </c>
      <c r="J8" s="29">
        <v>45775</v>
      </c>
      <c r="L8" s="43">
        <v>20</v>
      </c>
      <c r="M8" s="298"/>
      <c r="N8" s="389">
        <v>51000</v>
      </c>
      <c r="O8" s="298">
        <v>45146</v>
      </c>
      <c r="P8" s="389">
        <v>46115</v>
      </c>
      <c r="Q8" s="298">
        <f t="shared" si="0"/>
        <v>2354</v>
      </c>
      <c r="R8" s="298">
        <f t="shared" si="1"/>
        <v>1385</v>
      </c>
      <c r="V8" t="s">
        <v>141</v>
      </c>
      <c r="W8">
        <v>51000</v>
      </c>
      <c r="X8">
        <v>3500</v>
      </c>
      <c r="Y8">
        <f>W8-X8</f>
        <v>47500</v>
      </c>
      <c r="AU8" s="479" t="s">
        <v>674</v>
      </c>
      <c r="AV8" s="479" t="s">
        <v>660</v>
      </c>
      <c r="AW8" s="479" t="s">
        <v>675</v>
      </c>
      <c r="AX8" s="480">
        <v>0</v>
      </c>
      <c r="AY8" s="481">
        <v>0</v>
      </c>
      <c r="AZ8" s="482">
        <v>2000</v>
      </c>
      <c r="BA8" s="482">
        <v>60000</v>
      </c>
      <c r="BB8" s="486" t="s">
        <v>676</v>
      </c>
      <c r="BC8" s="484" t="s">
        <v>647</v>
      </c>
      <c r="BD8" s="485"/>
      <c r="BE8" s="485"/>
      <c r="BF8" s="485">
        <v>2000</v>
      </c>
      <c r="BG8" s="485">
        <v>5000</v>
      </c>
      <c r="BH8" s="485"/>
      <c r="BI8" s="485">
        <v>3500</v>
      </c>
      <c r="BJ8" s="485">
        <v>2453</v>
      </c>
      <c r="BK8" s="485">
        <v>1015</v>
      </c>
    </row>
    <row r="9" spans="6:63" ht="36">
      <c r="F9" s="387">
        <v>25</v>
      </c>
      <c r="G9" s="387"/>
      <c r="H9" s="387"/>
      <c r="I9" s="387">
        <v>46185</v>
      </c>
      <c r="J9" s="29">
        <v>45775</v>
      </c>
      <c r="L9" s="43">
        <v>25</v>
      </c>
      <c r="M9" s="298"/>
      <c r="N9" s="389">
        <v>51000</v>
      </c>
      <c r="O9" s="298">
        <v>39968</v>
      </c>
      <c r="P9" s="389">
        <v>46115</v>
      </c>
      <c r="Q9" s="298">
        <f t="shared" si="0"/>
        <v>7532</v>
      </c>
      <c r="R9" s="298">
        <f t="shared" si="1"/>
        <v>1385</v>
      </c>
      <c r="AU9" s="479" t="s">
        <v>677</v>
      </c>
      <c r="AV9" s="479" t="s">
        <v>678</v>
      </c>
      <c r="AW9" s="479" t="s">
        <v>675</v>
      </c>
      <c r="AX9" s="480">
        <v>0</v>
      </c>
      <c r="AY9" s="481">
        <v>0</v>
      </c>
      <c r="AZ9" s="482">
        <v>0</v>
      </c>
      <c r="BA9" s="482">
        <v>60000</v>
      </c>
      <c r="BB9" s="486" t="s">
        <v>679</v>
      </c>
      <c r="BC9" s="484" t="s">
        <v>680</v>
      </c>
      <c r="BD9" s="485"/>
      <c r="BE9" s="485"/>
      <c r="BF9" s="485"/>
      <c r="BG9" s="485">
        <v>5000</v>
      </c>
      <c r="BH9" s="485"/>
      <c r="BI9" s="485">
        <v>3400</v>
      </c>
      <c r="BJ9" s="485">
        <v>1339</v>
      </c>
      <c r="BK9" s="485">
        <v>-1188</v>
      </c>
    </row>
    <row r="10" spans="6:63" ht="54.75">
      <c r="F10" s="387">
        <v>32</v>
      </c>
      <c r="G10" s="387"/>
      <c r="H10" s="387"/>
      <c r="I10" s="387">
        <v>47735</v>
      </c>
      <c r="J10" s="388">
        <f>J9+1500</f>
        <v>47275</v>
      </c>
      <c r="L10" s="43">
        <v>32</v>
      </c>
      <c r="M10" s="298"/>
      <c r="N10" s="389">
        <v>51000</v>
      </c>
      <c r="O10" s="298">
        <v>44749</v>
      </c>
      <c r="P10" s="389">
        <f>P6+1500</f>
        <v>47615</v>
      </c>
      <c r="Q10" s="298">
        <f t="shared" si="0"/>
        <v>2751</v>
      </c>
      <c r="R10" s="298">
        <f t="shared" si="1"/>
        <v>-115</v>
      </c>
      <c r="S10">
        <f>51400-1050</f>
        <v>50350</v>
      </c>
      <c r="V10" t="s">
        <v>681</v>
      </c>
      <c r="W10">
        <v>51500</v>
      </c>
      <c r="X10">
        <v>3500</v>
      </c>
      <c r="Y10">
        <f>W10-X10</f>
        <v>48000</v>
      </c>
      <c r="AU10" s="479" t="s">
        <v>682</v>
      </c>
      <c r="AV10" s="479" t="s">
        <v>683</v>
      </c>
      <c r="AW10" s="479" t="s">
        <v>684</v>
      </c>
      <c r="AX10" s="480">
        <v>0</v>
      </c>
      <c r="AY10" s="481">
        <v>0</v>
      </c>
      <c r="AZ10" s="482">
        <v>0</v>
      </c>
      <c r="BA10" s="482">
        <v>30000</v>
      </c>
      <c r="BB10" s="486" t="s">
        <v>685</v>
      </c>
      <c r="BC10" s="484" t="s">
        <v>646</v>
      </c>
      <c r="BD10" s="485"/>
      <c r="BE10" s="485"/>
      <c r="BF10" s="485"/>
      <c r="BG10" s="485">
        <v>2500</v>
      </c>
      <c r="BH10" s="485"/>
      <c r="BI10" s="485">
        <v>2500</v>
      </c>
      <c r="BJ10" s="485">
        <v>1750</v>
      </c>
      <c r="BK10" s="485"/>
    </row>
    <row r="11" spans="6:63" ht="18.75">
      <c r="F11" s="43" t="s">
        <v>180</v>
      </c>
      <c r="G11" s="43">
        <f>SUM(G4:G10)</f>
        <v>1290</v>
      </c>
      <c r="H11" s="43"/>
      <c r="I11" s="43"/>
      <c r="J11" s="43"/>
      <c r="L11" s="391" t="s">
        <v>180</v>
      </c>
      <c r="M11" s="392">
        <f>SUM(M4:M10)</f>
        <v>1290</v>
      </c>
      <c r="N11" s="392"/>
      <c r="O11" s="392">
        <f>SUMPRODUCT(O4:O10,$M$4:$M$10)/$M$11</f>
        <v>44342.821705426359</v>
      </c>
      <c r="P11" s="392">
        <f>SUMPRODUCT(P4:P10,$M$4:$M$10)/$M$11</f>
        <v>47257.635658914725</v>
      </c>
      <c r="Q11" s="392">
        <f>SUMPRODUCT(Q4:Q10,$M$4:$M$10)/$M$11</f>
        <v>3799.8139534883721</v>
      </c>
      <c r="R11" s="392">
        <f>SUMPRODUCT(R4:R10,$M$4:$M$10)/$M$11</f>
        <v>885</v>
      </c>
      <c r="S11" t="s">
        <v>686</v>
      </c>
      <c r="AU11" s="479" t="s">
        <v>180</v>
      </c>
      <c r="AV11" s="479" t="s">
        <v>687</v>
      </c>
      <c r="AW11" s="479" t="s">
        <v>687</v>
      </c>
      <c r="AX11" s="483">
        <f>SUM(AX4:AX10)</f>
        <v>15000</v>
      </c>
      <c r="AY11" s="483">
        <f t="shared" ref="AY11:BA11" si="2">SUM(AY4:AY10)</f>
        <v>20000</v>
      </c>
      <c r="AZ11" s="483">
        <f t="shared" si="2"/>
        <v>31000</v>
      </c>
      <c r="BA11" s="483">
        <f t="shared" si="2"/>
        <v>455000</v>
      </c>
      <c r="BB11" s="486" t="s">
        <v>687</v>
      </c>
      <c r="BC11" s="484"/>
      <c r="BD11" s="485">
        <f>SUM(BD4:BD10)</f>
        <v>13000</v>
      </c>
      <c r="BE11" s="485">
        <f>SUM(BE4:BE10)</f>
        <v>13000</v>
      </c>
      <c r="BF11" s="485">
        <f>SUM(BF4:BF10)</f>
        <v>20000</v>
      </c>
      <c r="BG11" s="485">
        <f>SUM(BG4:BG10)</f>
        <v>41500</v>
      </c>
      <c r="BH11" s="485"/>
      <c r="BI11" s="485"/>
      <c r="BJ11" s="485"/>
      <c r="BK11" s="485"/>
    </row>
    <row r="12" spans="6:63">
      <c r="F12" s="14"/>
      <c r="G12" s="14"/>
      <c r="H12" s="14"/>
      <c r="I12" s="14"/>
      <c r="J12" s="14"/>
      <c r="L12" s="14"/>
      <c r="M12" s="19"/>
      <c r="N12" s="19"/>
      <c r="O12" s="19"/>
      <c r="P12" s="19"/>
      <c r="Q12" s="19"/>
      <c r="R12" s="19"/>
    </row>
    <row r="13" spans="6:63">
      <c r="F13" s="130"/>
      <c r="G13" s="532"/>
      <c r="H13" s="532"/>
      <c r="I13" s="532"/>
      <c r="J13" s="532"/>
      <c r="L13" s="130" t="s">
        <v>222</v>
      </c>
      <c r="M13" s="553" t="s">
        <v>48</v>
      </c>
      <c r="N13" s="553"/>
      <c r="O13" s="553"/>
      <c r="P13" s="553"/>
      <c r="Q13" s="553"/>
      <c r="R13" s="553"/>
      <c r="AB13" s="144" t="s">
        <v>40</v>
      </c>
      <c r="AC13" s="144" t="s">
        <v>560</v>
      </c>
      <c r="AD13" s="144"/>
      <c r="AE13" s="144" t="s">
        <v>222</v>
      </c>
      <c r="BB13" t="s">
        <v>688</v>
      </c>
      <c r="BD13">
        <v>14000</v>
      </c>
      <c r="BE13">
        <v>16000</v>
      </c>
      <c r="BF13">
        <v>22000</v>
      </c>
      <c r="BG13">
        <v>51000</v>
      </c>
    </row>
    <row r="14" spans="6:63">
      <c r="F14" s="386"/>
      <c r="G14" s="386"/>
      <c r="H14" s="386"/>
      <c r="I14" s="386"/>
      <c r="J14" s="386"/>
      <c r="L14" s="242" t="s">
        <v>173</v>
      </c>
      <c r="M14" s="390" t="s">
        <v>588</v>
      </c>
      <c r="N14" s="390" t="s">
        <v>332</v>
      </c>
      <c r="O14" s="390" t="s">
        <v>632</v>
      </c>
      <c r="P14" s="390" t="s">
        <v>633</v>
      </c>
      <c r="Q14" s="390" t="s">
        <v>634</v>
      </c>
      <c r="R14" s="390" t="s">
        <v>635</v>
      </c>
      <c r="AB14" s="43" t="s">
        <v>689</v>
      </c>
      <c r="AC14" s="43">
        <v>48900</v>
      </c>
      <c r="AD14" s="43"/>
      <c r="AE14" s="43">
        <v>44500</v>
      </c>
    </row>
    <row r="15" spans="6:63">
      <c r="F15" s="29"/>
      <c r="G15" s="29"/>
      <c r="H15" s="29"/>
      <c r="I15" s="29"/>
      <c r="J15" s="29"/>
      <c r="L15" s="29">
        <v>8</v>
      </c>
      <c r="M15" s="389"/>
      <c r="N15" s="389">
        <f>N17+1000</f>
        <v>52500</v>
      </c>
      <c r="O15" s="389">
        <v>45008</v>
      </c>
      <c r="P15" s="389">
        <f>P17+1500</f>
        <v>49500</v>
      </c>
      <c r="Q15" s="298">
        <f>N15-3500-O15</f>
        <v>3992</v>
      </c>
      <c r="R15" s="298">
        <f>N15-3500-P15</f>
        <v>-500</v>
      </c>
      <c r="AB15" s="43" t="s">
        <v>690</v>
      </c>
      <c r="AC15" s="43">
        <v>2000</v>
      </c>
      <c r="AD15" s="43"/>
      <c r="AE15" s="43">
        <v>4500</v>
      </c>
    </row>
    <row r="16" spans="6:63">
      <c r="F16" s="29"/>
      <c r="G16" s="29"/>
      <c r="H16" s="29"/>
      <c r="I16" s="29"/>
      <c r="J16" s="29"/>
      <c r="L16" s="29">
        <v>10</v>
      </c>
      <c r="M16" s="389"/>
      <c r="N16" s="389">
        <f>N17</f>
        <v>51500</v>
      </c>
      <c r="O16" s="389">
        <v>49575</v>
      </c>
      <c r="P16" s="389">
        <f>P17+500</f>
        <v>48500</v>
      </c>
      <c r="Q16" s="298">
        <f>N16-3500-O16</f>
        <v>-1575</v>
      </c>
      <c r="R16" s="298">
        <f t="shared" ref="R16:R21" si="3">N16-3500-P16</f>
        <v>-500</v>
      </c>
      <c r="AB16" s="43" t="s">
        <v>691</v>
      </c>
      <c r="AC16" s="43">
        <v>1500</v>
      </c>
      <c r="AD16" s="43"/>
      <c r="AE16" s="43">
        <v>1500</v>
      </c>
    </row>
    <row r="17" spans="6:31">
      <c r="F17" s="29"/>
      <c r="G17" s="29"/>
      <c r="H17" s="29"/>
      <c r="I17" s="29"/>
      <c r="J17" s="29"/>
      <c r="L17" s="29">
        <v>12</v>
      </c>
      <c r="M17" s="389">
        <f>1116+210</f>
        <v>1326</v>
      </c>
      <c r="N17" s="389">
        <f>51500</f>
        <v>51500</v>
      </c>
      <c r="O17" s="389">
        <v>47215</v>
      </c>
      <c r="P17" s="389">
        <v>48000</v>
      </c>
      <c r="Q17" s="298">
        <f>N17-3500-O17</f>
        <v>785</v>
      </c>
      <c r="R17" s="298">
        <f>N17-3500-P17</f>
        <v>0</v>
      </c>
      <c r="AB17" s="43" t="s">
        <v>692</v>
      </c>
      <c r="AC17" s="43">
        <v>200</v>
      </c>
      <c r="AD17" s="43"/>
      <c r="AE17" s="43"/>
    </row>
    <row r="18" spans="6:31">
      <c r="F18" s="43"/>
      <c r="G18" s="43"/>
      <c r="H18" s="29"/>
      <c r="I18" s="43"/>
      <c r="J18" s="29"/>
      <c r="L18" s="43">
        <v>16</v>
      </c>
      <c r="M18" s="298"/>
      <c r="N18" s="389">
        <f>51500</f>
        <v>51500</v>
      </c>
      <c r="O18" s="298">
        <v>43508</v>
      </c>
      <c r="P18" s="389">
        <v>48000</v>
      </c>
      <c r="Q18" s="298">
        <f>N18-3500-O18</f>
        <v>4492</v>
      </c>
      <c r="R18" s="298">
        <f t="shared" si="3"/>
        <v>0</v>
      </c>
      <c r="AB18" s="184" t="s">
        <v>693</v>
      </c>
      <c r="AC18" s="184">
        <f>SUM(AC14:AC17)</f>
        <v>52600</v>
      </c>
      <c r="AD18" s="184"/>
      <c r="AE18" s="184">
        <f>SUM(AE14:AE17)</f>
        <v>50500</v>
      </c>
    </row>
    <row r="19" spans="6:31">
      <c r="F19" s="43"/>
      <c r="G19" s="43"/>
      <c r="H19" s="29"/>
      <c r="I19" s="43"/>
      <c r="J19" s="29"/>
      <c r="L19" s="43">
        <v>20</v>
      </c>
      <c r="M19" s="298"/>
      <c r="N19" s="389">
        <f>51500</f>
        <v>51500</v>
      </c>
      <c r="O19" s="298">
        <v>46878</v>
      </c>
      <c r="P19" s="389">
        <v>48000</v>
      </c>
      <c r="Q19" s="298">
        <f>N19-3500-O19</f>
        <v>1122</v>
      </c>
      <c r="R19" s="298">
        <f t="shared" si="3"/>
        <v>0</v>
      </c>
      <c r="AB19" s="43" t="s">
        <v>694</v>
      </c>
      <c r="AC19" s="43">
        <v>54400</v>
      </c>
      <c r="AD19" s="43"/>
      <c r="AE19" s="43">
        <v>54400</v>
      </c>
    </row>
    <row r="20" spans="6:31">
      <c r="F20" s="43"/>
      <c r="G20" s="43"/>
      <c r="H20" s="29"/>
      <c r="I20" s="43"/>
      <c r="J20" s="29"/>
      <c r="L20" s="43">
        <v>25</v>
      </c>
      <c r="M20" s="298"/>
      <c r="N20" s="389">
        <f>51500</f>
        <v>51500</v>
      </c>
      <c r="O20" s="298">
        <v>48750</v>
      </c>
      <c r="P20" s="389">
        <v>48000</v>
      </c>
      <c r="Q20" s="298">
        <f>N20-3500-O20</f>
        <v>-750</v>
      </c>
      <c r="R20" s="298">
        <f t="shared" si="3"/>
        <v>0</v>
      </c>
      <c r="AB20" s="43" t="s">
        <v>695</v>
      </c>
      <c r="AC20" s="43">
        <v>1850</v>
      </c>
      <c r="AD20" s="43"/>
      <c r="AE20" s="43">
        <v>3100</v>
      </c>
    </row>
    <row r="21" spans="6:31">
      <c r="F21" s="387"/>
      <c r="G21" s="387"/>
      <c r="H21" s="29"/>
      <c r="I21" s="387"/>
      <c r="J21" s="387"/>
      <c r="L21" s="43">
        <v>32</v>
      </c>
      <c r="M21" s="298">
        <v>64</v>
      </c>
      <c r="N21" s="389">
        <f>51500+1000</f>
        <v>52500</v>
      </c>
      <c r="O21" s="298">
        <v>45008</v>
      </c>
      <c r="P21" s="298">
        <f>P17+1500</f>
        <v>49500</v>
      </c>
      <c r="Q21" s="298">
        <f>N21-3500-O21</f>
        <v>3992</v>
      </c>
      <c r="R21" s="298">
        <f>N21-3500-P21</f>
        <v>-500</v>
      </c>
      <c r="AB21" s="468" t="s">
        <v>72</v>
      </c>
      <c r="AC21" s="468">
        <f>AC19-AC20-AC18</f>
        <v>-50</v>
      </c>
      <c r="AD21" s="468"/>
      <c r="AE21" s="468">
        <f>AE19-AE20-AE18</f>
        <v>800</v>
      </c>
    </row>
    <row r="22" spans="6:31">
      <c r="F22" s="43"/>
      <c r="G22" s="43"/>
      <c r="H22" s="43"/>
      <c r="I22" s="43"/>
      <c r="J22" s="43"/>
      <c r="L22" s="391" t="s">
        <v>180</v>
      </c>
      <c r="M22" s="392">
        <f>SUM(M15:M21)</f>
        <v>1390</v>
      </c>
      <c r="N22" s="392"/>
      <c r="O22" s="392">
        <f>SUMPRODUCT(O15:O21,$M$15:$M$21)/$M$22</f>
        <v>47113.382733812949</v>
      </c>
      <c r="P22" s="392">
        <f>SUMPRODUCT(P15:P21,$M$15:$M$21)/$M$22</f>
        <v>48069.064748201439</v>
      </c>
      <c r="Q22" s="392">
        <f>SUMPRODUCT(Q15:Q21,$M$15:$M$21)/$M$22</f>
        <v>932.66043165467624</v>
      </c>
      <c r="R22" s="392">
        <f>SUMPRODUCT(R15:R21,$M$15:$M$21)/$M$22</f>
        <v>-23.021582733812949</v>
      </c>
    </row>
    <row r="27" spans="6:31" ht="15.75">
      <c r="I27" s="393">
        <v>45946</v>
      </c>
      <c r="J27" s="393">
        <v>45962</v>
      </c>
      <c r="K27" s="393">
        <v>45992</v>
      </c>
      <c r="L27" s="393">
        <v>45995</v>
      </c>
      <c r="M27" s="393">
        <v>46006</v>
      </c>
      <c r="N27" s="393">
        <v>46009</v>
      </c>
      <c r="O27" s="393">
        <v>46013</v>
      </c>
      <c r="P27" s="393">
        <v>46020</v>
      </c>
      <c r="Q27" s="393">
        <v>46023</v>
      </c>
      <c r="R27" s="393">
        <v>46025</v>
      </c>
      <c r="S27" s="393">
        <v>46029</v>
      </c>
      <c r="T27" s="393">
        <v>46031</v>
      </c>
      <c r="U27" s="393">
        <v>46032</v>
      </c>
    </row>
    <row r="28" spans="6:31" ht="15.75">
      <c r="H28" t="s">
        <v>48</v>
      </c>
      <c r="I28" s="394">
        <v>47050</v>
      </c>
      <c r="J28" s="394">
        <v>46050</v>
      </c>
      <c r="K28" s="394">
        <v>46300</v>
      </c>
      <c r="L28" s="394">
        <v>47300</v>
      </c>
      <c r="M28" s="394">
        <v>47300</v>
      </c>
      <c r="N28" s="394">
        <v>47300</v>
      </c>
      <c r="O28" s="394">
        <v>48050</v>
      </c>
      <c r="P28" s="394">
        <v>48800</v>
      </c>
      <c r="Q28" s="394">
        <v>51400</v>
      </c>
      <c r="R28" s="394">
        <v>51400</v>
      </c>
      <c r="S28" s="394">
        <v>51400</v>
      </c>
      <c r="T28" s="394">
        <v>51400</v>
      </c>
      <c r="U28" s="394">
        <v>51400</v>
      </c>
      <c r="V28" s="33">
        <f>U28-I28</f>
        <v>4350</v>
      </c>
      <c r="W28" s="33">
        <f>54150-U28</f>
        <v>2750</v>
      </c>
    </row>
    <row r="29" spans="6:31" ht="15.75">
      <c r="H29" t="s">
        <v>141</v>
      </c>
      <c r="I29" s="394">
        <v>46050</v>
      </c>
      <c r="J29" s="394">
        <v>45050</v>
      </c>
      <c r="K29" s="394">
        <v>45050</v>
      </c>
      <c r="L29" s="394">
        <v>45550</v>
      </c>
      <c r="M29" s="394">
        <v>46050</v>
      </c>
      <c r="N29" s="394">
        <v>46050</v>
      </c>
      <c r="O29" s="394">
        <v>46800</v>
      </c>
      <c r="P29" s="394">
        <v>47800</v>
      </c>
      <c r="Q29" s="394">
        <v>50400</v>
      </c>
      <c r="R29" s="394">
        <v>49900</v>
      </c>
      <c r="S29" s="394">
        <v>49900</v>
      </c>
      <c r="T29" s="394">
        <v>49900</v>
      </c>
      <c r="U29" s="394">
        <v>51400</v>
      </c>
      <c r="V29" s="33">
        <f>U29-I29</f>
        <v>5350</v>
      </c>
      <c r="W29" s="33">
        <f>52900-U29</f>
        <v>1500</v>
      </c>
    </row>
    <row r="30" spans="6:31">
      <c r="Q30" s="33">
        <f>Q28-P28</f>
        <v>2600</v>
      </c>
    </row>
    <row r="31" spans="6:31">
      <c r="Q31" s="33">
        <f>Q29-P29</f>
        <v>2600</v>
      </c>
    </row>
    <row r="37" spans="7:19">
      <c r="H37" s="396"/>
      <c r="I37" s="391" t="s">
        <v>696</v>
      </c>
      <c r="J37" s="391" t="s">
        <v>697</v>
      </c>
      <c r="K37" s="391" t="s">
        <v>698</v>
      </c>
      <c r="L37" s="391" t="s">
        <v>699</v>
      </c>
      <c r="M37" s="391" t="s">
        <v>700</v>
      </c>
      <c r="N37" s="391" t="s">
        <v>701</v>
      </c>
      <c r="O37" s="391" t="s">
        <v>702</v>
      </c>
      <c r="P37" s="391" t="s">
        <v>703</v>
      </c>
      <c r="Q37" s="391" t="s">
        <v>704</v>
      </c>
    </row>
    <row r="38" spans="7:19">
      <c r="H38" s="398" t="s">
        <v>705</v>
      </c>
      <c r="I38" s="395">
        <v>0</v>
      </c>
      <c r="J38" s="395">
        <v>0</v>
      </c>
      <c r="K38" s="395">
        <f>J38</f>
        <v>0</v>
      </c>
      <c r="L38" s="395">
        <f>K38</f>
        <v>0</v>
      </c>
      <c r="M38" s="395">
        <f>L38+1000</f>
        <v>1000</v>
      </c>
      <c r="N38" s="395">
        <v>0</v>
      </c>
      <c r="O38" s="395">
        <f>750+1000</f>
        <v>1750</v>
      </c>
      <c r="P38" s="395">
        <f>2100+1500</f>
        <v>3600</v>
      </c>
      <c r="Q38" s="397">
        <f>SUM(I38:P38)</f>
        <v>6350</v>
      </c>
      <c r="S38" s="33">
        <f>M38+O38</f>
        <v>2750</v>
      </c>
    </row>
    <row r="39" spans="7:19">
      <c r="H39" s="398" t="s">
        <v>706</v>
      </c>
      <c r="I39" s="395">
        <v>0</v>
      </c>
      <c r="J39" s="395">
        <v>0</v>
      </c>
      <c r="K39" s="395">
        <f>J39</f>
        <v>0</v>
      </c>
      <c r="L39" s="395">
        <f>K39</f>
        <v>0</v>
      </c>
      <c r="M39" s="395">
        <v>1250</v>
      </c>
      <c r="N39" s="395">
        <v>0</v>
      </c>
      <c r="O39" s="395">
        <f>750+750</f>
        <v>1500</v>
      </c>
      <c r="P39" s="395">
        <v>2600</v>
      </c>
      <c r="Q39" s="397">
        <f>SUM(I39:P39)</f>
        <v>5350</v>
      </c>
    </row>
    <row r="40" spans="7:19">
      <c r="H40" s="398" t="s">
        <v>707</v>
      </c>
      <c r="I40" s="395"/>
      <c r="J40" s="395">
        <v>300</v>
      </c>
      <c r="K40" s="395"/>
      <c r="L40" s="395"/>
      <c r="M40" s="395"/>
      <c r="N40" s="395"/>
      <c r="O40" s="395"/>
      <c r="P40" s="395"/>
      <c r="Q40" s="397"/>
    </row>
    <row r="41" spans="7:19">
      <c r="H41" s="398" t="s">
        <v>708</v>
      </c>
      <c r="I41" s="395"/>
      <c r="J41" s="395">
        <v>0</v>
      </c>
      <c r="K41" s="395"/>
      <c r="L41" s="395"/>
      <c r="M41" s="395"/>
      <c r="N41" s="395"/>
      <c r="O41" s="395"/>
      <c r="P41" s="395"/>
      <c r="Q41" s="397"/>
    </row>
    <row r="43" spans="7:19">
      <c r="I43">
        <v>41500</v>
      </c>
      <c r="J43">
        <v>41800</v>
      </c>
      <c r="K43">
        <v>42100</v>
      </c>
    </row>
    <row r="44" spans="7:19">
      <c r="G44" t="s">
        <v>709</v>
      </c>
      <c r="H44" s="28" t="s">
        <v>707</v>
      </c>
      <c r="I44" s="383">
        <v>42383</v>
      </c>
      <c r="J44" s="383">
        <v>41705</v>
      </c>
      <c r="K44" s="383">
        <v>41055</v>
      </c>
      <c r="L44" s="383">
        <v>40927</v>
      </c>
      <c r="M44" s="383">
        <v>42289</v>
      </c>
      <c r="N44" s="383">
        <v>42211</v>
      </c>
      <c r="O44" s="383">
        <v>42962</v>
      </c>
      <c r="P44" s="383">
        <v>45973</v>
      </c>
      <c r="Q44" s="383">
        <f>P44-J44</f>
        <v>4268</v>
      </c>
    </row>
    <row r="45" spans="7:19">
      <c r="G45" t="s">
        <v>710</v>
      </c>
      <c r="I45">
        <v>42750</v>
      </c>
      <c r="J45">
        <v>42875</v>
      </c>
      <c r="K45">
        <v>41500</v>
      </c>
      <c r="L45" s="399">
        <v>42275</v>
      </c>
      <c r="M45" s="399">
        <v>44000</v>
      </c>
      <c r="N45">
        <v>42800</v>
      </c>
      <c r="O45">
        <v>44300</v>
      </c>
      <c r="P45">
        <v>47275</v>
      </c>
      <c r="Q45" s="383">
        <f>P45-J45</f>
        <v>4400</v>
      </c>
      <c r="R45">
        <f>P45-I46</f>
        <v>6375</v>
      </c>
    </row>
    <row r="46" spans="7:19">
      <c r="G46" t="s">
        <v>711</v>
      </c>
      <c r="I46" s="399">
        <v>40900</v>
      </c>
      <c r="J46" s="399">
        <v>41500</v>
      </c>
      <c r="K46" s="399">
        <v>40700</v>
      </c>
      <c r="L46">
        <v>40600</v>
      </c>
      <c r="M46">
        <v>41550</v>
      </c>
      <c r="N46">
        <v>41700</v>
      </c>
      <c r="O46">
        <v>42050</v>
      </c>
      <c r="P46">
        <v>44800</v>
      </c>
      <c r="Q46" s="383">
        <f>P46-J46</f>
        <v>3300</v>
      </c>
    </row>
    <row r="48" spans="7:19">
      <c r="I48">
        <v>43750</v>
      </c>
      <c r="J48">
        <v>43750</v>
      </c>
      <c r="K48">
        <v>43800</v>
      </c>
      <c r="L48">
        <v>44000</v>
      </c>
    </row>
    <row r="49" spans="7:19">
      <c r="G49" t="s">
        <v>709</v>
      </c>
      <c r="H49" s="28" t="s">
        <v>708</v>
      </c>
      <c r="I49" s="383">
        <v>43954</v>
      </c>
      <c r="J49" s="383">
        <v>43768</v>
      </c>
      <c r="K49" s="383">
        <v>43432</v>
      </c>
      <c r="L49" s="383">
        <v>43715</v>
      </c>
      <c r="M49" s="383">
        <v>44620</v>
      </c>
      <c r="N49" s="383">
        <v>44825</v>
      </c>
      <c r="O49" s="383">
        <v>45928</v>
      </c>
      <c r="P49" s="383">
        <v>49041</v>
      </c>
      <c r="Q49" s="383">
        <f>P49-J49</f>
        <v>5273</v>
      </c>
    </row>
    <row r="50" spans="7:19">
      <c r="G50" t="s">
        <v>710</v>
      </c>
      <c r="I50">
        <v>45150</v>
      </c>
      <c r="J50">
        <v>43800</v>
      </c>
      <c r="K50">
        <v>43800</v>
      </c>
      <c r="L50">
        <v>44500</v>
      </c>
      <c r="M50">
        <v>45200</v>
      </c>
      <c r="N50">
        <v>45700</v>
      </c>
      <c r="O50">
        <v>46500</v>
      </c>
      <c r="P50">
        <v>49050</v>
      </c>
      <c r="Q50" s="383">
        <f>P50-J50</f>
        <v>5250</v>
      </c>
    </row>
    <row r="51" spans="7:19">
      <c r="G51" t="s">
        <v>711</v>
      </c>
      <c r="I51">
        <v>43650</v>
      </c>
      <c r="J51">
        <v>43700</v>
      </c>
      <c r="K51">
        <v>43200</v>
      </c>
      <c r="L51">
        <v>42650</v>
      </c>
      <c r="M51">
        <v>44150</v>
      </c>
      <c r="N51">
        <v>44500</v>
      </c>
      <c r="O51">
        <v>45700</v>
      </c>
      <c r="P51">
        <v>48950</v>
      </c>
      <c r="Q51" s="383">
        <f>P51-J51</f>
        <v>5250</v>
      </c>
    </row>
    <row r="53" spans="7:19">
      <c r="L53" t="s">
        <v>712</v>
      </c>
      <c r="M53" s="391" t="s">
        <v>700</v>
      </c>
      <c r="N53" s="391" t="s">
        <v>701</v>
      </c>
      <c r="O53" s="391" t="s">
        <v>702</v>
      </c>
      <c r="P53" t="s">
        <v>713</v>
      </c>
      <c r="Q53" s="391" t="s">
        <v>703</v>
      </c>
      <c r="R53" t="s">
        <v>714</v>
      </c>
    </row>
    <row r="54" spans="7:19">
      <c r="K54" t="s">
        <v>715</v>
      </c>
      <c r="L54" s="399">
        <v>40927</v>
      </c>
      <c r="M54">
        <v>42289</v>
      </c>
      <c r="N54" s="404">
        <f>42211+400</f>
        <v>42611</v>
      </c>
      <c r="O54">
        <v>42962</v>
      </c>
      <c r="P54">
        <v>43800</v>
      </c>
      <c r="Q54" s="28">
        <f>P45</f>
        <v>47275</v>
      </c>
      <c r="R54">
        <v>48100</v>
      </c>
    </row>
    <row r="55" spans="7:19">
      <c r="K55" t="s">
        <v>716</v>
      </c>
      <c r="P55">
        <f>P54-L54</f>
        <v>2873</v>
      </c>
      <c r="R55">
        <f>R54-P54</f>
        <v>4300</v>
      </c>
      <c r="S55">
        <f>P55+R55</f>
        <v>7173</v>
      </c>
    </row>
    <row r="56" spans="7:19">
      <c r="L56" s="33">
        <f>L49</f>
        <v>43715</v>
      </c>
      <c r="M56" s="383">
        <v>44620</v>
      </c>
      <c r="N56" s="383">
        <v>44825</v>
      </c>
      <c r="O56" s="383">
        <v>45928</v>
      </c>
      <c r="P56" s="33">
        <v>46500</v>
      </c>
      <c r="Q56" s="383">
        <v>49041</v>
      </c>
      <c r="R56" s="33">
        <v>51500</v>
      </c>
    </row>
    <row r="57" spans="7:19">
      <c r="P57" s="33">
        <f>P56-L56</f>
        <v>2785</v>
      </c>
      <c r="R57">
        <f>R56-P56</f>
        <v>5000</v>
      </c>
      <c r="S57">
        <f>P57+R57</f>
        <v>7785</v>
      </c>
    </row>
    <row r="58" spans="7:19">
      <c r="K58" s="391"/>
      <c r="L58" s="400" t="s">
        <v>57</v>
      </c>
      <c r="M58" s="400" t="s">
        <v>700</v>
      </c>
      <c r="N58" s="400" t="s">
        <v>701</v>
      </c>
      <c r="O58" s="400" t="s">
        <v>702</v>
      </c>
      <c r="P58" s="400" t="s">
        <v>713</v>
      </c>
      <c r="Q58" s="400" t="s">
        <v>703</v>
      </c>
      <c r="R58" s="400" t="s">
        <v>717</v>
      </c>
      <c r="S58" s="403"/>
    </row>
    <row r="59" spans="7:19">
      <c r="K59" s="552" t="s">
        <v>718</v>
      </c>
      <c r="L59" s="401" t="s">
        <v>141</v>
      </c>
      <c r="M59" s="402">
        <f>M54-$L54</f>
        <v>1362</v>
      </c>
      <c r="N59" s="402">
        <f>N54-$L54</f>
        <v>1684</v>
      </c>
      <c r="O59" s="402">
        <f>O54-$L54</f>
        <v>2035</v>
      </c>
      <c r="P59" s="402">
        <f>P54-$L54</f>
        <v>2873</v>
      </c>
      <c r="Q59" s="402">
        <f>P45-L54</f>
        <v>6348</v>
      </c>
      <c r="R59" s="402">
        <f>R54-$L54</f>
        <v>7173</v>
      </c>
      <c r="S59" s="403"/>
    </row>
    <row r="60" spans="7:19">
      <c r="K60" s="552"/>
      <c r="L60" s="401" t="s">
        <v>48</v>
      </c>
      <c r="M60" s="402">
        <f>M56-$L56</f>
        <v>905</v>
      </c>
      <c r="N60" s="402">
        <f>N56-$L56</f>
        <v>1110</v>
      </c>
      <c r="O60" s="402">
        <f>O56-$L56</f>
        <v>2213</v>
      </c>
      <c r="P60" s="402">
        <f>P56-$L56</f>
        <v>2785</v>
      </c>
      <c r="Q60" s="402">
        <f>Q56-$L56</f>
        <v>5326</v>
      </c>
      <c r="R60" s="402">
        <f>R56-$L56</f>
        <v>7785</v>
      </c>
      <c r="S60" s="403"/>
    </row>
    <row r="61" spans="7:19">
      <c r="K61" s="552" t="s">
        <v>719</v>
      </c>
      <c r="L61" s="401" t="s">
        <v>141</v>
      </c>
      <c r="M61" s="402">
        <v>1000</v>
      </c>
      <c r="N61" s="402">
        <v>0</v>
      </c>
      <c r="O61" s="402">
        <v>2750</v>
      </c>
      <c r="P61" s="402">
        <v>2750</v>
      </c>
      <c r="Q61" s="402">
        <f>P61+3600</f>
        <v>6350</v>
      </c>
      <c r="R61" s="402">
        <f>Q61+1500</f>
        <v>7850</v>
      </c>
      <c r="S61" s="403"/>
    </row>
    <row r="62" spans="7:19">
      <c r="K62" s="552"/>
      <c r="L62" s="401" t="s">
        <v>48</v>
      </c>
      <c r="M62" s="402">
        <v>1250</v>
      </c>
      <c r="N62" s="402">
        <v>0</v>
      </c>
      <c r="O62" s="402">
        <f>1500+M62</f>
        <v>2750</v>
      </c>
      <c r="P62" s="402">
        <f>O62</f>
        <v>2750</v>
      </c>
      <c r="Q62" s="402">
        <f>P62+2600</f>
        <v>5350</v>
      </c>
      <c r="R62" s="402">
        <f>Q62+2750</f>
        <v>8100</v>
      </c>
      <c r="S62" s="403"/>
    </row>
    <row r="63" spans="7:19">
      <c r="L63" s="173"/>
      <c r="M63" s="173"/>
      <c r="N63" s="173"/>
      <c r="O63" s="173"/>
      <c r="P63" s="173"/>
      <c r="Q63" s="173"/>
      <c r="R63" s="173"/>
    </row>
  </sheetData>
  <mergeCells count="8">
    <mergeCell ref="BC2:BK2"/>
    <mergeCell ref="AW2:BB2"/>
    <mergeCell ref="K61:K62"/>
    <mergeCell ref="G2:J2"/>
    <mergeCell ref="G13:J13"/>
    <mergeCell ref="M2:R2"/>
    <mergeCell ref="M13:R13"/>
    <mergeCell ref="K59:K60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AEB9-0D06-4F80-ACAA-78327D9F7C1C}">
  <dimension ref="A1:XFD54"/>
  <sheetViews>
    <sheetView workbookViewId="0">
      <pane ySplit="2" topLeftCell="A21" activePane="bottomLeft" state="frozen"/>
      <selection pane="bottomLeft" activeCell="N15" sqref="N15"/>
    </sheetView>
  </sheetViews>
  <sheetFormatPr defaultColWidth="15.85546875" defaultRowHeight="15"/>
  <cols>
    <col min="1" max="1" width="46.140625" customWidth="1"/>
    <col min="2" max="2" width="15.28515625" customWidth="1"/>
    <col min="3" max="3" width="13.85546875" customWidth="1"/>
    <col min="4" max="4" width="10.42578125" customWidth="1"/>
    <col min="5" max="5" width="13" customWidth="1"/>
    <col min="6" max="10" width="10.7109375" customWidth="1"/>
    <col min="11" max="13" width="15.140625" customWidth="1"/>
    <col min="14" max="14" width="15.5703125" customWidth="1"/>
    <col min="15" max="15" width="23.140625" customWidth="1"/>
    <col min="16" max="16" width="17.140625" customWidth="1"/>
    <col min="17" max="17" width="15.140625" customWidth="1"/>
    <col min="18" max="18" width="19.5703125" style="27" customWidth="1"/>
    <col min="19" max="19" width="15" customWidth="1"/>
    <col min="20" max="20" width="22.5703125" bestFit="1" customWidth="1"/>
    <col min="21" max="21" width="25.28515625" bestFit="1" customWidth="1"/>
  </cols>
  <sheetData>
    <row r="1" spans="1:22">
      <c r="A1" s="81"/>
      <c r="B1" s="519" t="s">
        <v>0</v>
      </c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527"/>
      <c r="N1" s="527"/>
      <c r="O1" s="527"/>
      <c r="P1" s="527"/>
      <c r="Q1" s="527"/>
    </row>
    <row r="2" spans="1:22">
      <c r="A2" s="82" t="s">
        <v>1</v>
      </c>
      <c r="B2" s="470" t="s">
        <v>2</v>
      </c>
      <c r="C2" s="470" t="s">
        <v>3</v>
      </c>
      <c r="D2" s="470" t="s">
        <v>4</v>
      </c>
      <c r="E2" s="470" t="s">
        <v>5</v>
      </c>
      <c r="F2" s="470" t="s">
        <v>6</v>
      </c>
      <c r="G2" s="470" t="s">
        <v>7</v>
      </c>
      <c r="H2" s="470" t="s">
        <v>8</v>
      </c>
      <c r="I2" s="470" t="s">
        <v>9</v>
      </c>
      <c r="J2" s="470" t="s">
        <v>10</v>
      </c>
      <c r="K2" s="470" t="s">
        <v>11</v>
      </c>
      <c r="L2" s="470" t="s">
        <v>12</v>
      </c>
      <c r="M2" s="470" t="s">
        <v>13</v>
      </c>
      <c r="N2" s="470" t="s">
        <v>14</v>
      </c>
      <c r="O2" s="470" t="s">
        <v>15</v>
      </c>
      <c r="P2" s="470" t="s">
        <v>16</v>
      </c>
      <c r="Q2" s="471" t="s">
        <v>17</v>
      </c>
    </row>
    <row r="3" spans="1:22">
      <c r="A3" s="83">
        <v>46082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7"/>
      <c r="Q3" s="36"/>
    </row>
    <row r="4" spans="1:22">
      <c r="A4" s="83">
        <v>46083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7"/>
      <c r="Q4" s="36"/>
    </row>
    <row r="5" spans="1:22">
      <c r="A5" s="83">
        <v>46084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7"/>
      <c r="Q5" s="36"/>
      <c r="T5" s="27"/>
      <c r="U5" s="27"/>
      <c r="V5" s="27"/>
    </row>
    <row r="6" spans="1:22">
      <c r="A6" s="83">
        <v>46085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7"/>
      <c r="Q6" s="36"/>
      <c r="T6" s="27"/>
      <c r="U6" s="27"/>
      <c r="V6" s="27"/>
    </row>
    <row r="7" spans="1:22">
      <c r="A7" s="83">
        <v>46086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7"/>
      <c r="Q7" s="36"/>
      <c r="R7" s="455"/>
      <c r="T7" s="27"/>
      <c r="U7" s="27"/>
      <c r="V7" s="27"/>
    </row>
    <row r="8" spans="1:22">
      <c r="A8" s="83">
        <v>46087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7"/>
      <c r="Q8" s="36"/>
      <c r="T8" s="27"/>
      <c r="U8" s="27"/>
      <c r="V8" s="27"/>
    </row>
    <row r="9" spans="1:22">
      <c r="A9" s="83">
        <v>46088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7"/>
      <c r="Q9" s="36"/>
      <c r="T9" s="27"/>
      <c r="U9" s="27"/>
      <c r="V9" s="27"/>
    </row>
    <row r="10" spans="1:22">
      <c r="A10" s="83">
        <v>46089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7"/>
      <c r="Q10" s="36"/>
    </row>
    <row r="11" spans="1:22">
      <c r="A11" s="83">
        <v>46090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7"/>
      <c r="Q11" s="36"/>
      <c r="R11" s="456"/>
    </row>
    <row r="12" spans="1:22">
      <c r="A12" s="83">
        <v>46091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  <c r="Q12" s="36"/>
      <c r="V12" s="472">
        <f ca="1">TODAY()-15</f>
        <v>46109</v>
      </c>
    </row>
    <row r="13" spans="1:22">
      <c r="A13" s="83">
        <v>46092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7"/>
      <c r="Q13" s="36"/>
      <c r="S13" s="33"/>
    </row>
    <row r="14" spans="1:22">
      <c r="A14" s="83">
        <v>46093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7"/>
      <c r="Q14" s="36"/>
      <c r="S14" s="33"/>
      <c r="T14" s="33"/>
    </row>
    <row r="15" spans="1:22">
      <c r="A15" s="83">
        <v>46094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7"/>
      <c r="Q15" s="36"/>
      <c r="R15" s="175"/>
      <c r="S15" s="33"/>
      <c r="T15" s="33"/>
    </row>
    <row r="16" spans="1:22">
      <c r="A16" s="83">
        <v>46095</v>
      </c>
      <c r="B16" s="36">
        <f>_xlfn.XLOOKUP(A16,'steel Mint data'!A:A,'steel Mint data'!B:B,"",0)</f>
        <v>50200</v>
      </c>
      <c r="C16" s="36"/>
      <c r="D16" s="36"/>
      <c r="E16" s="36">
        <f>_xlfn.XLOOKUP(A16,'steel Mint data'!A:A,'steel Mint data'!D:D,"",0)</f>
        <v>51400</v>
      </c>
      <c r="F16" s="36">
        <f>_xlfn.XLOOKUP(A16,'steel Mint data'!A:A,'steel Mint data'!E:E,"",0)</f>
        <v>46800</v>
      </c>
      <c r="G16" s="36"/>
      <c r="H16" s="36"/>
      <c r="I16" s="36">
        <f>_xlfn.XLOOKUP(A16,'steel Mint data'!A:A,'steel Mint data'!I:I,"",0)</f>
        <v>49400</v>
      </c>
      <c r="J16" s="36"/>
      <c r="K16" s="36">
        <f>_xlfn.XLOOKUP(A16,'steel Mint data'!A:A,'steel Mint data'!L:L,"",0)</f>
        <v>49200</v>
      </c>
      <c r="L16" s="36"/>
      <c r="M16" s="36"/>
      <c r="N16" s="36"/>
      <c r="O16" s="36"/>
      <c r="P16" s="37">
        <f>_xlfn.XLOOKUP(A16,'steel Mint data'!A:A,'steel Mint data'!Q:Q,"",0)</f>
        <v>45800</v>
      </c>
      <c r="Q16" s="36">
        <f>_xlfn.XLOOKUP(A16,'steel Mint data'!A:A,'steel Mint data'!R:R,"",0)</f>
        <v>46000</v>
      </c>
      <c r="S16" s="33"/>
      <c r="T16" s="33"/>
    </row>
    <row r="17" spans="1:20">
      <c r="A17" s="83">
        <v>46096</v>
      </c>
      <c r="B17" s="36" t="str">
        <f>_xlfn.XLOOKUP(A17,'steel Mint data'!A:A,'steel Mint data'!B:B,"",0)</f>
        <v>H</v>
      </c>
      <c r="C17" s="36"/>
      <c r="D17" s="36"/>
      <c r="E17" s="36" t="str">
        <f>_xlfn.XLOOKUP(A17,'steel Mint data'!A:A,'steel Mint data'!D:D,"",0)</f>
        <v>H</v>
      </c>
      <c r="F17" s="36" t="str">
        <f>_xlfn.XLOOKUP(A17,'steel Mint data'!A:A,'steel Mint data'!E:E,"",0)</f>
        <v>H</v>
      </c>
      <c r="G17" s="36"/>
      <c r="H17" s="36"/>
      <c r="I17" s="36" t="str">
        <f>_xlfn.XLOOKUP(A17,'steel Mint data'!A:A,'steel Mint data'!I:I,"",0)</f>
        <v>H</v>
      </c>
      <c r="J17" s="36"/>
      <c r="K17" s="36" t="str">
        <f>_xlfn.XLOOKUP(A17,'steel Mint data'!A:A,'steel Mint data'!L:L,"",0)</f>
        <v>H</v>
      </c>
      <c r="L17" s="36"/>
      <c r="M17" s="36"/>
      <c r="N17" s="36"/>
      <c r="O17" s="36"/>
      <c r="P17" s="37" t="str">
        <f>_xlfn.XLOOKUP(A17,'steel Mint data'!A:A,'steel Mint data'!Q:Q,"",0)</f>
        <v>H</v>
      </c>
      <c r="Q17" s="36" t="str">
        <f>_xlfn.XLOOKUP(A17,'steel Mint data'!A:A,'steel Mint data'!R:R,"",0)</f>
        <v>H</v>
      </c>
      <c r="S17" s="33"/>
    </row>
    <row r="18" spans="1:20">
      <c r="A18" s="83">
        <v>46097</v>
      </c>
      <c r="B18" s="36">
        <f>_xlfn.XLOOKUP(A18,'steel Mint data'!A:A,'steel Mint data'!B:B,"",0)</f>
        <v>50300</v>
      </c>
      <c r="C18" s="36"/>
      <c r="D18" s="36"/>
      <c r="E18" s="36">
        <f>_xlfn.XLOOKUP(A18,'steel Mint data'!A:A,'steel Mint data'!D:D,"",0)</f>
        <v>50750</v>
      </c>
      <c r="F18" s="36">
        <f>_xlfn.XLOOKUP(A18,'steel Mint data'!A:A,'steel Mint data'!E:E,"",0)</f>
        <v>46900</v>
      </c>
      <c r="G18" s="36"/>
      <c r="H18" s="36"/>
      <c r="I18" s="36">
        <f>_xlfn.XLOOKUP(A18,'steel Mint data'!A:A,'steel Mint data'!I:I,"",0)</f>
        <v>49500</v>
      </c>
      <c r="J18" s="36"/>
      <c r="K18" s="36">
        <f>_xlfn.XLOOKUP(A18,'steel Mint data'!A:A,'steel Mint data'!L:L,"",0)</f>
        <v>49400</v>
      </c>
      <c r="L18" s="36"/>
      <c r="M18" s="36"/>
      <c r="N18" s="36"/>
      <c r="O18" s="36"/>
      <c r="P18" s="37">
        <f>_xlfn.XLOOKUP(A18,'steel Mint data'!A:A,'steel Mint data'!Q:Q,"",0)</f>
        <v>46200</v>
      </c>
      <c r="Q18" s="36">
        <f>_xlfn.XLOOKUP(A18,'steel Mint data'!A:A,'steel Mint data'!R:R,"",0)</f>
        <v>46000</v>
      </c>
      <c r="S18" s="33"/>
      <c r="T18" s="33"/>
    </row>
    <row r="19" spans="1:20">
      <c r="A19" s="83"/>
      <c r="B19" s="15">
        <f>SUM(B3:B18)</f>
        <v>100500</v>
      </c>
      <c r="C19" s="14"/>
      <c r="D19" s="14"/>
      <c r="E19" s="15">
        <f>SUM(E3:E18)</f>
        <v>102150</v>
      </c>
      <c r="F19" s="15">
        <f>SUM(F3:F18)</f>
        <v>93700</v>
      </c>
      <c r="G19" s="14"/>
      <c r="H19" s="14"/>
      <c r="I19" s="15">
        <f>SUM(I3:I18)</f>
        <v>98900</v>
      </c>
      <c r="J19" s="14"/>
      <c r="K19" s="15">
        <f>SUM(K3:K18)</f>
        <v>98600</v>
      </c>
      <c r="L19" s="14"/>
      <c r="M19" s="14"/>
      <c r="N19" s="14"/>
      <c r="O19" s="14"/>
      <c r="P19" s="15">
        <f>SUM(P3:P18)</f>
        <v>92000</v>
      </c>
      <c r="Q19" s="15">
        <f>SUM(Q3:Q18)</f>
        <v>92000</v>
      </c>
      <c r="S19" s="33"/>
      <c r="T19" s="33"/>
    </row>
    <row r="20" spans="1:20" ht="37.5">
      <c r="A20" s="14"/>
      <c r="B20" s="16" t="s">
        <v>18</v>
      </c>
      <c r="C20" s="16" t="s">
        <v>19</v>
      </c>
      <c r="D20" s="16" t="s">
        <v>20</v>
      </c>
      <c r="E20" s="16" t="s">
        <v>21</v>
      </c>
      <c r="F20" s="16" t="s">
        <v>22</v>
      </c>
      <c r="G20" s="16" t="s">
        <v>23</v>
      </c>
      <c r="H20" s="16" t="s">
        <v>39</v>
      </c>
      <c r="I20" s="16" t="s">
        <v>46</v>
      </c>
      <c r="J20" s="16" t="s">
        <v>126</v>
      </c>
      <c r="K20" s="282" t="s">
        <v>23</v>
      </c>
      <c r="L20" s="282" t="s">
        <v>147</v>
      </c>
      <c r="M20" s="282" t="s">
        <v>720</v>
      </c>
      <c r="N20" s="19"/>
      <c r="O20" s="14"/>
      <c r="P20" s="21"/>
      <c r="Q20" s="14"/>
      <c r="R20" s="407">
        <f>E14-800+3900+3000</f>
        <v>6100</v>
      </c>
      <c r="S20" s="33"/>
      <c r="T20" s="33"/>
    </row>
    <row r="21" spans="1:20">
      <c r="A21" s="462" t="s">
        <v>165</v>
      </c>
      <c r="B21" s="458">
        <f ca="1">AVERAGEIFS('steel Mint data'!D:D, 'steel Mint data'!A:A, "&gt;="&amp;TODAY()-15, 'steel Mint data'!A:A, "&lt;="&amp;TODAY())</f>
        <v>52783.333333333336</v>
      </c>
      <c r="C21" s="458">
        <f ca="1">AVERAGEIFS('steel Mint data'!Q:Q, 'steel Mint data'!A:A, "&gt;="&amp;TODAY()-15, 'steel Mint data'!A:A, "&lt;="&amp;TODAY())</f>
        <v>47741.666666666664</v>
      </c>
      <c r="D21" s="458">
        <f ca="1">AVERAGEIFS('steel Mint data'!L:L, 'steel Mint data'!A:A, "&gt;="&amp;TODAY()-15, 'steel Mint data'!A:A, "&lt;="&amp;TODAY())</f>
        <v>51991.666666666664</v>
      </c>
      <c r="E21" s="458">
        <f ca="1">AVERAGEIFS('steel Mint data'!R:R, 'steel Mint data'!A:A, "&gt;="&amp;TODAY()-15, 'steel Mint data'!A:A, "&lt;="&amp;TODAY())</f>
        <v>47508.333333333336</v>
      </c>
      <c r="F21" s="458">
        <f ca="1">AVERAGEIFS('steel Mint data'!Q:Q, 'steel Mint data'!A:A, "&gt;="&amp;TODAY()-15, 'steel Mint data'!A:A, "&lt;="&amp;TODAY())</f>
        <v>47741.666666666664</v>
      </c>
      <c r="G21" s="458">
        <f ca="1">B21-800</f>
        <v>51983.333333333336</v>
      </c>
      <c r="H21" s="458">
        <f ca="1">AVERAGEIFS('steel Mint data'!I:I, 'steel Mint data'!A:A, "&gt;="&amp;TODAY()-15, 'steel Mint data'!A:A, "&lt;="&amp;TODAY())</f>
        <v>51083.333333333336</v>
      </c>
      <c r="I21" s="458">
        <f ca="1">AVERAGEIFS('steel Mint data'!B:B, 'steel Mint data'!A:A, "&gt;="&amp;TODAY()-15, 'steel Mint data'!A:A, "&lt;="&amp;TODAY())</f>
        <v>53691.666666666664</v>
      </c>
      <c r="J21" s="458">
        <f ca="1">AVERAGEIFS('steel Mint data'!E:E, 'steel Mint data'!A:A, "&gt;="&amp;TODAY()-15, 'steel Mint data'!A:A, "&lt;="&amp;TODAY())</f>
        <v>47191.666666666664</v>
      </c>
      <c r="K21" s="459">
        <f ca="1">B21-800</f>
        <v>51983.333333333336</v>
      </c>
      <c r="L21" s="459">
        <f ca="1">AVERAGEIFS('steel Mint data'!Q:Q, 'steel Mint data'!A:A, "&gt;="&amp;TODAY()-15, 'steel Mint data'!A:A, "&lt;="&amp;TODAY())</f>
        <v>47741.666666666664</v>
      </c>
      <c r="M21" s="282"/>
      <c r="N21" s="19"/>
      <c r="O21" s="14"/>
      <c r="P21" s="21"/>
      <c r="Q21" s="14"/>
      <c r="S21" s="33"/>
      <c r="T21" s="33"/>
    </row>
    <row r="22" spans="1:20">
      <c r="A22" s="17" t="s">
        <v>25</v>
      </c>
      <c r="B22" s="18">
        <v>47460</v>
      </c>
      <c r="C22" s="18">
        <v>44084</v>
      </c>
      <c r="D22" s="18">
        <v>48493</v>
      </c>
      <c r="E22" s="18">
        <f>Q19/O22</f>
        <v>46000</v>
      </c>
      <c r="F22" s="18">
        <f>C22</f>
        <v>44084</v>
      </c>
      <c r="G22" s="18">
        <f>B22-800</f>
        <v>46660</v>
      </c>
      <c r="H22" s="18"/>
      <c r="I22" s="18">
        <v>48033</v>
      </c>
      <c r="J22" s="18"/>
      <c r="K22" s="283">
        <f>B22-800</f>
        <v>46660</v>
      </c>
      <c r="L22" s="283">
        <f>C22</f>
        <v>44084</v>
      </c>
      <c r="M22" s="459">
        <v>43914.91891891892</v>
      </c>
      <c r="N22" s="19"/>
      <c r="O22" s="463">
        <f>COUNT(E3:E18)</f>
        <v>2</v>
      </c>
      <c r="P22" s="21"/>
      <c r="Q22" s="465"/>
      <c r="R22" s="174"/>
      <c r="S22" s="174"/>
      <c r="T22" s="33"/>
    </row>
    <row r="23" spans="1:20">
      <c r="A23" s="17" t="s">
        <v>26</v>
      </c>
      <c r="B23" s="18">
        <v>1200</v>
      </c>
      <c r="C23" s="18">
        <v>2150</v>
      </c>
      <c r="D23" s="18">
        <v>400</v>
      </c>
      <c r="E23" s="18">
        <v>2200</v>
      </c>
      <c r="F23" s="18">
        <v>1800</v>
      </c>
      <c r="G23" s="18">
        <v>1200</v>
      </c>
      <c r="H23" s="18">
        <v>800</v>
      </c>
      <c r="I23" s="18">
        <v>0</v>
      </c>
      <c r="J23" s="18">
        <v>2700</v>
      </c>
      <c r="K23" s="283">
        <v>3200</v>
      </c>
      <c r="L23" s="283">
        <v>4235</v>
      </c>
      <c r="M23" s="282">
        <v>3250</v>
      </c>
      <c r="P23" s="175"/>
      <c r="Q23" s="27"/>
      <c r="S23" s="27"/>
    </row>
    <row r="24" spans="1:20">
      <c r="A24" s="17" t="s">
        <v>27</v>
      </c>
      <c r="B24" s="18">
        <v>200</v>
      </c>
      <c r="C24" s="18">
        <v>265</v>
      </c>
      <c r="D24" s="18">
        <v>250</v>
      </c>
      <c r="E24" s="18">
        <v>275</v>
      </c>
      <c r="F24" s="18">
        <v>275</v>
      </c>
      <c r="G24" s="18">
        <v>200</v>
      </c>
      <c r="H24" s="18">
        <v>270</v>
      </c>
      <c r="I24" s="18">
        <v>200</v>
      </c>
      <c r="J24" s="18">
        <v>270</v>
      </c>
      <c r="K24" s="283">
        <v>200</v>
      </c>
      <c r="L24" s="283">
        <v>265</v>
      </c>
      <c r="M24" s="282">
        <v>250</v>
      </c>
      <c r="N24" s="33"/>
      <c r="O24" s="33"/>
      <c r="P24" s="27"/>
      <c r="Q24" s="27"/>
      <c r="S24" s="27">
        <f>57550-3800</f>
        <v>53750</v>
      </c>
    </row>
    <row r="25" spans="1:20">
      <c r="A25" s="17" t="s">
        <v>166</v>
      </c>
      <c r="B25" s="18">
        <v>500</v>
      </c>
      <c r="C25" s="18">
        <f>B25</f>
        <v>500</v>
      </c>
      <c r="D25" s="18">
        <f>B25</f>
        <v>500</v>
      </c>
      <c r="E25" s="18">
        <f>B25</f>
        <v>500</v>
      </c>
      <c r="F25" s="18">
        <v>500</v>
      </c>
      <c r="G25" s="18">
        <f>B25</f>
        <v>500</v>
      </c>
      <c r="H25" s="18">
        <f>B25</f>
        <v>500</v>
      </c>
      <c r="I25" s="18">
        <f>B25</f>
        <v>500</v>
      </c>
      <c r="J25" s="18">
        <f>B25</f>
        <v>500</v>
      </c>
      <c r="K25" s="283">
        <f>B25</f>
        <v>500</v>
      </c>
      <c r="L25" s="283">
        <v>500</v>
      </c>
      <c r="M25" s="282">
        <v>500</v>
      </c>
      <c r="N25" s="33"/>
      <c r="O25" s="33"/>
      <c r="P25" s="175"/>
      <c r="Q25" s="27"/>
      <c r="S25" s="27"/>
    </row>
    <row r="26" spans="1:20" ht="19.5" customHeight="1">
      <c r="A26" s="22" t="s">
        <v>28</v>
      </c>
      <c r="B26" s="461">
        <f>SUM(B22:B25)</f>
        <v>49360</v>
      </c>
      <c r="C26" s="461">
        <f>SUM(C22:C25)</f>
        <v>46999</v>
      </c>
      <c r="D26" s="461">
        <f>SUM(D22:D25)</f>
        <v>49643</v>
      </c>
      <c r="E26" s="461">
        <f t="shared" ref="E26:N26" si="0">SUM(E22:E25)</f>
        <v>48975</v>
      </c>
      <c r="F26" s="461">
        <f t="shared" si="0"/>
        <v>46659</v>
      </c>
      <c r="G26" s="461">
        <f t="shared" si="0"/>
        <v>48560</v>
      </c>
      <c r="H26" s="461">
        <f t="shared" si="0"/>
        <v>1570</v>
      </c>
      <c r="I26" s="461">
        <f t="shared" si="0"/>
        <v>48733</v>
      </c>
      <c r="J26" s="461">
        <f t="shared" si="0"/>
        <v>3470</v>
      </c>
      <c r="K26" s="461">
        <f>SUM(K22:K25)</f>
        <v>50560</v>
      </c>
      <c r="L26" s="461">
        <f>SUM(L22:L25)</f>
        <v>49084</v>
      </c>
      <c r="M26" s="461">
        <f>SUM(M22:M25)</f>
        <v>47914.91891891892</v>
      </c>
      <c r="N26" s="33"/>
      <c r="O26" s="33">
        <f>58000-3500-L26</f>
        <v>5416</v>
      </c>
      <c r="P26" s="175"/>
      <c r="Q26" s="27"/>
      <c r="R26" s="175">
        <f>F26+3100+2500</f>
        <v>52259</v>
      </c>
      <c r="S26" s="27"/>
    </row>
    <row r="27" spans="1:20" ht="26.25" customHeight="1">
      <c r="A27" s="457" t="s">
        <v>167</v>
      </c>
      <c r="B27" s="460">
        <f ca="1">B21+B23+B24+B25</f>
        <v>54683.333333333336</v>
      </c>
      <c r="C27" s="460">
        <f t="shared" ref="C27:L27" ca="1" si="1">C21+C23+C24+C25</f>
        <v>50656.666666666664</v>
      </c>
      <c r="D27" s="460">
        <f t="shared" ca="1" si="1"/>
        <v>53141.666666666664</v>
      </c>
      <c r="E27" s="460">
        <f t="shared" ca="1" si="1"/>
        <v>50483.333333333336</v>
      </c>
      <c r="F27" s="460">
        <f ca="1">F21+F23+F24+F25</f>
        <v>50316.666666666664</v>
      </c>
      <c r="G27" s="460">
        <f t="shared" ca="1" si="1"/>
        <v>53883.333333333336</v>
      </c>
      <c r="H27" s="460">
        <f t="shared" ca="1" si="1"/>
        <v>52653.333333333336</v>
      </c>
      <c r="I27" s="460">
        <f t="shared" ca="1" si="1"/>
        <v>54391.666666666664</v>
      </c>
      <c r="J27" s="460">
        <f t="shared" ca="1" si="1"/>
        <v>50661.666666666664</v>
      </c>
      <c r="K27" s="464">
        <f ca="1">K21+K23+K24+K25</f>
        <v>55883.333333333336</v>
      </c>
      <c r="L27" s="464">
        <f ca="1">L21+L23+L24+L25</f>
        <v>52741.666666666664</v>
      </c>
      <c r="M27" s="282"/>
      <c r="N27" s="33"/>
      <c r="O27" s="33"/>
      <c r="P27" s="175"/>
      <c r="Q27" s="27"/>
      <c r="S27" s="27"/>
    </row>
    <row r="28" spans="1:20">
      <c r="A28" s="22" t="s">
        <v>29</v>
      </c>
      <c r="B28" s="18">
        <v>45100</v>
      </c>
      <c r="C28" s="18">
        <v>42315</v>
      </c>
      <c r="D28" s="18">
        <v>46150</v>
      </c>
      <c r="E28" s="23"/>
      <c r="F28" s="18">
        <v>41975</v>
      </c>
      <c r="G28" s="18">
        <v>44300</v>
      </c>
      <c r="H28" s="18"/>
      <c r="I28" s="18">
        <v>44300</v>
      </c>
      <c r="J28" s="18">
        <f>38000+2700+270</f>
        <v>40970</v>
      </c>
      <c r="K28" s="270"/>
      <c r="L28" s="298"/>
      <c r="M28" s="33"/>
      <c r="N28" s="33"/>
      <c r="O28" s="33"/>
      <c r="P28" s="175"/>
      <c r="Q28" s="27"/>
      <c r="S28" s="27"/>
    </row>
    <row r="29" spans="1:20">
      <c r="A29" s="22" t="s">
        <v>30</v>
      </c>
      <c r="B29" s="18">
        <f>B26-B28</f>
        <v>4260</v>
      </c>
      <c r="C29" s="18">
        <f>C26-C28</f>
        <v>4684</v>
      </c>
      <c r="D29" s="18">
        <f>D26-D28</f>
        <v>3493</v>
      </c>
      <c r="E29" s="18">
        <f>E26-E28</f>
        <v>48975</v>
      </c>
      <c r="F29" s="18">
        <f>F26-F28</f>
        <v>4684</v>
      </c>
      <c r="G29" s="18">
        <f>G26-G28</f>
        <v>4260</v>
      </c>
      <c r="H29" s="18">
        <f>H26-H28</f>
        <v>1570</v>
      </c>
      <c r="I29" s="18">
        <f>I26-I28</f>
        <v>4433</v>
      </c>
      <c r="J29" s="18">
        <f>J26-J28</f>
        <v>-37500</v>
      </c>
      <c r="K29" s="174"/>
      <c r="L29" s="19"/>
      <c r="M29" s="146">
        <f ca="1">C27-F27</f>
        <v>340</v>
      </c>
      <c r="N29" s="33"/>
      <c r="O29" s="33"/>
      <c r="P29" s="175"/>
      <c r="Q29" s="27"/>
      <c r="S29" s="27"/>
    </row>
    <row r="30" spans="1:20">
      <c r="A30" s="14"/>
      <c r="B30" s="19"/>
      <c r="C30" s="14"/>
      <c r="D30" s="14"/>
      <c r="E30" s="14"/>
      <c r="F30" s="14"/>
      <c r="G30" s="19">
        <f>G28-2500</f>
        <v>41800</v>
      </c>
      <c r="H30" s="14"/>
      <c r="I30" s="14"/>
      <c r="J30" s="14"/>
      <c r="K30" s="174">
        <f ca="1">B26-B27</f>
        <v>-5323.3333333333358</v>
      </c>
      <c r="L30" s="19">
        <f ca="1">C26-C27</f>
        <v>-3657.6666666666642</v>
      </c>
      <c r="M30" s="146"/>
      <c r="N30" s="175"/>
      <c r="O30" s="488"/>
      <c r="P30" s="490"/>
      <c r="Q30" s="27"/>
      <c r="S30" s="27"/>
    </row>
    <row r="31" spans="1:20">
      <c r="A31" s="22" t="s">
        <v>31</v>
      </c>
      <c r="B31" s="23">
        <v>48300</v>
      </c>
      <c r="C31" s="23">
        <v>45550</v>
      </c>
      <c r="D31" s="18">
        <v>48800</v>
      </c>
      <c r="E31" s="18">
        <v>45550</v>
      </c>
      <c r="F31" s="18">
        <v>45550</v>
      </c>
      <c r="G31" s="18">
        <v>47500</v>
      </c>
      <c r="H31" s="18">
        <v>47800</v>
      </c>
      <c r="I31" s="18">
        <v>48300</v>
      </c>
      <c r="J31" s="18"/>
      <c r="K31" s="174"/>
      <c r="L31" s="48"/>
      <c r="M31" s="146"/>
      <c r="N31" s="175"/>
      <c r="O31" s="33"/>
      <c r="P31" s="264"/>
      <c r="Q31" s="27"/>
      <c r="S31" s="27"/>
    </row>
    <row r="32" spans="1:20">
      <c r="A32" s="22" t="s">
        <v>32</v>
      </c>
      <c r="B32" s="26">
        <f>B31-500-(200+300+300)-250-400</f>
        <v>46350</v>
      </c>
      <c r="C32" s="26">
        <f>C31-500-(200+300+300)-250-400</f>
        <v>43600</v>
      </c>
      <c r="D32" s="26">
        <f>D31-500-(200+300+300)-250-400</f>
        <v>46850</v>
      </c>
      <c r="E32" s="26">
        <f>E31-500-(200+300+300)-250-400</f>
        <v>43600</v>
      </c>
      <c r="F32" s="26">
        <f>F31-500-(200+300+300)-250-400</f>
        <v>43600</v>
      </c>
      <c r="G32" s="26">
        <f>G31-500-(200+300+300)-250-400</f>
        <v>45550</v>
      </c>
      <c r="H32" s="26">
        <f>H31-500-(200+300+300)-250-400</f>
        <v>45850</v>
      </c>
      <c r="I32" s="26">
        <f>I31-500-(200+300+300)-250-400</f>
        <v>46350</v>
      </c>
      <c r="J32" s="269"/>
      <c r="K32" s="174"/>
      <c r="L32" s="33"/>
      <c r="M32" s="19"/>
      <c r="N32" s="19"/>
      <c r="O32" s="19"/>
      <c r="P32" s="264"/>
      <c r="Q32" s="27"/>
      <c r="S32" s="27"/>
    </row>
    <row r="33" spans="1:25 16384:16384">
      <c r="A33" s="25" t="s">
        <v>33</v>
      </c>
      <c r="B33" s="18">
        <f>B32-B26</f>
        <v>-3010</v>
      </c>
      <c r="C33" s="18">
        <f>C32-C26</f>
        <v>-3399</v>
      </c>
      <c r="D33" s="18">
        <f>D32-D26</f>
        <v>-2793</v>
      </c>
      <c r="E33" s="18">
        <f>E32-E26</f>
        <v>-5375</v>
      </c>
      <c r="F33" s="18">
        <f>F32-F26</f>
        <v>-3059</v>
      </c>
      <c r="G33" s="18">
        <f>G32-G26</f>
        <v>-3010</v>
      </c>
      <c r="H33" s="18">
        <f>H32-H26</f>
        <v>44280</v>
      </c>
      <c r="I33" s="18">
        <f>I32-I26</f>
        <v>-2383</v>
      </c>
      <c r="J33" s="270"/>
      <c r="K33" s="174"/>
      <c r="L33" s="48"/>
      <c r="M33" s="14"/>
      <c r="N33" s="19"/>
      <c r="O33" s="14"/>
      <c r="P33" s="264"/>
      <c r="Q33" s="473"/>
      <c r="R33" s="474"/>
      <c r="S33" s="27"/>
    </row>
    <row r="34" spans="1:25 16384:16384" ht="10.5" customHeight="1">
      <c r="I34" s="33"/>
      <c r="J34" s="49"/>
      <c r="K34" s="48"/>
      <c r="L34" s="48"/>
      <c r="M34" s="14"/>
      <c r="N34" s="19"/>
      <c r="O34" s="19"/>
      <c r="P34" s="264"/>
      <c r="Q34" s="27"/>
      <c r="R34" s="27">
        <v>182.5</v>
      </c>
      <c r="S34" s="27">
        <v>182.5</v>
      </c>
      <c r="V34" s="137"/>
      <c r="W34" s="14"/>
      <c r="X34" s="48"/>
      <c r="Y34" s="48"/>
    </row>
    <row r="35" spans="1:25 16384:16384">
      <c r="A35" s="28" t="s">
        <v>141</v>
      </c>
      <c r="B35" s="380">
        <f>52250+750</f>
        <v>53000</v>
      </c>
      <c r="C35" s="380">
        <v>51000</v>
      </c>
      <c r="D35" s="380">
        <v>53500</v>
      </c>
      <c r="E35" s="380"/>
      <c r="F35" s="380">
        <v>51000</v>
      </c>
      <c r="G35" s="380">
        <f>B35-750</f>
        <v>52250</v>
      </c>
      <c r="H35" s="380"/>
      <c r="I35" s="380"/>
      <c r="J35" s="381">
        <f>C35</f>
        <v>51000</v>
      </c>
      <c r="K35" s="382"/>
      <c r="L35" s="382"/>
      <c r="M35" s="14"/>
      <c r="N35" s="475"/>
      <c r="O35" s="266"/>
      <c r="P35" s="264"/>
      <c r="Q35" s="27"/>
      <c r="R35" s="27" t="s">
        <v>141</v>
      </c>
      <c r="S35" s="27" t="s">
        <v>48</v>
      </c>
      <c r="V35" s="137"/>
      <c r="W35" s="14"/>
      <c r="X35" s="48"/>
      <c r="Y35" s="48"/>
    </row>
    <row r="36" spans="1:25 16384:16384" ht="15.75" customHeight="1">
      <c r="A36" s="28" t="s">
        <v>144</v>
      </c>
      <c r="B36" s="383"/>
      <c r="C36" s="383"/>
      <c r="D36" s="383"/>
      <c r="E36" s="384"/>
      <c r="F36" s="383"/>
      <c r="G36" s="383"/>
      <c r="H36" s="383"/>
      <c r="I36" s="380">
        <v>53000</v>
      </c>
      <c r="J36" s="382"/>
      <c r="K36" s="385">
        <v>53750</v>
      </c>
      <c r="L36" s="381"/>
      <c r="M36" s="14"/>
      <c r="N36" s="489"/>
      <c r="O36" s="476"/>
      <c r="P36" s="27"/>
      <c r="Q36" s="264" t="s">
        <v>168</v>
      </c>
      <c r="R36" s="491">
        <v>46943</v>
      </c>
      <c r="S36" s="264">
        <v>48717</v>
      </c>
      <c r="V36" s="137"/>
      <c r="W36" s="14"/>
      <c r="X36" s="48"/>
      <c r="Y36" s="48"/>
      <c r="XFD36" s="96" t="s">
        <v>68</v>
      </c>
    </row>
    <row r="37" spans="1:25 16384:16384">
      <c r="C37" s="52"/>
      <c r="D37" s="118"/>
      <c r="E37" s="118"/>
      <c r="F37" s="58"/>
      <c r="G37" s="118"/>
      <c r="H37" s="118"/>
      <c r="Q37" t="s">
        <v>169</v>
      </c>
      <c r="R37" s="27">
        <v>500</v>
      </c>
      <c r="S37">
        <v>500</v>
      </c>
    </row>
    <row r="38" spans="1:25 16384:16384">
      <c r="A38" s="28" t="s">
        <v>141</v>
      </c>
      <c r="B38" s="380">
        <v>53500</v>
      </c>
      <c r="C38" s="380">
        <v>51000</v>
      </c>
      <c r="D38" s="380">
        <v>54000</v>
      </c>
      <c r="E38" s="380"/>
      <c r="F38" s="380"/>
      <c r="G38" s="380">
        <f>B38-800</f>
        <v>52700</v>
      </c>
      <c r="H38" s="380"/>
      <c r="I38" s="380"/>
      <c r="J38" s="380"/>
      <c r="K38" s="380">
        <v>54000</v>
      </c>
      <c r="L38" s="380">
        <v>52000</v>
      </c>
      <c r="M38" s="380"/>
      <c r="O38" s="33"/>
      <c r="Q38" t="s">
        <v>155</v>
      </c>
      <c r="R38" s="27">
        <v>54750</v>
      </c>
      <c r="S38">
        <v>55750</v>
      </c>
    </row>
    <row r="39" spans="1:25 16384:16384">
      <c r="A39" s="28" t="s">
        <v>144</v>
      </c>
      <c r="B39" s="383"/>
      <c r="C39" s="383"/>
      <c r="D39" s="383"/>
      <c r="E39" s="384"/>
      <c r="F39" s="383"/>
      <c r="G39" s="383"/>
      <c r="H39" s="383"/>
      <c r="I39" s="380"/>
      <c r="J39" s="382"/>
      <c r="K39" s="385"/>
      <c r="L39" s="381"/>
      <c r="Q39" t="s">
        <v>170</v>
      </c>
      <c r="R39">
        <v>1500</v>
      </c>
      <c r="S39">
        <v>1500</v>
      </c>
    </row>
    <row r="40" spans="1:25 16384:16384">
      <c r="Q40" t="s">
        <v>171</v>
      </c>
      <c r="R40">
        <f>R38-R39-R37-R36</f>
        <v>5807</v>
      </c>
      <c r="S40">
        <f>S38-S39-S37-S36</f>
        <v>5033</v>
      </c>
    </row>
    <row r="41" spans="1:25 16384:16384">
      <c r="Q41" t="s">
        <v>172</v>
      </c>
      <c r="R41" s="27">
        <f>R40-1500</f>
        <v>4307</v>
      </c>
      <c r="S41" s="27">
        <f>S40-1500</f>
        <v>3533</v>
      </c>
    </row>
    <row r="42" spans="1:25 16384:16384">
      <c r="S42">
        <f>SUMPRODUCT(R40:S40,R34:S34)/SUM(R34:S34)</f>
        <v>5420</v>
      </c>
    </row>
    <row r="45" spans="1:25 16384:16384">
      <c r="R45" s="27">
        <f>SUMPRODUCT(R41:S41,R34:S34)/SUM(R34:S34)</f>
        <v>3920</v>
      </c>
    </row>
    <row r="47" spans="1:25 16384:16384">
      <c r="S47" s="33"/>
    </row>
    <row r="49" spans="3:12">
      <c r="C49" s="120"/>
      <c r="D49" s="120"/>
      <c r="E49" s="120"/>
      <c r="F49" s="120"/>
      <c r="G49" s="120"/>
      <c r="H49" s="120"/>
      <c r="I49" s="120"/>
      <c r="J49" s="120"/>
      <c r="K49" s="120"/>
      <c r="L49" s="120"/>
    </row>
    <row r="50" spans="3:12">
      <c r="C50" s="120"/>
      <c r="D50" s="121"/>
      <c r="E50" s="122"/>
      <c r="F50" s="122"/>
      <c r="G50" s="122"/>
      <c r="H50" s="122"/>
      <c r="I50" s="122"/>
      <c r="J50" s="122"/>
      <c r="K50" s="122"/>
      <c r="L50" s="122"/>
    </row>
    <row r="51" spans="3:12">
      <c r="C51" s="120"/>
      <c r="D51" s="121"/>
      <c r="E51" s="122"/>
      <c r="F51" s="122"/>
      <c r="G51" s="122"/>
      <c r="H51" s="122"/>
      <c r="I51" s="122"/>
      <c r="J51" s="122"/>
      <c r="K51" s="122"/>
      <c r="L51" s="122"/>
    </row>
    <row r="52" spans="3:12">
      <c r="C52" s="120"/>
      <c r="D52" s="121"/>
      <c r="E52" s="122"/>
      <c r="F52" s="122"/>
      <c r="G52" s="122"/>
      <c r="H52" s="122"/>
      <c r="I52" s="122"/>
      <c r="J52" s="122"/>
      <c r="K52" s="122"/>
      <c r="L52" s="122"/>
    </row>
    <row r="53" spans="3:12">
      <c r="C53" s="120"/>
      <c r="D53" s="121"/>
      <c r="E53" s="122"/>
      <c r="F53" s="122"/>
      <c r="G53" s="122"/>
      <c r="H53" s="122"/>
      <c r="I53" s="122"/>
      <c r="J53" s="122"/>
      <c r="K53" s="122"/>
      <c r="L53" s="122"/>
    </row>
    <row r="54" spans="3:12">
      <c r="C54" s="120"/>
      <c r="D54" s="120"/>
      <c r="E54" s="123"/>
      <c r="F54" s="123"/>
      <c r="G54" s="123"/>
      <c r="H54" s="123"/>
      <c r="I54" s="123"/>
      <c r="J54" s="123"/>
      <c r="K54" s="123"/>
      <c r="L54" s="123"/>
    </row>
  </sheetData>
  <mergeCells count="1">
    <mergeCell ref="B1:Q1"/>
  </mergeCells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FE8FC-EFD9-4657-B931-071672A5CA9B}">
  <dimension ref="G3:Q8"/>
  <sheetViews>
    <sheetView workbookViewId="0">
      <selection activeCell="N15" sqref="N15"/>
    </sheetView>
  </sheetViews>
  <sheetFormatPr defaultRowHeight="15"/>
  <cols>
    <col min="7" max="7" width="15.5703125" customWidth="1"/>
    <col min="13" max="13" width="15.42578125" customWidth="1"/>
  </cols>
  <sheetData>
    <row r="3" spans="7:17">
      <c r="N3" t="s">
        <v>154</v>
      </c>
      <c r="O3" t="s">
        <v>555</v>
      </c>
    </row>
    <row r="4" spans="7:17">
      <c r="H4" t="s">
        <v>154</v>
      </c>
      <c r="I4" t="s">
        <v>555</v>
      </c>
      <c r="M4" t="s">
        <v>721</v>
      </c>
      <c r="N4">
        <v>46515</v>
      </c>
      <c r="O4">
        <v>49750</v>
      </c>
    </row>
    <row r="5" spans="7:17">
      <c r="G5" t="s">
        <v>722</v>
      </c>
      <c r="H5">
        <v>47090</v>
      </c>
      <c r="I5">
        <v>49800</v>
      </c>
      <c r="K5">
        <v>5109</v>
      </c>
      <c r="M5" t="s">
        <v>722</v>
      </c>
      <c r="N5">
        <v>47230</v>
      </c>
      <c r="O5">
        <v>50000</v>
      </c>
      <c r="Q5">
        <v>5026</v>
      </c>
    </row>
    <row r="6" spans="7:17">
      <c r="G6" t="s">
        <v>723</v>
      </c>
      <c r="H6">
        <v>46515</v>
      </c>
      <c r="I6">
        <v>49750</v>
      </c>
      <c r="M6" t="s">
        <v>723</v>
      </c>
      <c r="N6">
        <v>48215</v>
      </c>
      <c r="O6">
        <v>51250</v>
      </c>
      <c r="Q6">
        <v>3904</v>
      </c>
    </row>
    <row r="7" spans="7:17">
      <c r="H7">
        <f>H5-H6</f>
        <v>575</v>
      </c>
      <c r="I7">
        <f>I5-I6</f>
        <v>50</v>
      </c>
      <c r="N7">
        <f>N5-N6</f>
        <v>-985</v>
      </c>
      <c r="O7">
        <f>O5-O6</f>
        <v>-1250</v>
      </c>
      <c r="Q7">
        <f>Q5-Q6</f>
        <v>1122</v>
      </c>
    </row>
    <row r="8" spans="7:17">
      <c r="N8">
        <f>N5-N4</f>
        <v>715</v>
      </c>
      <c r="O8">
        <f>O5-O4</f>
        <v>250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6DA5-1D3B-4EC4-9B29-84594E6AA09A}">
  <dimension ref="C4:M33"/>
  <sheetViews>
    <sheetView topLeftCell="A16" workbookViewId="0">
      <selection activeCell="H35" sqref="H35"/>
    </sheetView>
  </sheetViews>
  <sheetFormatPr defaultRowHeight="15"/>
  <cols>
    <col min="3" max="3" width="24.7109375" customWidth="1"/>
    <col min="4" max="4" width="14.42578125" style="14" customWidth="1"/>
    <col min="5" max="5" width="14.42578125" customWidth="1"/>
    <col min="6" max="7" width="14.42578125" style="33" customWidth="1"/>
    <col min="8" max="8" width="14.42578125" customWidth="1"/>
    <col min="9" max="10" width="14.42578125" style="33" customWidth="1"/>
    <col min="11" max="11" width="16.28515625" style="33" bestFit="1" customWidth="1"/>
    <col min="12" max="12" width="15.85546875" style="33" bestFit="1" customWidth="1"/>
    <col min="13" max="13" width="10.85546875" style="33" bestFit="1" customWidth="1"/>
  </cols>
  <sheetData>
    <row r="4" spans="3:13">
      <c r="C4" s="408" t="s">
        <v>724</v>
      </c>
      <c r="D4" s="409" t="s">
        <v>725</v>
      </c>
      <c r="E4" s="409" t="s">
        <v>726</v>
      </c>
      <c r="F4" s="448" t="s">
        <v>727</v>
      </c>
      <c r="G4" s="448" t="s">
        <v>168</v>
      </c>
      <c r="H4" s="409" t="s">
        <v>728</v>
      </c>
      <c r="I4" s="448" t="s">
        <v>729</v>
      </c>
      <c r="J4" s="448" t="s">
        <v>730</v>
      </c>
      <c r="K4" s="448" t="s">
        <v>731</v>
      </c>
      <c r="L4" s="448" t="s">
        <v>732</v>
      </c>
      <c r="M4" s="448" t="s">
        <v>733</v>
      </c>
    </row>
    <row r="5" spans="3:13">
      <c r="C5" s="410" t="s">
        <v>734</v>
      </c>
      <c r="D5" s="152">
        <v>68</v>
      </c>
      <c r="E5" s="152" t="s">
        <v>735</v>
      </c>
      <c r="F5" s="429">
        <v>25000</v>
      </c>
      <c r="G5" s="430">
        <v>17000</v>
      </c>
      <c r="H5" s="411">
        <v>0.8</v>
      </c>
      <c r="I5" s="430">
        <v>21250</v>
      </c>
      <c r="J5" s="430">
        <v>21250</v>
      </c>
      <c r="K5" s="430">
        <v>2900</v>
      </c>
      <c r="L5" s="430">
        <v>2465</v>
      </c>
      <c r="M5" s="430">
        <v>22100</v>
      </c>
    </row>
    <row r="6" spans="3:13">
      <c r="C6" s="410" t="s">
        <v>736</v>
      </c>
      <c r="D6" s="152">
        <v>12</v>
      </c>
      <c r="E6" s="152" t="s">
        <v>735</v>
      </c>
      <c r="F6" s="429">
        <v>37350</v>
      </c>
      <c r="G6" s="430">
        <v>4482</v>
      </c>
      <c r="H6" s="411">
        <v>0.94</v>
      </c>
      <c r="I6" s="430">
        <v>4768</v>
      </c>
      <c r="J6" s="430">
        <v>4768</v>
      </c>
      <c r="K6" s="430">
        <v>5550</v>
      </c>
      <c r="L6" s="430">
        <v>709</v>
      </c>
      <c r="M6" s="430">
        <v>31800</v>
      </c>
    </row>
    <row r="7" spans="3:13">
      <c r="C7" s="410" t="s">
        <v>737</v>
      </c>
      <c r="D7" s="152">
        <v>10</v>
      </c>
      <c r="E7" s="152" t="s">
        <v>735</v>
      </c>
      <c r="F7" s="429">
        <v>34000</v>
      </c>
      <c r="G7" s="430">
        <v>3400</v>
      </c>
      <c r="H7" s="411">
        <v>0.96</v>
      </c>
      <c r="I7" s="430">
        <v>3542</v>
      </c>
      <c r="J7" s="430">
        <v>3542</v>
      </c>
      <c r="K7" s="430">
        <v>3700</v>
      </c>
      <c r="L7" s="430">
        <v>385</v>
      </c>
      <c r="M7" s="430">
        <v>30300</v>
      </c>
    </row>
    <row r="8" spans="3:13">
      <c r="C8" s="410" t="s">
        <v>738</v>
      </c>
      <c r="D8" s="152">
        <v>14</v>
      </c>
      <c r="E8" s="152" t="s">
        <v>739</v>
      </c>
      <c r="F8" s="431">
        <v>71.7</v>
      </c>
      <c r="G8" s="430">
        <v>1003.8</v>
      </c>
      <c r="H8" s="411">
        <v>1</v>
      </c>
      <c r="I8" s="430">
        <v>1004</v>
      </c>
      <c r="J8" s="430">
        <v>1004</v>
      </c>
      <c r="K8" s="430">
        <v>0</v>
      </c>
      <c r="L8" s="430">
        <v>0</v>
      </c>
      <c r="M8" s="430">
        <v>72</v>
      </c>
    </row>
    <row r="9" spans="3:13">
      <c r="C9" s="410" t="s">
        <v>740</v>
      </c>
      <c r="D9" s="152">
        <v>10</v>
      </c>
      <c r="E9" s="152" t="s">
        <v>735</v>
      </c>
      <c r="F9" s="429">
        <v>28800</v>
      </c>
      <c r="G9" s="430">
        <v>2880</v>
      </c>
      <c r="H9" s="411">
        <v>0.84</v>
      </c>
      <c r="I9" s="430">
        <v>3429</v>
      </c>
      <c r="J9" s="430">
        <v>3429</v>
      </c>
      <c r="K9" s="430">
        <v>2700</v>
      </c>
      <c r="L9" s="430">
        <v>321</v>
      </c>
      <c r="M9" s="430">
        <v>26100</v>
      </c>
    </row>
    <row r="10" spans="3:13">
      <c r="C10" s="410" t="s">
        <v>741</v>
      </c>
      <c r="D10" s="152">
        <v>700</v>
      </c>
      <c r="E10" s="152" t="s">
        <v>110</v>
      </c>
      <c r="F10" s="431">
        <v>6.5</v>
      </c>
      <c r="G10" s="430">
        <v>4550</v>
      </c>
      <c r="H10" s="152" t="s">
        <v>110</v>
      </c>
      <c r="I10" s="430" t="s">
        <v>110</v>
      </c>
      <c r="J10" s="430">
        <v>4550</v>
      </c>
      <c r="K10" s="430" t="s">
        <v>110</v>
      </c>
      <c r="L10" s="430" t="s">
        <v>110</v>
      </c>
      <c r="M10" s="430">
        <v>7</v>
      </c>
    </row>
    <row r="11" spans="3:13">
      <c r="C11" s="410" t="s">
        <v>742</v>
      </c>
      <c r="D11" s="152">
        <v>1</v>
      </c>
      <c r="E11" s="152" t="s">
        <v>743</v>
      </c>
      <c r="F11" s="431">
        <v>500</v>
      </c>
      <c r="G11" s="430">
        <v>500</v>
      </c>
      <c r="H11" s="152" t="s">
        <v>110</v>
      </c>
      <c r="I11" s="430" t="s">
        <v>110</v>
      </c>
      <c r="J11" s="430">
        <v>550</v>
      </c>
      <c r="K11" s="430" t="s">
        <v>110</v>
      </c>
      <c r="L11" s="430" t="s">
        <v>110</v>
      </c>
      <c r="M11" s="430">
        <v>500</v>
      </c>
    </row>
    <row r="12" spans="3:13">
      <c r="C12" s="410" t="s">
        <v>744</v>
      </c>
      <c r="D12" s="152">
        <v>1</v>
      </c>
      <c r="E12" s="152" t="s">
        <v>743</v>
      </c>
      <c r="F12" s="431">
        <v>550</v>
      </c>
      <c r="G12" s="430">
        <v>550</v>
      </c>
      <c r="H12" s="152" t="s">
        <v>110</v>
      </c>
      <c r="I12" s="430" t="s">
        <v>110</v>
      </c>
      <c r="J12" s="430">
        <v>500</v>
      </c>
      <c r="K12" s="430" t="s">
        <v>110</v>
      </c>
      <c r="L12" s="430" t="s">
        <v>110</v>
      </c>
      <c r="M12" s="430">
        <v>550</v>
      </c>
    </row>
    <row r="13" spans="3:13">
      <c r="C13" s="412" t="s">
        <v>745</v>
      </c>
      <c r="D13" s="413" t="s">
        <v>110</v>
      </c>
      <c r="E13" s="413" t="s">
        <v>110</v>
      </c>
      <c r="F13" s="432" t="s">
        <v>110</v>
      </c>
      <c r="G13" s="432" t="s">
        <v>110</v>
      </c>
      <c r="H13" s="413" t="s">
        <v>110</v>
      </c>
      <c r="I13" s="432" t="s">
        <v>110</v>
      </c>
      <c r="J13" s="444">
        <v>39592</v>
      </c>
      <c r="K13" s="444" t="s">
        <v>110</v>
      </c>
      <c r="L13" s="444">
        <v>3880</v>
      </c>
      <c r="M13" s="444" t="s">
        <v>110</v>
      </c>
    </row>
    <row r="14" spans="3:13">
      <c r="C14" s="414" t="s">
        <v>746</v>
      </c>
      <c r="D14" s="415" t="s">
        <v>110</v>
      </c>
      <c r="E14" s="415" t="s">
        <v>110</v>
      </c>
      <c r="F14" s="433" t="s">
        <v>110</v>
      </c>
      <c r="G14" s="433" t="s">
        <v>110</v>
      </c>
      <c r="H14" s="415" t="s">
        <v>110</v>
      </c>
      <c r="I14" s="433" t="s">
        <v>110</v>
      </c>
      <c r="J14" s="445">
        <v>41500</v>
      </c>
      <c r="K14" s="445" t="s">
        <v>110</v>
      </c>
      <c r="L14" s="445">
        <v>7050</v>
      </c>
      <c r="M14" s="445" t="s">
        <v>110</v>
      </c>
    </row>
    <row r="15" spans="3:13">
      <c r="C15" s="416" t="s">
        <v>747</v>
      </c>
      <c r="D15" s="417" t="s">
        <v>110</v>
      </c>
      <c r="E15" s="417" t="s">
        <v>110</v>
      </c>
      <c r="F15" s="434" t="s">
        <v>110</v>
      </c>
      <c r="G15" s="434" t="s">
        <v>110</v>
      </c>
      <c r="H15" s="417" t="s">
        <v>110</v>
      </c>
      <c r="I15" s="434" t="s">
        <v>110</v>
      </c>
      <c r="J15" s="446">
        <v>1908</v>
      </c>
      <c r="K15" s="446" t="s">
        <v>110</v>
      </c>
      <c r="L15" s="446">
        <v>3170</v>
      </c>
      <c r="M15" s="446" t="s">
        <v>110</v>
      </c>
    </row>
    <row r="16" spans="3:13">
      <c r="C16" s="418"/>
      <c r="D16" s="418"/>
      <c r="E16" s="418"/>
      <c r="F16" s="435"/>
      <c r="G16" s="435"/>
      <c r="H16" s="418"/>
      <c r="I16" s="435"/>
      <c r="J16" s="435"/>
      <c r="K16" s="435"/>
      <c r="L16" s="435"/>
      <c r="M16" s="449"/>
    </row>
    <row r="17" spans="3:13">
      <c r="C17" s="419" t="s">
        <v>748</v>
      </c>
      <c r="D17" s="428" t="s">
        <v>749</v>
      </c>
      <c r="E17" s="428"/>
      <c r="F17" s="436"/>
      <c r="G17" s="437"/>
      <c r="H17" s="420" t="s">
        <v>110</v>
      </c>
      <c r="I17" s="450" t="s">
        <v>110</v>
      </c>
      <c r="J17" s="450" t="s">
        <v>110</v>
      </c>
      <c r="K17" s="451" t="s">
        <v>110</v>
      </c>
      <c r="L17" s="451" t="s">
        <v>110</v>
      </c>
      <c r="M17" s="451" t="s">
        <v>110</v>
      </c>
    </row>
    <row r="18" spans="3:13">
      <c r="C18" s="421" t="s">
        <v>724</v>
      </c>
      <c r="D18" s="422" t="s">
        <v>725</v>
      </c>
      <c r="E18" s="422" t="s">
        <v>726</v>
      </c>
      <c r="F18" s="438" t="s">
        <v>727</v>
      </c>
      <c r="G18" s="439" t="s">
        <v>168</v>
      </c>
      <c r="H18" s="420" t="s">
        <v>110</v>
      </c>
      <c r="I18" s="450" t="s">
        <v>110</v>
      </c>
      <c r="J18" s="450" t="s">
        <v>110</v>
      </c>
      <c r="K18" s="438" t="s">
        <v>731</v>
      </c>
      <c r="L18" s="438" t="s">
        <v>732</v>
      </c>
      <c r="M18" s="438" t="s">
        <v>733</v>
      </c>
    </row>
    <row r="19" spans="3:13">
      <c r="C19" s="421" t="s">
        <v>750</v>
      </c>
      <c r="D19" s="422" t="s">
        <v>110</v>
      </c>
      <c r="E19" s="422" t="s">
        <v>110</v>
      </c>
      <c r="F19" s="438" t="s">
        <v>110</v>
      </c>
      <c r="G19" s="439">
        <v>39592</v>
      </c>
      <c r="H19" s="420" t="s">
        <v>110</v>
      </c>
      <c r="I19" s="450" t="s">
        <v>110</v>
      </c>
      <c r="J19" s="450" t="s">
        <v>110</v>
      </c>
      <c r="K19" s="438">
        <v>3880</v>
      </c>
      <c r="L19" s="438">
        <v>3880</v>
      </c>
      <c r="M19" s="438">
        <v>35712</v>
      </c>
    </row>
    <row r="20" spans="3:13">
      <c r="C20" s="421" t="s">
        <v>751</v>
      </c>
      <c r="D20" s="423">
        <v>0.8</v>
      </c>
      <c r="E20" s="423" t="s">
        <v>735</v>
      </c>
      <c r="F20" s="440">
        <v>39592</v>
      </c>
      <c r="G20" s="441">
        <v>317</v>
      </c>
      <c r="H20" s="424" t="s">
        <v>110</v>
      </c>
      <c r="I20" s="452" t="s">
        <v>110</v>
      </c>
      <c r="J20" s="452" t="s">
        <v>110</v>
      </c>
      <c r="K20" s="440">
        <v>31</v>
      </c>
      <c r="L20" s="440">
        <v>31</v>
      </c>
      <c r="M20" s="440">
        <v>286</v>
      </c>
    </row>
    <row r="21" spans="3:13">
      <c r="C21" s="421" t="s">
        <v>752</v>
      </c>
      <c r="D21" s="423">
        <v>120</v>
      </c>
      <c r="E21" s="423" t="s">
        <v>753</v>
      </c>
      <c r="F21" s="440">
        <v>6.5</v>
      </c>
      <c r="G21" s="441">
        <v>780</v>
      </c>
      <c r="H21" s="424" t="s">
        <v>110</v>
      </c>
      <c r="I21" s="452" t="s">
        <v>110</v>
      </c>
      <c r="J21" s="452" t="s">
        <v>110</v>
      </c>
      <c r="K21" s="440">
        <v>0</v>
      </c>
      <c r="L21" s="440">
        <v>0</v>
      </c>
      <c r="M21" s="440">
        <v>780</v>
      </c>
    </row>
    <row r="22" spans="3:13">
      <c r="C22" s="421" t="s">
        <v>742</v>
      </c>
      <c r="D22" s="423">
        <v>1</v>
      </c>
      <c r="E22" s="423" t="s">
        <v>743</v>
      </c>
      <c r="F22" s="440">
        <v>400</v>
      </c>
      <c r="G22" s="441">
        <v>400</v>
      </c>
      <c r="H22" s="424" t="s">
        <v>110</v>
      </c>
      <c r="I22" s="452" t="s">
        <v>110</v>
      </c>
      <c r="J22" s="452" t="s">
        <v>110</v>
      </c>
      <c r="K22" s="440">
        <v>0</v>
      </c>
      <c r="L22" s="440">
        <v>0</v>
      </c>
      <c r="M22" s="440">
        <v>400</v>
      </c>
    </row>
    <row r="23" spans="3:13">
      <c r="C23" s="421" t="s">
        <v>744</v>
      </c>
      <c r="D23" s="423">
        <v>1</v>
      </c>
      <c r="E23" s="423" t="s">
        <v>743</v>
      </c>
      <c r="F23" s="440">
        <v>700</v>
      </c>
      <c r="G23" s="441">
        <v>700</v>
      </c>
      <c r="H23" s="424" t="s">
        <v>110</v>
      </c>
      <c r="I23" s="452" t="s">
        <v>110</v>
      </c>
      <c r="J23" s="452" t="s">
        <v>110</v>
      </c>
      <c r="K23" s="440">
        <v>0</v>
      </c>
      <c r="L23" s="440">
        <v>0</v>
      </c>
      <c r="M23" s="440">
        <v>700</v>
      </c>
    </row>
    <row r="24" spans="3:13">
      <c r="C24" s="421" t="s">
        <v>754</v>
      </c>
      <c r="D24" s="423">
        <v>0</v>
      </c>
      <c r="E24" s="423" t="s">
        <v>755</v>
      </c>
      <c r="F24" s="440">
        <v>47</v>
      </c>
      <c r="G24" s="441">
        <v>0</v>
      </c>
      <c r="H24" s="424" t="s">
        <v>110</v>
      </c>
      <c r="I24" s="452" t="s">
        <v>110</v>
      </c>
      <c r="J24" s="452" t="s">
        <v>110</v>
      </c>
      <c r="K24" s="440">
        <v>0</v>
      </c>
      <c r="L24" s="440">
        <v>0</v>
      </c>
      <c r="M24" s="440" t="s">
        <v>756</v>
      </c>
    </row>
    <row r="25" spans="3:13">
      <c r="C25" s="421" t="s">
        <v>757</v>
      </c>
      <c r="D25" s="423">
        <v>0</v>
      </c>
      <c r="E25" s="423" t="s">
        <v>735</v>
      </c>
      <c r="F25" s="440">
        <v>41789</v>
      </c>
      <c r="G25" s="441">
        <v>0</v>
      </c>
      <c r="H25" s="424" t="s">
        <v>110</v>
      </c>
      <c r="I25" s="452" t="s">
        <v>110</v>
      </c>
      <c r="J25" s="452" t="s">
        <v>110</v>
      </c>
      <c r="K25" s="440">
        <v>0</v>
      </c>
      <c r="L25" s="440">
        <v>0</v>
      </c>
      <c r="M25" s="440" t="s">
        <v>756</v>
      </c>
    </row>
    <row r="26" spans="3:13">
      <c r="C26" s="421" t="s">
        <v>758</v>
      </c>
      <c r="D26" s="423" t="s">
        <v>110</v>
      </c>
      <c r="E26" s="423" t="s">
        <v>110</v>
      </c>
      <c r="F26" s="440" t="s">
        <v>110</v>
      </c>
      <c r="G26" s="439">
        <v>2197</v>
      </c>
      <c r="H26" s="424" t="s">
        <v>110</v>
      </c>
      <c r="I26" s="452" t="s">
        <v>110</v>
      </c>
      <c r="J26" s="452" t="s">
        <v>110</v>
      </c>
      <c r="K26" s="438">
        <v>31</v>
      </c>
      <c r="L26" s="438">
        <v>31</v>
      </c>
      <c r="M26" s="438">
        <v>2166</v>
      </c>
    </row>
    <row r="27" spans="3:13">
      <c r="C27" s="421" t="s">
        <v>759</v>
      </c>
      <c r="D27" s="423">
        <v>4.5</v>
      </c>
      <c r="E27" s="423" t="s">
        <v>735</v>
      </c>
      <c r="F27" s="440">
        <v>41789</v>
      </c>
      <c r="G27" s="441">
        <v>1880</v>
      </c>
      <c r="H27" s="424" t="s">
        <v>110</v>
      </c>
      <c r="I27" s="452" t="s">
        <v>110</v>
      </c>
      <c r="J27" s="452" t="s">
        <v>110</v>
      </c>
      <c r="K27" s="440">
        <v>176</v>
      </c>
      <c r="L27" s="440">
        <v>176</v>
      </c>
      <c r="M27" s="440">
        <v>1704</v>
      </c>
    </row>
    <row r="28" spans="3:13">
      <c r="C28" s="421" t="s">
        <v>760</v>
      </c>
      <c r="D28" s="423">
        <v>-25</v>
      </c>
      <c r="E28" s="423" t="s">
        <v>739</v>
      </c>
      <c r="F28" s="440">
        <v>36</v>
      </c>
      <c r="G28" s="441">
        <v>-900</v>
      </c>
      <c r="H28" s="424" t="s">
        <v>110</v>
      </c>
      <c r="I28" s="452" t="s">
        <v>110</v>
      </c>
      <c r="J28" s="452" t="s">
        <v>110</v>
      </c>
      <c r="K28" s="440">
        <v>0</v>
      </c>
      <c r="L28" s="440">
        <v>0</v>
      </c>
      <c r="M28" s="440">
        <v>-900</v>
      </c>
    </row>
    <row r="29" spans="3:13">
      <c r="C29" s="421" t="s">
        <v>761</v>
      </c>
      <c r="D29" s="423">
        <v>-20</v>
      </c>
      <c r="E29" s="423" t="s">
        <v>739</v>
      </c>
      <c r="F29" s="440">
        <v>43</v>
      </c>
      <c r="G29" s="441">
        <v>-860</v>
      </c>
      <c r="H29" s="424" t="s">
        <v>110</v>
      </c>
      <c r="I29" s="452" t="s">
        <v>110</v>
      </c>
      <c r="J29" s="452" t="s">
        <v>110</v>
      </c>
      <c r="K29" s="440">
        <v>0</v>
      </c>
      <c r="L29" s="440">
        <v>0</v>
      </c>
      <c r="M29" s="440">
        <v>-860</v>
      </c>
    </row>
    <row r="30" spans="3:13">
      <c r="C30" s="421" t="s">
        <v>762</v>
      </c>
      <c r="D30" s="423" t="s">
        <v>763</v>
      </c>
      <c r="E30" s="423" t="s">
        <v>743</v>
      </c>
      <c r="F30" s="440">
        <v>500</v>
      </c>
      <c r="G30" s="439">
        <v>500</v>
      </c>
      <c r="H30" s="424" t="s">
        <v>110</v>
      </c>
      <c r="I30" s="452" t="s">
        <v>110</v>
      </c>
      <c r="J30" s="452" t="s">
        <v>110</v>
      </c>
      <c r="K30" s="438">
        <v>0</v>
      </c>
      <c r="L30" s="438">
        <v>0</v>
      </c>
      <c r="M30" s="438">
        <v>500</v>
      </c>
    </row>
    <row r="31" spans="3:13">
      <c r="C31" s="421" t="s">
        <v>730</v>
      </c>
      <c r="D31" s="423" t="s">
        <v>110</v>
      </c>
      <c r="E31" s="423" t="s">
        <v>110</v>
      </c>
      <c r="F31" s="440" t="s">
        <v>110</v>
      </c>
      <c r="G31" s="439">
        <v>42289</v>
      </c>
      <c r="H31" s="424" t="s">
        <v>110</v>
      </c>
      <c r="I31" s="452" t="s">
        <v>110</v>
      </c>
      <c r="J31" s="452" t="s">
        <v>110</v>
      </c>
      <c r="K31" s="438">
        <v>3911</v>
      </c>
      <c r="L31" s="438">
        <v>3911</v>
      </c>
      <c r="M31" s="438">
        <v>38377</v>
      </c>
    </row>
    <row r="32" spans="3:13">
      <c r="C32" s="421" t="s">
        <v>764</v>
      </c>
      <c r="D32" s="423" t="s">
        <v>110</v>
      </c>
      <c r="E32" s="423" t="s">
        <v>110</v>
      </c>
      <c r="F32" s="440" t="s">
        <v>110</v>
      </c>
      <c r="G32" s="439">
        <v>44400</v>
      </c>
      <c r="H32" s="424" t="s">
        <v>110</v>
      </c>
      <c r="I32" s="452" t="s">
        <v>110</v>
      </c>
      <c r="J32" s="452" t="s">
        <v>110</v>
      </c>
      <c r="K32" s="438">
        <v>7200</v>
      </c>
      <c r="L32" s="438">
        <v>7200</v>
      </c>
      <c r="M32" s="438">
        <v>37200</v>
      </c>
    </row>
    <row r="33" spans="3:13">
      <c r="C33" s="425" t="s">
        <v>765</v>
      </c>
      <c r="D33" s="426" t="s">
        <v>110</v>
      </c>
      <c r="E33" s="426" t="s">
        <v>110</v>
      </c>
      <c r="F33" s="442" t="s">
        <v>110</v>
      </c>
      <c r="G33" s="443">
        <v>2111</v>
      </c>
      <c r="H33" s="427" t="s">
        <v>110</v>
      </c>
      <c r="I33" s="453" t="s">
        <v>110</v>
      </c>
      <c r="J33" s="453" t="s">
        <v>110</v>
      </c>
      <c r="K33" s="447">
        <v>3289</v>
      </c>
      <c r="L33" s="447">
        <v>3289</v>
      </c>
      <c r="M33" s="447">
        <v>-1177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2025-04-24T12:10:39Z</dcterms:created>
  <dcterms:modified xsi:type="dcterms:W3CDTF">2026-04-12T06:51:08Z</dcterms:modified>
  <cp:category/>
  <cp:contentStatus/>
</cp:coreProperties>
</file>